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3b55dd26643aa05/Documentos/FLÁVIA/Consultoria Financeira/_PP^0C/PORTO VITÓRIA/"/>
    </mc:Choice>
  </mc:AlternateContent>
  <xr:revisionPtr revIDLastSave="2815" documentId="8_{3DF8E805-6FD8-41CE-BD51-A6F6685FBE5B}" xr6:coauthVersionLast="47" xr6:coauthVersionMax="47" xr10:uidLastSave="{B99D6620-E141-4E95-9DDD-A4A4B064B6F1}"/>
  <bookViews>
    <workbookView xWindow="28680" yWindow="-780" windowWidth="29040" windowHeight="15720" tabRatio="858" firstSheet="2" activeTab="8" xr2:uid="{5F48E510-1D92-4405-885E-F84D19D0BBA1}"/>
  </bookViews>
  <sheets>
    <sheet name="Plano Centro Resultados" sheetId="17" state="hidden" r:id="rId1"/>
    <sheet name="Tab_CentroResultado" sheetId="18" state="hidden" r:id="rId2"/>
    <sheet name="PLANO CENTRO DE RESULTADOS" sheetId="12" r:id="rId3"/>
    <sheet name="RESUMO CENTRO RESULTADOS" sheetId="13" r:id="rId4"/>
    <sheet name="Plano Naturezas" sheetId="8" state="hidden" r:id="rId5"/>
    <sheet name="Tab_PlanoNaturezas" sheetId="10" state="hidden" r:id="rId6"/>
    <sheet name="RESUMO PLANO NATUREZAS ATUAL" sheetId="11" state="hidden" r:id="rId7"/>
    <sheet name="PLANO FINANCEIRO" sheetId="1" r:id="rId8"/>
    <sheet name="RESUMO NOVO PLANO" sheetId="7" r:id="rId9"/>
    <sheet name="INTRAGRUPO" sheetId="19" r:id="rId10"/>
  </sheets>
  <definedNames>
    <definedName name="DadosExternos_1" localSheetId="1" hidden="1">Tab_CentroResultado!$A$1:$J$123</definedName>
    <definedName name="DadosExternos_1" localSheetId="5" hidden="1">Tab_PlanoNaturezas!$A$1:$K$250</definedName>
  </definedNames>
  <calcPr calcId="191028"/>
  <pivotCaches>
    <pivotCache cacheId="0" r:id="rId11"/>
    <pivotCache cacheId="1" r:id="rId12"/>
    <pivotCache cacheId="1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1" i="1" l="1"/>
  <c r="R223" i="1"/>
  <c r="R226" i="1"/>
  <c r="R277" i="1"/>
  <c r="R127" i="1" l="1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K2" i="18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R243" i="1"/>
  <c r="R245" i="1"/>
  <c r="R246" i="1"/>
  <c r="R275" i="1"/>
  <c r="R153" i="1"/>
  <c r="R236" i="1"/>
  <c r="R237" i="1"/>
  <c r="R239" i="1"/>
  <c r="R238" i="1"/>
  <c r="R235" i="1"/>
  <c r="R260" i="1"/>
  <c r="R212" i="1"/>
  <c r="R213" i="1"/>
  <c r="R270" i="1"/>
  <c r="R248" i="1"/>
  <c r="R249" i="1"/>
  <c r="R258" i="1"/>
  <c r="R133" i="1"/>
  <c r="R272" i="1"/>
  <c r="R259" i="1"/>
  <c r="R261" i="1"/>
  <c r="R211" i="1"/>
  <c r="R208" i="1"/>
  <c r="R254" i="1"/>
  <c r="R23" i="1"/>
  <c r="R24" i="1"/>
  <c r="R136" i="1"/>
  <c r="R203" i="1"/>
  <c r="R142" i="1"/>
  <c r="R217" i="1"/>
  <c r="R218" i="1"/>
  <c r="R202" i="1"/>
  <c r="R201" i="1"/>
  <c r="R128" i="1"/>
  <c r="R200" i="1"/>
  <c r="R199" i="1"/>
  <c r="R198" i="1"/>
  <c r="R197" i="1"/>
  <c r="R207" i="1"/>
  <c r="R178" i="1"/>
  <c r="R132" i="1"/>
  <c r="R159" i="1"/>
  <c r="R135" i="1"/>
  <c r="R189" i="1"/>
  <c r="R190" i="1"/>
  <c r="R191" i="1"/>
  <c r="R188" i="1"/>
  <c r="R152" i="1"/>
  <c r="R62" i="1"/>
  <c r="R63" i="1"/>
  <c r="R151" i="1"/>
  <c r="R150" i="1"/>
  <c r="R113" i="1"/>
  <c r="R111" i="1"/>
  <c r="R112" i="1"/>
  <c r="R266" i="1"/>
  <c r="R131" i="1"/>
  <c r="R110" i="1"/>
  <c r="R219" i="1"/>
  <c r="R109" i="1"/>
  <c r="R108" i="1"/>
  <c r="R181" i="1"/>
  <c r="R126" i="1"/>
  <c r="R59" i="1"/>
  <c r="R42" i="1"/>
  <c r="R35" i="1"/>
  <c r="R124" i="1"/>
  <c r="R72" i="1"/>
  <c r="R125" i="1"/>
  <c r="R177" i="1"/>
  <c r="R79" i="1"/>
  <c r="R85" i="1"/>
  <c r="R120" i="1"/>
  <c r="R121" i="1"/>
  <c r="R122" i="1"/>
  <c r="R123" i="1"/>
  <c r="R40" i="1"/>
  <c r="R41" i="1"/>
  <c r="R119" i="1"/>
  <c r="R36" i="1"/>
  <c r="R37" i="1"/>
  <c r="R38" i="1"/>
  <c r="R30" i="1"/>
  <c r="R39" i="1"/>
  <c r="R31" i="1"/>
  <c r="R118" i="1"/>
  <c r="R129" i="1"/>
  <c r="R32" i="1"/>
  <c r="R33" i="1"/>
  <c r="R34" i="1"/>
  <c r="R130" i="1"/>
  <c r="R26" i="1"/>
  <c r="R27" i="1"/>
  <c r="R28" i="1"/>
  <c r="R29" i="1"/>
  <c r="R117" i="1"/>
  <c r="R220" i="1"/>
  <c r="R265" i="1"/>
  <c r="R216" i="1"/>
  <c r="R43" i="1"/>
  <c r="R44" i="1"/>
  <c r="R45" i="1"/>
  <c r="R46" i="1"/>
  <c r="R47" i="1"/>
  <c r="R48" i="1"/>
  <c r="R252" i="1"/>
  <c r="R267" i="1"/>
  <c r="R230" i="1"/>
  <c r="R210" i="1"/>
  <c r="R6" i="1"/>
  <c r="R5" i="1"/>
  <c r="R3" i="1"/>
  <c r="R4" i="1"/>
  <c r="R242" i="1"/>
  <c r="R141" i="1"/>
  <c r="R78" i="1"/>
  <c r="R71" i="1"/>
  <c r="R70" i="1"/>
  <c r="R58" i="1"/>
  <c r="R57" i="1"/>
  <c r="R56" i="1"/>
  <c r="R55" i="1"/>
  <c r="R13" i="1"/>
  <c r="R14" i="1"/>
  <c r="R15" i="1"/>
  <c r="R16" i="1"/>
  <c r="R19" i="1"/>
  <c r="R11" i="1"/>
  <c r="R10" i="1"/>
  <c r="R86" i="1"/>
  <c r="R87" i="1"/>
  <c r="R224" i="1"/>
  <c r="R225" i="1"/>
  <c r="R143" i="1"/>
  <c r="R160" i="1"/>
  <c r="R88" i="1"/>
  <c r="R49" i="1"/>
  <c r="R161" i="1"/>
  <c r="R80" i="1"/>
  <c r="R81" i="1"/>
  <c r="R139" i="1"/>
  <c r="R264" i="1"/>
  <c r="R268" i="1"/>
  <c r="R269" i="1"/>
  <c r="R263" i="1"/>
  <c r="R232" i="1"/>
  <c r="R241" i="1"/>
  <c r="R233" i="1"/>
  <c r="R140" i="1"/>
  <c r="R144" i="1"/>
  <c r="R192" i="1"/>
  <c r="R89" i="1"/>
  <c r="R244" i="1"/>
  <c r="R90" i="1"/>
  <c r="R91" i="1"/>
  <c r="R73" i="1"/>
  <c r="R193" i="1"/>
  <c r="R22" i="1"/>
  <c r="R82" i="1"/>
  <c r="R234" i="1"/>
  <c r="R227" i="1"/>
  <c r="R228" i="1"/>
  <c r="R229" i="1"/>
  <c r="R162" i="1"/>
  <c r="R194" i="1"/>
  <c r="R145" i="1"/>
  <c r="R60" i="1"/>
  <c r="R195" i="1"/>
  <c r="R222" i="1"/>
  <c r="R92" i="1"/>
  <c r="R214" i="1"/>
  <c r="R274" i="1"/>
  <c r="R209" i="1"/>
  <c r="R25" i="1"/>
  <c r="R154" i="1"/>
  <c r="R93" i="1"/>
  <c r="R50" i="1"/>
  <c r="R137" i="1"/>
  <c r="R155" i="1"/>
  <c r="R271" i="1"/>
  <c r="R253" i="1"/>
  <c r="R94" i="1"/>
  <c r="R163" i="1"/>
  <c r="R182" i="1"/>
  <c r="R95" i="1"/>
  <c r="R51" i="1"/>
  <c r="R96" i="1"/>
  <c r="R97" i="1"/>
  <c r="R74" i="1"/>
  <c r="R64" i="1"/>
  <c r="R196" i="1"/>
  <c r="R278" i="1"/>
  <c r="R215" i="1"/>
  <c r="R273" i="1"/>
  <c r="R146" i="1"/>
  <c r="R164" i="1"/>
  <c r="R165" i="1"/>
  <c r="R183" i="1"/>
  <c r="R147" i="1"/>
  <c r="R221" i="1"/>
  <c r="R257" i="1"/>
  <c r="R20" i="1"/>
  <c r="R148" i="1"/>
  <c r="R204" i="1"/>
  <c r="R114" i="1"/>
  <c r="R156" i="1"/>
  <c r="R205" i="1"/>
  <c r="R172" i="1"/>
  <c r="R115" i="1"/>
  <c r="R75" i="1"/>
  <c r="R173" i="1"/>
  <c r="R174" i="1"/>
  <c r="R157" i="1"/>
  <c r="R184" i="1"/>
  <c r="R175" i="1"/>
  <c r="R240" i="1"/>
  <c r="R65" i="1"/>
  <c r="R179" i="1"/>
  <c r="R180" i="1"/>
  <c r="R158" i="1"/>
  <c r="R176" i="1"/>
  <c r="R68" i="1"/>
  <c r="R166" i="1"/>
  <c r="R149" i="1"/>
  <c r="R116" i="1"/>
  <c r="R185" i="1"/>
  <c r="R66" i="1"/>
  <c r="R76" i="1"/>
  <c r="R256" i="1"/>
  <c r="R77" i="1"/>
  <c r="R251" i="1"/>
  <c r="R17" i="1"/>
  <c r="R186" i="1"/>
  <c r="R98" i="1"/>
  <c r="R21" i="1"/>
  <c r="R99" i="1"/>
  <c r="R100" i="1"/>
  <c r="R67" i="1"/>
  <c r="R2" i="1"/>
  <c r="R138" i="1"/>
  <c r="R262" i="1"/>
  <c r="R250" i="1"/>
  <c r="R276" i="1"/>
  <c r="R255" i="1"/>
  <c r="R101" i="1"/>
  <c r="R102" i="1"/>
  <c r="R103" i="1"/>
  <c r="R167" i="1"/>
  <c r="R104" i="1"/>
  <c r="R168" i="1"/>
  <c r="R187" i="1"/>
  <c r="R134" i="1"/>
  <c r="R52" i="1"/>
  <c r="R53" i="1"/>
  <c r="R206" i="1"/>
  <c r="R169" i="1"/>
  <c r="R170" i="1"/>
  <c r="R69" i="1"/>
  <c r="R83" i="1"/>
  <c r="R54" i="1"/>
  <c r="R61" i="1"/>
  <c r="R171" i="1"/>
  <c r="R105" i="1"/>
  <c r="R106" i="1"/>
  <c r="R107" i="1"/>
  <c r="R7" i="1"/>
  <c r="R18" i="1"/>
  <c r="R8" i="1"/>
  <c r="R9" i="1"/>
  <c r="R12" i="1"/>
  <c r="R84" i="1"/>
  <c r="R247" i="1"/>
  <c r="X295" i="8"/>
  <c r="V29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48426F-BB28-40D3-AB13-31D115AB02DD}" keepAlive="1" name="Consulta - Tab_CentroResultado" description="Conexão com a consulta 'Tab_CentroResultado' na pasta de trabalho." type="5" refreshedVersion="8" background="1" saveData="1">
    <dbPr connection="Provider=Microsoft.Mashup.OleDb.1;Data Source=$Workbook$;Location=Tab_CentroResultado;Extended Properties=&quot;&quot;" command="SELECT * FROM [Tab_CentroResultado]"/>
  </connection>
  <connection id="2" xr16:uid="{4784BA88-6146-4342-A37D-DD34923A896E}" keepAlive="1" name="Consulta - Tab_Naturezas" description="Conexão com a consulta 'Tab_Naturezas' na pasta de trabalho." type="5" refreshedVersion="8" background="1" saveData="1">
    <dbPr connection="Provider=Microsoft.Mashup.OleDb.1;Data Source=$Workbook$;Location=Tab_Naturezas;Extended Properties=&quot;&quot;" command="SELECT * FROM [Tab_Naturezas]"/>
  </connection>
</connections>
</file>

<file path=xl/sharedStrings.xml><?xml version="1.0" encoding="utf-8"?>
<sst xmlns="http://schemas.openxmlformats.org/spreadsheetml/2006/main" count="11871" uniqueCount="1334">
  <si>
    <t>Conta 1</t>
  </si>
  <si>
    <t>Conta 2</t>
  </si>
  <si>
    <t>Conta 3</t>
  </si>
  <si>
    <t>Conta 4</t>
  </si>
  <si>
    <t>Não</t>
  </si>
  <si>
    <t>Adiantamentos</t>
  </si>
  <si>
    <t>Adiantamento a Fornecedor</t>
  </si>
  <si>
    <t>Despesa</t>
  </si>
  <si>
    <t>Corporativo</t>
  </si>
  <si>
    <t>Contador</t>
  </si>
  <si>
    <t>Alojamento</t>
  </si>
  <si>
    <t>Material de Copa/Cozinha</t>
  </si>
  <si>
    <t>Adiantamento de Clientes</t>
  </si>
  <si>
    <t>Receita</t>
  </si>
  <si>
    <t>Diretoria</t>
  </si>
  <si>
    <t>Aluguel de Veiculos</t>
  </si>
  <si>
    <t>Prestação de Serviço</t>
  </si>
  <si>
    <t>Target</t>
  </si>
  <si>
    <t>Ajuda de Custo</t>
  </si>
  <si>
    <t>Rendimentos sobre Aplicação</t>
  </si>
  <si>
    <t>IRRF - Imposto Renda Retido na Fonte</t>
  </si>
  <si>
    <t>Agua e Esgoto</t>
  </si>
  <si>
    <t>Atleta Amador</t>
  </si>
  <si>
    <t>Viagens e estadias</t>
  </si>
  <si>
    <t>Atleta Profissional</t>
  </si>
  <si>
    <t>Aluguel</t>
  </si>
  <si>
    <t>Plano de Saude</t>
  </si>
  <si>
    <t>Alimentação de Atleta</t>
  </si>
  <si>
    <t>PVEC</t>
  </si>
  <si>
    <t>RECEITAS DIVERSAS</t>
  </si>
  <si>
    <t>Receita de Empréstimo</t>
  </si>
  <si>
    <t>Aluguel de Campo</t>
  </si>
  <si>
    <t>Pagamento de Reembolso</t>
  </si>
  <si>
    <t>Manutencao Predial</t>
  </si>
  <si>
    <t>Bolsa Atleta</t>
  </si>
  <si>
    <t>Encargos (INSS/FGTS)</t>
  </si>
  <si>
    <t>Material Esportivo</t>
  </si>
  <si>
    <t>Transporte de Pessoas</t>
  </si>
  <si>
    <t>Coordenador Futebol</t>
  </si>
  <si>
    <t>Assessoria de Imprensa</t>
  </si>
  <si>
    <t>Vale Refeiçao</t>
  </si>
  <si>
    <t>Fisioterapia</t>
  </si>
  <si>
    <t>Assessoria e Consultoria</t>
  </si>
  <si>
    <t>Financeiro Administrativo</t>
  </si>
  <si>
    <t>Manutencao de Veiculos</t>
  </si>
  <si>
    <t>Servicos de Terceiros</t>
  </si>
  <si>
    <t>Despesas Médicas</t>
  </si>
  <si>
    <t>Direito de Imagem</t>
  </si>
  <si>
    <t>Salarios</t>
  </si>
  <si>
    <t>Pro Labore</t>
  </si>
  <si>
    <t>Exames de Avaliação</t>
  </si>
  <si>
    <t>Treinador Futebol</t>
  </si>
  <si>
    <t>Infraestrutura de Tecnologia</t>
  </si>
  <si>
    <t>Licença e Consseção de Software</t>
  </si>
  <si>
    <t>Telefonia Movel</t>
  </si>
  <si>
    <t>Monitoramento e Vigilancia</t>
  </si>
  <si>
    <t>Emprestimo a Terceiros</t>
  </si>
  <si>
    <t>Despesas Bancárias</t>
  </si>
  <si>
    <t>Rescisoes/ GRRF</t>
  </si>
  <si>
    <t>Pedagio</t>
  </si>
  <si>
    <t>Advogados</t>
  </si>
  <si>
    <t>Recursos Humanos</t>
  </si>
  <si>
    <t>Saude e Segurança Ocupacional</t>
  </si>
  <si>
    <t>Material de Limpeza</t>
  </si>
  <si>
    <t>ECONTO</t>
  </si>
  <si>
    <t>Internet</t>
  </si>
  <si>
    <t>Farmacia</t>
  </si>
  <si>
    <t>Massagista</t>
  </si>
  <si>
    <t>Locaçao Maq./Ferramentas/Equip.</t>
  </si>
  <si>
    <t>Motoboy</t>
  </si>
  <si>
    <t>Plano Odontológico</t>
  </si>
  <si>
    <t>Patrocinio</t>
  </si>
  <si>
    <t>Ferias</t>
  </si>
  <si>
    <t>Quiosque Metre Álvaro</t>
  </si>
  <si>
    <t>Debito Indevido</t>
  </si>
  <si>
    <t>ISS de Terceiros</t>
  </si>
  <si>
    <t>SEFAZ</t>
  </si>
  <si>
    <t>Taxa de Federação</t>
  </si>
  <si>
    <t>Combustiveis/Lubrificantes</t>
  </si>
  <si>
    <t>Seguro de Vida</t>
  </si>
  <si>
    <t>Energia do Imovel</t>
  </si>
  <si>
    <t>Condominio</t>
  </si>
  <si>
    <t>limpeza e conservacao</t>
  </si>
  <si>
    <t>Confraternizações e Eventos</t>
  </si>
  <si>
    <t>Filmagem e Sonorização</t>
  </si>
  <si>
    <t>Outras Despesas com Jogos</t>
  </si>
  <si>
    <t>Exames (Admissionais/Demissionais e Peri</t>
  </si>
  <si>
    <t>Bonificaçao/Premio</t>
  </si>
  <si>
    <t>Material de Escritorio</t>
  </si>
  <si>
    <t>Manutenção de Máquinas e Equipamentos</t>
  </si>
  <si>
    <t>Computadores e Periféricos</t>
  </si>
  <si>
    <t>Aquisicao de Software</t>
  </si>
  <si>
    <t>Aquisicao de Moveis e Utensilios</t>
  </si>
  <si>
    <t>IRF de Terceiros</t>
  </si>
  <si>
    <t>IRPF</t>
  </si>
  <si>
    <t>Treinador de Goleiro</t>
  </si>
  <si>
    <t>Cursos e Treinamentos</t>
  </si>
  <si>
    <t>Preparador Físico</t>
  </si>
  <si>
    <t>Gráfica</t>
  </si>
  <si>
    <t>Material de Informatica</t>
  </si>
  <si>
    <t>Outras Receitas Financeiras</t>
  </si>
  <si>
    <t>Vale Transporte/Combustível</t>
  </si>
  <si>
    <t>Manutenção de Campo Futebol</t>
  </si>
  <si>
    <t>PIS</t>
  </si>
  <si>
    <t>COFINS</t>
  </si>
  <si>
    <t>Manutencao de Software</t>
  </si>
  <si>
    <t>TV por Assinatura</t>
  </si>
  <si>
    <t>Transporte de materiais esportivos</t>
  </si>
  <si>
    <t>CSLL - Contrib. Social Lucro Liquido</t>
  </si>
  <si>
    <t>IRPJ - Imposto Renda Pessoa Jurídica</t>
  </si>
  <si>
    <t>Marcas e Patentes</t>
  </si>
  <si>
    <t>Aporte/Integralização de Capital</t>
  </si>
  <si>
    <t>Centro Serviço Compartilhado - CSC</t>
  </si>
  <si>
    <t>PRIMER</t>
  </si>
  <si>
    <t>Primer Vida</t>
  </si>
  <si>
    <t>Seguros de Veiculos</t>
  </si>
  <si>
    <t>Taxa de Transferência de Jogador</t>
  </si>
  <si>
    <t>Importação de XML</t>
  </si>
  <si>
    <t>Açoes do RH</t>
  </si>
  <si>
    <t>Receita de Reembolso</t>
  </si>
  <si>
    <t>Telefonia Fixa</t>
  </si>
  <si>
    <t>Movimentação e Transporte</t>
  </si>
  <si>
    <t>Licenças/ Alvarás - Ocupação</t>
  </si>
  <si>
    <t>Nutricionista</t>
  </si>
  <si>
    <t>INSS de Terceiros</t>
  </si>
  <si>
    <t>MMP &amp; Tres</t>
  </si>
  <si>
    <t>Pagamento Emprestimo</t>
  </si>
  <si>
    <t>Despesas com Site</t>
  </si>
  <si>
    <t>Indevido</t>
  </si>
  <si>
    <t>Aquisicao de Veiculos</t>
  </si>
  <si>
    <t>Marketing</t>
  </si>
  <si>
    <t>Anúncios/ Publicações</t>
  </si>
  <si>
    <t>Cartório</t>
  </si>
  <si>
    <t>Uniformes</t>
  </si>
  <si>
    <t>IPVA/Licenciamento/DPVAT/Infraero</t>
  </si>
  <si>
    <t>Venda passe jogador</t>
  </si>
  <si>
    <t>Estacionamento</t>
  </si>
  <si>
    <t>Seguro do Imovel</t>
  </si>
  <si>
    <t>Manutencao de Moveis e Utensilios</t>
  </si>
  <si>
    <t>Taxas - Ocupação</t>
  </si>
  <si>
    <t>IPTU</t>
  </si>
  <si>
    <t>Custas Processuais</t>
  </si>
  <si>
    <t>Lavanderia</t>
  </si>
  <si>
    <t>Associações/Orgão regulamentadores</t>
  </si>
  <si>
    <t>Indenizaçao e Despesas Trabalhistas</t>
  </si>
  <si>
    <t>Vinicius</t>
  </si>
  <si>
    <t>Multas de Transito</t>
  </si>
  <si>
    <t>ISS - Imposto Sobre Serviço</t>
  </si>
  <si>
    <t>Dominio e Hospedagem</t>
  </si>
  <si>
    <t>Junta Comercial</t>
  </si>
  <si>
    <t>Venda de ingressos</t>
  </si>
  <si>
    <t>Venda de Ingressos</t>
  </si>
  <si>
    <t>Despesas com parceiros</t>
  </si>
  <si>
    <t>EConto</t>
  </si>
  <si>
    <t>Diretor</t>
  </si>
  <si>
    <t>Benfeitorias em Imóveis de Terceiros</t>
  </si>
  <si>
    <t>Captador de Atleta</t>
  </si>
  <si>
    <t>Segurança/Monitoramento</t>
  </si>
  <si>
    <t>Pensao Alimenticia</t>
  </si>
  <si>
    <t>Correios</t>
  </si>
  <si>
    <t>Comercial</t>
  </si>
  <si>
    <t>Benefícios Bem-Estar e Saúde</t>
  </si>
  <si>
    <t>13º Salarios</t>
  </si>
  <si>
    <t>Sim</t>
  </si>
  <si>
    <t>Rótulos de Linha</t>
  </si>
  <si>
    <t>Total Geral</t>
  </si>
  <si>
    <t>OBS</t>
  </si>
  <si>
    <t>Ajuste na natureza analítica?</t>
  </si>
  <si>
    <t>FLUXO OPERACIONAL</t>
  </si>
  <si>
    <t>CUSTOS DOS SERVIÇOS PRESTADOS</t>
  </si>
  <si>
    <t>CUSTOS COM PESSOAL</t>
  </si>
  <si>
    <t>13º Salários</t>
  </si>
  <si>
    <t>Ações do RH</t>
  </si>
  <si>
    <t>MOVIMENTOS DE CAPITAL DE GIRO OPERACIONAL</t>
  </si>
  <si>
    <t>ADIANTAMENTO FORNECEDOR</t>
  </si>
  <si>
    <t>DESPESAS ADMINISTRATIVAS</t>
  </si>
  <si>
    <t>SERVIÇOS TERCEIROS</t>
  </si>
  <si>
    <t>Honorários Advocatícios</t>
  </si>
  <si>
    <t>OCUPAÇÃO E UTILIDADES</t>
  </si>
  <si>
    <t>Água e Esgoto</t>
  </si>
  <si>
    <t>CUSTOS COM TREINOS E JOGOS</t>
  </si>
  <si>
    <t>Aluguel de Veículos</t>
  </si>
  <si>
    <t>DESPESAS COMERCIAIS/ MARKETING</t>
  </si>
  <si>
    <t>PUBLICIDADE E PROPAGANDA</t>
  </si>
  <si>
    <t>CAPITAL SOCIAL</t>
  </si>
  <si>
    <t>Liquidação de Capital</t>
  </si>
  <si>
    <t>EMPRÉSTIMOS SÓCIOS</t>
  </si>
  <si>
    <t>Pagamento Empréstimo de Sócios</t>
  </si>
  <si>
    <t>Crédito Empréstimo de Sócios</t>
  </si>
  <si>
    <t>DISTRIBUIÇÃO DE LUCRO</t>
  </si>
  <si>
    <t>FLUXO DE INVESTIMENTO</t>
  </si>
  <si>
    <t>IMOBILIZADO</t>
  </si>
  <si>
    <t>Aquisição de Móveis e Utensílios</t>
  </si>
  <si>
    <t>INTANGÍVEL</t>
  </si>
  <si>
    <t>Aquisição de Software</t>
  </si>
  <si>
    <t>Aquisição de Veículos</t>
  </si>
  <si>
    <t>OUTRAS DESPESAS ADMINISTRATIVAS</t>
  </si>
  <si>
    <t>Se for apenas benfeitorias, ok. Fluxo de investimentos. Despesas de manutenção, registrar em "manutenção predial"</t>
  </si>
  <si>
    <t>Bonificação/Prêmio</t>
  </si>
  <si>
    <t>(-) IMPOSTOS SOBRE RECEITA</t>
  </si>
  <si>
    <t>Combustíveis/Lubrificantes</t>
  </si>
  <si>
    <t>Aquisição de Computadores e Periféricos</t>
  </si>
  <si>
    <t>Venda de Móveis e Utensílios</t>
  </si>
  <si>
    <t>Venda de Veículos</t>
  </si>
  <si>
    <t>Venda de Computadores e Periféricos</t>
  </si>
  <si>
    <t>Condomínio</t>
  </si>
  <si>
    <t>Honorários Contábeis</t>
  </si>
  <si>
    <t>TERCEIROS - GESTÃO TÉCNICA ESPORTIVA</t>
  </si>
  <si>
    <t>IRPJ E CSLL</t>
  </si>
  <si>
    <t>CSLL - Contrib. Social Lucro Líquido</t>
  </si>
  <si>
    <t>OUTROS RESULTADOS OPERACIONAIS</t>
  </si>
  <si>
    <t>PROCESSOS JUDICIAIS</t>
  </si>
  <si>
    <t>FLUXO DE TESOURARIA</t>
  </si>
  <si>
    <t>TESOURARIA</t>
  </si>
  <si>
    <t>DÉBITO INDEVIDO</t>
  </si>
  <si>
    <t>Débito Indevido</t>
  </si>
  <si>
    <t>SISTEMAS E TECNOLOGIAS</t>
  </si>
  <si>
    <t>CUSTOS COM ATLETAS</t>
  </si>
  <si>
    <t>REMUNERAÇÃO DIRETORIA</t>
  </si>
  <si>
    <t>Domínio e Hospedagem</t>
  </si>
  <si>
    <t>CRÉDITO INDEVIDO</t>
  </si>
  <si>
    <t>Crédito Indevido</t>
  </si>
  <si>
    <t>Devolução Crédito Indevido</t>
  </si>
  <si>
    <t>FLUXO FINANCIAMENTOS TERCEIROS</t>
  </si>
  <si>
    <t>EMPRÉSTIMOS E FINANCIAMENTOS</t>
  </si>
  <si>
    <t>EMPRÉSTIMOS A TERCEIROS</t>
  </si>
  <si>
    <t>Energia do Imóvel</t>
  </si>
  <si>
    <t>Avaliações Físicas e Médicas de Atletas</t>
  </si>
  <si>
    <t>Farmácia</t>
  </si>
  <si>
    <t>Férias</t>
  </si>
  <si>
    <t>TERCEIROS - SAÚDE E PERFORMANCE</t>
  </si>
  <si>
    <t>MANUTENÇÃO E CONSERVAÇÃO BENS MÓVEIS E IMÓVEIS</t>
  </si>
  <si>
    <t>IRRF de Terceiros</t>
  </si>
  <si>
    <t>RESULTADO FINANCEIRO</t>
  </si>
  <si>
    <t>RECEITAS FINANCEIRAS</t>
  </si>
  <si>
    <t>IR e IOF sobre Receitas Financeiras</t>
  </si>
  <si>
    <t>Licença e Concessão de Software</t>
  </si>
  <si>
    <t>IMPOSTOS E TAXAS</t>
  </si>
  <si>
    <t>Licenças/ Alvarás</t>
  </si>
  <si>
    <t>Locação Maq./Ferramentas/Equip.</t>
  </si>
  <si>
    <t>Manutenção de Móveis e Utensílios</t>
  </si>
  <si>
    <t>Manutenção de Software</t>
  </si>
  <si>
    <t>Manutenção de Veículos</t>
  </si>
  <si>
    <t>Manutenção Predial</t>
  </si>
  <si>
    <t>Material de Escritório</t>
  </si>
  <si>
    <t>Material de Informática</t>
  </si>
  <si>
    <t>Monitoramento e Vigilância</t>
  </si>
  <si>
    <t>Multas de Trânsito</t>
  </si>
  <si>
    <t>EMPRÉSTIMOS DE TERCEIROS</t>
  </si>
  <si>
    <t>RECEITA BRUTA OPERACIONAL</t>
  </si>
  <si>
    <t>Patrocínio</t>
  </si>
  <si>
    <t>Pedágio</t>
  </si>
  <si>
    <t>Pensão Alimentícia</t>
  </si>
  <si>
    <t>Plano de Saúde</t>
  </si>
  <si>
    <t>Pró Labore</t>
  </si>
  <si>
    <t>DESPESAS FINANCEIRAS SOBRE DÍVIDA ONEROSA</t>
  </si>
  <si>
    <t>OUTRAS DESPESAS FINANCEIRAS</t>
  </si>
  <si>
    <t>Ajustar lançamentos, alocando no devido grupo do custo/ despesa</t>
  </si>
  <si>
    <t>Rescisões/ GRRF</t>
  </si>
  <si>
    <t>Salários</t>
  </si>
  <si>
    <t>Saúde e Segurança Ocupacional</t>
  </si>
  <si>
    <t>Consolidar para conta de Monitoramento e Vigilância</t>
  </si>
  <si>
    <t>Seguro do Imóvel</t>
  </si>
  <si>
    <t>Seguros de Veículos</t>
  </si>
  <si>
    <t>Vale Refeição</t>
  </si>
  <si>
    <t>Verbas de Incentivos</t>
  </si>
  <si>
    <t>EMPRÉSTIMOS BANCÁRIOS</t>
  </si>
  <si>
    <t>Natureza</t>
  </si>
  <si>
    <t>Cód. Natureza</t>
  </si>
  <si>
    <t>Descrição</t>
  </si>
  <si>
    <t>Ativa</t>
  </si>
  <si>
    <t>Analítica</t>
  </si>
  <si>
    <t>Incide no resultado</t>
  </si>
  <si>
    <t>Conta contábil</t>
  </si>
  <si>
    <t>Descrição (Plano de contas)</t>
  </si>
  <si>
    <t>Conta contábil 2</t>
  </si>
  <si>
    <t>Descrição (Plano de contas 2)</t>
  </si>
  <si>
    <t>Cód. Histórico 1</t>
  </si>
  <si>
    <t>Descrição (1)</t>
  </si>
  <si>
    <t>Cód. Histórico 2</t>
  </si>
  <si>
    <t>Descrição (2)</t>
  </si>
  <si>
    <t>Serviço único faturamento</t>
  </si>
  <si>
    <t>Descrição (Serviço)</t>
  </si>
  <si>
    <t>Grupo da Natureza</t>
  </si>
  <si>
    <t>Descrição (Grupo de Naturezas)</t>
  </si>
  <si>
    <t>Tipo de natureza</t>
  </si>
  <si>
    <t>Cód. Sit. Tribut. PIS</t>
  </si>
  <si>
    <t>Conta Contábil para EFD</t>
  </si>
  <si>
    <t>Descrição (Plano de Contas)</t>
  </si>
  <si>
    <t>Alíquota de PIS</t>
  </si>
  <si>
    <t>Cód. Sit. Tribut. COFINS</t>
  </si>
  <si>
    <t>Alíquota de COFINS</t>
  </si>
  <si>
    <t>Natureza da Base de Cálculo do Crédito de PIS/COFINS</t>
  </si>
  <si>
    <t>Regime (EFD PIS/COFINS)</t>
  </si>
  <si>
    <t>Gera informações para o Livro Caixa Digital Produtor Rural</t>
  </si>
  <si>
    <t>Receita de Adiantamentos para o Livro Caixa Digital Produtor Rural</t>
  </si>
  <si>
    <t>Cod. Natureza (PIS/COFINS M410/M810)</t>
  </si>
  <si>
    <t>Desp. Não Operacional</t>
  </si>
  <si>
    <t>&lt;SEM GRUPONATUREZA&gt;</t>
  </si>
  <si>
    <t>Regime de Competência (Dt.Negociação)</t>
  </si>
  <si>
    <t>RECEITA OPERACIONAL</t>
  </si>
  <si>
    <t>Regime de Caixa</t>
  </si>
  <si>
    <t>RECEITA DE VENDA</t>
  </si>
  <si>
    <t>Venda de industrialização</t>
  </si>
  <si>
    <t>01-Operação Tributável com Alíquota Básica</t>
  </si>
  <si>
    <t>Outras Receitas</t>
  </si>
  <si>
    <t>Receita de aluguel</t>
  </si>
  <si>
    <t>RECEITA DE PARCEIROS</t>
  </si>
  <si>
    <t>Vendas de Serviços</t>
  </si>
  <si>
    <t>02-Operação Tributável com Alíquota Diferenciada</t>
  </si>
  <si>
    <t>Receitas Financeiras</t>
  </si>
  <si>
    <t>Recuperação de Despesas Bancárias</t>
  </si>
  <si>
    <t>Venda de Ativo</t>
  </si>
  <si>
    <t>Recebimento de Emprestimo a Terceiros</t>
  </si>
  <si>
    <t>Impressão para Revenda</t>
  </si>
  <si>
    <t>DESPESAS TERCEIRIZADAS, VEICULAÇÃO E PRO</t>
  </si>
  <si>
    <t>Alvará Publicidade</t>
  </si>
  <si>
    <t>Regime de Competência (Dt.Entrada/Saída)</t>
  </si>
  <si>
    <t>ART Estruturas/ Taxa CREA</t>
  </si>
  <si>
    <t>Energia Mídias</t>
  </si>
  <si>
    <t>Material Utilzado na Prestação de Serviç</t>
  </si>
  <si>
    <t>50-Operação com Direito a Crédito - Vinc. Exclus. Receita Tributada Mercado Interno</t>
  </si>
  <si>
    <t>Custo dos Serviços</t>
  </si>
  <si>
    <t>03-Aquisição de serviços utilizados como insumo</t>
  </si>
  <si>
    <t>Aluguel de ônibus</t>
  </si>
  <si>
    <t>DESPESAS COM JOGADORES</t>
  </si>
  <si>
    <t>MANUTENÇÕES</t>
  </si>
  <si>
    <t>Manutenção de Terrenos</t>
  </si>
  <si>
    <t>Manutenção em Produtos Comerciais</t>
  </si>
  <si>
    <t>Despesas com Retrabalho</t>
  </si>
  <si>
    <t>Conserto de Materiais Esportivos</t>
  </si>
  <si>
    <t>Contribuiçao Sindical</t>
  </si>
  <si>
    <t>Participaçao no Resultado</t>
  </si>
  <si>
    <t>Comissoes Vendedor</t>
  </si>
  <si>
    <t>Pagt Distribuiçao de Lucros</t>
  </si>
  <si>
    <t>DESPESAS COM PESSOAL TERCEIRIZADOS</t>
  </si>
  <si>
    <t>Auditorias</t>
  </si>
  <si>
    <t>05-Aluguéis de prédios</t>
  </si>
  <si>
    <t>Rastreador de Veículos</t>
  </si>
  <si>
    <t>DESPESAS COM MATERIAIS - CONSUMO</t>
  </si>
  <si>
    <t>MANUTENÇÕES DO IMOVEL</t>
  </si>
  <si>
    <t>Ass. Jornais/Revistas</t>
  </si>
  <si>
    <t>Despesas com Licitações</t>
  </si>
  <si>
    <t>Pesquisas</t>
  </si>
  <si>
    <t>Doações</t>
  </si>
  <si>
    <t>DESPESAS FINANCEIRAS</t>
  </si>
  <si>
    <t>Juros sobre Emprestimos</t>
  </si>
  <si>
    <t>Debito por Recebimento indevido</t>
  </si>
  <si>
    <t>TRIBUTOS SOBRE LUCRO</t>
  </si>
  <si>
    <t>IMPOSTOS/TAXAS</t>
  </si>
  <si>
    <t>Diferencial de Alíquota</t>
  </si>
  <si>
    <t>Juros sobre Financiamentos</t>
  </si>
  <si>
    <t>EMPRESTIMO</t>
  </si>
  <si>
    <t>Pagamento de Empréstimo Bancário</t>
  </si>
  <si>
    <t>Pagamento de Financiamento</t>
  </si>
  <si>
    <t>DESPESAS COM PESSOAL</t>
  </si>
  <si>
    <t>Consorcios</t>
  </si>
  <si>
    <t>Leasing</t>
  </si>
  <si>
    <t>Estruturas Comerciais (paineis, outdoor)</t>
  </si>
  <si>
    <t>Paineis</t>
  </si>
  <si>
    <t>10-Máq., equip. e outros bens incorporados ao ativo imobilizado(créd. c/ base no valor de aquisição)</t>
  </si>
  <si>
    <t>Aplicacao Financeira</t>
  </si>
  <si>
    <t>Ações</t>
  </si>
  <si>
    <t>FERRAMENTAS E ACESSORIOS DE OPERACAO</t>
  </si>
  <si>
    <t>ITR - Imposto Territorial Rural</t>
  </si>
  <si>
    <t>Remessas e Outras Saidas</t>
  </si>
  <si>
    <t>Bloqueio Judicial</t>
  </si>
  <si>
    <t>Seguro de Midias</t>
  </si>
  <si>
    <t>Despesas Emprestimos e Financiamentos</t>
  </si>
  <si>
    <t>Controle de Caixa</t>
  </si>
  <si>
    <t>BV Bonificacão por Volume</t>
  </si>
  <si>
    <t>Supervisor Técnico</t>
  </si>
  <si>
    <t>Locação de Peças/Equipamentos - Serv</t>
  </si>
  <si>
    <t>06-Aluguéis de máquinas e equipamentos</t>
  </si>
  <si>
    <t>Saque Prêmio eConto</t>
  </si>
  <si>
    <t>Armazenamento de Bens</t>
  </si>
  <si>
    <t>Desenvolvimento de Tecnologias</t>
  </si>
  <si>
    <t>Comissão de Agência</t>
  </si>
  <si>
    <t>Parcelamentos</t>
  </si>
  <si>
    <t>Material de Fixação Midias</t>
  </si>
  <si>
    <t>02-Aquisição de bens utilizados como insumo</t>
  </si>
  <si>
    <t>Manutenção em Produtos de Terceiros</t>
  </si>
  <si>
    <t>Motorista</t>
  </si>
  <si>
    <t>ART Imóveis</t>
  </si>
  <si>
    <t>PESQUISA, PROJETO E DESENVOLVIMENTO</t>
  </si>
  <si>
    <t>Engenheiro/ Arquiteto</t>
  </si>
  <si>
    <t>Calibração</t>
  </si>
  <si>
    <t>Esterilização</t>
  </si>
  <si>
    <t>Autonomos (Enfermeiros/Socorristas/Cond)</t>
  </si>
  <si>
    <t>Gerente</t>
  </si>
  <si>
    <t>Complemento Atacadista</t>
  </si>
  <si>
    <t>Revenda</t>
  </si>
  <si>
    <t>Auxilio Universidade</t>
  </si>
  <si>
    <t>EPI</t>
  </si>
  <si>
    <t>CSL/PIS/COFINS de terceiros</t>
  </si>
  <si>
    <t>DESPESAS COM OCUPAÇAO/UTILIDADES</t>
  </si>
  <si>
    <t>ENTRADAS</t>
  </si>
  <si>
    <t>OUTRAS RECEITAS</t>
  </si>
  <si>
    <t>Emprestimo de Sócios</t>
  </si>
  <si>
    <t>SAIDAS</t>
  </si>
  <si>
    <t>Matéria Prima</t>
  </si>
  <si>
    <t>Material Secundário</t>
  </si>
  <si>
    <t>REVENDA</t>
  </si>
  <si>
    <t>Aluguel de Terreno PJ</t>
  </si>
  <si>
    <t>Alugueis e Condominios PJ - Serv</t>
  </si>
  <si>
    <t>IRPF aluguel de terreno</t>
  </si>
  <si>
    <t>DESPESAS COM JOGOS</t>
  </si>
  <si>
    <t>DESPESAS COM VEICULOS</t>
  </si>
  <si>
    <t>DESPESAS GERAIS</t>
  </si>
  <si>
    <t>Brindes</t>
  </si>
  <si>
    <t>TRIBUTOS SOBRE VENDAS</t>
  </si>
  <si>
    <t>SAÍDAS NAO OPERACIONAIS</t>
  </si>
  <si>
    <t>IOF</t>
  </si>
  <si>
    <t>TED/DOC</t>
  </si>
  <si>
    <t>Despesas Com Cobrança</t>
  </si>
  <si>
    <t>Pagamento de Mútuo</t>
  </si>
  <si>
    <t>ICMS S/ VENDA</t>
  </si>
  <si>
    <t>Simples Nacional</t>
  </si>
  <si>
    <t>AQUISIÇÕES</t>
  </si>
  <si>
    <t>Aquisicao de Maquinas e Equipamentos</t>
  </si>
  <si>
    <t>Imoveis  (terrenos, salas, lotes)</t>
  </si>
  <si>
    <t>BENFEITORIAS</t>
  </si>
  <si>
    <t>Benfeitorias em Imóveis Próprios</t>
  </si>
  <si>
    <t>INVESTIMENTOS FINANCEIROS</t>
  </si>
  <si>
    <t>Lavgem Veículo</t>
  </si>
  <si>
    <t>Recreação / Monitores</t>
  </si>
  <si>
    <t>PREMIOS ECONTO</t>
  </si>
  <si>
    <t>Tarifa Cartão de Crédito/Débito</t>
  </si>
  <si>
    <t>Material Esportivo Revenda</t>
  </si>
  <si>
    <t>SAÍDAS OPERACIONAIS</t>
  </si>
  <si>
    <t>INDUSTRIALIZAÇÃO</t>
  </si>
  <si>
    <t>Producao Estrutural Terceirizada</t>
  </si>
  <si>
    <t>Impressao Terceirizada</t>
  </si>
  <si>
    <t>Veiculação Terceirizada</t>
  </si>
  <si>
    <t>Instalação Terceirizada</t>
  </si>
  <si>
    <t>Frete de Mercadorias</t>
  </si>
  <si>
    <t>07-Armazenagem de mercadoria e frete na operação de venda</t>
  </si>
  <si>
    <t>13-Outras Operações com Direito a Crédito</t>
  </si>
  <si>
    <t>Aluguel de Terreno PF</t>
  </si>
  <si>
    <t>Arbitragem</t>
  </si>
  <si>
    <t>Ferramentas para Operacao</t>
  </si>
  <si>
    <t>Internet Mídias</t>
  </si>
  <si>
    <t>Comissão e Corretagem</t>
  </si>
  <si>
    <t>Produção Maely</t>
  </si>
  <si>
    <t>Manutenção de Ferramentas</t>
  </si>
  <si>
    <t>Despesas Eventuais</t>
  </si>
  <si>
    <t>Ações com Clientes</t>
  </si>
  <si>
    <t>Tecnico Futebol</t>
  </si>
  <si>
    <t>Produção Visão</t>
  </si>
  <si>
    <t>Aporte</t>
  </si>
  <si>
    <t>Conselho Consultivo</t>
  </si>
  <si>
    <t>Venda Sucata/Residuos</t>
  </si>
  <si>
    <t>Transformação de Veículo</t>
  </si>
  <si>
    <t>Coleta de Lixo</t>
  </si>
  <si>
    <t>Serviços Médicos PJ</t>
  </si>
  <si>
    <t>Serviços Médicos PF</t>
  </si>
  <si>
    <t>Remoção Terceirizada</t>
  </si>
  <si>
    <t>Menor Aprendiz / Estagiário</t>
  </si>
  <si>
    <t>Depósito Judicial</t>
  </si>
  <si>
    <t>Material para Embalagem</t>
  </si>
  <si>
    <t>Receb. Distribuição Lucros</t>
  </si>
  <si>
    <t>Despesas com Devoluções</t>
  </si>
  <si>
    <t>Devolução Depósito Judicial</t>
  </si>
  <si>
    <t>Controle Permuta Avulsa</t>
  </si>
  <si>
    <t>Emprestimo Consignado</t>
  </si>
  <si>
    <t>Despachante de Veículos</t>
  </si>
  <si>
    <t>Materiais Infraestrutura e Conectividade</t>
  </si>
  <si>
    <t>Aluguel de Terreno PJ Esporádico</t>
  </si>
  <si>
    <t>Aluguel de Terreno PF Esporádico</t>
  </si>
  <si>
    <t>Aluguel Máquina de Cartão</t>
  </si>
  <si>
    <t>Cod Conta 1</t>
  </si>
  <si>
    <t>Cod Conta 2</t>
  </si>
  <si>
    <t>Cod Conta 3</t>
  </si>
  <si>
    <t>Cod Conta 4</t>
  </si>
  <si>
    <t>1000000</t>
  </si>
  <si>
    <t>1010000</t>
  </si>
  <si>
    <t>1010100</t>
  </si>
  <si>
    <t>1010101</t>
  </si>
  <si>
    <t>1010102</t>
  </si>
  <si>
    <t>1010103</t>
  </si>
  <si>
    <t>1010104</t>
  </si>
  <si>
    <t>1010105</t>
  </si>
  <si>
    <t>1010106</t>
  </si>
  <si>
    <t>1010107</t>
  </si>
  <si>
    <t>1020000</t>
  </si>
  <si>
    <t>1020100</t>
  </si>
  <si>
    <t>1020101</t>
  </si>
  <si>
    <t>1020102</t>
  </si>
  <si>
    <t>1020103</t>
  </si>
  <si>
    <t>1020200</t>
  </si>
  <si>
    <t>1020201</t>
  </si>
  <si>
    <t>1020202</t>
  </si>
  <si>
    <t>1020203</t>
  </si>
  <si>
    <t>1020204</t>
  </si>
  <si>
    <t>1020205</t>
  </si>
  <si>
    <t>1020206</t>
  </si>
  <si>
    <t>1020207</t>
  </si>
  <si>
    <t>1020208</t>
  </si>
  <si>
    <t>1020209</t>
  </si>
  <si>
    <t>1020210</t>
  </si>
  <si>
    <t>1020211</t>
  </si>
  <si>
    <t>1020212</t>
  </si>
  <si>
    <t>2000000</t>
  </si>
  <si>
    <t>2010000</t>
  </si>
  <si>
    <t>2010100</t>
  </si>
  <si>
    <t>2010101</t>
  </si>
  <si>
    <t>2010102</t>
  </si>
  <si>
    <t>2010104</t>
  </si>
  <si>
    <t>2010105</t>
  </si>
  <si>
    <t>2010200</t>
  </si>
  <si>
    <t>2010201</t>
  </si>
  <si>
    <t>2010202</t>
  </si>
  <si>
    <t>2010300</t>
  </si>
  <si>
    <t>2010301</t>
  </si>
  <si>
    <t>2010302</t>
  </si>
  <si>
    <t>2010303</t>
  </si>
  <si>
    <t>2010304</t>
  </si>
  <si>
    <t>2010305</t>
  </si>
  <si>
    <t>2010306</t>
  </si>
  <si>
    <t>2010307</t>
  </si>
  <si>
    <t>2010308</t>
  </si>
  <si>
    <t>2010309</t>
  </si>
  <si>
    <t>2010310</t>
  </si>
  <si>
    <t>2010311</t>
  </si>
  <si>
    <t>2010312</t>
  </si>
  <si>
    <t>2010313</t>
  </si>
  <si>
    <t>2010314</t>
  </si>
  <si>
    <t>2010315</t>
  </si>
  <si>
    <t>2010316</t>
  </si>
  <si>
    <t>2010317</t>
  </si>
  <si>
    <t>2010318</t>
  </si>
  <si>
    <t>2010319</t>
  </si>
  <si>
    <t>2010321</t>
  </si>
  <si>
    <t>2010322</t>
  </si>
  <si>
    <t>2010324</t>
  </si>
  <si>
    <t>2010326</t>
  </si>
  <si>
    <t>2010328</t>
  </si>
  <si>
    <t>2010329</t>
  </si>
  <si>
    <t>2010330</t>
  </si>
  <si>
    <t>2010331</t>
  </si>
  <si>
    <t>2010332</t>
  </si>
  <si>
    <t>2010400</t>
  </si>
  <si>
    <t>2010401</t>
  </si>
  <si>
    <t>2010402</t>
  </si>
  <si>
    <t>2010403</t>
  </si>
  <si>
    <t>2010404</t>
  </si>
  <si>
    <t>2010405</t>
  </si>
  <si>
    <t>2010406</t>
  </si>
  <si>
    <t>2010407</t>
  </si>
  <si>
    <t>2010500</t>
  </si>
  <si>
    <t>2010501</t>
  </si>
  <si>
    <t>2010502</t>
  </si>
  <si>
    <t>2010503</t>
  </si>
  <si>
    <t>2010505</t>
  </si>
  <si>
    <t>2010506</t>
  </si>
  <si>
    <t>2010507</t>
  </si>
  <si>
    <t>2010508</t>
  </si>
  <si>
    <t>2010509</t>
  </si>
  <si>
    <t>2010510</t>
  </si>
  <si>
    <t>2010600</t>
  </si>
  <si>
    <t>2010601</t>
  </si>
  <si>
    <t>2010602</t>
  </si>
  <si>
    <t>2010603</t>
  </si>
  <si>
    <t>2010604</t>
  </si>
  <si>
    <t>2010605</t>
  </si>
  <si>
    <t>2010606</t>
  </si>
  <si>
    <t>2010607</t>
  </si>
  <si>
    <t>2010608</t>
  </si>
  <si>
    <t>2010700</t>
  </si>
  <si>
    <t>2010701</t>
  </si>
  <si>
    <t>2010800</t>
  </si>
  <si>
    <t>2010801</t>
  </si>
  <si>
    <t>2020000</t>
  </si>
  <si>
    <t>2020100</t>
  </si>
  <si>
    <t>2020101</t>
  </si>
  <si>
    <t>2020102</t>
  </si>
  <si>
    <t>2020103</t>
  </si>
  <si>
    <t>2020104</t>
  </si>
  <si>
    <t>2020105</t>
  </si>
  <si>
    <t>2020106</t>
  </si>
  <si>
    <t>2020107</t>
  </si>
  <si>
    <t>2020108</t>
  </si>
  <si>
    <t>2020109</t>
  </si>
  <si>
    <t>2020110</t>
  </si>
  <si>
    <t>2020111</t>
  </si>
  <si>
    <t>2020112</t>
  </si>
  <si>
    <t>2020113</t>
  </si>
  <si>
    <t>2020114</t>
  </si>
  <si>
    <t>2020115</t>
  </si>
  <si>
    <t>2020116</t>
  </si>
  <si>
    <t>2020117</t>
  </si>
  <si>
    <t>2020118</t>
  </si>
  <si>
    <t>2020119</t>
  </si>
  <si>
    <t>2020120</t>
  </si>
  <si>
    <t>2020121</t>
  </si>
  <si>
    <t>2020122</t>
  </si>
  <si>
    <t>2020123</t>
  </si>
  <si>
    <t>2020124</t>
  </si>
  <si>
    <t>2020125</t>
  </si>
  <si>
    <t>2020126</t>
  </si>
  <si>
    <t>2020127</t>
  </si>
  <si>
    <t>2020128</t>
  </si>
  <si>
    <t>2020129</t>
  </si>
  <si>
    <t>2020130</t>
  </si>
  <si>
    <t>2020131</t>
  </si>
  <si>
    <t>2020200</t>
  </si>
  <si>
    <t>2020201</t>
  </si>
  <si>
    <t>2020202</t>
  </si>
  <si>
    <t>2020203</t>
  </si>
  <si>
    <t>2020204</t>
  </si>
  <si>
    <t>2020205</t>
  </si>
  <si>
    <t>2020206</t>
  </si>
  <si>
    <t>2020207</t>
  </si>
  <si>
    <t>2020208</t>
  </si>
  <si>
    <t>2020209</t>
  </si>
  <si>
    <t>2020210</t>
  </si>
  <si>
    <t>2020211</t>
  </si>
  <si>
    <t>2020212</t>
  </si>
  <si>
    <t>2020213</t>
  </si>
  <si>
    <t>2020214</t>
  </si>
  <si>
    <t>2020215</t>
  </si>
  <si>
    <t>2020216</t>
  </si>
  <si>
    <t>2020217</t>
  </si>
  <si>
    <t>2020218</t>
  </si>
  <si>
    <t>2020219</t>
  </si>
  <si>
    <t>2020220</t>
  </si>
  <si>
    <t>2020221</t>
  </si>
  <si>
    <t>2020222</t>
  </si>
  <si>
    <t>2020223</t>
  </si>
  <si>
    <t>2020224</t>
  </si>
  <si>
    <t>2020225</t>
  </si>
  <si>
    <t>2020300</t>
  </si>
  <si>
    <t>2020301</t>
  </si>
  <si>
    <t>2020302</t>
  </si>
  <si>
    <t>2020303</t>
  </si>
  <si>
    <t>2020304</t>
  </si>
  <si>
    <t>2020305</t>
  </si>
  <si>
    <t>2020306</t>
  </si>
  <si>
    <t>2020307</t>
  </si>
  <si>
    <t>2020308</t>
  </si>
  <si>
    <t>2020309</t>
  </si>
  <si>
    <t>2020310</t>
  </si>
  <si>
    <t>2020311</t>
  </si>
  <si>
    <t>2020312</t>
  </si>
  <si>
    <t>2020313</t>
  </si>
  <si>
    <t>2020400</t>
  </si>
  <si>
    <t>2020401</t>
  </si>
  <si>
    <t>2020402</t>
  </si>
  <si>
    <t>2020403</t>
  </si>
  <si>
    <t>2020404</t>
  </si>
  <si>
    <t>2020405</t>
  </si>
  <si>
    <t>2020406</t>
  </si>
  <si>
    <t>2020407</t>
  </si>
  <si>
    <t>2020408</t>
  </si>
  <si>
    <t>2020409</t>
  </si>
  <si>
    <t>2020410</t>
  </si>
  <si>
    <t>2020411</t>
  </si>
  <si>
    <t>2020412</t>
  </si>
  <si>
    <t>2020500</t>
  </si>
  <si>
    <t>2020501</t>
  </si>
  <si>
    <t>2020502</t>
  </si>
  <si>
    <t>2020503</t>
  </si>
  <si>
    <t>2020504</t>
  </si>
  <si>
    <t>2020505</t>
  </si>
  <si>
    <t>2020506</t>
  </si>
  <si>
    <t>2020507</t>
  </si>
  <si>
    <t>2020600</t>
  </si>
  <si>
    <t>2020601</t>
  </si>
  <si>
    <t>2020602</t>
  </si>
  <si>
    <t>2020603</t>
  </si>
  <si>
    <t>2020604</t>
  </si>
  <si>
    <t>2020700</t>
  </si>
  <si>
    <t>2020701</t>
  </si>
  <si>
    <t>2020702</t>
  </si>
  <si>
    <t>2020703</t>
  </si>
  <si>
    <t>2020704</t>
  </si>
  <si>
    <t>2020705</t>
  </si>
  <si>
    <t>2020706</t>
  </si>
  <si>
    <t>2020707</t>
  </si>
  <si>
    <t>2020708</t>
  </si>
  <si>
    <t>2020709</t>
  </si>
  <si>
    <t>2020710</t>
  </si>
  <si>
    <t>2020711</t>
  </si>
  <si>
    <t>2020712</t>
  </si>
  <si>
    <t>2020713</t>
  </si>
  <si>
    <t>2020714</t>
  </si>
  <si>
    <t>2020715</t>
  </si>
  <si>
    <t>2020716</t>
  </si>
  <si>
    <t>2020717</t>
  </si>
  <si>
    <t>2020718</t>
  </si>
  <si>
    <t>2020719</t>
  </si>
  <si>
    <t>2020720</t>
  </si>
  <si>
    <t>2020721</t>
  </si>
  <si>
    <t>2020722</t>
  </si>
  <si>
    <t>2020723</t>
  </si>
  <si>
    <t>2020724</t>
  </si>
  <si>
    <t>2020725</t>
  </si>
  <si>
    <t>2020800</t>
  </si>
  <si>
    <t>2020801</t>
  </si>
  <si>
    <t>2020802</t>
  </si>
  <si>
    <t>2020803</t>
  </si>
  <si>
    <t>2020804</t>
  </si>
  <si>
    <t>2020805</t>
  </si>
  <si>
    <t>2020806</t>
  </si>
  <si>
    <t>2020900</t>
  </si>
  <si>
    <t>2020901</t>
  </si>
  <si>
    <t>2020902</t>
  </si>
  <si>
    <t>2021000</t>
  </si>
  <si>
    <t>2021002</t>
  </si>
  <si>
    <t>2021003</t>
  </si>
  <si>
    <t>2021004</t>
  </si>
  <si>
    <t>2021005</t>
  </si>
  <si>
    <t>2030000</t>
  </si>
  <si>
    <t>2030100</t>
  </si>
  <si>
    <t>2030101</t>
  </si>
  <si>
    <t>2030102</t>
  </si>
  <si>
    <t>2030103</t>
  </si>
  <si>
    <t>2030104</t>
  </si>
  <si>
    <t>2030105</t>
  </si>
  <si>
    <t>2030106</t>
  </si>
  <si>
    <t>2030107</t>
  </si>
  <si>
    <t>2030108</t>
  </si>
  <si>
    <t>2030109</t>
  </si>
  <si>
    <t>2030110</t>
  </si>
  <si>
    <t>2030200</t>
  </si>
  <si>
    <t>2030201</t>
  </si>
  <si>
    <t>2030202</t>
  </si>
  <si>
    <t>2030203</t>
  </si>
  <si>
    <t>2030204</t>
  </si>
  <si>
    <t>2030205</t>
  </si>
  <si>
    <t>2030206</t>
  </si>
  <si>
    <t>2030300</t>
  </si>
  <si>
    <t>2030301</t>
  </si>
  <si>
    <t>2030302</t>
  </si>
  <si>
    <t>2030303</t>
  </si>
  <si>
    <t>2030304</t>
  </si>
  <si>
    <t>2030305</t>
  </si>
  <si>
    <t>2030306</t>
  </si>
  <si>
    <t>2030307</t>
  </si>
  <si>
    <t>2030308</t>
  </si>
  <si>
    <t>2030309</t>
  </si>
  <si>
    <t>2030310</t>
  </si>
  <si>
    <t>2030400</t>
  </si>
  <si>
    <t>2030401</t>
  </si>
  <si>
    <t>2030402</t>
  </si>
  <si>
    <t>2030500</t>
  </si>
  <si>
    <t>2030501</t>
  </si>
  <si>
    <t>2030502</t>
  </si>
  <si>
    <t>2030600</t>
  </si>
  <si>
    <t>2040000</t>
  </si>
  <si>
    <t>2040001</t>
  </si>
  <si>
    <t>8000000</t>
  </si>
  <si>
    <t>9000000</t>
  </si>
  <si>
    <t>Conta 1 (Atual)</t>
  </si>
  <si>
    <t>Conta 2 (Atual)</t>
  </si>
  <si>
    <t>Conta 3 (Atual)</t>
  </si>
  <si>
    <t>Conta 4 (Atual</t>
  </si>
  <si>
    <t>CLASSIFICAR?</t>
  </si>
  <si>
    <t>Centro de serviços compartilhados</t>
  </si>
  <si>
    <t>Contábil</t>
  </si>
  <si>
    <t>Fiscal</t>
  </si>
  <si>
    <t>Tesouraria</t>
  </si>
  <si>
    <t>Faturamento</t>
  </si>
  <si>
    <t>Administrativo</t>
  </si>
  <si>
    <t>Compras</t>
  </si>
  <si>
    <t>Comunicação e markering</t>
  </si>
  <si>
    <t>Captação de recursos</t>
  </si>
  <si>
    <t>Diretoria / Alta Gestão</t>
  </si>
  <si>
    <t>Conselho / Governança</t>
  </si>
  <si>
    <t>Comercial, Marketing e Captação</t>
  </si>
  <si>
    <t>OPERAÇÃO ESPORTIVA</t>
  </si>
  <si>
    <t>Futebol de Base</t>
  </si>
  <si>
    <t>Futebol Profissional</t>
  </si>
  <si>
    <t>Comissão Técnica de Base (Treinadores, Auxiliares)</t>
  </si>
  <si>
    <t>Comissão Técnica Profissional (Treinadores, Auxiliares)</t>
  </si>
  <si>
    <t>Corporativo Operação Esportiva</t>
  </si>
  <si>
    <t>CORPORATIVO</t>
  </si>
  <si>
    <t xml:space="preserve">- </t>
  </si>
  <si>
    <t>Departamento Médico</t>
  </si>
  <si>
    <t>Logística Futebol Profissional</t>
  </si>
  <si>
    <t>Logística Futebol de Base</t>
  </si>
  <si>
    <t>FLUXO DOS SÓCIOS E PARTES RELACIONADAS</t>
  </si>
  <si>
    <t>Quiosque Mestre Álvaro</t>
  </si>
  <si>
    <t>AMBIENTES DE CONSUMO</t>
  </si>
  <si>
    <t>SHOPPING</t>
  </si>
  <si>
    <t>Supermercado</t>
  </si>
  <si>
    <t>CONSORCIO</t>
  </si>
  <si>
    <t>All Space Visao</t>
  </si>
  <si>
    <t>Econto Filial Guarapari</t>
  </si>
  <si>
    <t>Venda Material Esportivo</t>
  </si>
  <si>
    <t>Venda Plano Primer</t>
  </si>
  <si>
    <t>GRANDES FORMATOS</t>
  </si>
  <si>
    <t>Comunidade Outdoor</t>
  </si>
  <si>
    <t>Empena</t>
  </si>
  <si>
    <t>Empena de Led</t>
  </si>
  <si>
    <t>Front</t>
  </si>
  <si>
    <t>Outdoor</t>
  </si>
  <si>
    <t>Paineis de Led</t>
  </si>
  <si>
    <t>Paineis Rodoviarios</t>
  </si>
  <si>
    <t>Rodosol - Paineis e Inflaveis</t>
  </si>
  <si>
    <t>INDUSTRIALIZACAO</t>
  </si>
  <si>
    <t>Estoque</t>
  </si>
  <si>
    <t>Estrutura</t>
  </si>
  <si>
    <t>Placa</t>
  </si>
  <si>
    <t>MAELY SP</t>
  </si>
  <si>
    <t>B-Air Digital Onibus</t>
  </si>
  <si>
    <t>B-Air Estatico Onibus</t>
  </si>
  <si>
    <t>Estação de Metrô - Estatico</t>
  </si>
  <si>
    <t>MIDIA ONLINE</t>
  </si>
  <si>
    <t>Ads</t>
  </si>
  <si>
    <t>Metrópolis</t>
  </si>
  <si>
    <t>Sempre On</t>
  </si>
  <si>
    <t>SouES</t>
  </si>
  <si>
    <t>MOBILIARIO URBANO</t>
  </si>
  <si>
    <t>Banca Led</t>
  </si>
  <si>
    <t>Bancas Traseiras</t>
  </si>
  <si>
    <t>Circuito Abrigos e Relogios</t>
  </si>
  <si>
    <t>Circuito Mub Banca</t>
  </si>
  <si>
    <t>Placas Toponimicas</t>
  </si>
  <si>
    <t>Rodosol Cabines e Totens</t>
  </si>
  <si>
    <t>NEGÓCIOS DA MMP</t>
  </si>
  <si>
    <t>MovLog</t>
  </si>
  <si>
    <t>NEGOCIOS GUARAPARI</t>
  </si>
  <si>
    <t>PORTO</t>
  </si>
  <si>
    <t>Area Protegida</t>
  </si>
  <si>
    <t>Assistencia Domiciliar</t>
  </si>
  <si>
    <t>Central Atendimento</t>
  </si>
  <si>
    <t>Filial Linhares</t>
  </si>
  <si>
    <t>Locação de Ambulância com Mão de Obra</t>
  </si>
  <si>
    <t>Particular PF</t>
  </si>
  <si>
    <t>Particular PJ</t>
  </si>
  <si>
    <t>Plano Primer PF</t>
  </si>
  <si>
    <t>Plano Primer PJ</t>
  </si>
  <si>
    <t>Remoção</t>
  </si>
  <si>
    <t>Impressao Revenda</t>
  </si>
  <si>
    <t>SERVICO</t>
  </si>
  <si>
    <t>Colagem</t>
  </si>
  <si>
    <t>Limpeza de Terreno</t>
  </si>
  <si>
    <t>Manutenção</t>
  </si>
  <si>
    <t>Montagem e Instalacao</t>
  </si>
  <si>
    <t>Projeto Especial</t>
  </si>
  <si>
    <t>TELAS INDOOR</t>
  </si>
  <si>
    <t>Eletromidia Elevador</t>
  </si>
  <si>
    <t>TRANSPORTES</t>
  </si>
  <si>
    <t>Aeroporto Florianopólis</t>
  </si>
  <si>
    <t>Aeroporto Vitoria</t>
  </si>
  <si>
    <t>Balsas</t>
  </si>
  <si>
    <t>busdoor/van/taxi/vi</t>
  </si>
  <si>
    <t>Eco 101</t>
  </si>
  <si>
    <t>Midia Viacao Aguia Branca</t>
  </si>
  <si>
    <t>Rodoviarias</t>
  </si>
  <si>
    <t>Shopping Mestre Alvaro</t>
  </si>
  <si>
    <t>Shopping Montserrat</t>
  </si>
  <si>
    <t>Shopping Moxuara</t>
  </si>
  <si>
    <t>Shopping Norte Sul</t>
  </si>
  <si>
    <t>Shopping Vitoria</t>
  </si>
  <si>
    <t>Administrativo Movlog</t>
  </si>
  <si>
    <t>Area comum</t>
  </si>
  <si>
    <t>Galpão 11</t>
  </si>
  <si>
    <t>Galpão n°005</t>
  </si>
  <si>
    <t>Galpão n°006</t>
  </si>
  <si>
    <t>Galpão nº001</t>
  </si>
  <si>
    <t>Galpão nº002</t>
  </si>
  <si>
    <t>Galpão nº003</t>
  </si>
  <si>
    <t>Galpão 04 D</t>
  </si>
  <si>
    <t>Galpão 04 E</t>
  </si>
  <si>
    <t>Nescher</t>
  </si>
  <si>
    <t>Obra Movlog</t>
  </si>
  <si>
    <t>Siribeira</t>
  </si>
  <si>
    <t>Terreno Praia do Morro</t>
  </si>
  <si>
    <t>Créditos Adiantamento de Fornecedor</t>
  </si>
  <si>
    <t>Captação de Atleta</t>
  </si>
  <si>
    <t>Empréstimo a Terceiros</t>
  </si>
  <si>
    <t>Crédito Empréstimo a Terceiros</t>
  </si>
  <si>
    <t>Crédito Empréstimo Bancário</t>
  </si>
  <si>
    <t>Classificar lançamentos como "empréstimo entre partes relacionadas", qd for entre as empresas</t>
  </si>
  <si>
    <t>INSS e IR de Terceiros</t>
  </si>
  <si>
    <t>Desconsiderar lançamentos</t>
  </si>
  <si>
    <t>Indenização e Despesas Processos Trabalhistas</t>
  </si>
  <si>
    <t>Telefonia Móvel</t>
  </si>
  <si>
    <t>Reclassificar lançamentos, pois refere-se a IR e IOF sobre aplicação</t>
  </si>
  <si>
    <t>validar lançamentos são os serviços de limpeza? Se sim, sugere-se renomar conta para "serviço..."</t>
  </si>
  <si>
    <t>Na Porto Vitória não deveria ter lançamentos nessa conta. Ajustar para "Transporte de materiais esportivos"</t>
  </si>
  <si>
    <t>Avaliar reclassificações para Custo ou despesa, se for o caso</t>
  </si>
  <si>
    <t>Ajustar lançamentos - classificando conforme cada natureza (alimentação, custos com jogos,...)</t>
  </si>
  <si>
    <t>Avaliar necessidade de separar a classificação "Alimentação e Hidratação",...</t>
  </si>
  <si>
    <t>Reclassificar lançamentos, pois os lançamentos que estão nessa conta não referem-se à receitas financeiras</t>
  </si>
  <si>
    <t>Reclassificar lançamento desta conta em "material esportivo"</t>
  </si>
  <si>
    <t>QUIOSQUE MESTRE ÁLVARO</t>
  </si>
  <si>
    <t>TARGET</t>
  </si>
  <si>
    <t>CUSTOS / DESPESAS COM PESSOAL</t>
  </si>
  <si>
    <t>&gt; Ajustar lançamentos</t>
  </si>
  <si>
    <t>Outros Custos com Jogos</t>
  </si>
  <si>
    <t>(vazio)</t>
  </si>
  <si>
    <t>RECEITAS ESPORTIVAS</t>
  </si>
  <si>
    <t>Cota de Participação nos Jogos (ex: federação/CBF)</t>
  </si>
  <si>
    <t>Programa Sócio-Torcedor</t>
  </si>
  <si>
    <t>Training Compensation</t>
  </si>
  <si>
    <t>RECEITAS COM ATLETAS</t>
  </si>
  <si>
    <t>Reclassificar lançamentos, pois não refere-se a receita de presta~çao de serviços. INATIVAR PARA A PORTO</t>
  </si>
  <si>
    <t>Suplementação Atletas</t>
  </si>
  <si>
    <t>Receita Premiação por Performance</t>
  </si>
  <si>
    <t>MATERIAIS ESPORTIVOS</t>
  </si>
  <si>
    <t>Aquisição de Atletas</t>
  </si>
  <si>
    <t>Cod Conta 1 (Atual)</t>
  </si>
  <si>
    <t>Cod Conta 2 (Atual)</t>
  </si>
  <si>
    <t>Cod Conta 3 (Atual)</t>
  </si>
  <si>
    <t>Cod Conta 4 (Atual</t>
  </si>
  <si>
    <t>CUSTOS DE REVENDA</t>
  </si>
  <si>
    <t>Verificar o que as outras empresas do grupo lançam nessa conta</t>
  </si>
  <si>
    <t>Material Utilizado na Prestação de Serviço</t>
  </si>
  <si>
    <t>DESPESAS DE VENDAS</t>
  </si>
  <si>
    <t>COMISSÃO SOBRE VENDAS</t>
  </si>
  <si>
    <t>PARTICIPAÇÃO NOS RESULTADOS</t>
  </si>
  <si>
    <t>PARCELAMENTOS TRIBUTÁRIOS</t>
  </si>
  <si>
    <t>DESPESAS BANCÁRIAS</t>
  </si>
  <si>
    <t>FINANCIAMENTOS</t>
  </si>
  <si>
    <t>BENFEITORIAS EM IMÓVEIS</t>
  </si>
  <si>
    <t>DESPESAS COM VEÍCULOS</t>
  </si>
  <si>
    <t>CUSTOS COM PESSOAL E ENCARGOS</t>
  </si>
  <si>
    <t>CUSTOS DOS SERVIÇOS ESPORTIVOS</t>
  </si>
  <si>
    <t>DESPESAS COM PESSOAL E ENCARGOS</t>
  </si>
  <si>
    <t>Repetir as contas analíticas dos custos com pessoal e encargos</t>
  </si>
  <si>
    <t>Centro de Resultado</t>
  </si>
  <si>
    <t>Emissão:02/03/2026 10:30:50</t>
  </si>
  <si>
    <t>Total de registros:152</t>
  </si>
  <si>
    <t>Usuário: 3 - WYNDILLA.DUTRA</t>
  </si>
  <si>
    <t>Código</t>
  </si>
  <si>
    <t>CR para calculo e-LALUR (Parte A)</t>
  </si>
  <si>
    <t>Ativo</t>
  </si>
  <si>
    <t>Analítico</t>
  </si>
  <si>
    <t>Usuário Responsável</t>
  </si>
  <si>
    <t>DEPARTAMENTOS</t>
  </si>
  <si>
    <t>UNIDADES DE NEGOCIO</t>
  </si>
  <si>
    <t>Orçamento de Venda</t>
  </si>
  <si>
    <t>Aquisição Mídias</t>
  </si>
  <si>
    <t>GRUPO MAELY</t>
  </si>
  <si>
    <t>Operacional</t>
  </si>
  <si>
    <t>SOCIOS</t>
  </si>
  <si>
    <t>Comissao Tecnica</t>
  </si>
  <si>
    <t>ESTOQUE**</t>
  </si>
  <si>
    <t>Atletas Emprestados</t>
  </si>
  <si>
    <t>Obra Colaboradores</t>
  </si>
  <si>
    <t>Desenvolvimento Projetos</t>
  </si>
  <si>
    <t>Regulação</t>
  </si>
  <si>
    <t>Frota</t>
  </si>
  <si>
    <t>Suprimentos</t>
  </si>
  <si>
    <t>Permuta Não Operacional</t>
  </si>
  <si>
    <t>Tecnologia e Inovação</t>
  </si>
  <si>
    <t>Ecommerce Porto Vitória</t>
  </si>
  <si>
    <t>Porto Academy</t>
  </si>
  <si>
    <t>Visao Midia</t>
  </si>
  <si>
    <t>Porto Vitória</t>
  </si>
  <si>
    <t>WB Schultz</t>
  </si>
  <si>
    <t>Maely Arte</t>
  </si>
  <si>
    <t>MedSenior</t>
  </si>
  <si>
    <t>MMP&amp;3 Inc</t>
  </si>
  <si>
    <t>AirPower S.A</t>
  </si>
  <si>
    <t>Mouty Tecnologia</t>
  </si>
  <si>
    <t>Hotel Porto do Sol</t>
  </si>
  <si>
    <t>Contobank</t>
  </si>
  <si>
    <t>Maely SP</t>
  </si>
  <si>
    <t>Helber</t>
  </si>
  <si>
    <t>Junior</t>
  </si>
  <si>
    <t>Wacilka</t>
  </si>
  <si>
    <t>Maely Coelho</t>
  </si>
  <si>
    <t>Maria da Penha</t>
  </si>
  <si>
    <t>Sócios</t>
  </si>
  <si>
    <t>MAELY</t>
  </si>
  <si>
    <t>AirJet</t>
  </si>
  <si>
    <t>Transcherrer</t>
  </si>
  <si>
    <t>Mídias Diversas</t>
  </si>
  <si>
    <t>1030000</t>
  </si>
  <si>
    <t>1040000</t>
  </si>
  <si>
    <t>1050000</t>
  </si>
  <si>
    <t>1050100</t>
  </si>
  <si>
    <t>1050200</t>
  </si>
  <si>
    <t>1050300</t>
  </si>
  <si>
    <t>1050400</t>
  </si>
  <si>
    <t>1050500</t>
  </si>
  <si>
    <t>1050600</t>
  </si>
  <si>
    <t>1050700</t>
  </si>
  <si>
    <t>1050800</t>
  </si>
  <si>
    <t>1050900</t>
  </si>
  <si>
    <t>1051000</t>
  </si>
  <si>
    <t>1051100</t>
  </si>
  <si>
    <t>1051200</t>
  </si>
  <si>
    <t>1051300</t>
  </si>
  <si>
    <t>1051400</t>
  </si>
  <si>
    <t>1051500</t>
  </si>
  <si>
    <t>1060000</t>
  </si>
  <si>
    <t>1070000</t>
  </si>
  <si>
    <t>1080000</t>
  </si>
  <si>
    <t>1090000</t>
  </si>
  <si>
    <t>1100000</t>
  </si>
  <si>
    <t>1100100</t>
  </si>
  <si>
    <t>1100200</t>
  </si>
  <si>
    <t>1100300</t>
  </si>
  <si>
    <t>1100400</t>
  </si>
  <si>
    <t>1100500</t>
  </si>
  <si>
    <t>1100600</t>
  </si>
  <si>
    <t>1100700</t>
  </si>
  <si>
    <t>1120000</t>
  </si>
  <si>
    <t>1130000</t>
  </si>
  <si>
    <t>1140000</t>
  </si>
  <si>
    <t>1150000</t>
  </si>
  <si>
    <t>1160000</t>
  </si>
  <si>
    <t>1170000</t>
  </si>
  <si>
    <t>1180000</t>
  </si>
  <si>
    <t>1190000</t>
  </si>
  <si>
    <t>1200000</t>
  </si>
  <si>
    <t>1220000</t>
  </si>
  <si>
    <t>1230000</t>
  </si>
  <si>
    <t>1240000</t>
  </si>
  <si>
    <t>1250000</t>
  </si>
  <si>
    <t>1260000</t>
  </si>
  <si>
    <t>1270000</t>
  </si>
  <si>
    <t>1280000</t>
  </si>
  <si>
    <t>2030700</t>
  </si>
  <si>
    <t>2040100</t>
  </si>
  <si>
    <t>2040101</t>
  </si>
  <si>
    <t>2040102</t>
  </si>
  <si>
    <t>2040103</t>
  </si>
  <si>
    <t>2040104</t>
  </si>
  <si>
    <t>2040105</t>
  </si>
  <si>
    <t>2040200</t>
  </si>
  <si>
    <t>2040300</t>
  </si>
  <si>
    <t>2050000</t>
  </si>
  <si>
    <t>2050100</t>
  </si>
  <si>
    <t>2050200</t>
  </si>
  <si>
    <t>2050300</t>
  </si>
  <si>
    <t>2050400</t>
  </si>
  <si>
    <t>2060000</t>
  </si>
  <si>
    <t>2060100</t>
  </si>
  <si>
    <t>2070000</t>
  </si>
  <si>
    <t>2070100</t>
  </si>
  <si>
    <t>2070200</t>
  </si>
  <si>
    <t>2070300</t>
  </si>
  <si>
    <t>2080000</t>
  </si>
  <si>
    <t>2080100</t>
  </si>
  <si>
    <t>2080200</t>
  </si>
  <si>
    <t>2080300</t>
  </si>
  <si>
    <t>2080400</t>
  </si>
  <si>
    <t>2080500</t>
  </si>
  <si>
    <t>2090000</t>
  </si>
  <si>
    <t>2090100</t>
  </si>
  <si>
    <t>2100000</t>
  </si>
  <si>
    <t>2100100</t>
  </si>
  <si>
    <t>2100101</t>
  </si>
  <si>
    <t>2100102</t>
  </si>
  <si>
    <t>2100103</t>
  </si>
  <si>
    <t>2100104</t>
  </si>
  <si>
    <t>2100105</t>
  </si>
  <si>
    <t>2100106</t>
  </si>
  <si>
    <t>2100107</t>
  </si>
  <si>
    <t>2100108</t>
  </si>
  <si>
    <t>2100109</t>
  </si>
  <si>
    <t>2100110</t>
  </si>
  <si>
    <t>2100111</t>
  </si>
  <si>
    <t>2100112</t>
  </si>
  <si>
    <t>2100113</t>
  </si>
  <si>
    <t>2100200</t>
  </si>
  <si>
    <t>2100201</t>
  </si>
  <si>
    <t>2100202</t>
  </si>
  <si>
    <t>2110000</t>
  </si>
  <si>
    <t>2110100</t>
  </si>
  <si>
    <t>2110200</t>
  </si>
  <si>
    <t>2110300</t>
  </si>
  <si>
    <t>2110400</t>
  </si>
  <si>
    <t>2110500</t>
  </si>
  <si>
    <t>2110600</t>
  </si>
  <si>
    <t>2110700</t>
  </si>
  <si>
    <t>2110800</t>
  </si>
  <si>
    <t>2110900</t>
  </si>
  <si>
    <t>2111000</t>
  </si>
  <si>
    <t>2120000</t>
  </si>
  <si>
    <t>2120100</t>
  </si>
  <si>
    <t>2120200</t>
  </si>
  <si>
    <t>2120300</t>
  </si>
  <si>
    <t>2130000</t>
  </si>
  <si>
    <t>2131000</t>
  </si>
  <si>
    <t>2140000</t>
  </si>
  <si>
    <t>2141000</t>
  </si>
  <si>
    <t>2150000</t>
  </si>
  <si>
    <t>2151000</t>
  </si>
  <si>
    <t>2151100</t>
  </si>
  <si>
    <t>2151200</t>
  </si>
  <si>
    <t>2160000</t>
  </si>
  <si>
    <t>2161000</t>
  </si>
  <si>
    <t>PERMUTA</t>
  </si>
  <si>
    <t>Conta 32</t>
  </si>
  <si>
    <t>CUSTOS/DESPESAS</t>
  </si>
  <si>
    <t>CUSTOS PESSOAL/DESPESAS PESSOAL</t>
  </si>
  <si>
    <t>UNIDADES DE NEGÓCIO</t>
  </si>
  <si>
    <t>Vendas</t>
  </si>
  <si>
    <t>MÍDIA</t>
  </si>
  <si>
    <t>CUSTOS DE INDUSTRIALIZAÇÃO</t>
  </si>
  <si>
    <t>Parcelamentos Tributários</t>
  </si>
  <si>
    <t>Contas</t>
  </si>
  <si>
    <t>Verificar com Leonardo</t>
  </si>
  <si>
    <t>RECEITAS DE INCENTIVOS</t>
  </si>
  <si>
    <t>RECEITAS DE LOCAÇÃO</t>
  </si>
  <si>
    <t>RECEITAS DE VENDAS</t>
  </si>
  <si>
    <t>RECEITAS SERVIÇOS PRESTADOS</t>
  </si>
  <si>
    <t>CUSTOS COM TERRENOS</t>
  </si>
  <si>
    <t>CUSTOS COM MÍDIAS</t>
  </si>
  <si>
    <t>OUTROS CUSTOS</t>
  </si>
  <si>
    <t>LOGÍSTICA ESPORTIVA</t>
  </si>
  <si>
    <t>CUSTOS DE VEICULAÇÃO</t>
  </si>
  <si>
    <t>Comissão e Corretagem Aquisição Terreno</t>
  </si>
  <si>
    <t>Comissões Vendedor</t>
  </si>
  <si>
    <t>Comissão Clube Permuta</t>
  </si>
  <si>
    <t>Comissão de Agentes Venda Atleta</t>
  </si>
  <si>
    <t>INATIVAR</t>
  </si>
  <si>
    <t>Lavagem Veículo</t>
  </si>
  <si>
    <t>Profissionais Contratados Internos</t>
  </si>
  <si>
    <t>OUTRAS EMPRESAS</t>
  </si>
  <si>
    <t>D</t>
  </si>
  <si>
    <t>C</t>
  </si>
  <si>
    <t>Manutenção de sof</t>
  </si>
  <si>
    <t>Despesas rembolsáveis Intragrupo</t>
  </si>
  <si>
    <t>Reembolsos Intragrupo</t>
  </si>
  <si>
    <t>INTRAGRUPO</t>
  </si>
  <si>
    <t>ADIANTAMENTO CLIENTE</t>
  </si>
  <si>
    <t>Devolução Adiantamento de Clientes</t>
  </si>
  <si>
    <t>MATERIAIS E SUPRIMENTOS</t>
  </si>
  <si>
    <t>Venda de Máquinas e Equipamentos</t>
  </si>
  <si>
    <t>OUTRAS DESPESAS DE VENDAS</t>
  </si>
  <si>
    <t>Recebimento Débito Indevido</t>
  </si>
  <si>
    <t>EMPRÉSTIMOS PARTES RELACIONADAS / MÚTUOS</t>
  </si>
  <si>
    <t>Crédito Empréstimo de Partes Relacionadas</t>
  </si>
  <si>
    <t>Associações/Órgãos Regulamentadores</t>
  </si>
  <si>
    <t>Despesas com Parceiros</t>
  </si>
  <si>
    <t>Exames (Admissionais/Demissionais e Periódicos)</t>
  </si>
  <si>
    <t>Serviço de Limpeza e Conservação</t>
  </si>
  <si>
    <t>Reembolsos Operacionais Vinculados a Treinos/Jogos</t>
  </si>
  <si>
    <t>Multas e Juros sobre Pagamentos em Atrasos</t>
  </si>
  <si>
    <t>Crédito Empréstimo de Terceiros</t>
  </si>
  <si>
    <t>Taxa de Federação Vinculada a Atletas</t>
  </si>
  <si>
    <t>Transporte de Materiais Esportivos</t>
  </si>
  <si>
    <t>Bilheteria – Jogos Oficiais</t>
  </si>
  <si>
    <t>Venda Definitiva de Atletas</t>
  </si>
  <si>
    <t>Viagens e Estadias</t>
  </si>
  <si>
    <t>Venda de Alimentos e Bebidas - Jogos Oficiais</t>
  </si>
  <si>
    <t>Direitos de Transmissão</t>
  </si>
  <si>
    <t>Empréstimo de Atletas</t>
  </si>
  <si>
    <t>Mecanismo de Solidariedade</t>
  </si>
  <si>
    <t>Direitos Econômicos de Atletas</t>
  </si>
  <si>
    <t>Luvas e Bônus Contratuais</t>
  </si>
  <si>
    <t>Premiações por Desempenho (Bicho)</t>
  </si>
  <si>
    <t>Materiais Médicos e Fisioterapia</t>
  </si>
  <si>
    <t>Equipamentos de Treino</t>
  </si>
  <si>
    <t>Taxas de Inscrição</t>
  </si>
  <si>
    <t>Produção de Conteúdo</t>
  </si>
  <si>
    <t>Venda de Industrialização</t>
  </si>
  <si>
    <t>Receita de Aluguel</t>
  </si>
  <si>
    <t>Remessas e Outras Saídas</t>
  </si>
  <si>
    <t>Venda Sucata/Resíduos</t>
  </si>
  <si>
    <t>Produção Estrutural Terceirizada</t>
  </si>
  <si>
    <t>Impressão Terceirizada</t>
  </si>
  <si>
    <t>IRPF Aluguel de Terreno</t>
  </si>
  <si>
    <t>Material de Fixação Mídias</t>
  </si>
  <si>
    <t>Seguro de Mídias</t>
  </si>
  <si>
    <t>BV Bonificação por Volume</t>
  </si>
  <si>
    <t>Autônomos (Enfermeiros/Socorristas/Cond.)</t>
  </si>
  <si>
    <t>Aluguel de Ônibus</t>
  </si>
  <si>
    <t>Ferramentas para Operação</t>
  </si>
  <si>
    <t>Contribuição Sindical</t>
  </si>
  <si>
    <t>Participação no Resultado</t>
  </si>
  <si>
    <t>Auxílio Universidade</t>
  </si>
  <si>
    <t>Pagt Distribuição de Lucros</t>
  </si>
  <si>
    <t>Empréstimo Consignado</t>
  </si>
  <si>
    <t>CSL/PIS/COFINS de Terceiros</t>
  </si>
  <si>
    <t>Técnico Futebol</t>
  </si>
  <si>
    <t>Juros sobre Empréstimos</t>
  </si>
  <si>
    <t>Pagamento Empréstimo de Partes Relacionadas</t>
  </si>
  <si>
    <t>Despesas Empréstimos e Financiamentos</t>
  </si>
  <si>
    <t>Aquisição de Máquinas e Equipamentos</t>
  </si>
  <si>
    <t>Consórcios</t>
  </si>
  <si>
    <t>Venda de Imóveis (terrenos, salas, lotes)</t>
  </si>
  <si>
    <t>Aquisição de Imóveis (terrenos, salas, lotes)</t>
  </si>
  <si>
    <t>Aquisição de Estruturas Comerciais (painéis, outdoor)</t>
  </si>
  <si>
    <t>Aplicação Financeira</t>
  </si>
  <si>
    <t>Despesas Reembolsáveis Intragrupo</t>
  </si>
  <si>
    <t>Pagamento Empréstimo de Terceiros</t>
  </si>
  <si>
    <t>1.01</t>
  </si>
  <si>
    <t>1.05</t>
  </si>
  <si>
    <t>1.10</t>
  </si>
  <si>
    <t>1.15</t>
  </si>
  <si>
    <t>1.20</t>
  </si>
  <si>
    <t>1.25</t>
  </si>
  <si>
    <t>1.30</t>
  </si>
  <si>
    <t>1.35</t>
  </si>
  <si>
    <t>1.40</t>
  </si>
  <si>
    <t>1.45</t>
  </si>
  <si>
    <t>1.50</t>
  </si>
  <si>
    <t>1.55</t>
  </si>
  <si>
    <t>1.60</t>
  </si>
  <si>
    <t>1.65</t>
  </si>
  <si>
    <t>1.70</t>
  </si>
  <si>
    <t>1.75</t>
  </si>
  <si>
    <t>2.01</t>
  </si>
  <si>
    <t>2.05</t>
  </si>
  <si>
    <t>2.10</t>
  </si>
  <si>
    <t>2.15</t>
  </si>
  <si>
    <t>3.01</t>
  </si>
  <si>
    <t>3.05</t>
  </si>
  <si>
    <t>3.10</t>
  </si>
  <si>
    <t>4.01</t>
  </si>
  <si>
    <t>4.05</t>
  </si>
  <si>
    <t>4.10</t>
  </si>
  <si>
    <t>4.15</t>
  </si>
  <si>
    <t>5.01</t>
  </si>
  <si>
    <t>1.30.01</t>
  </si>
  <si>
    <t>1.75.01</t>
  </si>
  <si>
    <t>1.75.05</t>
  </si>
  <si>
    <t>1.60.01</t>
  </si>
  <si>
    <t>1.60.10</t>
  </si>
  <si>
    <t>1.25.01</t>
  </si>
  <si>
    <t>1.25.25</t>
  </si>
  <si>
    <t>1.55.01</t>
  </si>
  <si>
    <t>4.01.01</t>
  </si>
  <si>
    <t>4.10.01</t>
  </si>
  <si>
    <t>4.15.01</t>
  </si>
  <si>
    <t>2.01.01</t>
  </si>
  <si>
    <t>2.05.01</t>
  </si>
  <si>
    <t>1.60.30</t>
  </si>
  <si>
    <t>2.10.01</t>
  </si>
  <si>
    <t>1.25.20</t>
  </si>
  <si>
    <t>1.05.01</t>
  </si>
  <si>
    <t>1.25.05</t>
  </si>
  <si>
    <t>1.70.01</t>
  </si>
  <si>
    <t>1.65.01</t>
  </si>
  <si>
    <t>5.01.05</t>
  </si>
  <si>
    <t>1.60.40</t>
  </si>
  <si>
    <t>1.10.01</t>
  </si>
  <si>
    <t>1.60.05</t>
  </si>
  <si>
    <t>1.50.01</t>
  </si>
  <si>
    <t>5.01.01</t>
  </si>
  <si>
    <t>3.01.05</t>
  </si>
  <si>
    <t>1.60.25</t>
  </si>
  <si>
    <t>1.25.10</t>
  </si>
  <si>
    <t>3.10.01</t>
  </si>
  <si>
    <t>1.60.35</t>
  </si>
  <si>
    <t>1.35.01</t>
  </si>
  <si>
    <t>1.60.15</t>
  </si>
  <si>
    <t>1.60.20</t>
  </si>
  <si>
    <t>1.25.15</t>
  </si>
  <si>
    <t>3.01.10</t>
  </si>
  <si>
    <t>1.01.25</t>
  </si>
  <si>
    <t>1.01.01</t>
  </si>
  <si>
    <t>3.10.10</t>
  </si>
  <si>
    <t>5.01.15</t>
  </si>
  <si>
    <t>1.45.01</t>
  </si>
  <si>
    <t>1.01.15</t>
  </si>
  <si>
    <t>1.01.20</t>
  </si>
  <si>
    <t>3.01.01</t>
  </si>
  <si>
    <t>1.01.05</t>
  </si>
  <si>
    <t>1.01.10</t>
  </si>
  <si>
    <t>1.65.10</t>
  </si>
  <si>
    <t>4.05.01</t>
  </si>
  <si>
    <t>1.15.01</t>
  </si>
  <si>
    <t>1.20.01</t>
  </si>
  <si>
    <t>1.10.05</t>
  </si>
  <si>
    <t>1.40.01</t>
  </si>
  <si>
    <t>1.65.05</t>
  </si>
  <si>
    <t>1.40.05</t>
  </si>
  <si>
    <t>3.05.01</t>
  </si>
  <si>
    <t>3.10.05</t>
  </si>
  <si>
    <t>3.01.15</t>
  </si>
  <si>
    <t>2.15.01</t>
  </si>
  <si>
    <t>5.01.10</t>
  </si>
  <si>
    <t>5.01.01.01</t>
  </si>
  <si>
    <t>5.01.01.02</t>
  </si>
  <si>
    <t>5.01.05.02</t>
  </si>
  <si>
    <t>5.01.05.01</t>
  </si>
  <si>
    <t>5.01.10.01</t>
  </si>
  <si>
    <t>5.01.15.01</t>
  </si>
  <si>
    <t>5.01.15.02</t>
  </si>
  <si>
    <t>4.01.01.02</t>
  </si>
  <si>
    <t>4.01.01.01</t>
  </si>
  <si>
    <t>4.05.01.01</t>
  </si>
  <si>
    <t>4.05.01.02</t>
  </si>
  <si>
    <t>4.10.01.01</t>
  </si>
  <si>
    <t>4.10.01.02</t>
  </si>
  <si>
    <t>4.15.01.01</t>
  </si>
  <si>
    <t>4.15.01.02</t>
  </si>
  <si>
    <t>3.01.01.01</t>
  </si>
  <si>
    <t>3.01.01.02</t>
  </si>
  <si>
    <t>3.01.05.01</t>
  </si>
  <si>
    <t>3.01.10.02</t>
  </si>
  <si>
    <t>3.01.10.01</t>
  </si>
  <si>
    <t>3.01.15.02</t>
  </si>
  <si>
    <t>3.01.15.01</t>
  </si>
  <si>
    <t>3.05.01.01</t>
  </si>
  <si>
    <t>3.10.01.01</t>
  </si>
  <si>
    <t>3.10.01.02</t>
  </si>
  <si>
    <t>3.10.01.03</t>
  </si>
  <si>
    <t>3.10.05.01</t>
  </si>
  <si>
    <t>3.10.05.02</t>
  </si>
  <si>
    <t>3.10.05.03</t>
  </si>
  <si>
    <t>3.10.05.04</t>
  </si>
  <si>
    <t>3.10.10.01</t>
  </si>
  <si>
    <t>2.01.01.10</t>
  </si>
  <si>
    <t>2.01.01.11</t>
  </si>
  <si>
    <t>2.01.01.12</t>
  </si>
  <si>
    <t>2.01.01.01</t>
  </si>
  <si>
    <t>2.01.01.02</t>
  </si>
  <si>
    <t>2.01.01.03</t>
  </si>
  <si>
    <t>2.01.01.04</t>
  </si>
  <si>
    <t>2.01.01.13</t>
  </si>
  <si>
    <t>2.01.01.21</t>
  </si>
  <si>
    <t>2.01.01.20</t>
  </si>
  <si>
    <t>2.01.01.05</t>
  </si>
  <si>
    <t>2.01.01.14</t>
  </si>
  <si>
    <t>2.01.01.15</t>
  </si>
  <si>
    <t>2.05.01.01</t>
  </si>
  <si>
    <t>2.05.01.02</t>
  </si>
  <si>
    <t>2.05.01.03</t>
  </si>
  <si>
    <t>2.10.01.01</t>
  </si>
  <si>
    <t>2.10.01.02</t>
  </si>
  <si>
    <t>2.15.01.01</t>
  </si>
  <si>
    <t>2.15.01.02</t>
  </si>
  <si>
    <t>1.70.01.01</t>
  </si>
  <si>
    <t>1.70.01.02</t>
  </si>
  <si>
    <t>1.75.01.02</t>
  </si>
  <si>
    <t>1.75.01.01</t>
  </si>
  <si>
    <t>1.75.05.01</t>
  </si>
  <si>
    <t>1.75.05.02</t>
  </si>
  <si>
    <t>1.05.01.01</t>
  </si>
  <si>
    <t>1.05.01.02</t>
  </si>
  <si>
    <t>1.05.01.03</t>
  </si>
  <si>
    <t>1.05.01.04</t>
  </si>
  <si>
    <t>1.05.01.05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</si>
</sst>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3" fillId="0" borderId="0" xfId="0" applyFont="1"/>
    <xf numFmtId="0" fontId="0" fillId="0" borderId="0" xfId="0" applyAlignment="1">
      <alignment horizontal="left" indent="1"/>
    </xf>
    <xf numFmtId="0" fontId="0" fillId="3" borderId="0" xfId="0" applyFill="1"/>
    <xf numFmtId="0" fontId="5" fillId="0" borderId="0" xfId="0" applyFont="1" applyAlignment="1">
      <alignment horizontal="left"/>
    </xf>
    <xf numFmtId="164" fontId="0" fillId="0" borderId="0" xfId="0" applyNumberFormat="1"/>
    <xf numFmtId="4" fontId="5" fillId="4" borderId="0" xfId="0" applyNumberFormat="1" applyFont="1" applyFill="1"/>
    <xf numFmtId="0" fontId="2" fillId="3" borderId="0" xfId="0" applyFont="1" applyFill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3" borderId="0" xfId="0" applyFont="1" applyFill="1" applyAlignment="1">
      <alignment vertical="center" wrapText="1"/>
    </xf>
    <xf numFmtId="0" fontId="0" fillId="0" borderId="2" xfId="0" applyBorder="1"/>
    <xf numFmtId="0" fontId="7" fillId="2" borderId="1" xfId="0" applyFont="1" applyFill="1" applyBorder="1"/>
    <xf numFmtId="0" fontId="7" fillId="2" borderId="2" xfId="0" applyFont="1" applyFill="1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4" fillId="0" borderId="0" xfId="0" applyFont="1"/>
    <xf numFmtId="0" fontId="0" fillId="0" borderId="0" xfId="0"/>
    <xf numFmtId="0" fontId="0" fillId="3" borderId="0" xfId="0" applyFill="1" applyAlignment="1">
      <alignment horizontal="center"/>
    </xf>
    <xf numFmtId="49" fontId="0" fillId="0" borderId="0" xfId="0" applyNumberFormat="1"/>
    <xf numFmtId="0" fontId="0" fillId="0" borderId="0" xfId="0" applyBorder="1"/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</font>
      <numFmt numFmtId="0" formatCode="General"/>
    </dxf>
    <dxf>
      <font>
        <strike val="0"/>
        <outline val="0"/>
        <shadow val="0"/>
        <u val="none"/>
        <vertAlign val="baseline"/>
        <sz val="11"/>
      </font>
      <numFmt numFmtId="0" formatCode="General"/>
    </dxf>
    <dxf>
      <font>
        <strike val="0"/>
        <outline val="0"/>
        <shadow val="0"/>
        <u val="none"/>
        <vertAlign val="baseline"/>
        <sz val="11"/>
      </font>
      <numFmt numFmtId="0" formatCode="General"/>
    </dxf>
    <dxf>
      <font>
        <strike val="0"/>
        <outline val="0"/>
        <shadow val="0"/>
        <u val="none"/>
        <vertAlign val="baseline"/>
        <sz val="11"/>
      </font>
      <numFmt numFmtId="0" formatCode="General"/>
    </dxf>
    <dxf>
      <font>
        <strike val="0"/>
        <outline val="0"/>
        <shadow val="0"/>
        <u val="none"/>
        <vertAlign val="baseline"/>
        <sz val="11"/>
      </font>
      <numFmt numFmtId="0" formatCode="General"/>
    </dxf>
    <dxf>
      <font>
        <strike val="0"/>
        <outline val="0"/>
        <shadow val="0"/>
        <u val="none"/>
        <vertAlign val="baseline"/>
        <sz val="11"/>
      </font>
      <numFmt numFmtId="0" formatCode="General"/>
    </dxf>
    <dxf>
      <font>
        <strike val="0"/>
        <outline val="0"/>
        <shadow val="0"/>
        <u val="none"/>
        <vertAlign val="baseline"/>
        <sz val="11"/>
      </font>
      <numFmt numFmtId="0" formatCode="General"/>
    </dxf>
    <dxf>
      <font>
        <strike val="0"/>
        <outline val="0"/>
        <shadow val="0"/>
        <u val="none"/>
        <vertAlign val="baseline"/>
        <sz val="11"/>
      </font>
      <numFmt numFmtId="0" formatCode="General"/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ávia Bessa" refreshedDate="46090.324464004632" createdVersion="8" refreshedVersion="8" minRefreshableVersion="3" recordCount="249" xr:uid="{74B3B7E6-4ECC-42C0-BEC8-075BD3FFACBD}">
  <cacheSource type="worksheet">
    <worksheetSource name="Tab_Naturezas_2"/>
  </cacheSource>
  <cacheFields count="12">
    <cacheField name="Ativa" numFmtId="0">
      <sharedItems/>
    </cacheField>
    <cacheField name="Analítica" numFmtId="0">
      <sharedItems/>
    </cacheField>
    <cacheField name="Incide no resultado" numFmtId="0">
      <sharedItems/>
    </cacheField>
    <cacheField name="Conta 4" numFmtId="0">
      <sharedItems count="248">
        <s v="Prestação de Serviço"/>
        <s v="Venda de industrialização"/>
        <s v="Revenda"/>
        <s v="Venda passe jogador"/>
        <s v="Receita de aluguel"/>
        <s v="Remessas e Outras Saidas"/>
        <s v="Venda de Ingressos"/>
        <s v="Rendimentos sobre Aplicação"/>
        <s v="Recuperação de Despesas Bancárias"/>
        <s v="Outras Receitas Financeiras"/>
        <s v="Aporte/Integralização de Capital"/>
        <s v="Emprestimo de Sócios"/>
        <s v="Venda de Ativo"/>
        <s v="Adiantamento de Clientes"/>
        <s v="Receita de Reembolso"/>
        <s v="Indevido"/>
        <s v="Recebimento de Emprestimo a Terceiros"/>
        <s v="Patrocinio"/>
        <s v="Receita de Empréstimo"/>
        <s v="Venda Sucata/Residuos"/>
        <s v="Receb. Distribuição Lucros"/>
        <s v="Devolução Depósito Judicial"/>
        <s v="Matéria Prima"/>
        <s v="Material Secundário"/>
        <s v="Produção Maely"/>
        <s v="Produção Visão"/>
        <s v="Impressão para Revenda"/>
        <s v="Material Esportivo Revenda"/>
        <s v="Locaçao Maq./Ferramentas/Equip."/>
        <s v="Producao Estrutural Terceirizada"/>
        <s v="Impressao Terceirizada"/>
        <s v="Veiculação Terceirizada"/>
        <s v="Instalação Terceirizada"/>
        <s v="Frete de Mercadorias"/>
        <s v="Despesas com parceiros"/>
        <s v="Aluguel de Terreno PJ"/>
        <s v="Aluguel de Terreno PF"/>
        <s v="IRPF aluguel de terreno"/>
        <s v="Alvará Publicidade"/>
        <s v="ART Estruturas/ Taxa CREA"/>
        <s v="Energia Mídias"/>
        <s v="Material Utilzado na Prestação de Serviç"/>
        <s v="Comissão de Agência"/>
        <s v="Internet Mídias"/>
        <s v="Material de Fixação Midias"/>
        <s v="Seguro de Midias"/>
        <s v="BV Bonificacão por Volume"/>
        <s v="Movimentação e Transporte"/>
        <s v="Calibração"/>
        <s v="Lavanderia"/>
        <s v="Serviços Médicos PJ"/>
        <s v="Remoção Terceirizada"/>
        <s v="Autonomos (Enfermeiros/Socorristas/Cond)"/>
        <s v="Materiais Infraestrutura e Conectividade"/>
        <s v="Aluguel de Terreno PJ Esporádico"/>
        <s v="Aluguel de Terreno PF Esporádico"/>
        <s v="Aluguel de Campo"/>
        <s v="Massagista"/>
        <s v="Arbitragem"/>
        <s v="Aluguel de ônibus"/>
        <s v="Transporte de materiais esportivos"/>
        <s v="Filmagem e Sonorização"/>
        <s v="Outras Despesas com Jogos"/>
        <s v="Taxa de Federação"/>
        <s v="Taxa de Transferência de Jogador"/>
        <s v="Alimentação de Atleta"/>
        <s v="Exames de Avaliação"/>
        <s v="Ajuda de Custo"/>
        <s v="Fisioterapia"/>
        <s v="Bolsa Atleta"/>
        <s v="Direito de Imagem"/>
        <s v="Recreação / Monitores"/>
        <s v="Manutenção de Terrenos"/>
        <s v="Manutenção em Produtos Comerciais"/>
        <s v="Despesas com Retrabalho"/>
        <s v="Conserto de Materiais Esportivos"/>
        <s v="Manutenção em Produtos de Terceiros"/>
        <s v="Manutenção de Ferramentas"/>
        <s v="Manutenção de Campo Futebol"/>
        <s v="Manutenção de Máquinas e Equipamentos"/>
        <s v="Ferramentas para Operacao"/>
        <s v="Saque Prêmio eConto"/>
        <s v="13º Salarios"/>
        <s v="Salarios"/>
        <s v="Vale Transporte/Combustível"/>
        <s v="Uniformes"/>
        <s v="Ferias"/>
        <s v="Encargos (INSS/FGTS)"/>
        <s v="Vale Refeiçao"/>
        <s v="Plano Odontológico"/>
        <s v="IRPF"/>
        <s v="Farmacia"/>
        <s v="Cursos e Treinamentos"/>
        <s v="Contribuiçao Sindical"/>
        <s v="Rescisoes/ GRRF"/>
        <s v="Plano de Saude"/>
        <s v="Participaçao no Resultado"/>
        <s v="Exames (Admissionais/Demissionais e Peri"/>
        <s v="Pensao Alimenticia"/>
        <s v="Seguro de Vida"/>
        <s v="Bonificaçao/Premio"/>
        <s v="Auxilio Universidade"/>
        <s v="Indenizaçao e Despesas Trabalhistas"/>
        <s v="Açoes do RH"/>
        <s v="Comissoes Vendedor"/>
        <s v="Pro Labore"/>
        <s v="Pagt Distribuiçao de Lucros"/>
        <s v="Saude e Segurança Ocupacional"/>
        <s v="EPI"/>
        <s v="Menor Aprendiz / Estagiário"/>
        <s v="Despesas Médicas"/>
        <s v="Benefícios Bem-Estar e Saúde"/>
        <s v="Emprestimo Consignado"/>
        <s v="Manutencao de Software"/>
        <s v="IRF de Terceiros"/>
        <s v="CSL/PIS/COFINS de terceiros"/>
        <s v="INSS de Terceiros"/>
        <s v="ISS de Terceiros"/>
        <s v="Adiantamento a Fornecedor"/>
        <s v="Servicos de Terceiros"/>
        <s v="Auditorias"/>
        <s v="Advogados"/>
        <s v="Assessoria e Consultoria"/>
        <s v="Motoboy"/>
        <s v="Contador"/>
        <s v="limpeza e conservacao"/>
        <s v="Licença e Consseção de Software"/>
        <s v="Treinador Futebol"/>
        <s v="Assessoria de Imprensa"/>
        <s v="Coordenador Futebol"/>
        <s v="Dominio e Hospedagem"/>
        <s v="Preparador Físico"/>
        <s v="Treinador de Goleiro"/>
        <s v="Tecnico Futebol"/>
        <s v="Supervisor Técnico"/>
        <s v="Captador de Atleta"/>
        <s v="Conselho Consultivo"/>
        <s v="Nutricionista"/>
        <s v="Aluguel"/>
        <s v="Condominio"/>
        <s v="Telefonia Movel"/>
        <s v="Telefonia Fixa"/>
        <s v="Energia do Imovel"/>
        <s v="Agua e Esgoto"/>
        <s v="Internet"/>
        <s v="Segurança/Monitoramento"/>
        <s v="Licenças/ Alvarás - Ocupação"/>
        <s v="Seguro do Imovel"/>
        <s v="IPTU"/>
        <s v="TV por Assinatura"/>
        <s v="Monitoramento e Vigilancia"/>
        <s v="Combustiveis/Lubrificantes"/>
        <s v="Manutencao de Veiculos"/>
        <s v="IPVA/Licenciamento/DPVAT/Infraero"/>
        <s v="Multas de Transito"/>
        <s v="Seguros de Veiculos"/>
        <s v="Aluguel de Veiculos"/>
        <s v="Rastreador de Veículos"/>
        <s v="Pedagio"/>
        <s v="Motorista"/>
        <s v="Transformação de Veículo"/>
        <s v="Lavgem Veículo"/>
        <s v="Despachante de Veículos"/>
        <s v="Material de Escritorio"/>
        <s v="Material de Copa/Cozinha"/>
        <s v="Material de Informatica"/>
        <s v="Material Esportivo"/>
        <s v="Material de Limpeza"/>
        <s v="Material para Embalagem"/>
        <s v="Desenvolvimento de Tecnologias"/>
        <s v="Manutencao de Moveis e Utensilios"/>
        <s v="ITR - Imposto Territorial Rural"/>
        <s v="ART Imóveis"/>
        <s v="Manutencao Predial"/>
        <s v="Brindes"/>
        <s v="Correios"/>
        <s v="Viagens e estadias"/>
        <s v="Ass. Jornais/Revistas"/>
        <s v="Confraternizações e Eventos"/>
        <s v="Despesas com Licitações"/>
        <s v="Gráfica"/>
        <s v="Anúncios/ Publicações"/>
        <s v="Pesquisas"/>
        <s v="Cartório"/>
        <s v="Custas Processuais"/>
        <s v="Associações/Orgão regulamentadores"/>
        <s v="Doações"/>
        <s v="Comissão e Corretagem"/>
        <s v="Estacionamento"/>
        <s v="Ações com Clientes"/>
        <s v="Bloqueio Judicial"/>
        <s v="Depósito Judicial"/>
        <s v="Armazenamento de Bens"/>
        <s v="Diretor"/>
        <s v="Gerente"/>
        <s v="Despesas com Devoluções"/>
        <s v="Pagamento de Reembolso"/>
        <s v="Transporte de Pessoas"/>
        <s v="Despesas com Site"/>
        <s v="PIS"/>
        <s v="COFINS"/>
        <s v="ICMS S/ VENDA"/>
        <s v="IRRF - Imposto Renda Retido na Fonte"/>
        <s v="ISS - Imposto Sobre Serviço"/>
        <s v="Simples Nacional"/>
        <s v="IRPJ - Imposto Renda Pessoa Jurídica"/>
        <s v="CSLL - Contrib. Social Lucro Liquido"/>
        <s v="Junta Comercial"/>
        <s v="SEFAZ"/>
        <s v="Parcelamentos"/>
        <s v="Taxas - Ocupação"/>
        <s v="IOF"/>
        <s v="TED/DOC"/>
        <s v="Despesas Bancárias"/>
        <s v="Juros sobre Emprestimos"/>
        <s v="Despesas Com Cobrança"/>
        <s v="Debito por Recebimento indevido"/>
        <s v="Juros sobre Financiamentos"/>
        <s v="Debito Indevido"/>
        <s v="Tarifa Cartão de Crédito/Débito"/>
        <s v="Aluguel Máquina de Cartão"/>
        <s v="Pagamento de Mútuo"/>
        <s v="Pagamento de Empréstimo Bancário"/>
        <s v="Pagamento de Financiamento"/>
        <s v="Emprestimo a Terceiros"/>
        <s v="Pagamento Emprestimo"/>
        <s v="Despesas Emprestimos e Financiamentos"/>
        <s v="Aquisicao de Moveis e Utensilios"/>
        <s v="Aquisicao de Maquinas e Equipamentos"/>
        <s v="Aquisicao de Veiculos"/>
        <s v="Consorcios"/>
        <s v="Leasing"/>
        <s v="Aquisicao de Software"/>
        <s v="Imoveis  (terrenos, salas, lotes)"/>
        <s v="Estruturas Comerciais (paineis, outdoor)"/>
        <s v="Computadores e Periféricos"/>
        <s v="Marcas e Patentes"/>
        <s v="Benfeitorias em Imóveis de Terceiros"/>
        <s v="Benfeitorias em Imóveis Próprios"/>
        <s v="Aplicacao Financeira"/>
        <s v="Ações"/>
        <s v="Controle Permuta Avulsa"/>
        <s v="Engenheiro/ Arquiteto"/>
        <s v="Controle de Caixa"/>
        <s v="Importação de XML"/>
        <s v="Encontro de contas" u="1"/>
        <s v="Empréstimo de jogador" u="1"/>
        <s v="Parcerias entre clubes" u="1"/>
      </sharedItems>
    </cacheField>
    <cacheField name="Cod Conta 1" numFmtId="0">
      <sharedItems/>
    </cacheField>
    <cacheField name="Cod Conta 2" numFmtId="0">
      <sharedItems/>
    </cacheField>
    <cacheField name="Cod Conta 3" numFmtId="0">
      <sharedItems/>
    </cacheField>
    <cacheField name="Cod Conta 4" numFmtId="0">
      <sharedItems/>
    </cacheField>
    <cacheField name="Conta 1" numFmtId="0">
      <sharedItems count="4">
        <s v="ENTRADAS"/>
        <s v="SAIDAS"/>
        <s v="Controle de Caixa"/>
        <s v="Importação de XML"/>
      </sharedItems>
    </cacheField>
    <cacheField name="Conta 2" numFmtId="0">
      <sharedItems count="8">
        <s v="RECEITA OPERACIONAL"/>
        <s v="OUTRAS RECEITAS"/>
        <s v="SAÍDAS OPERACIONAIS"/>
        <s v="DESPESAS ADMINISTRATIVAS"/>
        <s v="SAÍDAS NAO OPERACIONAIS"/>
        <s v="PESQUISA, PROJETO E DESENVOLVIMENTO"/>
        <s v="Controle de Caixa"/>
        <s v="Importação de XML"/>
      </sharedItems>
    </cacheField>
    <cacheField name="Conta 3" numFmtId="0">
      <sharedItems count="31">
        <s v="RECEITA DE VENDA"/>
        <s v="RECEITAS FINANCEIRAS"/>
        <s v="RECEITAS DIVERSAS"/>
        <s v="INDUSTRIALIZAÇÃO"/>
        <s v="REVENDA"/>
        <s v="DESPESAS TERCEIRIZADAS, VEICULAÇÃO E PRO"/>
        <s v="DESPESAS COM JOGOS"/>
        <s v="DESPESAS COM JOGADORES"/>
        <s v="MANUTENÇÕES"/>
        <s v="FERRAMENTAS E ACESSORIOS DE OPERACAO"/>
        <s v="PREMIOS ECONTO"/>
        <s v="DESPESAS COM PESSOAL"/>
        <s v="DESPESAS COM PESSOAL TERCEIRIZADOS"/>
        <s v="DESPESAS COM OCUPAÇAO/UTILIDADES"/>
        <s v="DESPESAS COM VEICULOS"/>
        <s v="DESPESAS COM MATERIAIS - CONSUMO"/>
        <s v="MANUTENÇÕES DO IMOVEL"/>
        <s v="DESPESAS GERAIS"/>
        <s v="TRIBUTOS SOBRE VENDAS"/>
        <s v="TRIBUTOS SOBRE LUCRO"/>
        <s v="IMPOSTOS/TAXAS"/>
        <s v="DESPESAS FINANCEIRAS"/>
        <s v="EMPRESTIMO"/>
        <s v="AQUISIÇÕES"/>
        <s v="BENFEITORIAS"/>
        <s v="INVESTIMENTOS FINANCEIROS"/>
        <s v="Controle Permuta Avulsa"/>
        <s v="PESQUISA, PROJETO E DESENVOLVIMENTO"/>
        <s v="Controle de Caixa"/>
        <s v="Importação de XML"/>
        <s v="RECEITA DE PARCEIROS" u="1"/>
      </sharedItems>
    </cacheField>
    <cacheField name="CLASSIFICAR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ávia Bessa" refreshedDate="46090.329304166669" createdVersion="8" refreshedVersion="8" minRefreshableVersion="3" recordCount="133" xr:uid="{0335686B-D56A-439C-BB4A-C70578CE259F}">
  <cacheSource type="worksheet">
    <worksheetSource name="D_CentroResultados"/>
  </cacheSource>
  <cacheFields count="14">
    <cacheField name="Cod Conta 1 (Atual)" numFmtId="0">
      <sharedItems containsBlank="1"/>
    </cacheField>
    <cacheField name="Cod Conta 2 (Atual)" numFmtId="0">
      <sharedItems containsBlank="1"/>
    </cacheField>
    <cacheField name="Cod Conta 3 (Atual)" numFmtId="0">
      <sharedItems containsBlank="1"/>
    </cacheField>
    <cacheField name="Cod Conta 4 (Atual" numFmtId="0">
      <sharedItems containsBlank="1"/>
    </cacheField>
    <cacheField name="Conta 1 (Atual)" numFmtId="0">
      <sharedItems containsBlank="1"/>
    </cacheField>
    <cacheField name="Conta 2 (Atual)" numFmtId="0">
      <sharedItems containsBlank="1"/>
    </cacheField>
    <cacheField name="Conta 3 (Atual)" numFmtId="0">
      <sharedItems containsBlank="1"/>
    </cacheField>
    <cacheField name="Conta 4 (Atual" numFmtId="0">
      <sharedItems containsBlank="1"/>
    </cacheField>
    <cacheField name="Conta 1" numFmtId="0">
      <sharedItems count="2">
        <s v="CORPORATIVO"/>
        <s v="UNIDADES DE NEGÓCIO"/>
      </sharedItems>
    </cacheField>
    <cacheField name="Conta 2" numFmtId="0">
      <sharedItems containsBlank="1" count="25">
        <s v="CORPORATIVO"/>
        <s v="OPERAÇÃO ESPORTIVA"/>
        <s v="TARGET"/>
        <s v="AMBIENTES DE CONSUMO"/>
        <s v="CONSORCIO"/>
        <s v="ECONTO"/>
        <s v="GRANDES FORMATOS"/>
        <s v="INDUSTRIALIZACAO"/>
        <s v="MÍDIA"/>
        <s v="NEGÓCIOS DA MMP"/>
        <s v="PRIMER"/>
        <s v="REVENDA"/>
        <s v="SERVICO"/>
        <s v="TRANSPORTES"/>
        <s v="GRUPO MAELY"/>
        <s v="Operacional"/>
        <s v="Permuta Não Operacional"/>
        <s v="QUIOSQUE MESTRE ÁLVARO"/>
        <s v="MOBILIARIO URBANO" u="1"/>
        <s v="MAELY" u="1"/>
        <s v="MAELY SP" u="1"/>
        <s v="MIDIA ONLINE" u="1"/>
        <s v="TELAS INDOOR" u="1"/>
        <s v="PORTO" u="1"/>
        <m u="1"/>
      </sharedItems>
    </cacheField>
    <cacheField name="Conta 3" numFmtId="0">
      <sharedItems containsBlank="1" count="92">
        <s v="Diretoria / Alta Gestão"/>
        <s v="Centro de serviços compartilhados"/>
        <s v="Administrativo"/>
        <s v="Comercial, Marketing e Captação"/>
        <s v="Futebol de Base"/>
        <s v="Futebol Profissional"/>
        <s v="Corporativo Operação Esportiva"/>
        <s v="TARGET"/>
        <s v="Farmacia"/>
        <s v="SHOPPING"/>
        <s v="Supermercado"/>
        <s v="All Space Visao"/>
        <s v="Econto Filial Guarapari"/>
        <s v="Venda Material Esportivo"/>
        <s v="Venda Plano Primer"/>
        <s v="Comunidade Outdoor"/>
        <s v="Empena"/>
        <s v="Empena de Led"/>
        <s v="Front"/>
        <s v="Outdoor"/>
        <s v="Paineis de Led"/>
        <s v="Paineis Rodoviarios"/>
        <s v="Rodosol - Paineis e Inflaveis"/>
        <s v="Estoque"/>
        <s v="Estrutura"/>
        <s v="Placa"/>
        <s v="MAELY SP"/>
        <s v="MIDIA ONLINE"/>
        <s v="MOBILIARIO URBANO"/>
        <s v="MovLog"/>
        <s v="NEGOCIOS GUARAPARI"/>
        <s v="Vendas"/>
        <s v="Area Protegida"/>
        <s v="Assistencia Domiciliar"/>
        <s v="Central Atendimento"/>
        <s v="Filial Linhares"/>
        <s v="Locação de Ambulância com Mão de Obra"/>
        <s v="Particular PF"/>
        <s v="Particular PJ"/>
        <s v="Plano Primer PF"/>
        <s v="Plano Primer PJ"/>
        <s v="Remoção"/>
        <s v="Impressao Revenda"/>
        <s v="Colagem"/>
        <s v="Limpeza de Terreno"/>
        <s v="Manutenção"/>
        <s v="Montagem e Instalacao"/>
        <s v="Projeto Especial"/>
        <s v="TELAS INDOOR"/>
        <s v="Aeroporto Florianopólis"/>
        <s v="Aeroporto Vitoria"/>
        <s v="Balsas"/>
        <s v="busdoor/van/taxi/vi"/>
        <s v="Eco 101"/>
        <s v="Midia Viacao Aguia Branca"/>
        <s v="Rodoviarias"/>
        <s v="Visao Midia"/>
        <s v="Porto Vitória"/>
        <s v="WB Schultz"/>
        <s v="Maely Arte"/>
        <s v="MMP &amp; Tres"/>
        <s v="Primer Vida"/>
        <s v="MedSenior"/>
        <s v="MMP&amp;3 Inc"/>
        <s v="AirPower S.A"/>
        <s v="EConto"/>
        <s v="PVEC"/>
        <s v="Mouty Tecnologia"/>
        <s v="Hotel Porto do Sol"/>
        <s v="Contobank"/>
        <s v="Operacional"/>
        <s v="Sócios"/>
        <s v="Permuta Não Operacional"/>
        <s v="QUIOSQUE MESTRE ÁLVARO"/>
        <s v="MAELY"/>
        <s v="Banca Led" u="1"/>
        <s v="Bancas Traseiras" u="1"/>
        <s v="Circuito Abrigos e Relogios" u="1"/>
        <s v="Circuito Mub Banca" u="1"/>
        <s v="Placas Toponimicas" u="1"/>
        <s v="Rodosol Cabines e Totens" u="1"/>
        <s v="Mídias Diversas" u="1"/>
        <s v="B-Air Digital Onibus" u="1"/>
        <s v="B-Air Estatico Onibus" u="1"/>
        <s v="Estação de Metrô - Estatico" u="1"/>
        <s v="Ads" u="1"/>
        <s v="Metrópolis" u="1"/>
        <s v="Sempre On" u="1"/>
        <s v="SouES" u="1"/>
        <s v="Eletromidia Elevador" u="1"/>
        <s v="Venda de ingressos" u="1"/>
        <m u="1"/>
      </sharedItems>
    </cacheField>
    <cacheField name="Conta 4" numFmtId="0">
      <sharedItems containsBlank="1" count="135">
        <s v="Diretoria"/>
        <s v="Conselho / Governança"/>
        <s v="Contábil"/>
        <s v="Fiscal"/>
        <s v="Recursos Humanos"/>
        <s v="Tesouraria"/>
        <s v="Faturamento"/>
        <s v="Corporativo"/>
        <s v="Financeiro Administrativo"/>
        <s v="Compras"/>
        <s v="Infraestrutura de Tecnologia"/>
        <s v="Comercial"/>
        <s v="Captação de recursos"/>
        <s v="Comissão Técnica de Base (Treinadores, Auxiliares)"/>
        <s v="Atleta Amador"/>
        <s v="Logística Futebol de Base"/>
        <s v="Comissão Técnica Profissional (Treinadores, Auxiliares)"/>
        <s v="Atleta Profissional"/>
        <s v="Logística Futebol Profissional"/>
        <s v="Departamento Médico"/>
        <s v="Alojamento"/>
        <s v="Target"/>
        <s v="Farmacia"/>
        <s v="Shopping Mestre Alvaro"/>
        <s v="Shopping Montserrat"/>
        <s v="Shopping Moxuara"/>
        <s v="Shopping Norte Sul"/>
        <s v="Shopping Vitoria"/>
        <s v="Supermercado"/>
        <s v="All Space Visao"/>
        <s v="Econto Filial Guarapari"/>
        <s v="Venda Material Esportivo"/>
        <s v="Venda Plano Primer"/>
        <s v="Comunidade Outdoor"/>
        <s v="Empena"/>
        <s v="Empena de Led"/>
        <s v="Front"/>
        <s v="Outdoor"/>
        <s v="Paineis de Led"/>
        <s v="Paineis Rodoviarios"/>
        <s v="Rodosol - Paineis e Inflaveis"/>
        <s v="Estoque"/>
        <s v="Estrutura"/>
        <s v="Placa"/>
        <s v="B-Air Digital Onibus"/>
        <s v="B-Air Estatico Onibus"/>
        <s v="Estação de Metrô - Estatico"/>
        <s v="Ads"/>
        <s v="Metrópolis"/>
        <s v="Sempre On"/>
        <s v="SouES"/>
        <s v="Banca Led"/>
        <s v="Bancas Traseiras"/>
        <s v="Circuito Abrigos e Relogios"/>
        <s v="Circuito Mub Banca"/>
        <s v="Placas Toponimicas"/>
        <s v="Rodosol Cabines e Totens"/>
        <s v="Administrativo Movlog"/>
        <s v="Area comum"/>
        <s v="Galpão 11"/>
        <s v="Galpão n°005"/>
        <s v="Galpão n°006"/>
        <s v="Galpão nº001"/>
        <s v="Galpão nº002"/>
        <s v="Galpão nº003"/>
        <s v="Galpão 04 D"/>
        <s v="Galpão 04 E"/>
        <s v="Nescher"/>
        <s v="Obra Movlog"/>
        <s v="Siribeira"/>
        <s v="Terreno Praia do Morro"/>
        <s v="Venda de ingressos"/>
        <s v="Area Protegida"/>
        <s v="Assistencia Domiciliar"/>
        <s v="Central Atendimento"/>
        <s v="Filial Linhares"/>
        <s v="Locação de Ambulância com Mão de Obra"/>
        <s v="Particular PF"/>
        <s v="Particular PJ"/>
        <s v="Plano Primer PF"/>
        <s v="Plano Primer PJ"/>
        <s v="Remoção"/>
        <s v="Impressao Revenda"/>
        <s v="Colagem"/>
        <s v="Limpeza de Terreno"/>
        <s v="Manutenção"/>
        <s v="Montagem e Instalacao"/>
        <s v="Projeto Especial"/>
        <s v="Eletromidia Elevador"/>
        <s v="Aeroporto Florianopólis"/>
        <s v="Aeroporto Vitoria"/>
        <s v="Balsas"/>
        <s v="busdoor/van/taxi/vi"/>
        <s v="Eco 101"/>
        <s v="Midia Viacao Aguia Branca"/>
        <s v="Rodoviarias"/>
        <s v="Visao Midia"/>
        <s v="Porto Vitória"/>
        <s v="WB Schultz"/>
        <s v="Maely Arte"/>
        <s v="MMP &amp; Tres"/>
        <s v="Primer Vida"/>
        <s v="MedSenior"/>
        <s v="MMP&amp;3 Inc"/>
        <s v="AirPower S.A"/>
        <s v="EConto"/>
        <s v="PVEC"/>
        <s v="Mouty Tecnologia"/>
        <s v="Hotel Porto do Sol"/>
        <s v="Contobank"/>
        <s v="Maely SP"/>
        <s v="Comunicação e markering"/>
        <s v="Operacional"/>
        <s v="Helber"/>
        <s v="Vinicius"/>
        <s v="Junior"/>
        <s v="Wacilka"/>
        <s v="Maely Coelho"/>
        <s v="Maria da Penha"/>
        <s v="Sócios"/>
        <s v="Atletas Emprestados"/>
        <s v="Obra Colaboradores"/>
        <s v="Desenvolvimento Projetos"/>
        <s v="Regulação"/>
        <s v="Suprimentos"/>
        <s v="Permuta Não Operacional"/>
        <s v="Quiosque Mestre Álvaro"/>
        <s v="Tecnologia e Inovação"/>
        <s v="Centro Serviço Compartilhado - CSC"/>
        <s v="Ecommerce Porto Vitória"/>
        <s v="Porto Academy"/>
        <s v="Transcherrer"/>
        <s v="Mídias Diversas"/>
        <m u="1"/>
        <s v="Marketing" u="1"/>
      </sharedItems>
    </cacheField>
    <cacheField name="CUSTOS/DESPESAS" numFmtId="0">
      <sharedItems containsBlank="1"/>
    </cacheField>
    <cacheField name="CUSTOS PESSOAL/DESPESAS PESSO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ávia Bessa" refreshedDate="46091.64590625" createdVersion="8" refreshedVersion="8" minRefreshableVersion="3" recordCount="277" xr:uid="{648CDB05-7172-4A85-9E41-95766D6DB0AE}">
  <cacheSource type="worksheet">
    <worksheetSource name="D_PlanoFinanceiro"/>
  </cacheSource>
  <cacheFields count="18">
    <cacheField name="Cod Conta 1 (Atual)" numFmtId="0">
      <sharedItems containsBlank="1"/>
    </cacheField>
    <cacheField name="Cod Conta 2 (Atual)" numFmtId="0">
      <sharedItems containsBlank="1"/>
    </cacheField>
    <cacheField name="Cod Conta 3 (Atual)" numFmtId="0">
      <sharedItems containsBlank="1"/>
    </cacheField>
    <cacheField name="Cod Conta 4 (Atual" numFmtId="0">
      <sharedItems containsBlank="1"/>
    </cacheField>
    <cacheField name="Conta 1 (Atual)" numFmtId="0">
      <sharedItems containsBlank="1"/>
    </cacheField>
    <cacheField name="Conta 2 (Atual)" numFmtId="0">
      <sharedItems containsBlank="1"/>
    </cacheField>
    <cacheField name="Conta 3 (Atual)" numFmtId="0">
      <sharedItems containsBlank="1"/>
    </cacheField>
    <cacheField name="Conta 4 (Atual" numFmtId="0">
      <sharedItems containsBlank="1"/>
    </cacheField>
    <cacheField name="Cod Conta 1" numFmtId="0">
      <sharedItems containsString="0" containsBlank="1" containsNumber="1" containsInteger="1" minValue="1" maxValue="5" count="6">
        <n v="1"/>
        <n v="2"/>
        <n v="3"/>
        <n v="4"/>
        <n v="5"/>
        <m/>
      </sharedItems>
    </cacheField>
    <cacheField name="Cod Conta 2" numFmtId="0">
      <sharedItems containsBlank="1" count="29">
        <s v="1.01"/>
        <s v="1.05"/>
        <s v="1.10"/>
        <s v="1.15"/>
        <s v="1.20"/>
        <s v="1.25"/>
        <s v="1.30"/>
        <s v="1.35"/>
        <s v="1.40"/>
        <s v="1.45"/>
        <s v="1.50"/>
        <s v="1.55"/>
        <s v="1.60"/>
        <s v="1.65"/>
        <s v="1.70"/>
        <s v="1.75"/>
        <s v="2.01"/>
        <s v="2.05"/>
        <s v="2.10"/>
        <s v="2.15"/>
        <s v="3.01"/>
        <s v="3.05"/>
        <s v="3.10"/>
        <s v="4.01"/>
        <s v="4.05"/>
        <s v="4.10"/>
        <s v="4.15"/>
        <s v="5.01"/>
        <m/>
      </sharedItems>
    </cacheField>
    <cacheField name="Cod Conta 3" numFmtId="0">
      <sharedItems containsBlank="1" count="60">
        <s v="1.01.01"/>
        <s v="1.01.05"/>
        <s v="1.01.10"/>
        <s v="1.01.15"/>
        <s v="1.01.20"/>
        <s v="1.01.25"/>
        <s v="1.05.01"/>
        <s v="1.10.01"/>
        <s v="1.10.05"/>
        <s v="1.15.01"/>
        <s v="1.20.01"/>
        <s v="1.25.01"/>
        <s v="1.25.05"/>
        <s v="1.25.10"/>
        <s v="1.25.15"/>
        <s v="1.25.20"/>
        <s v="1.25.25"/>
        <s v="1.30.01"/>
        <s v="1.35.01"/>
        <s v="1.40.01"/>
        <s v="1.40.05"/>
        <s v="1.45.01"/>
        <s v="1.50.01"/>
        <s v="1.55.01"/>
        <s v="1.60.01"/>
        <s v="1.60.05"/>
        <s v="1.60.10"/>
        <s v="1.60.15"/>
        <s v="1.60.20"/>
        <s v="1.60.25"/>
        <s v="1.60.30"/>
        <s v="1.60.35"/>
        <s v="1.60.40"/>
        <s v="1.65.01"/>
        <s v="1.65.05"/>
        <s v="1.65.10"/>
        <s v="1.70.01"/>
        <s v="1.75.01"/>
        <s v="1.75.05"/>
        <s v="2.01.01"/>
        <s v="2.05.01"/>
        <s v="2.10.01"/>
        <s v="2.15.01"/>
        <s v="3.01.01"/>
        <s v="3.01.05"/>
        <s v="3.01.10"/>
        <s v="3.01.15"/>
        <s v="3.05.01"/>
        <s v="3.10.01"/>
        <s v="3.10.05"/>
        <s v="3.10.10"/>
        <s v="4.01.01"/>
        <s v="4.05.01"/>
        <s v="4.10.01"/>
        <s v="4.15.01"/>
        <s v="5.01.01"/>
        <s v="5.01.05"/>
        <s v="5.01.10"/>
        <s v="5.01.15"/>
        <m/>
      </sharedItems>
    </cacheField>
    <cacheField name="Cod Conta 4" numFmtId="0">
      <sharedItems containsBlank="1"/>
    </cacheField>
    <cacheField name="Conta 1" numFmtId="0">
      <sharedItems containsBlank="1" count="7">
        <s v="FLUXO OPERACIONAL"/>
        <s v="FLUXO DE INVESTIMENTO"/>
        <s v="FLUXO FINANCIAMENTOS TERCEIROS"/>
        <s v="FLUXO DOS SÓCIOS E PARTES RELACIONADAS"/>
        <s v="FLUXO DE TESOURARIA"/>
        <m/>
        <s v="FLUXO DOS SÓCIOS" u="1"/>
      </sharedItems>
    </cacheField>
    <cacheField name="Conta 2" numFmtId="0">
      <sharedItems containsBlank="1" count="38">
        <s v="RECEITA BRUTA OPERACIONAL"/>
        <s v="(-) IMPOSTOS SOBRE RECEITA"/>
        <s v="CUSTOS COM MÍDIAS"/>
        <s v="CUSTOS DE INDUSTRIALIZAÇÃO"/>
        <s v="CUSTOS DE REVENDA"/>
        <s v="CUSTOS DOS SERVIÇOS ESPORTIVOS"/>
        <s v="CUSTOS COM PESSOAL E ENCARGOS"/>
        <s v="OUTROS CUSTOS"/>
        <s v="DESPESAS DE VENDAS"/>
        <s v="DESPESAS COM PESSOAL E ENCARGOS"/>
        <s v="REMUNERAÇÃO DIRETORIA"/>
        <s v="DESPESAS COMERCIAIS/ MARKETING"/>
        <s v="DESPESAS ADMINISTRATIVAS"/>
        <s v="OUTROS RESULTADOS OPERACIONAIS"/>
        <s v="IRPJ E CSLL"/>
        <s v="MOVIMENTOS DE CAPITAL DE GIRO OPERACIONAL"/>
        <s v="IMOBILIZADO"/>
        <s v="INTANGÍVEL"/>
        <s v="BENFEITORIAS"/>
        <s v="INVESTIMENTOS FINANCEIROS"/>
        <s v="EMPRÉSTIMOS E FINANCIAMENTOS"/>
        <s v="PARCELAMENTOS TRIBUTÁRIOS"/>
        <s v="RESULTADO FINANCEIRO"/>
        <s v="CAPITAL SOCIAL"/>
        <s v="DISTRIBUIÇÃO DE LUCRO"/>
        <s v="EMPRÉSTIMOS SÓCIOS"/>
        <s v="EMPRÉSTIMOS PARTES RELACIONADAS / MÚTUOS"/>
        <s v="TESOURARIA"/>
        <m/>
        <s v="EMPRÉSTIMOS PARTES RELACIONADAS" u="1"/>
        <s v="CUSTOS DIRETOS" u="1"/>
        <s v="CUSTOS DE MANUTENÇÃO E CONSERVAÇÃO" u="1"/>
        <s v="CUSTOS DOS SERVIÇOS MÍDIA" u="1"/>
        <s v="CUSTOS DOS SERVIÇOS PRESTADOS" u="1"/>
        <s v="CUSTOS DOS PRODUTOS VENDIDOS" u="1"/>
        <s v="OUTRAS RECEITAS" u="1"/>
        <s v="RECEITA LÍQUIDA" u="1"/>
        <s v="APORTE" u="1"/>
      </sharedItems>
    </cacheField>
    <cacheField name="Conta 3" numFmtId="0">
      <sharedItems containsBlank="1" count="92">
        <s v="RECEITAS SERVIÇOS PRESTADOS"/>
        <s v="RECEITAS DE VENDAS"/>
        <s v="RECEITAS DE LOCAÇÃO"/>
        <s v="RECEITAS ESPORTIVAS"/>
        <s v="RECEITAS COM ATLETAS"/>
        <s v="RECEITAS DE INCENTIVOS"/>
        <s v="(-) IMPOSTOS SOBRE RECEITA"/>
        <s v="CUSTOS DE VEICULAÇÃO"/>
        <s v="CUSTOS COM TERRENOS"/>
        <s v="INDUSTRIALIZAÇÃO"/>
        <s v="REVENDA"/>
        <s v="CUSTOS COM ATLETAS"/>
        <s v="TERCEIROS - GESTÃO TÉCNICA ESPORTIVA"/>
        <s v="TERCEIROS - SAÚDE E PERFORMANCE"/>
        <s v="MATERIAIS ESPORTIVOS"/>
        <s v="CUSTOS COM TREINOS E JOGOS"/>
        <s v="LOGÍSTICA ESPORTIVA"/>
        <s v="CUSTOS COM PESSOAL"/>
        <s v="OUTROS CUSTOS"/>
        <s v="COMISSÃO SOBRE VENDAS"/>
        <s v="OUTRAS DESPESAS DE VENDAS"/>
        <s v="DESPESAS COM PESSOAL"/>
        <s v="REMUNERAÇÃO DIRETORIA"/>
        <s v="PUBLICIDADE E PROPAGANDA"/>
        <s v="SERVIÇOS TERCEIROS"/>
        <s v="SISTEMAS E TECNOLOGIAS"/>
        <s v="OCUPAÇÃO E UTILIDADES"/>
        <s v="MANUTENÇÃO E CONSERVAÇÃO BENS MÓVEIS E IMÓVEIS"/>
        <s v="MATERIAIS E SUPRIMENTOS"/>
        <s v="DESPESAS COM VEÍCULOS"/>
        <s v="OUTRAS DESPESAS ADMINISTRATIVAS"/>
        <s v="IMPOSTOS E TAXAS"/>
        <s v="DESPESAS BANCÁRIAS"/>
        <s v="PROCESSOS JUDICIAIS"/>
        <s v="PARTICIPAÇÃO NOS RESULTADOS"/>
        <s v="OUTRAS RECEITAS"/>
        <s v="IRPJ E CSLL"/>
        <s v="ADIANTAMENTO FORNECEDOR"/>
        <s v="ADIANTAMENTO CLIENTE"/>
        <s v="IMOBILIZADO"/>
        <s v="INTANGÍVEL"/>
        <s v="BENFEITORIAS EM IMÓVEIS"/>
        <s v="INVESTIMENTOS FINANCEIROS"/>
        <s v="EMPRÉSTIMOS BANCÁRIOS"/>
        <s v="FINANCIAMENTOS"/>
        <s v="EMPRÉSTIMOS DE TERCEIROS"/>
        <s v="EMPRÉSTIMOS A TERCEIROS"/>
        <s v="PARCELAMENTOS TRIBUTÁRIOS"/>
        <s v="RECEITAS FINANCEIRAS"/>
        <s v="DESPESAS FINANCEIRAS SOBRE DÍVIDA ONEROSA"/>
        <s v="OUTRAS DESPESAS FINANCEIRAS"/>
        <s v="CAPITAL SOCIAL"/>
        <s v="DISTRIBUIÇÃO DE LUCRO"/>
        <s v="EMPRÉSTIMOS SÓCIOS"/>
        <s v="EMPRÉSTIMOS PARTES RELACIONADAS / MÚTUOS"/>
        <s v="CRÉDITO INDEVIDO"/>
        <s v="DÉBITO INDEVIDO"/>
        <s v="PERMUTA"/>
        <s v="INTRAGRUPO"/>
        <m/>
        <s v="EMPRÉSTIMOS PARTES RELACIONADAS" u="1"/>
        <s v="EMBALAGEM" u="1"/>
        <s v="MATERIAIS E SUPRIMENTOS ADMINISTRATIVOS" u="1"/>
        <s v="DESPESAS COM VEÍCULOS " u="1"/>
        <s v="RECUPERAÇÃO DE DESPESAS" u="1"/>
        <s v="DESPESAS COM MATERIAIS - CONSUMO" u="1"/>
        <s v="LOGÍSTICA ESPORTVA" u="1"/>
        <s v="CUSTOS COM MÍDIAS" u="1"/>
        <s v="CUSTOS DE MANUTENÇÃO E CONSERVAÇÃO" u="1"/>
        <s v="CUSTOS DOS SERVIÇOS MÍDIA" u="1"/>
        <s v="CUSTOS DE PROMOÇÕES" u="1"/>
        <s v="RECEITAS COMERCIAIS" u="1"/>
        <s v="RECEITA SERVIÇOS PRESTADOS" u="1"/>
        <s v="RECEITA DE VENDA" u="1"/>
        <s v="RECEITA DE LOCAÇÃO" u="1"/>
        <s v="CUSTO DE PROMOÇÕES" u="1"/>
        <s v="PREMIOS ECONTO" u="1"/>
        <s v="MANUTENÇÃO E CONSERVAÇÃO MÁQUINAS E EQUIPAMENTOS" u="1"/>
        <s v="MANUTENÇÃO E CONSERVAÇÃO TERRENOS" u="1"/>
        <s v="FERRAMENTAS E ACESSORIOS DE OPERACAO" u="1"/>
        <s v="DESPESAS TERCEIRIZADAS, VEICULAÇÃO E PRO" u="1"/>
        <s v="RECEITA BRUTA OPERACIONAL" u="1"/>
        <s v="CUSTOS DE INDUSTRIALIZAÇÃO" u="1"/>
        <s v="VEÍCULOS" u="1"/>
        <s v="DESPESAS COM VEICULOS" u="1"/>
        <s v="CUSTOS OPERACIONAIS DAS ATIVIDADES ESPORTIVAS" u="1"/>
        <s v="ADIANTAMENTO DE CLIENTE" u="1"/>
        <s v="DESPESAS FINANCEIRAS" u="1"/>
        <s v="APORTE" u="1"/>
        <s v="MANUTENÇÃO" u="1"/>
        <s v="CUSTOS DAS ATIVIDADES ESPORTIVAS" u="1"/>
        <s v="CUSTOS COM JOGOS" u="1"/>
      </sharedItems>
    </cacheField>
    <cacheField name="Conta 4" numFmtId="0">
      <sharedItems containsBlank="1" count="354">
        <s v="Prestação de Serviço"/>
        <s v="Venda de Industrialização"/>
        <s v="Revenda"/>
        <s v="Remessas e Outras Saídas"/>
        <s v="Receita de Aluguel"/>
        <s v="Bilheteria – Jogos Oficiais"/>
        <s v="Receita Premiação por Performance"/>
        <s v="Cota de Participação nos Jogos (ex: federação/CBF)"/>
        <s v="Venda de Alimentos e Bebidas - Jogos Oficiais"/>
        <s v="Direitos de Transmissão"/>
        <s v="Venda Definitiva de Atletas"/>
        <s v="Empréstimo de Atletas"/>
        <s v="Mecanismo de Solidariedade"/>
        <s v="Direitos Econômicos de Atletas"/>
        <s v="Training Compensation"/>
        <s v="Patrocínio"/>
        <s v="Verbas de Incentivos"/>
        <s v="Programa Sócio-Torcedor"/>
        <s v="ISS - Imposto Sobre Serviço"/>
        <s v="PIS"/>
        <s v="COFINS"/>
        <s v="Simples Nacional"/>
        <s v="ICMS S/ VENDA"/>
        <s v="Despesas com Parceiros"/>
        <s v="Produção Estrutural Terceirizada"/>
        <s v="Impressão Terceirizada"/>
        <s v="Veiculação Terceirizada"/>
        <s v="Instalação Terceirizada"/>
        <s v="Alvará Publicidade"/>
        <s v="Energia Mídias"/>
        <s v="Internet Mídias"/>
        <s v="Material de Fixação Mídias"/>
        <s v="Seguro de Mídias"/>
        <s v="Manutenção em Produtos Comerciais"/>
        <s v="Aluguel de Terreno PJ"/>
        <s v="Aluguel de Terreno PF"/>
        <s v="IRPF Aluguel de Terreno"/>
        <s v="ART Estruturas/ Taxa CREA"/>
        <s v="Aluguel de Terreno PJ Esporádico"/>
        <s v="Aluguel de Terreno PF Esporádico"/>
        <s v="Manutenção de Terrenos"/>
        <s v="Matéria Prima"/>
        <s v="Material Secundário"/>
        <s v="Produção Maely"/>
        <s v="Produção Visão"/>
        <s v="Impressão para Revenda"/>
        <s v="Material Esportivo Revenda"/>
        <s v="Alimentação de Atleta"/>
        <s v="Direito de Imagem"/>
        <s v="Avaliações Físicas e Médicas de Atletas"/>
        <s v="Taxa de Federação Vinculada a Atletas"/>
        <s v="Taxa de Transferência de Jogador"/>
        <s v="Treinador de Goleiro"/>
        <s v="Suplementação Atletas"/>
        <s v="Luvas e Bônus Contratuais"/>
        <s v="Comissão de Agentes Venda Atleta"/>
        <s v="Premiações por Desempenho (Bicho)"/>
        <s v="Recreação / Monitores"/>
        <s v="Coordenador Futebol"/>
        <s v="Treinador Futebol"/>
        <s v="Técnico Futebol"/>
        <s v="Supervisor Técnico"/>
        <s v="Fisioterapia"/>
        <s v="Massagista"/>
        <s v="Nutricionista"/>
        <s v="Preparador Físico"/>
        <s v="Material Esportivo"/>
        <s v="Transporte de Materiais Esportivos"/>
        <s v="Materiais Médicos e Fisioterapia"/>
        <s v="Equipamentos de Treino"/>
        <s v="Conserto de Materiais Esportivos"/>
        <s v="Captação de Atleta"/>
        <s v="Filmagem e Sonorização"/>
        <s v="Manutenção de Campo Futebol"/>
        <s v="Outros Custos com Jogos"/>
        <s v="Reembolsos Operacionais Vinculados a Treinos/Jogos"/>
        <s v="Taxas de Inscrição"/>
        <s v="Arbitragem"/>
        <s v="Aluguel de Campo"/>
        <s v="Aluguel de Veículos"/>
        <s v="Combustíveis/Lubrificantes"/>
        <s v="Transporte de Pessoas"/>
        <s v="Viagens e Estadias"/>
        <s v="Aluguel de Ônibus"/>
        <s v="13º Salários"/>
        <s v="Ações do RH"/>
        <s v="Ajuda de Custo"/>
        <s v="Benefícios Bem-Estar e Saúde"/>
        <s v="Bolsa Atleta"/>
        <s v="Bonificação/Prêmio"/>
        <s v="Cursos e Treinamentos"/>
        <s v="Despesas Médicas"/>
        <s v="Encargos (INSS/FGTS)"/>
        <s v="Exames (Admissionais/Demissionais e Periódicos)"/>
        <s v="Farmácia"/>
        <s v="Férias"/>
        <s v="Pensão Alimentícia"/>
        <s v="Plano de Saúde"/>
        <s v="Plano Odontológico"/>
        <s v="Rescisões/ GRRF"/>
        <s v="Salários"/>
        <s v="Saúde e Segurança Ocupacional"/>
        <s v="Seguro de Vida"/>
        <s v="Uniformes"/>
        <s v="Vale Refeição"/>
        <s v="Vale Transporte/Combustível"/>
        <s v="IRPF"/>
        <s v="Contribuição Sindical"/>
        <s v="Auxílio Universidade"/>
        <s v="EPI"/>
        <s v="Menor Aprendiz / Estagiário"/>
        <s v="Empréstimo Consignado"/>
        <s v="Lavanderia"/>
        <s v="Locação Maq./Ferramentas/Equip."/>
        <s v="Movimentação e Transporte"/>
        <s v="Frete de Mercadorias"/>
        <s v="Material Utilizado na Prestação de Serviço"/>
        <s v="Calibração"/>
        <s v="Serviços Médicos PJ"/>
        <s v="Remoção Terceirizada"/>
        <s v="Autônomos (Enfermeiros/Socorristas/Cond.)"/>
        <s v="Materiais Infraestrutura e Conectividade"/>
        <s v="Despesas com Retrabalho"/>
        <s v="Manutenção em Produtos de Terceiros"/>
        <s v="Saque Prêmio eConto"/>
        <s v="Comissão e Corretagem Aquisição Terreno"/>
        <s v="Comissão Clube Permuta"/>
        <s v="Comissão de Agência"/>
        <s v="BV Bonificação por Volume"/>
        <s v="Comissões Vendedor"/>
        <s v="Material para Embalagem"/>
        <s v="Despesas Com Cobrança"/>
        <s v="Profissionais Contratados Internos"/>
        <s v="Motorista"/>
        <s v="Gerente"/>
        <s v="Diretor"/>
        <s v="Pró Labore"/>
        <s v="Anúncios/ Publicações"/>
        <s v="Assessoria de Imprensa"/>
        <s v="Produção de Conteúdo"/>
        <s v="Ações com Clientes"/>
        <s v="Honorários Advocatícios"/>
        <s v="Assessoria e Consultoria"/>
        <s v="Honorários Contábeis"/>
        <s v="INSS e IR de Terceiros"/>
        <s v="IRRF de Terceiros"/>
        <s v="ISS de Terceiros"/>
        <s v="Motoboy"/>
        <s v="CSL/PIS/COFINS de Terceiros"/>
        <s v="Auditorias"/>
        <s v="Conselho Consultivo"/>
        <s v="Engenheiro/ Arquiteto"/>
        <s v="Despesas com Site"/>
        <s v="Domínio e Hospedagem"/>
        <s v="Licença e Concessão de Software"/>
        <s v="Manutenção de Software"/>
        <s v="Material de Informática"/>
        <s v="Desenvolvimento de Tecnologias"/>
        <s v="Água e Esgoto"/>
        <s v="Aluguel"/>
        <s v="Condomínio"/>
        <s v="Energia do Imóvel"/>
        <s v="Internet"/>
        <s v="IPTU"/>
        <s v="Monitoramento e Vigilância"/>
        <s v="Seguro do Imóvel"/>
        <s v="Telefonia Fixa"/>
        <s v="Telefonia Móvel"/>
        <s v="TV por Assinatura"/>
        <s v="Serviço de Limpeza e Conservação"/>
        <s v="Manutenção de Máquinas e Equipamentos"/>
        <s v="Manutenção de Móveis e Utensílios"/>
        <s v="Manutenção Predial"/>
        <s v="Material de Limpeza"/>
        <s v="Manutenção de Ferramentas"/>
        <s v="ART Imóveis"/>
        <s v="Material de Copa/Cozinha"/>
        <s v="Material de Escritório"/>
        <s v="Ferramentas para Operação"/>
        <s v="Estacionamento"/>
        <s v="IPVA/Licenciamento/DPVAT/Infraero"/>
        <s v="Manutenção de Veículos"/>
        <s v="Multas de Trânsito"/>
        <s v="Pedágio"/>
        <s v="Seguros de Veículos"/>
        <s v="Rastreador de Veículos"/>
        <s v="Transformação de Veículo"/>
        <s v="Lavagem Veículo"/>
        <s v="Despachante de Veículos"/>
        <s v="Associações/Órgãos Regulamentadores"/>
        <s v="Cartório"/>
        <s v="Confraternizações e Eventos"/>
        <s v="Correios"/>
        <s v="Gráfica"/>
        <s v="Brindes"/>
        <s v="Ass. Jornais/Revistas"/>
        <s v="Despesas com Licitações"/>
        <s v="Pesquisas"/>
        <s v="Doações"/>
        <s v="Armazenamento de Bens"/>
        <s v="Despesas com Devoluções"/>
        <s v="Junta Comercial"/>
        <s v="Licenças/ Alvarás"/>
        <s v="Taxas - Ocupação"/>
        <s v="ITR - Imposto Territorial Rural"/>
        <s v="SEFAZ"/>
        <s v="Despesas Bancárias"/>
        <s v="Recuperação de Despesas Bancárias"/>
        <s v="TED/DOC"/>
        <s v="Tarifa Cartão de Crédito/Débito"/>
        <s v="Aluguel Máquina de Cartão"/>
        <s v="Custas Processuais"/>
        <s v="Indenização e Despesas Processos Trabalhistas"/>
        <s v="Devolução Depósito Judicial"/>
        <s v="Bloqueio Judicial"/>
        <s v="Depósito Judicial"/>
        <s v="Participação no Resultado"/>
        <s v="Venda Sucata/Resíduos"/>
        <s v="IRPJ - Imposto Renda Pessoa Jurídica"/>
        <s v="CSLL - Contrib. Social Lucro Líquido"/>
        <s v="Créditos Adiantamento de Fornecedor"/>
        <s v="Adiantamento a Fornecedor"/>
        <s v="Adiantamento de Clientes"/>
        <s v="Devolução Adiantamento de Clientes"/>
        <s v="Venda de Móveis e Utensílios"/>
        <s v="Venda de Veículos"/>
        <s v="Venda de Computadores e Periféricos"/>
        <s v="Venda de Máquinas e Equipamentos"/>
        <s v="Venda de Imóveis (terrenos, salas, lotes)"/>
        <s v="Aquisição de Móveis e Utensílios"/>
        <s v="Aquisição de Veículos"/>
        <s v="Aquisição de Computadores e Periféricos"/>
        <s v="Aquisição de Máquinas e Equipamentos"/>
        <s v="Aquisição de Imóveis (terrenos, salas, lotes)"/>
        <s v="Aquisição de Estruturas Comerciais (painéis, outdoor)"/>
        <s v="Leasing"/>
        <s v="Consórcios"/>
        <s v="Marcas e Patentes"/>
        <s v="Aquisição de Software"/>
        <s v="Aquisição de Atletas"/>
        <s v="Benfeitorias em Imóveis Próprios"/>
        <s v="Benfeitorias em Imóveis de Terceiros"/>
        <s v="Aplicação Financeira"/>
        <s v="Ações"/>
        <s v="Crédito Empréstimo Bancário"/>
        <s v="Pagamento de Empréstimo Bancário"/>
        <s v="Pagamento de Financiamento"/>
        <s v="Crédito Empréstimo de Terceiros"/>
        <s v="Pagamento Empréstimo de Terceiros"/>
        <s v="Crédito Empréstimo a Terceiros"/>
        <s v="Empréstimo a Terceiros"/>
        <s v="Parcelamentos Tributários"/>
        <s v="Rendimentos sobre Aplicação"/>
        <s v="Outras Receitas Financeiras"/>
        <s v="IR e IOF sobre Receitas Financeiras"/>
        <s v="Juros sobre Empréstimos"/>
        <s v="Juros sobre Financiamentos"/>
        <s v="Despesas Empréstimos e Financiamentos"/>
        <s v="IOF"/>
        <s v="Multas e Juros sobre Pagamentos em Atrasos"/>
        <s v="Aporte/Integralização de Capital"/>
        <s v="Liquidação de Capital"/>
        <s v="Receb. Distribuição Lucros"/>
        <s v="Pagt Distribuição de Lucros"/>
        <s v="Crédito Empréstimo de Sócios"/>
        <s v="Pagamento Empréstimo de Sócios"/>
        <s v="Crédito Empréstimo de Partes Relacionadas"/>
        <s v="Pagamento Empréstimo de Partes Relacionadas"/>
        <s v="Crédito Indevido"/>
        <s v="Devolução Crédito Indevido"/>
        <s v="Recebimento Débito Indevido"/>
        <s v="Débito Indevido"/>
        <s v="Controle Permuta Avulsa"/>
        <s v="Reembolsos Intragrupo"/>
        <s v="Despesas Reembolsáveis Intragrupo"/>
        <m/>
        <s v="Pagamento Empréstimo Terceiros" u="1"/>
        <s v="Associações/Órgão regulamentadores" u="1"/>
        <s v="Exames (Admissionais/Demissionais e Peri" u="1"/>
        <s v="Crédito Empréstimo de Tereceiros" u="1"/>
        <s v="Taxa de Federação vinculada à Atletas" u="1"/>
        <s v="Venda de Alimentos e bebibas - Jogos Oficiais" u="1"/>
        <s v="Remessas e Outras Saidas" u="1"/>
        <s v="Venda Sucata/Residuos" u="1"/>
        <s v="Producao Estrutural Terceirizada" u="1"/>
        <s v="Impressao Terceirizada" u="1"/>
        <s v="Material de Fixação Midias" u="1"/>
        <s v="Seguro de Midias" u="1"/>
        <s v="BV Bonificacão por Volume" u="1"/>
        <s v="Autonomos (Enfermeiros/Socorristas/Cond)" u="1"/>
        <s v="Ferramentas para Operacao" u="1"/>
        <s v="Contribuiçao Sindical" u="1"/>
        <s v="Participaçao no Resultado" u="1"/>
        <s v="Auxilio Universidade" u="1"/>
        <s v="Pagt Distribuiçao de Lucros" u="1"/>
        <s v="Emprestimo Consignado" u="1"/>
        <s v="Tecnico Futebol" u="1"/>
        <s v="Juros sobre Emprestimos" u="1"/>
        <s v="Despesas Emprestimos e Financiamentos" u="1"/>
        <s v="Aquisicao de Maquinas e Equipamentos" u="1"/>
        <s v="Consorcios" u="1"/>
        <s v="Venda de Imóveis  (terrenos, salas, lotes)" u="1"/>
        <s v="Aquisição de Imóveis  (terrenos, salas, lotes)" u="1"/>
        <s v="Aquisição de Estruturas Comerciais (paineis, outdoor)" u="1"/>
        <s v="Aplicacao Financeira" u="1"/>
        <s v="Despesas rembolsáveis Intragrupo" u="1"/>
        <s v="Devolução Débito Indevido" u="1"/>
        <s v="Indevido" u="1"/>
        <s v="Distribuição de Lucro Sócios" u="1"/>
        <s v="Juros Sobre Empréstimo e Financiamentos" u="1"/>
        <s v="Recebimento de Emprestimo a Terceiros" u="1"/>
        <s v="Estruturas Comerciais (paineis, outdoor)" u="1"/>
        <s v="Imoveis  (terrenos, salas, lotes)" u="1"/>
        <s v="Venda de Ativo" u="1"/>
        <s v="Receita de Reembolso" u="1"/>
        <s v="Serviços de Terceiros" u="1"/>
        <s v="Lavgem Veículo" u="1"/>
        <s v="Mídias sociais" u="1"/>
        <s v="Campanhas promocionais" u="1"/>
        <s v="Serviços de Terceiros (abrir)" u="1"/>
        <s v="Comissão e Corretagem sobre Venda" u="1"/>
        <s v="Comissão de agentes" u="1"/>
        <s v="Comissoes Vendedor" u="1"/>
        <s v="Comissão e Corretagem" u="1"/>
        <s v="Serviço de Lavanderia - Uniformes" u="1"/>
        <s v="Direitos econômicos" u="1"/>
        <s v="Parcelamentos" u="1"/>
        <s v="Debito por Recebimento indevido" u="1"/>
        <s v="Pagamento Empréstimo Bancário" u="1"/>
        <s v="Taxa de Federação vinculadas à Atletas" u="1"/>
        <s v="Premiação por Performance" u="1"/>
        <s v="Venda de Ingressos" u="1"/>
        <s v="Premiação" u="1"/>
        <s v="Cota de Participação nos Jogos" u="1"/>
        <s v="Venda passe jogador" u="1"/>
        <s v="Manutenção e Gestão de Site" u="1"/>
        <s v="Empréstimo a Terceiros x" u="1"/>
        <s v="Indenização e Despesas Judiciais" u="1"/>
        <s v="INSS e IR sobre Folha" u="1"/>
        <s v="Telefonia e Internet" u="1"/>
        <s v="Crédito Empréstimo a Terceiros x" u="1"/>
        <s v="Pagamento Empréstimo a x" u="1"/>
        <s v="Crédito Empréstimo de x" u="1"/>
        <s v="Taxa de Federação (Registro de Atletas)" u="1"/>
        <s v="Pagamento Empréstimo Bancário x" u="1"/>
        <s v="Crédito Empréstimo Bancário x" u="1"/>
        <s v="Recebimento Empréstimo de Sócios" u="1"/>
        <s v="Distribuição de Lucro" u="1"/>
        <s v="Venda de Software" u="1"/>
        <s v="Aquisição Computadores e Periféricos" u="1"/>
        <s v="Venda Computadores e Periféricos" u="1"/>
        <s v="Manutenção/ Benfeitorias em Imóveis de Terceiros" u="1"/>
        <s v="Licenças/ Alvarás - Ocupação" u="1"/>
        <s v="Outros Custos com Jogos (Pagamento de Reembolso)" u="1"/>
      </sharedItems>
    </cacheField>
    <cacheField name="OBS" numFmtId="0">
      <sharedItems containsBlank="1"/>
    </cacheField>
    <cacheField name="Ajuste na natureza analítica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s v="Sim"/>
    <s v="Sim"/>
    <s v="Sim"/>
    <x v="0"/>
    <s v="1000000"/>
    <s v="1010000"/>
    <s v="1010100"/>
    <s v="1010101"/>
    <x v="0"/>
    <x v="0"/>
    <x v="0"/>
    <s v="Prestação de Serviço"/>
  </r>
  <r>
    <s v="Sim"/>
    <s v="Sim"/>
    <s v="Sim"/>
    <x v="1"/>
    <s v="1000000"/>
    <s v="1010000"/>
    <s v="1010100"/>
    <s v="1010102"/>
    <x v="0"/>
    <x v="0"/>
    <x v="0"/>
    <s v="Venda de industrialização"/>
  </r>
  <r>
    <s v="Sim"/>
    <s v="Sim"/>
    <s v="Sim"/>
    <x v="2"/>
    <s v="1000000"/>
    <s v="1010000"/>
    <s v="1010100"/>
    <s v="1010103"/>
    <x v="0"/>
    <x v="0"/>
    <x v="0"/>
    <s v="Revenda"/>
  </r>
  <r>
    <s v="Sim"/>
    <s v="Sim"/>
    <s v="Sim"/>
    <x v="3"/>
    <s v="1000000"/>
    <s v="1010000"/>
    <s v="1010100"/>
    <s v="1010104"/>
    <x v="0"/>
    <x v="0"/>
    <x v="0"/>
    <s v="Venda passe jogador"/>
  </r>
  <r>
    <s v="Sim"/>
    <s v="Sim"/>
    <s v="Sim"/>
    <x v="4"/>
    <s v="1000000"/>
    <s v="1010000"/>
    <s v="1010100"/>
    <s v="1010105"/>
    <x v="0"/>
    <x v="0"/>
    <x v="0"/>
    <s v="Receita de aluguel"/>
  </r>
  <r>
    <s v="Sim"/>
    <s v="Sim"/>
    <s v="Sim"/>
    <x v="5"/>
    <s v="1000000"/>
    <s v="1010000"/>
    <s v="1010100"/>
    <s v="1010106"/>
    <x v="0"/>
    <x v="0"/>
    <x v="0"/>
    <s v="Remessas e Outras Saidas"/>
  </r>
  <r>
    <s v="Sim"/>
    <s v="Sim"/>
    <s v="Sim"/>
    <x v="6"/>
    <s v="1000000"/>
    <s v="1010000"/>
    <s v="1010100"/>
    <s v="1010107"/>
    <x v="0"/>
    <x v="0"/>
    <x v="0"/>
    <s v="Venda de Ingressos"/>
  </r>
  <r>
    <s v="Sim"/>
    <s v="Sim"/>
    <s v="Sim"/>
    <x v="7"/>
    <s v="1000000"/>
    <s v="1020000"/>
    <s v="1020100"/>
    <s v="1020101"/>
    <x v="0"/>
    <x v="1"/>
    <x v="1"/>
    <s v="Rendimentos sobre Aplicação"/>
  </r>
  <r>
    <s v="Sim"/>
    <s v="Sim"/>
    <s v="Sim"/>
    <x v="8"/>
    <s v="1000000"/>
    <s v="1020000"/>
    <s v="1020100"/>
    <s v="1020102"/>
    <x v="0"/>
    <x v="1"/>
    <x v="1"/>
    <s v="Recuperação de Despesas Bancárias"/>
  </r>
  <r>
    <s v="Sim"/>
    <s v="Sim"/>
    <s v="Não"/>
    <x v="9"/>
    <s v="1000000"/>
    <s v="1020000"/>
    <s v="1020100"/>
    <s v="1020103"/>
    <x v="0"/>
    <x v="1"/>
    <x v="1"/>
    <s v="Outras Receitas Financeiras"/>
  </r>
  <r>
    <s v="Sim"/>
    <s v="Sim"/>
    <s v="Sim"/>
    <x v="10"/>
    <s v="1000000"/>
    <s v="1020000"/>
    <s v="1020200"/>
    <s v="1020201"/>
    <x v="0"/>
    <x v="1"/>
    <x v="2"/>
    <s v="Aporte/Integralização de Capital"/>
  </r>
  <r>
    <s v="Sim"/>
    <s v="Sim"/>
    <s v="Sim"/>
    <x v="11"/>
    <s v="1000000"/>
    <s v="1020000"/>
    <s v="1020200"/>
    <s v="1020202"/>
    <x v="0"/>
    <x v="1"/>
    <x v="2"/>
    <s v="Emprestimo de Sócios"/>
  </r>
  <r>
    <s v="Sim"/>
    <s v="Sim"/>
    <s v="Sim"/>
    <x v="12"/>
    <s v="1000000"/>
    <s v="1020000"/>
    <s v="1020200"/>
    <s v="1020203"/>
    <x v="0"/>
    <x v="1"/>
    <x v="2"/>
    <s v="Venda de Ativo"/>
  </r>
  <r>
    <s v="Sim"/>
    <s v="Sim"/>
    <s v="Sim"/>
    <x v="13"/>
    <s v="1000000"/>
    <s v="1020000"/>
    <s v="1020200"/>
    <s v="1020204"/>
    <x v="0"/>
    <x v="1"/>
    <x v="2"/>
    <s v="Adiantamento de Clientes"/>
  </r>
  <r>
    <s v="Sim"/>
    <s v="Sim"/>
    <s v="Sim"/>
    <x v="14"/>
    <s v="1000000"/>
    <s v="1020000"/>
    <s v="1020200"/>
    <s v="1020205"/>
    <x v="0"/>
    <x v="1"/>
    <x v="2"/>
    <s v="Receita de Reembolso"/>
  </r>
  <r>
    <s v="Sim"/>
    <s v="Sim"/>
    <s v="Sim"/>
    <x v="15"/>
    <s v="1000000"/>
    <s v="1020000"/>
    <s v="1020200"/>
    <s v="1020206"/>
    <x v="0"/>
    <x v="1"/>
    <x v="2"/>
    <s v="Indevido"/>
  </r>
  <r>
    <s v="Sim"/>
    <s v="Sim"/>
    <s v="Sim"/>
    <x v="16"/>
    <s v="1000000"/>
    <s v="1020000"/>
    <s v="1020200"/>
    <s v="1020207"/>
    <x v="0"/>
    <x v="1"/>
    <x v="2"/>
    <s v="Recebimento de Emprestimo a Terceiros"/>
  </r>
  <r>
    <s v="Sim"/>
    <s v="Sim"/>
    <s v="Sim"/>
    <x v="17"/>
    <s v="1000000"/>
    <s v="1020000"/>
    <s v="1020200"/>
    <s v="1020208"/>
    <x v="0"/>
    <x v="1"/>
    <x v="2"/>
    <s v="Patrocinio"/>
  </r>
  <r>
    <s v="Sim"/>
    <s v="Sim"/>
    <s v="Sim"/>
    <x v="18"/>
    <s v="1000000"/>
    <s v="1020000"/>
    <s v="1020200"/>
    <s v="1020209"/>
    <x v="0"/>
    <x v="1"/>
    <x v="2"/>
    <s v="Receita de Empréstimo"/>
  </r>
  <r>
    <s v="Sim"/>
    <s v="Sim"/>
    <s v="Sim"/>
    <x v="19"/>
    <s v="1000000"/>
    <s v="1020000"/>
    <s v="1020200"/>
    <s v="1020210"/>
    <x v="0"/>
    <x v="1"/>
    <x v="2"/>
    <s v="Venda Sucata/Residuos"/>
  </r>
  <r>
    <s v="Sim"/>
    <s v="Sim"/>
    <s v="Sim"/>
    <x v="20"/>
    <s v="1000000"/>
    <s v="1020000"/>
    <s v="1020200"/>
    <s v="1020211"/>
    <x v="0"/>
    <x v="1"/>
    <x v="2"/>
    <s v="Receb. Distribuição Lucros"/>
  </r>
  <r>
    <s v="Sim"/>
    <s v="Sim"/>
    <s v="Sim"/>
    <x v="21"/>
    <s v="1000000"/>
    <s v="1020000"/>
    <s v="1020200"/>
    <s v="1020212"/>
    <x v="0"/>
    <x v="1"/>
    <x v="2"/>
    <s v="Devolução Depósito Judicial"/>
  </r>
  <r>
    <s v="Sim"/>
    <s v="Sim"/>
    <s v="Sim"/>
    <x v="22"/>
    <s v="2000000"/>
    <s v="2010000"/>
    <s v="2010100"/>
    <s v="2010101"/>
    <x v="1"/>
    <x v="2"/>
    <x v="3"/>
    <s v="Matéria Prima"/>
  </r>
  <r>
    <s v="Sim"/>
    <s v="Sim"/>
    <s v="Sim"/>
    <x v="23"/>
    <s v="2000000"/>
    <s v="2010000"/>
    <s v="2010100"/>
    <s v="2010102"/>
    <x v="1"/>
    <x v="2"/>
    <x v="3"/>
    <s v="Material Secundário"/>
  </r>
  <r>
    <s v="Sim"/>
    <s v="Sim"/>
    <s v="Sim"/>
    <x v="24"/>
    <s v="2000000"/>
    <s v="2010000"/>
    <s v="2010100"/>
    <s v="2010104"/>
    <x v="1"/>
    <x v="2"/>
    <x v="3"/>
    <s v="Produção Maely"/>
  </r>
  <r>
    <s v="Sim"/>
    <s v="Sim"/>
    <s v="Sim"/>
    <x v="25"/>
    <s v="2000000"/>
    <s v="2010000"/>
    <s v="2010100"/>
    <s v="2010105"/>
    <x v="1"/>
    <x v="2"/>
    <x v="3"/>
    <s v="Produção Visão"/>
  </r>
  <r>
    <s v="Sim"/>
    <s v="Sim"/>
    <s v="Sim"/>
    <x v="26"/>
    <s v="2000000"/>
    <s v="2010000"/>
    <s v="2010200"/>
    <s v="2010201"/>
    <x v="1"/>
    <x v="2"/>
    <x v="4"/>
    <s v="Impressão para Revenda"/>
  </r>
  <r>
    <s v="Sim"/>
    <s v="Sim"/>
    <s v="Sim"/>
    <x v="27"/>
    <s v="2000000"/>
    <s v="2010000"/>
    <s v="2010200"/>
    <s v="2010202"/>
    <x v="1"/>
    <x v="2"/>
    <x v="4"/>
    <s v="Material Esportivo Revenda"/>
  </r>
  <r>
    <s v="Sim"/>
    <s v="Sim"/>
    <s v="Sim"/>
    <x v="28"/>
    <s v="2000000"/>
    <s v="2010000"/>
    <s v="2010300"/>
    <s v="2010301"/>
    <x v="1"/>
    <x v="2"/>
    <x v="5"/>
    <s v="Locaçao Maq./Ferramentas/Equip."/>
  </r>
  <r>
    <s v="Sim"/>
    <s v="Sim"/>
    <s v="Sim"/>
    <x v="29"/>
    <s v="2000000"/>
    <s v="2010000"/>
    <s v="2010300"/>
    <s v="2010302"/>
    <x v="1"/>
    <x v="2"/>
    <x v="5"/>
    <s v="Producao Estrutural Terceirizada"/>
  </r>
  <r>
    <s v="Sim"/>
    <s v="Sim"/>
    <s v="Sim"/>
    <x v="30"/>
    <s v="2000000"/>
    <s v="2010000"/>
    <s v="2010300"/>
    <s v="2010303"/>
    <x v="1"/>
    <x v="2"/>
    <x v="5"/>
    <s v="Impressao Terceirizada"/>
  </r>
  <r>
    <s v="Sim"/>
    <s v="Sim"/>
    <s v="Sim"/>
    <x v="31"/>
    <s v="2000000"/>
    <s v="2010000"/>
    <s v="2010300"/>
    <s v="2010304"/>
    <x v="1"/>
    <x v="2"/>
    <x v="5"/>
    <s v="Veiculação Terceirizada"/>
  </r>
  <r>
    <s v="Sim"/>
    <s v="Sim"/>
    <s v="Sim"/>
    <x v="32"/>
    <s v="2000000"/>
    <s v="2010000"/>
    <s v="2010300"/>
    <s v="2010305"/>
    <x v="1"/>
    <x v="2"/>
    <x v="5"/>
    <s v="Instalação Terceirizada"/>
  </r>
  <r>
    <s v="Sim"/>
    <s v="Sim"/>
    <s v="Sim"/>
    <x v="33"/>
    <s v="2000000"/>
    <s v="2010000"/>
    <s v="2010300"/>
    <s v="2010306"/>
    <x v="1"/>
    <x v="2"/>
    <x v="5"/>
    <s v="Frete de Mercadorias"/>
  </r>
  <r>
    <s v="Sim"/>
    <s v="Sim"/>
    <s v="Sim"/>
    <x v="34"/>
    <s v="2000000"/>
    <s v="2010000"/>
    <s v="2010300"/>
    <s v="2010307"/>
    <x v="1"/>
    <x v="2"/>
    <x v="5"/>
    <s v="Despesas com parceiros"/>
  </r>
  <r>
    <s v="Sim"/>
    <s v="Sim"/>
    <s v="Sim"/>
    <x v="35"/>
    <s v="2000000"/>
    <s v="2010000"/>
    <s v="2010300"/>
    <s v="2010308"/>
    <x v="1"/>
    <x v="2"/>
    <x v="5"/>
    <s v="Aluguel de Terreno PJ"/>
  </r>
  <r>
    <s v="Sim"/>
    <s v="Sim"/>
    <s v="Sim"/>
    <x v="36"/>
    <s v="2000000"/>
    <s v="2010000"/>
    <s v="2010300"/>
    <s v="2010309"/>
    <x v="1"/>
    <x v="2"/>
    <x v="5"/>
    <s v="Aluguel de Terreno PF"/>
  </r>
  <r>
    <s v="Sim"/>
    <s v="Sim"/>
    <s v="Sim"/>
    <x v="37"/>
    <s v="2000000"/>
    <s v="2010000"/>
    <s v="2010300"/>
    <s v="2010310"/>
    <x v="1"/>
    <x v="2"/>
    <x v="5"/>
    <s v="IRPF aluguel de terreno"/>
  </r>
  <r>
    <s v="Sim"/>
    <s v="Sim"/>
    <s v="Sim"/>
    <x v="38"/>
    <s v="2000000"/>
    <s v="2010000"/>
    <s v="2010300"/>
    <s v="2010311"/>
    <x v="1"/>
    <x v="2"/>
    <x v="5"/>
    <s v="Alvará Publicidade"/>
  </r>
  <r>
    <s v="Sim"/>
    <s v="Sim"/>
    <s v="Sim"/>
    <x v="39"/>
    <s v="2000000"/>
    <s v="2010000"/>
    <s v="2010300"/>
    <s v="2010312"/>
    <x v="1"/>
    <x v="2"/>
    <x v="5"/>
    <s v="ART Estruturas/ Taxa CREA"/>
  </r>
  <r>
    <s v="Sim"/>
    <s v="Sim"/>
    <s v="Sim"/>
    <x v="40"/>
    <s v="2000000"/>
    <s v="2010000"/>
    <s v="2010300"/>
    <s v="2010313"/>
    <x v="1"/>
    <x v="2"/>
    <x v="5"/>
    <s v="Energia Mídias"/>
  </r>
  <r>
    <s v="Sim"/>
    <s v="Sim"/>
    <s v="Sim"/>
    <x v="41"/>
    <s v="2000000"/>
    <s v="2010000"/>
    <s v="2010300"/>
    <s v="2010314"/>
    <x v="1"/>
    <x v="2"/>
    <x v="5"/>
    <s v="Material Utilzado na Prestação de Serviç"/>
  </r>
  <r>
    <s v="Sim"/>
    <s v="Sim"/>
    <s v="Sim"/>
    <x v="42"/>
    <s v="2000000"/>
    <s v="2010000"/>
    <s v="2010300"/>
    <s v="2010315"/>
    <x v="1"/>
    <x v="2"/>
    <x v="5"/>
    <s v="Comissão de Agência"/>
  </r>
  <r>
    <s v="Sim"/>
    <s v="Sim"/>
    <s v="Sim"/>
    <x v="43"/>
    <s v="2000000"/>
    <s v="2010000"/>
    <s v="2010300"/>
    <s v="2010316"/>
    <x v="1"/>
    <x v="2"/>
    <x v="5"/>
    <s v="Internet Mídias"/>
  </r>
  <r>
    <s v="Sim"/>
    <s v="Sim"/>
    <s v="Sim"/>
    <x v="44"/>
    <s v="2000000"/>
    <s v="2010000"/>
    <s v="2010300"/>
    <s v="2010317"/>
    <x v="1"/>
    <x v="2"/>
    <x v="5"/>
    <s v="Material de Fixação Midias"/>
  </r>
  <r>
    <s v="Sim"/>
    <s v="Sim"/>
    <s v="Sim"/>
    <x v="45"/>
    <s v="2000000"/>
    <s v="2010000"/>
    <s v="2010300"/>
    <s v="2010318"/>
    <x v="1"/>
    <x v="2"/>
    <x v="5"/>
    <s v="Seguro de Midias"/>
  </r>
  <r>
    <s v="Sim"/>
    <s v="Sim"/>
    <s v="Sim"/>
    <x v="46"/>
    <s v="2000000"/>
    <s v="2010000"/>
    <s v="2010300"/>
    <s v="2010319"/>
    <x v="1"/>
    <x v="2"/>
    <x v="5"/>
    <s v="BV Bonificacão por Volume"/>
  </r>
  <r>
    <s v="Sim"/>
    <s v="Sim"/>
    <s v="Sim"/>
    <x v="47"/>
    <s v="2000000"/>
    <s v="2010000"/>
    <s v="2010300"/>
    <s v="2010321"/>
    <x v="1"/>
    <x v="2"/>
    <x v="5"/>
    <s v="Movimentação e Transporte"/>
  </r>
  <r>
    <s v="Sim"/>
    <s v="Sim"/>
    <s v="Sim"/>
    <x v="48"/>
    <s v="2000000"/>
    <s v="2010000"/>
    <s v="2010300"/>
    <s v="2010322"/>
    <x v="1"/>
    <x v="2"/>
    <x v="5"/>
    <s v="Calibração"/>
  </r>
  <r>
    <s v="Sim"/>
    <s v="Sim"/>
    <s v="Sim"/>
    <x v="49"/>
    <s v="2000000"/>
    <s v="2010000"/>
    <s v="2010300"/>
    <s v="2010324"/>
    <x v="1"/>
    <x v="2"/>
    <x v="5"/>
    <s v="Lavanderia"/>
  </r>
  <r>
    <s v="Sim"/>
    <s v="Sim"/>
    <s v="Sim"/>
    <x v="50"/>
    <s v="2000000"/>
    <s v="2010000"/>
    <s v="2010300"/>
    <s v="2010326"/>
    <x v="1"/>
    <x v="2"/>
    <x v="5"/>
    <s v="Serviços Médicos PJ"/>
  </r>
  <r>
    <s v="Sim"/>
    <s v="Sim"/>
    <s v="Sim"/>
    <x v="51"/>
    <s v="2000000"/>
    <s v="2010000"/>
    <s v="2010300"/>
    <s v="2010328"/>
    <x v="1"/>
    <x v="2"/>
    <x v="5"/>
    <s v="Remoção Terceirizada"/>
  </r>
  <r>
    <s v="Sim"/>
    <s v="Sim"/>
    <s v="Sim"/>
    <x v="52"/>
    <s v="2000000"/>
    <s v="2010000"/>
    <s v="2010300"/>
    <s v="2010329"/>
    <x v="1"/>
    <x v="2"/>
    <x v="5"/>
    <s v="Autonomos (Enfermeiros/Socorristas/Cond)"/>
  </r>
  <r>
    <s v="Sim"/>
    <s v="Sim"/>
    <s v="Sim"/>
    <x v="53"/>
    <s v="2000000"/>
    <s v="2010000"/>
    <s v="2010300"/>
    <s v="2010330"/>
    <x v="1"/>
    <x v="2"/>
    <x v="5"/>
    <s v="Materiais Infraestrutura e Conectividade"/>
  </r>
  <r>
    <s v="Sim"/>
    <s v="Sim"/>
    <s v="Sim"/>
    <x v="54"/>
    <s v="2000000"/>
    <s v="2010000"/>
    <s v="2010300"/>
    <s v="2010331"/>
    <x v="1"/>
    <x v="2"/>
    <x v="5"/>
    <s v="Aluguel de Terreno PJ Esporádico"/>
  </r>
  <r>
    <s v="Sim"/>
    <s v="Sim"/>
    <s v="Sim"/>
    <x v="55"/>
    <s v="2000000"/>
    <s v="2010000"/>
    <s v="2010300"/>
    <s v="2010332"/>
    <x v="1"/>
    <x v="2"/>
    <x v="5"/>
    <s v="Aluguel de Terreno PF Esporádico"/>
  </r>
  <r>
    <s v="Sim"/>
    <s v="Sim"/>
    <s v="Sim"/>
    <x v="55"/>
    <s v="2000000"/>
    <s v="2010000"/>
    <s v="2010300"/>
    <s v="2010332"/>
    <x v="1"/>
    <x v="2"/>
    <x v="5"/>
    <s v="Aluguel de Terreno PF Esporádico"/>
  </r>
  <r>
    <s v="Sim"/>
    <s v="Sim"/>
    <s v="Sim"/>
    <x v="56"/>
    <s v="2000000"/>
    <s v="2010000"/>
    <s v="2010400"/>
    <s v="2010401"/>
    <x v="1"/>
    <x v="2"/>
    <x v="6"/>
    <s v="Aluguel de Campo"/>
  </r>
  <r>
    <s v="Sim"/>
    <s v="Sim"/>
    <s v="Sim"/>
    <x v="57"/>
    <s v="2000000"/>
    <s v="2010000"/>
    <s v="2010400"/>
    <s v="2010402"/>
    <x v="1"/>
    <x v="2"/>
    <x v="6"/>
    <s v="Massagista"/>
  </r>
  <r>
    <s v="Sim"/>
    <s v="Sim"/>
    <s v="Sim"/>
    <x v="58"/>
    <s v="2000000"/>
    <s v="2010000"/>
    <s v="2010400"/>
    <s v="2010403"/>
    <x v="1"/>
    <x v="2"/>
    <x v="6"/>
    <s v="Arbitragem"/>
  </r>
  <r>
    <s v="Sim"/>
    <s v="Sim"/>
    <s v="Sim"/>
    <x v="59"/>
    <s v="2000000"/>
    <s v="2010000"/>
    <s v="2010400"/>
    <s v="2010404"/>
    <x v="1"/>
    <x v="2"/>
    <x v="6"/>
    <s v="Aluguel de ônibus"/>
  </r>
  <r>
    <s v="Sim"/>
    <s v="Sim"/>
    <s v="Sim"/>
    <x v="60"/>
    <s v="2000000"/>
    <s v="2010000"/>
    <s v="2010400"/>
    <s v="2010405"/>
    <x v="1"/>
    <x v="2"/>
    <x v="6"/>
    <s v="Transporte de materiais esportivos"/>
  </r>
  <r>
    <s v="Sim"/>
    <s v="Sim"/>
    <s v="Sim"/>
    <x v="61"/>
    <s v="2000000"/>
    <s v="2010000"/>
    <s v="2010400"/>
    <s v="2010406"/>
    <x v="1"/>
    <x v="2"/>
    <x v="6"/>
    <s v="Filmagem e Sonorização"/>
  </r>
  <r>
    <s v="Sim"/>
    <s v="Sim"/>
    <s v="Sim"/>
    <x v="62"/>
    <s v="2000000"/>
    <s v="2010000"/>
    <s v="2010400"/>
    <s v="2010407"/>
    <x v="1"/>
    <x v="2"/>
    <x v="6"/>
    <s v="Outras Despesas com Jogos"/>
  </r>
  <r>
    <s v="Sim"/>
    <s v="Sim"/>
    <s v="Sim"/>
    <x v="63"/>
    <s v="2000000"/>
    <s v="2010000"/>
    <s v="2010500"/>
    <s v="2010501"/>
    <x v="1"/>
    <x v="2"/>
    <x v="7"/>
    <s v="Taxa de Federação"/>
  </r>
  <r>
    <s v="Sim"/>
    <s v="Sim"/>
    <s v="Sim"/>
    <x v="64"/>
    <s v="2000000"/>
    <s v="2010000"/>
    <s v="2010500"/>
    <s v="2010502"/>
    <x v="1"/>
    <x v="2"/>
    <x v="7"/>
    <s v="Taxa de Transferência de Jogador"/>
  </r>
  <r>
    <s v="Sim"/>
    <s v="Sim"/>
    <s v="Sim"/>
    <x v="65"/>
    <s v="2000000"/>
    <s v="2010000"/>
    <s v="2010500"/>
    <s v="2010503"/>
    <x v="1"/>
    <x v="2"/>
    <x v="7"/>
    <s v="Alimentação de Atleta"/>
  </r>
  <r>
    <s v="Sim"/>
    <s v="Sim"/>
    <s v="Sim"/>
    <x v="66"/>
    <s v="2000000"/>
    <s v="2010000"/>
    <s v="2010500"/>
    <s v="2010505"/>
    <x v="1"/>
    <x v="2"/>
    <x v="7"/>
    <s v="Exames de Avaliação"/>
  </r>
  <r>
    <s v="Sim"/>
    <s v="Sim"/>
    <s v="Sim"/>
    <x v="67"/>
    <s v="2000000"/>
    <s v="2010000"/>
    <s v="2010500"/>
    <s v="2010506"/>
    <x v="1"/>
    <x v="2"/>
    <x v="7"/>
    <s v="Ajuda de Custo"/>
  </r>
  <r>
    <s v="Sim"/>
    <s v="Sim"/>
    <s v="Sim"/>
    <x v="68"/>
    <s v="2000000"/>
    <s v="2010000"/>
    <s v="2010500"/>
    <s v="2010507"/>
    <x v="1"/>
    <x v="2"/>
    <x v="7"/>
    <s v="Fisioterapia"/>
  </r>
  <r>
    <s v="Sim"/>
    <s v="Sim"/>
    <s v="Sim"/>
    <x v="69"/>
    <s v="2000000"/>
    <s v="2010000"/>
    <s v="2010500"/>
    <s v="2010508"/>
    <x v="1"/>
    <x v="2"/>
    <x v="7"/>
    <s v="Bolsa Atleta"/>
  </r>
  <r>
    <s v="Sim"/>
    <s v="Sim"/>
    <s v="Sim"/>
    <x v="70"/>
    <s v="2000000"/>
    <s v="2010000"/>
    <s v="2010500"/>
    <s v="2010509"/>
    <x v="1"/>
    <x v="2"/>
    <x v="7"/>
    <s v="Direito de Imagem"/>
  </r>
  <r>
    <s v="Sim"/>
    <s v="Sim"/>
    <s v="Sim"/>
    <x v="71"/>
    <s v="2000000"/>
    <s v="2010000"/>
    <s v="2010500"/>
    <s v="2010510"/>
    <x v="1"/>
    <x v="2"/>
    <x v="7"/>
    <s v="Recreação / Monitores"/>
  </r>
  <r>
    <s v="Sim"/>
    <s v="Sim"/>
    <s v="Sim"/>
    <x v="72"/>
    <s v="2000000"/>
    <s v="2010000"/>
    <s v="2010600"/>
    <s v="2010601"/>
    <x v="1"/>
    <x v="2"/>
    <x v="8"/>
    <s v="Manutenção de Terrenos"/>
  </r>
  <r>
    <s v="Sim"/>
    <s v="Sim"/>
    <s v="Sim"/>
    <x v="73"/>
    <s v="2000000"/>
    <s v="2010000"/>
    <s v="2010600"/>
    <s v="2010602"/>
    <x v="1"/>
    <x v="2"/>
    <x v="8"/>
    <s v="Manutenção em Produtos Comerciais"/>
  </r>
  <r>
    <s v="Sim"/>
    <s v="Sim"/>
    <s v="Sim"/>
    <x v="74"/>
    <s v="2000000"/>
    <s v="2010000"/>
    <s v="2010600"/>
    <s v="2010603"/>
    <x v="1"/>
    <x v="2"/>
    <x v="8"/>
    <s v="Despesas com Retrabalho"/>
  </r>
  <r>
    <s v="Sim"/>
    <s v="Sim"/>
    <s v="Sim"/>
    <x v="75"/>
    <s v="2000000"/>
    <s v="2010000"/>
    <s v="2010600"/>
    <s v="2010604"/>
    <x v="1"/>
    <x v="2"/>
    <x v="8"/>
    <s v="Conserto de Materiais Esportivos"/>
  </r>
  <r>
    <s v="Sim"/>
    <s v="Sim"/>
    <s v="Sim"/>
    <x v="76"/>
    <s v="2000000"/>
    <s v="2010000"/>
    <s v="2010600"/>
    <s v="2010605"/>
    <x v="1"/>
    <x v="2"/>
    <x v="8"/>
    <s v="Manutenção em Produtos de Terceiros"/>
  </r>
  <r>
    <s v="Sim"/>
    <s v="Sim"/>
    <s v="Sim"/>
    <x v="77"/>
    <s v="2000000"/>
    <s v="2010000"/>
    <s v="2010600"/>
    <s v="2010606"/>
    <x v="1"/>
    <x v="2"/>
    <x v="8"/>
    <s v="Manutenção de Ferramentas"/>
  </r>
  <r>
    <s v="Sim"/>
    <s v="Sim"/>
    <s v="Sim"/>
    <x v="78"/>
    <s v="2000000"/>
    <s v="2010000"/>
    <s v="2010600"/>
    <s v="2010607"/>
    <x v="1"/>
    <x v="2"/>
    <x v="8"/>
    <s v="Manutenção de Campo Futebol"/>
  </r>
  <r>
    <s v="Sim"/>
    <s v="Sim"/>
    <s v="Sim"/>
    <x v="79"/>
    <s v="2000000"/>
    <s v="2010000"/>
    <s v="2010600"/>
    <s v="2010608"/>
    <x v="1"/>
    <x v="2"/>
    <x v="8"/>
    <s v="Manutenção de Máquinas e Equipamentos"/>
  </r>
  <r>
    <s v="Sim"/>
    <s v="Sim"/>
    <s v="Sim"/>
    <x v="80"/>
    <s v="2000000"/>
    <s v="2010000"/>
    <s v="2010700"/>
    <s v="2010701"/>
    <x v="1"/>
    <x v="2"/>
    <x v="9"/>
    <s v="Ferramentas para Operacao"/>
  </r>
  <r>
    <s v="Sim"/>
    <s v="Sim"/>
    <s v="Sim"/>
    <x v="81"/>
    <s v="2000000"/>
    <s v="2010000"/>
    <s v="2010800"/>
    <s v="2010801"/>
    <x v="1"/>
    <x v="2"/>
    <x v="10"/>
    <s v="Saque Prêmio eConto"/>
  </r>
  <r>
    <s v="Sim"/>
    <s v="Sim"/>
    <s v="Sim"/>
    <x v="82"/>
    <s v="2000000"/>
    <s v="2020000"/>
    <s v="2020100"/>
    <s v="2020101"/>
    <x v="1"/>
    <x v="3"/>
    <x v="11"/>
    <s v="13º Salarios"/>
  </r>
  <r>
    <s v="Sim"/>
    <s v="Sim"/>
    <s v="Sim"/>
    <x v="83"/>
    <s v="2000000"/>
    <s v="2020000"/>
    <s v="2020100"/>
    <s v="2020102"/>
    <x v="1"/>
    <x v="3"/>
    <x v="11"/>
    <s v="Salarios"/>
  </r>
  <r>
    <s v="Sim"/>
    <s v="Sim"/>
    <s v="Sim"/>
    <x v="84"/>
    <s v="2000000"/>
    <s v="2020000"/>
    <s v="2020100"/>
    <s v="2020103"/>
    <x v="1"/>
    <x v="3"/>
    <x v="11"/>
    <s v="Vale Transporte/Combustível"/>
  </r>
  <r>
    <s v="Sim"/>
    <s v="Sim"/>
    <s v="Sim"/>
    <x v="85"/>
    <s v="2000000"/>
    <s v="2020000"/>
    <s v="2020100"/>
    <s v="2020104"/>
    <x v="1"/>
    <x v="3"/>
    <x v="11"/>
    <s v="Uniformes"/>
  </r>
  <r>
    <s v="Sim"/>
    <s v="Sim"/>
    <s v="Sim"/>
    <x v="86"/>
    <s v="2000000"/>
    <s v="2020000"/>
    <s v="2020100"/>
    <s v="2020105"/>
    <x v="1"/>
    <x v="3"/>
    <x v="11"/>
    <s v="Ferias"/>
  </r>
  <r>
    <s v="Sim"/>
    <s v="Sim"/>
    <s v="Sim"/>
    <x v="87"/>
    <s v="2000000"/>
    <s v="2020000"/>
    <s v="2020100"/>
    <s v="2020106"/>
    <x v="1"/>
    <x v="3"/>
    <x v="11"/>
    <s v="Encargos (INSS/FGTS)"/>
  </r>
  <r>
    <s v="Sim"/>
    <s v="Sim"/>
    <s v="Sim"/>
    <x v="88"/>
    <s v="2000000"/>
    <s v="2020000"/>
    <s v="2020100"/>
    <s v="2020107"/>
    <x v="1"/>
    <x v="3"/>
    <x v="11"/>
    <s v="Vale Refeiçao"/>
  </r>
  <r>
    <s v="Sim"/>
    <s v="Sim"/>
    <s v="Sim"/>
    <x v="89"/>
    <s v="2000000"/>
    <s v="2020000"/>
    <s v="2020100"/>
    <s v="2020108"/>
    <x v="1"/>
    <x v="3"/>
    <x v="11"/>
    <s v="Plano Odontológico"/>
  </r>
  <r>
    <s v="Sim"/>
    <s v="Sim"/>
    <s v="Sim"/>
    <x v="90"/>
    <s v="2000000"/>
    <s v="2020000"/>
    <s v="2020100"/>
    <s v="2020109"/>
    <x v="1"/>
    <x v="3"/>
    <x v="11"/>
    <s v="IRPF"/>
  </r>
  <r>
    <s v="Sim"/>
    <s v="Sim"/>
    <s v="Sim"/>
    <x v="91"/>
    <s v="2000000"/>
    <s v="2020000"/>
    <s v="2020100"/>
    <s v="2020110"/>
    <x v="1"/>
    <x v="3"/>
    <x v="11"/>
    <s v="Farmacia"/>
  </r>
  <r>
    <s v="Sim"/>
    <s v="Sim"/>
    <s v="Sim"/>
    <x v="92"/>
    <s v="2000000"/>
    <s v="2020000"/>
    <s v="2020100"/>
    <s v="2020111"/>
    <x v="1"/>
    <x v="3"/>
    <x v="11"/>
    <s v="Cursos e Treinamentos"/>
  </r>
  <r>
    <s v="Sim"/>
    <s v="Sim"/>
    <s v="Sim"/>
    <x v="93"/>
    <s v="2000000"/>
    <s v="2020000"/>
    <s v="2020100"/>
    <s v="2020112"/>
    <x v="1"/>
    <x v="3"/>
    <x v="11"/>
    <s v="Contribuiçao Sindical"/>
  </r>
  <r>
    <s v="Sim"/>
    <s v="Sim"/>
    <s v="Sim"/>
    <x v="94"/>
    <s v="2000000"/>
    <s v="2020000"/>
    <s v="2020100"/>
    <s v="2020113"/>
    <x v="1"/>
    <x v="3"/>
    <x v="11"/>
    <s v="Rescisoes/ GRRF"/>
  </r>
  <r>
    <s v="Sim"/>
    <s v="Sim"/>
    <s v="Sim"/>
    <x v="95"/>
    <s v="2000000"/>
    <s v="2020000"/>
    <s v="2020100"/>
    <s v="2020114"/>
    <x v="1"/>
    <x v="3"/>
    <x v="11"/>
    <s v="Plano de Saude"/>
  </r>
  <r>
    <s v="Sim"/>
    <s v="Sim"/>
    <s v="Sim"/>
    <x v="96"/>
    <s v="2000000"/>
    <s v="2020000"/>
    <s v="2020100"/>
    <s v="2020115"/>
    <x v="1"/>
    <x v="3"/>
    <x v="11"/>
    <s v="Participaçao no Resultado"/>
  </r>
  <r>
    <s v="Sim"/>
    <s v="Sim"/>
    <s v="Sim"/>
    <x v="97"/>
    <s v="2000000"/>
    <s v="2020000"/>
    <s v="2020100"/>
    <s v="2020116"/>
    <x v="1"/>
    <x v="3"/>
    <x v="11"/>
    <s v="Exames (Admissionais/Demissionais e Peri"/>
  </r>
  <r>
    <s v="Sim"/>
    <s v="Sim"/>
    <s v="Sim"/>
    <x v="98"/>
    <s v="2000000"/>
    <s v="2020000"/>
    <s v="2020100"/>
    <s v="2020117"/>
    <x v="1"/>
    <x v="3"/>
    <x v="11"/>
    <s v="Pensao Alimenticia"/>
  </r>
  <r>
    <s v="Sim"/>
    <s v="Sim"/>
    <s v="Sim"/>
    <x v="99"/>
    <s v="2000000"/>
    <s v="2020000"/>
    <s v="2020100"/>
    <s v="2020118"/>
    <x v="1"/>
    <x v="3"/>
    <x v="11"/>
    <s v="Seguro de Vida"/>
  </r>
  <r>
    <s v="Sim"/>
    <s v="Sim"/>
    <s v="Sim"/>
    <x v="100"/>
    <s v="2000000"/>
    <s v="2020000"/>
    <s v="2020100"/>
    <s v="2020119"/>
    <x v="1"/>
    <x v="3"/>
    <x v="11"/>
    <s v="Bonificaçao/Premio"/>
  </r>
  <r>
    <s v="Sim"/>
    <s v="Sim"/>
    <s v="Sim"/>
    <x v="101"/>
    <s v="2000000"/>
    <s v="2020000"/>
    <s v="2020100"/>
    <s v="2020120"/>
    <x v="1"/>
    <x v="3"/>
    <x v="11"/>
    <s v="Auxilio Universidade"/>
  </r>
  <r>
    <s v="Sim"/>
    <s v="Sim"/>
    <s v="Sim"/>
    <x v="102"/>
    <s v="2000000"/>
    <s v="2020000"/>
    <s v="2020100"/>
    <s v="2020121"/>
    <x v="1"/>
    <x v="3"/>
    <x v="11"/>
    <s v="Indenizaçao e Despesas Trabalhistas"/>
  </r>
  <r>
    <s v="Sim"/>
    <s v="Sim"/>
    <s v="Sim"/>
    <x v="103"/>
    <s v="2000000"/>
    <s v="2020000"/>
    <s v="2020100"/>
    <s v="2020122"/>
    <x v="1"/>
    <x v="3"/>
    <x v="11"/>
    <s v="Açoes do RH"/>
  </r>
  <r>
    <s v="Sim"/>
    <s v="Sim"/>
    <s v="Sim"/>
    <x v="104"/>
    <s v="2000000"/>
    <s v="2020000"/>
    <s v="2020100"/>
    <s v="2020123"/>
    <x v="1"/>
    <x v="3"/>
    <x v="11"/>
    <s v="Comissoes Vendedor"/>
  </r>
  <r>
    <s v="Sim"/>
    <s v="Sim"/>
    <s v="Sim"/>
    <x v="105"/>
    <s v="2000000"/>
    <s v="2020000"/>
    <s v="2020100"/>
    <s v="2020124"/>
    <x v="1"/>
    <x v="3"/>
    <x v="11"/>
    <s v="Pro Labore"/>
  </r>
  <r>
    <s v="Sim"/>
    <s v="Sim"/>
    <s v="Sim"/>
    <x v="106"/>
    <s v="2000000"/>
    <s v="2020000"/>
    <s v="2020100"/>
    <s v="2020125"/>
    <x v="1"/>
    <x v="3"/>
    <x v="11"/>
    <s v="Pagt Distribuiçao de Lucros"/>
  </r>
  <r>
    <s v="Sim"/>
    <s v="Sim"/>
    <s v="Sim"/>
    <x v="107"/>
    <s v="2000000"/>
    <s v="2020000"/>
    <s v="2020100"/>
    <s v="2020126"/>
    <x v="1"/>
    <x v="3"/>
    <x v="11"/>
    <s v="Saude e Segurança Ocupacional"/>
  </r>
  <r>
    <s v="Sim"/>
    <s v="Sim"/>
    <s v="Sim"/>
    <x v="108"/>
    <s v="2000000"/>
    <s v="2020000"/>
    <s v="2020100"/>
    <s v="2020127"/>
    <x v="1"/>
    <x v="3"/>
    <x v="11"/>
    <s v="EPI"/>
  </r>
  <r>
    <s v="Sim"/>
    <s v="Sim"/>
    <s v="Sim"/>
    <x v="109"/>
    <s v="2000000"/>
    <s v="2020000"/>
    <s v="2020100"/>
    <s v="2020128"/>
    <x v="1"/>
    <x v="3"/>
    <x v="11"/>
    <s v="Menor Aprendiz / Estagiário"/>
  </r>
  <r>
    <s v="Sim"/>
    <s v="Sim"/>
    <s v="Sim"/>
    <x v="110"/>
    <s v="2000000"/>
    <s v="2020000"/>
    <s v="2020100"/>
    <s v="2020129"/>
    <x v="1"/>
    <x v="3"/>
    <x v="11"/>
    <s v="Despesas Médicas"/>
  </r>
  <r>
    <s v="Sim"/>
    <s v="Sim"/>
    <s v="Sim"/>
    <x v="111"/>
    <s v="2000000"/>
    <s v="2020000"/>
    <s v="2020100"/>
    <s v="2020130"/>
    <x v="1"/>
    <x v="3"/>
    <x v="11"/>
    <s v="Benefícios Bem-Estar e Saúde"/>
  </r>
  <r>
    <s v="Sim"/>
    <s v="Sim"/>
    <s v="Sim"/>
    <x v="111"/>
    <s v="2000000"/>
    <s v="2020000"/>
    <s v="2020100"/>
    <s v="2020130"/>
    <x v="1"/>
    <x v="3"/>
    <x v="11"/>
    <s v="Benefícios Bem-Estar e Saúde"/>
  </r>
  <r>
    <s v="Sim"/>
    <s v="Sim"/>
    <s v="Sim"/>
    <x v="112"/>
    <s v="2000000"/>
    <s v="2020000"/>
    <s v="2020100"/>
    <s v="2020131"/>
    <x v="1"/>
    <x v="3"/>
    <x v="11"/>
    <s v="Emprestimo Consignado"/>
  </r>
  <r>
    <s v="Sim"/>
    <s v="Sim"/>
    <s v="Sim"/>
    <x v="113"/>
    <s v="2000000"/>
    <s v="2020000"/>
    <s v="2020200"/>
    <s v="2020201"/>
    <x v="1"/>
    <x v="3"/>
    <x v="12"/>
    <s v="Manutencao de Software"/>
  </r>
  <r>
    <s v="Sim"/>
    <s v="Sim"/>
    <s v="Sim"/>
    <x v="114"/>
    <s v="2000000"/>
    <s v="2020000"/>
    <s v="2020200"/>
    <s v="2020202"/>
    <x v="1"/>
    <x v="3"/>
    <x v="12"/>
    <s v="IRF de Terceiros"/>
  </r>
  <r>
    <s v="Sim"/>
    <s v="Sim"/>
    <s v="Sim"/>
    <x v="115"/>
    <s v="2000000"/>
    <s v="2020000"/>
    <s v="2020200"/>
    <s v="2020203"/>
    <x v="1"/>
    <x v="3"/>
    <x v="12"/>
    <s v="CSL/PIS/COFINS de terceiros"/>
  </r>
  <r>
    <s v="Sim"/>
    <s v="Sim"/>
    <s v="Sim"/>
    <x v="116"/>
    <s v="2000000"/>
    <s v="2020000"/>
    <s v="2020200"/>
    <s v="2020204"/>
    <x v="1"/>
    <x v="3"/>
    <x v="12"/>
    <s v="INSS de Terceiros"/>
  </r>
  <r>
    <s v="Sim"/>
    <s v="Sim"/>
    <s v="Sim"/>
    <x v="117"/>
    <s v="2000000"/>
    <s v="2020000"/>
    <s v="2020200"/>
    <s v="2020205"/>
    <x v="1"/>
    <x v="3"/>
    <x v="12"/>
    <s v="ISS de Terceiros"/>
  </r>
  <r>
    <s v="Sim"/>
    <s v="Sim"/>
    <s v="Sim"/>
    <x v="118"/>
    <s v="2000000"/>
    <s v="2020000"/>
    <s v="2020200"/>
    <s v="2020206"/>
    <x v="1"/>
    <x v="3"/>
    <x v="12"/>
    <s v="Adiantamento a Fornecedor"/>
  </r>
  <r>
    <s v="Sim"/>
    <s v="Sim"/>
    <s v="Sim"/>
    <x v="119"/>
    <s v="2000000"/>
    <s v="2020000"/>
    <s v="2020200"/>
    <s v="2020207"/>
    <x v="1"/>
    <x v="3"/>
    <x v="12"/>
    <s v="Servicos de Terceiros"/>
  </r>
  <r>
    <s v="Sim"/>
    <s v="Sim"/>
    <s v="Sim"/>
    <x v="120"/>
    <s v="2000000"/>
    <s v="2020000"/>
    <s v="2020200"/>
    <s v="2020208"/>
    <x v="1"/>
    <x v="3"/>
    <x v="12"/>
    <s v="Auditorias"/>
  </r>
  <r>
    <s v="Sim"/>
    <s v="Sim"/>
    <s v="Sim"/>
    <x v="121"/>
    <s v="2000000"/>
    <s v="2020000"/>
    <s v="2020200"/>
    <s v="2020209"/>
    <x v="1"/>
    <x v="3"/>
    <x v="12"/>
    <s v="Advogados"/>
  </r>
  <r>
    <s v="Sim"/>
    <s v="Sim"/>
    <s v="Sim"/>
    <x v="122"/>
    <s v="2000000"/>
    <s v="2020000"/>
    <s v="2020200"/>
    <s v="2020210"/>
    <x v="1"/>
    <x v="3"/>
    <x v="12"/>
    <s v="Assessoria e Consultoria"/>
  </r>
  <r>
    <s v="Sim"/>
    <s v="Sim"/>
    <s v="Sim"/>
    <x v="123"/>
    <s v="2000000"/>
    <s v="2020000"/>
    <s v="2020200"/>
    <s v="2020211"/>
    <x v="1"/>
    <x v="3"/>
    <x v="12"/>
    <s v="Motoboy"/>
  </r>
  <r>
    <s v="Sim"/>
    <s v="Sim"/>
    <s v="Sim"/>
    <x v="124"/>
    <s v="2000000"/>
    <s v="2020000"/>
    <s v="2020200"/>
    <s v="2020212"/>
    <x v="1"/>
    <x v="3"/>
    <x v="12"/>
    <s v="Contador"/>
  </r>
  <r>
    <s v="Sim"/>
    <s v="Sim"/>
    <s v="Sim"/>
    <x v="125"/>
    <s v="2000000"/>
    <s v="2020000"/>
    <s v="2020200"/>
    <s v="2020213"/>
    <x v="1"/>
    <x v="3"/>
    <x v="12"/>
    <s v="limpeza e conservacao"/>
  </r>
  <r>
    <s v="Sim"/>
    <s v="Sim"/>
    <s v="Sim"/>
    <x v="126"/>
    <s v="2000000"/>
    <s v="2020000"/>
    <s v="2020200"/>
    <s v="2020214"/>
    <x v="1"/>
    <x v="3"/>
    <x v="12"/>
    <s v="Licença e Consseção de Software"/>
  </r>
  <r>
    <s v="Sim"/>
    <s v="Sim"/>
    <s v="Sim"/>
    <x v="127"/>
    <s v="2000000"/>
    <s v="2020000"/>
    <s v="2020200"/>
    <s v="2020215"/>
    <x v="1"/>
    <x v="3"/>
    <x v="12"/>
    <s v="Treinador Futebol"/>
  </r>
  <r>
    <s v="Sim"/>
    <s v="Sim"/>
    <s v="Sim"/>
    <x v="128"/>
    <s v="2000000"/>
    <s v="2020000"/>
    <s v="2020200"/>
    <s v="2020216"/>
    <x v="1"/>
    <x v="3"/>
    <x v="12"/>
    <s v="Assessoria de Imprensa"/>
  </r>
  <r>
    <s v="Sim"/>
    <s v="Sim"/>
    <s v="Sim"/>
    <x v="129"/>
    <s v="2000000"/>
    <s v="2020000"/>
    <s v="2020200"/>
    <s v="2020217"/>
    <x v="1"/>
    <x v="3"/>
    <x v="12"/>
    <s v="Coordenador Futebol"/>
  </r>
  <r>
    <s v="Sim"/>
    <s v="Sim"/>
    <s v="Sim"/>
    <x v="130"/>
    <s v="2000000"/>
    <s v="2020000"/>
    <s v="2020200"/>
    <s v="2020218"/>
    <x v="1"/>
    <x v="3"/>
    <x v="12"/>
    <s v="Dominio e Hospedagem"/>
  </r>
  <r>
    <s v="Sim"/>
    <s v="Sim"/>
    <s v="Sim"/>
    <x v="131"/>
    <s v="2000000"/>
    <s v="2020000"/>
    <s v="2020200"/>
    <s v="2020219"/>
    <x v="1"/>
    <x v="3"/>
    <x v="12"/>
    <s v="Preparador Físico"/>
  </r>
  <r>
    <s v="Sim"/>
    <s v="Sim"/>
    <s v="Sim"/>
    <x v="132"/>
    <s v="2000000"/>
    <s v="2020000"/>
    <s v="2020200"/>
    <s v="2020220"/>
    <x v="1"/>
    <x v="3"/>
    <x v="12"/>
    <s v="Treinador de Goleiro"/>
  </r>
  <r>
    <s v="Sim"/>
    <s v="Sim"/>
    <s v="Sim"/>
    <x v="133"/>
    <s v="2000000"/>
    <s v="2020000"/>
    <s v="2020200"/>
    <s v="2020221"/>
    <x v="1"/>
    <x v="3"/>
    <x v="12"/>
    <s v="Tecnico Futebol"/>
  </r>
  <r>
    <s v="Sim"/>
    <s v="Sim"/>
    <s v="Sim"/>
    <x v="134"/>
    <s v="2000000"/>
    <s v="2020000"/>
    <s v="2020200"/>
    <s v="2020222"/>
    <x v="1"/>
    <x v="3"/>
    <x v="12"/>
    <s v="Supervisor Técnico"/>
  </r>
  <r>
    <s v="Sim"/>
    <s v="Sim"/>
    <s v="Sim"/>
    <x v="135"/>
    <s v="2000000"/>
    <s v="2020000"/>
    <s v="2020200"/>
    <s v="2020223"/>
    <x v="1"/>
    <x v="3"/>
    <x v="12"/>
    <s v="Captador de Atleta"/>
  </r>
  <r>
    <s v="Sim"/>
    <s v="Sim"/>
    <s v="Sim"/>
    <x v="136"/>
    <s v="2000000"/>
    <s v="2020000"/>
    <s v="2020200"/>
    <s v="2020224"/>
    <x v="1"/>
    <x v="3"/>
    <x v="12"/>
    <s v="Conselho Consultivo"/>
  </r>
  <r>
    <s v="Sim"/>
    <s v="Sim"/>
    <s v="Sim"/>
    <x v="137"/>
    <s v="2000000"/>
    <s v="2020000"/>
    <s v="2020200"/>
    <s v="2020225"/>
    <x v="1"/>
    <x v="3"/>
    <x v="12"/>
    <s v="Nutricionista"/>
  </r>
  <r>
    <s v="Sim"/>
    <s v="Sim"/>
    <s v="Sim"/>
    <x v="137"/>
    <s v="2000000"/>
    <s v="2020000"/>
    <s v="2020200"/>
    <s v="2020225"/>
    <x v="1"/>
    <x v="3"/>
    <x v="12"/>
    <s v="Nutricionista"/>
  </r>
  <r>
    <s v="Sim"/>
    <s v="Sim"/>
    <s v="Sim"/>
    <x v="138"/>
    <s v="2000000"/>
    <s v="2020000"/>
    <s v="2020300"/>
    <s v="2020301"/>
    <x v="1"/>
    <x v="3"/>
    <x v="13"/>
    <s v="Aluguel"/>
  </r>
  <r>
    <s v="Sim"/>
    <s v="Sim"/>
    <s v="Sim"/>
    <x v="139"/>
    <s v="2000000"/>
    <s v="2020000"/>
    <s v="2020300"/>
    <s v="2020302"/>
    <x v="1"/>
    <x v="3"/>
    <x v="13"/>
    <s v="Condominio"/>
  </r>
  <r>
    <s v="Sim"/>
    <s v="Sim"/>
    <s v="Sim"/>
    <x v="140"/>
    <s v="2000000"/>
    <s v="2020000"/>
    <s v="2020300"/>
    <s v="2020303"/>
    <x v="1"/>
    <x v="3"/>
    <x v="13"/>
    <s v="Telefonia Movel"/>
  </r>
  <r>
    <s v="Sim"/>
    <s v="Sim"/>
    <s v="Sim"/>
    <x v="141"/>
    <s v="2000000"/>
    <s v="2020000"/>
    <s v="2020300"/>
    <s v="2020304"/>
    <x v="1"/>
    <x v="3"/>
    <x v="13"/>
    <s v="Telefonia Fixa"/>
  </r>
  <r>
    <s v="Sim"/>
    <s v="Sim"/>
    <s v="Sim"/>
    <x v="142"/>
    <s v="2000000"/>
    <s v="2020000"/>
    <s v="2020300"/>
    <s v="2020305"/>
    <x v="1"/>
    <x v="3"/>
    <x v="13"/>
    <s v="Energia do Imovel"/>
  </r>
  <r>
    <s v="Sim"/>
    <s v="Sim"/>
    <s v="Sim"/>
    <x v="143"/>
    <s v="2000000"/>
    <s v="2020000"/>
    <s v="2020300"/>
    <s v="2020306"/>
    <x v="1"/>
    <x v="3"/>
    <x v="13"/>
    <s v="Agua e Esgoto"/>
  </r>
  <r>
    <s v="Sim"/>
    <s v="Sim"/>
    <s v="Sim"/>
    <x v="144"/>
    <s v="2000000"/>
    <s v="2020000"/>
    <s v="2020300"/>
    <s v="2020307"/>
    <x v="1"/>
    <x v="3"/>
    <x v="13"/>
    <s v="Internet"/>
  </r>
  <r>
    <s v="Sim"/>
    <s v="Sim"/>
    <s v="Sim"/>
    <x v="145"/>
    <s v="2000000"/>
    <s v="2020000"/>
    <s v="2020300"/>
    <s v="2020308"/>
    <x v="1"/>
    <x v="3"/>
    <x v="13"/>
    <s v="Segurança/Monitoramento"/>
  </r>
  <r>
    <s v="Sim"/>
    <s v="Sim"/>
    <s v="Sim"/>
    <x v="146"/>
    <s v="2000000"/>
    <s v="2020000"/>
    <s v="2020300"/>
    <s v="2020309"/>
    <x v="1"/>
    <x v="3"/>
    <x v="13"/>
    <s v="Licenças/ Alvarás - Ocupação"/>
  </r>
  <r>
    <s v="Sim"/>
    <s v="Sim"/>
    <s v="Sim"/>
    <x v="147"/>
    <s v="2000000"/>
    <s v="2020000"/>
    <s v="2020300"/>
    <s v="2020310"/>
    <x v="1"/>
    <x v="3"/>
    <x v="13"/>
    <s v="Seguro do Imovel"/>
  </r>
  <r>
    <s v="Sim"/>
    <s v="Sim"/>
    <s v="Sim"/>
    <x v="148"/>
    <s v="2000000"/>
    <s v="2020000"/>
    <s v="2020300"/>
    <s v="2020311"/>
    <x v="1"/>
    <x v="3"/>
    <x v="13"/>
    <s v="IPTU"/>
  </r>
  <r>
    <s v="Sim"/>
    <s v="Sim"/>
    <s v="Sim"/>
    <x v="149"/>
    <s v="2000000"/>
    <s v="2020000"/>
    <s v="2020300"/>
    <s v="2020312"/>
    <x v="1"/>
    <x v="3"/>
    <x v="13"/>
    <s v="TV por Assinatura"/>
  </r>
  <r>
    <s v="Sim"/>
    <s v="Sim"/>
    <s v="Sim"/>
    <x v="150"/>
    <s v="2000000"/>
    <s v="2020000"/>
    <s v="2020300"/>
    <s v="2020313"/>
    <x v="1"/>
    <x v="3"/>
    <x v="13"/>
    <s v="Monitoramento e Vigilancia"/>
  </r>
  <r>
    <s v="Sim"/>
    <s v="Sim"/>
    <s v="Sim"/>
    <x v="151"/>
    <s v="2000000"/>
    <s v="2020000"/>
    <s v="2020400"/>
    <s v="2020401"/>
    <x v="1"/>
    <x v="3"/>
    <x v="14"/>
    <s v="Combustiveis/Lubrificantes"/>
  </r>
  <r>
    <s v="Sim"/>
    <s v="Sim"/>
    <s v="Sim"/>
    <x v="152"/>
    <s v="2000000"/>
    <s v="2020000"/>
    <s v="2020400"/>
    <s v="2020402"/>
    <x v="1"/>
    <x v="3"/>
    <x v="14"/>
    <s v="Manutencao de Veiculos"/>
  </r>
  <r>
    <s v="Sim"/>
    <s v="Sim"/>
    <s v="Sim"/>
    <x v="153"/>
    <s v="2000000"/>
    <s v="2020000"/>
    <s v="2020400"/>
    <s v="2020403"/>
    <x v="1"/>
    <x v="3"/>
    <x v="14"/>
    <s v="IPVA/Licenciamento/DPVAT/Infraero"/>
  </r>
  <r>
    <s v="Sim"/>
    <s v="Sim"/>
    <s v="Sim"/>
    <x v="154"/>
    <s v="2000000"/>
    <s v="2020000"/>
    <s v="2020400"/>
    <s v="2020404"/>
    <x v="1"/>
    <x v="3"/>
    <x v="14"/>
    <s v="Multas de Transito"/>
  </r>
  <r>
    <s v="Sim"/>
    <s v="Sim"/>
    <s v="Sim"/>
    <x v="155"/>
    <s v="2000000"/>
    <s v="2020000"/>
    <s v="2020400"/>
    <s v="2020405"/>
    <x v="1"/>
    <x v="3"/>
    <x v="14"/>
    <s v="Seguros de Veiculos"/>
  </r>
  <r>
    <s v="Sim"/>
    <s v="Sim"/>
    <s v="Sim"/>
    <x v="156"/>
    <s v="2000000"/>
    <s v="2020000"/>
    <s v="2020400"/>
    <s v="2020406"/>
    <x v="1"/>
    <x v="3"/>
    <x v="14"/>
    <s v="Aluguel de Veiculos"/>
  </r>
  <r>
    <s v="Sim"/>
    <s v="Sim"/>
    <s v="Sim"/>
    <x v="157"/>
    <s v="2000000"/>
    <s v="2020000"/>
    <s v="2020400"/>
    <s v="2020407"/>
    <x v="1"/>
    <x v="3"/>
    <x v="14"/>
    <s v="Rastreador de Veículos"/>
  </r>
  <r>
    <s v="Sim"/>
    <s v="Sim"/>
    <s v="Sim"/>
    <x v="158"/>
    <s v="2000000"/>
    <s v="2020000"/>
    <s v="2020400"/>
    <s v="2020408"/>
    <x v="1"/>
    <x v="3"/>
    <x v="14"/>
    <s v="Pedagio"/>
  </r>
  <r>
    <s v="Sim"/>
    <s v="Sim"/>
    <s v="Sim"/>
    <x v="159"/>
    <s v="2000000"/>
    <s v="2020000"/>
    <s v="2020400"/>
    <s v="2020409"/>
    <x v="1"/>
    <x v="3"/>
    <x v="14"/>
    <s v="Motorista"/>
  </r>
  <r>
    <s v="Sim"/>
    <s v="Sim"/>
    <s v="Sim"/>
    <x v="160"/>
    <s v="2000000"/>
    <s v="2020000"/>
    <s v="2020400"/>
    <s v="2020410"/>
    <x v="1"/>
    <x v="3"/>
    <x v="14"/>
    <s v="Transformação de Veículo"/>
  </r>
  <r>
    <s v="Sim"/>
    <s v="Sim"/>
    <s v="Sim"/>
    <x v="161"/>
    <s v="2000000"/>
    <s v="2020000"/>
    <s v="2020400"/>
    <s v="2020411"/>
    <x v="1"/>
    <x v="3"/>
    <x v="14"/>
    <s v="Lavgem Veículo"/>
  </r>
  <r>
    <s v="Sim"/>
    <s v="Sim"/>
    <s v="Sim"/>
    <x v="162"/>
    <s v="2000000"/>
    <s v="2020000"/>
    <s v="2020400"/>
    <s v="2020412"/>
    <x v="1"/>
    <x v="3"/>
    <x v="14"/>
    <s v="Despachante de Veículos"/>
  </r>
  <r>
    <s v="Sim"/>
    <s v="Sim"/>
    <s v="Sim"/>
    <x v="163"/>
    <s v="2000000"/>
    <s v="2020000"/>
    <s v="2020500"/>
    <s v="2020501"/>
    <x v="1"/>
    <x v="3"/>
    <x v="15"/>
    <s v="Material de Escritorio"/>
  </r>
  <r>
    <s v="Sim"/>
    <s v="Sim"/>
    <s v="Sim"/>
    <x v="164"/>
    <s v="2000000"/>
    <s v="2020000"/>
    <s v="2020500"/>
    <s v="2020502"/>
    <x v="1"/>
    <x v="3"/>
    <x v="15"/>
    <s v="Material de Copa/Cozinha"/>
  </r>
  <r>
    <s v="Sim"/>
    <s v="Sim"/>
    <s v="Sim"/>
    <x v="165"/>
    <s v="2000000"/>
    <s v="2020000"/>
    <s v="2020500"/>
    <s v="2020503"/>
    <x v="1"/>
    <x v="3"/>
    <x v="15"/>
    <s v="Material de Informatica"/>
  </r>
  <r>
    <s v="Sim"/>
    <s v="Sim"/>
    <s v="Sim"/>
    <x v="166"/>
    <s v="2000000"/>
    <s v="2020000"/>
    <s v="2020500"/>
    <s v="2020504"/>
    <x v="1"/>
    <x v="3"/>
    <x v="15"/>
    <s v="Material Esportivo"/>
  </r>
  <r>
    <s v="Sim"/>
    <s v="Sim"/>
    <s v="Sim"/>
    <x v="167"/>
    <s v="2000000"/>
    <s v="2020000"/>
    <s v="2020500"/>
    <s v="2020505"/>
    <x v="1"/>
    <x v="3"/>
    <x v="15"/>
    <s v="Material de Limpeza"/>
  </r>
  <r>
    <s v="Sim"/>
    <s v="Sim"/>
    <s v="Sim"/>
    <x v="168"/>
    <s v="2000000"/>
    <s v="2020000"/>
    <s v="2020500"/>
    <s v="2020506"/>
    <x v="1"/>
    <x v="3"/>
    <x v="15"/>
    <s v="Material para Embalagem"/>
  </r>
  <r>
    <s v="Sim"/>
    <s v="Sim"/>
    <s v="Sim"/>
    <x v="169"/>
    <s v="2000000"/>
    <s v="2020000"/>
    <s v="2020500"/>
    <s v="2020507"/>
    <x v="1"/>
    <x v="3"/>
    <x v="15"/>
    <s v="Desenvolvimento de Tecnologias"/>
  </r>
  <r>
    <s v="Sim"/>
    <s v="Sim"/>
    <s v="Sim"/>
    <x v="170"/>
    <s v="2000000"/>
    <s v="2020000"/>
    <s v="2020600"/>
    <s v="2020601"/>
    <x v="1"/>
    <x v="3"/>
    <x v="16"/>
    <s v="Manutencao de Moveis e Utensilios"/>
  </r>
  <r>
    <s v="Sim"/>
    <s v="Sim"/>
    <s v="Sim"/>
    <x v="171"/>
    <s v="2000000"/>
    <s v="2020000"/>
    <s v="2020600"/>
    <s v="2020602"/>
    <x v="1"/>
    <x v="3"/>
    <x v="16"/>
    <s v="ITR - Imposto Territorial Rural"/>
  </r>
  <r>
    <s v="Sim"/>
    <s v="Sim"/>
    <s v="Sim"/>
    <x v="172"/>
    <s v="2000000"/>
    <s v="2020000"/>
    <s v="2020600"/>
    <s v="2020603"/>
    <x v="1"/>
    <x v="3"/>
    <x v="16"/>
    <s v="ART Imóveis"/>
  </r>
  <r>
    <s v="Sim"/>
    <s v="Sim"/>
    <s v="Sim"/>
    <x v="173"/>
    <s v="2000000"/>
    <s v="2020000"/>
    <s v="2020600"/>
    <s v="2020604"/>
    <x v="1"/>
    <x v="3"/>
    <x v="16"/>
    <s v="Manutencao Predial"/>
  </r>
  <r>
    <s v="Sim"/>
    <s v="Sim"/>
    <s v="Sim"/>
    <x v="174"/>
    <s v="2000000"/>
    <s v="2020000"/>
    <s v="2020700"/>
    <s v="2020701"/>
    <x v="1"/>
    <x v="3"/>
    <x v="17"/>
    <s v="Brindes"/>
  </r>
  <r>
    <s v="Sim"/>
    <s v="Sim"/>
    <s v="Sim"/>
    <x v="175"/>
    <s v="2000000"/>
    <s v="2020000"/>
    <s v="2020700"/>
    <s v="2020702"/>
    <x v="1"/>
    <x v="3"/>
    <x v="17"/>
    <s v="Correios"/>
  </r>
  <r>
    <s v="Sim"/>
    <s v="Sim"/>
    <s v="Sim"/>
    <x v="176"/>
    <s v="2000000"/>
    <s v="2020000"/>
    <s v="2020700"/>
    <s v="2020703"/>
    <x v="1"/>
    <x v="3"/>
    <x v="17"/>
    <s v="Viagens e estadias"/>
  </r>
  <r>
    <s v="Sim"/>
    <s v="Sim"/>
    <s v="Sim"/>
    <x v="177"/>
    <s v="2000000"/>
    <s v="2020000"/>
    <s v="2020700"/>
    <s v="2020704"/>
    <x v="1"/>
    <x v="3"/>
    <x v="17"/>
    <s v="Ass. Jornais/Revistas"/>
  </r>
  <r>
    <s v="Sim"/>
    <s v="Sim"/>
    <s v="Sim"/>
    <x v="178"/>
    <s v="2000000"/>
    <s v="2020000"/>
    <s v="2020700"/>
    <s v="2020705"/>
    <x v="1"/>
    <x v="3"/>
    <x v="17"/>
    <s v="Confraternizações e Eventos"/>
  </r>
  <r>
    <s v="Sim"/>
    <s v="Sim"/>
    <s v="Sim"/>
    <x v="179"/>
    <s v="2000000"/>
    <s v="2020000"/>
    <s v="2020700"/>
    <s v="2020706"/>
    <x v="1"/>
    <x v="3"/>
    <x v="17"/>
    <s v="Despesas com Licitações"/>
  </r>
  <r>
    <s v="Sim"/>
    <s v="Sim"/>
    <s v="Sim"/>
    <x v="180"/>
    <s v="2000000"/>
    <s v="2020000"/>
    <s v="2020700"/>
    <s v="2020707"/>
    <x v="1"/>
    <x v="3"/>
    <x v="17"/>
    <s v="Gráfica"/>
  </r>
  <r>
    <s v="Sim"/>
    <s v="Sim"/>
    <s v="Sim"/>
    <x v="181"/>
    <s v="2000000"/>
    <s v="2020000"/>
    <s v="2020700"/>
    <s v="2020708"/>
    <x v="1"/>
    <x v="3"/>
    <x v="17"/>
    <s v="Anúncios/ Publicações"/>
  </r>
  <r>
    <s v="Sim"/>
    <s v="Sim"/>
    <s v="Sim"/>
    <x v="182"/>
    <s v="2000000"/>
    <s v="2020000"/>
    <s v="2020700"/>
    <s v="2020709"/>
    <x v="1"/>
    <x v="3"/>
    <x v="17"/>
    <s v="Pesquisas"/>
  </r>
  <r>
    <s v="Sim"/>
    <s v="Sim"/>
    <s v="Sim"/>
    <x v="183"/>
    <s v="2000000"/>
    <s v="2020000"/>
    <s v="2020700"/>
    <s v="2020710"/>
    <x v="1"/>
    <x v="3"/>
    <x v="17"/>
    <s v="Cartório"/>
  </r>
  <r>
    <s v="Sim"/>
    <s v="Sim"/>
    <s v="Sim"/>
    <x v="184"/>
    <s v="2000000"/>
    <s v="2020000"/>
    <s v="2020700"/>
    <s v="2020711"/>
    <x v="1"/>
    <x v="3"/>
    <x v="17"/>
    <s v="Custas Processuais"/>
  </r>
  <r>
    <s v="Sim"/>
    <s v="Sim"/>
    <s v="Sim"/>
    <x v="185"/>
    <s v="2000000"/>
    <s v="2020000"/>
    <s v="2020700"/>
    <s v="2020712"/>
    <x v="1"/>
    <x v="3"/>
    <x v="17"/>
    <s v="Associações/Orgão regulamentadores"/>
  </r>
  <r>
    <s v="Sim"/>
    <s v="Sim"/>
    <s v="Sim"/>
    <x v="186"/>
    <s v="2000000"/>
    <s v="2020000"/>
    <s v="2020700"/>
    <s v="2020713"/>
    <x v="1"/>
    <x v="3"/>
    <x v="17"/>
    <s v="Doações"/>
  </r>
  <r>
    <s v="Sim"/>
    <s v="Sim"/>
    <s v="Sim"/>
    <x v="187"/>
    <s v="2000000"/>
    <s v="2020000"/>
    <s v="2020700"/>
    <s v="2020714"/>
    <x v="1"/>
    <x v="3"/>
    <x v="17"/>
    <s v="Comissão e Corretagem"/>
  </r>
  <r>
    <s v="Sim"/>
    <s v="Sim"/>
    <s v="Sim"/>
    <x v="188"/>
    <s v="2000000"/>
    <s v="2020000"/>
    <s v="2020700"/>
    <s v="2020715"/>
    <x v="1"/>
    <x v="3"/>
    <x v="17"/>
    <s v="Estacionamento"/>
  </r>
  <r>
    <s v="Sim"/>
    <s v="Sim"/>
    <s v="Sim"/>
    <x v="189"/>
    <s v="2000000"/>
    <s v="2020000"/>
    <s v="2020700"/>
    <s v="2020716"/>
    <x v="1"/>
    <x v="3"/>
    <x v="17"/>
    <s v="Ações com Clientes"/>
  </r>
  <r>
    <s v="Sim"/>
    <s v="Sim"/>
    <s v="Sim"/>
    <x v="190"/>
    <s v="2000000"/>
    <s v="2020000"/>
    <s v="2020700"/>
    <s v="2020717"/>
    <x v="1"/>
    <x v="3"/>
    <x v="17"/>
    <s v="Bloqueio Judicial"/>
  </r>
  <r>
    <s v="Sim"/>
    <s v="Sim"/>
    <s v="Sim"/>
    <x v="191"/>
    <s v="2000000"/>
    <s v="2020000"/>
    <s v="2020700"/>
    <s v="2020718"/>
    <x v="1"/>
    <x v="3"/>
    <x v="17"/>
    <s v="Depósito Judicial"/>
  </r>
  <r>
    <s v="Sim"/>
    <s v="Sim"/>
    <s v="Sim"/>
    <x v="192"/>
    <s v="2000000"/>
    <s v="2020000"/>
    <s v="2020700"/>
    <s v="2020719"/>
    <x v="1"/>
    <x v="3"/>
    <x v="17"/>
    <s v="Armazenamento de Bens"/>
  </r>
  <r>
    <s v="Sim"/>
    <s v="Sim"/>
    <s v="Sim"/>
    <x v="193"/>
    <s v="2000000"/>
    <s v="2020000"/>
    <s v="2020700"/>
    <s v="2020720"/>
    <x v="1"/>
    <x v="3"/>
    <x v="17"/>
    <s v="Diretor"/>
  </r>
  <r>
    <s v="Sim"/>
    <s v="Sim"/>
    <s v="Sim"/>
    <x v="194"/>
    <s v="2000000"/>
    <s v="2020000"/>
    <s v="2020700"/>
    <s v="2020721"/>
    <x v="1"/>
    <x v="3"/>
    <x v="17"/>
    <s v="Gerente"/>
  </r>
  <r>
    <s v="Sim"/>
    <s v="Sim"/>
    <s v="Sim"/>
    <x v="195"/>
    <s v="2000000"/>
    <s v="2020000"/>
    <s v="2020700"/>
    <s v="2020722"/>
    <x v="1"/>
    <x v="3"/>
    <x v="17"/>
    <s v="Despesas com Devoluções"/>
  </r>
  <r>
    <s v="Sim"/>
    <s v="Sim"/>
    <s v="Sim"/>
    <x v="196"/>
    <s v="2000000"/>
    <s v="2020000"/>
    <s v="2020700"/>
    <s v="2020723"/>
    <x v="1"/>
    <x v="3"/>
    <x v="17"/>
    <s v="Pagamento de Reembolso"/>
  </r>
  <r>
    <s v="Sim"/>
    <s v="Sim"/>
    <s v="Sim"/>
    <x v="197"/>
    <s v="2000000"/>
    <s v="2020000"/>
    <s v="2020700"/>
    <s v="2020724"/>
    <x v="1"/>
    <x v="3"/>
    <x v="17"/>
    <s v="Transporte de Pessoas"/>
  </r>
  <r>
    <s v="Sim"/>
    <s v="Sim"/>
    <s v="Sim"/>
    <x v="198"/>
    <s v="2000000"/>
    <s v="2020000"/>
    <s v="2020700"/>
    <s v="2020725"/>
    <x v="1"/>
    <x v="3"/>
    <x v="17"/>
    <s v="Despesas com Site"/>
  </r>
  <r>
    <s v="Sim"/>
    <s v="Sim"/>
    <s v="Sim"/>
    <x v="199"/>
    <s v="2000000"/>
    <s v="2020000"/>
    <s v="2020800"/>
    <s v="2020801"/>
    <x v="1"/>
    <x v="3"/>
    <x v="18"/>
    <s v="PIS"/>
  </r>
  <r>
    <s v="Sim"/>
    <s v="Sim"/>
    <s v="Sim"/>
    <x v="200"/>
    <s v="2000000"/>
    <s v="2020000"/>
    <s v="2020800"/>
    <s v="2020802"/>
    <x v="1"/>
    <x v="3"/>
    <x v="18"/>
    <s v="COFINS"/>
  </r>
  <r>
    <s v="Sim"/>
    <s v="Sim"/>
    <s v="Sim"/>
    <x v="201"/>
    <s v="2000000"/>
    <s v="2020000"/>
    <s v="2020800"/>
    <s v="2020803"/>
    <x v="1"/>
    <x v="3"/>
    <x v="18"/>
    <s v="ICMS S/ VENDA"/>
  </r>
  <r>
    <s v="Sim"/>
    <s v="Sim"/>
    <s v="Sim"/>
    <x v="202"/>
    <s v="2000000"/>
    <s v="2020000"/>
    <s v="2020800"/>
    <s v="2020804"/>
    <x v="1"/>
    <x v="3"/>
    <x v="18"/>
    <s v="IRRF - Imposto Renda Retido na Fonte"/>
  </r>
  <r>
    <s v="Sim"/>
    <s v="Sim"/>
    <s v="Sim"/>
    <x v="203"/>
    <s v="2000000"/>
    <s v="2020000"/>
    <s v="2020800"/>
    <s v="2020805"/>
    <x v="1"/>
    <x v="3"/>
    <x v="18"/>
    <s v="ISS - Imposto Sobre Serviço"/>
  </r>
  <r>
    <s v="Sim"/>
    <s v="Sim"/>
    <s v="Sim"/>
    <x v="204"/>
    <s v="2000000"/>
    <s v="2020000"/>
    <s v="2020800"/>
    <s v="2020806"/>
    <x v="1"/>
    <x v="3"/>
    <x v="18"/>
    <s v="Simples Nacional"/>
  </r>
  <r>
    <s v="Sim"/>
    <s v="Sim"/>
    <s v="Sim"/>
    <x v="205"/>
    <s v="2000000"/>
    <s v="2020000"/>
    <s v="2020900"/>
    <s v="2020901"/>
    <x v="1"/>
    <x v="3"/>
    <x v="19"/>
    <s v="IRPJ - Imposto Renda Pessoa Jurídica"/>
  </r>
  <r>
    <s v="Sim"/>
    <s v="Sim"/>
    <s v="Sim"/>
    <x v="206"/>
    <s v="2000000"/>
    <s v="2020000"/>
    <s v="2020900"/>
    <s v="2020902"/>
    <x v="1"/>
    <x v="3"/>
    <x v="19"/>
    <s v="CSLL - Contrib. Social Lucro Liquido"/>
  </r>
  <r>
    <s v="Sim"/>
    <s v="Sim"/>
    <s v="Sim"/>
    <x v="207"/>
    <s v="2000000"/>
    <s v="2020000"/>
    <s v="2021000"/>
    <s v="2021002"/>
    <x v="1"/>
    <x v="3"/>
    <x v="20"/>
    <s v="Junta Comercial"/>
  </r>
  <r>
    <s v="Sim"/>
    <s v="Sim"/>
    <s v="Sim"/>
    <x v="208"/>
    <s v="2000000"/>
    <s v="2020000"/>
    <s v="2021000"/>
    <s v="2021003"/>
    <x v="1"/>
    <x v="3"/>
    <x v="20"/>
    <s v="SEFAZ"/>
  </r>
  <r>
    <s v="Sim"/>
    <s v="Sim"/>
    <s v="Sim"/>
    <x v="209"/>
    <s v="2000000"/>
    <s v="2020000"/>
    <s v="2021000"/>
    <s v="2021004"/>
    <x v="1"/>
    <x v="3"/>
    <x v="20"/>
    <s v="Parcelamentos"/>
  </r>
  <r>
    <s v="Sim"/>
    <s v="Sim"/>
    <s v="Sim"/>
    <x v="210"/>
    <s v="2000000"/>
    <s v="2020000"/>
    <s v="2021000"/>
    <s v="2021005"/>
    <x v="1"/>
    <x v="3"/>
    <x v="20"/>
    <s v="Taxas - Ocupação"/>
  </r>
  <r>
    <s v="Sim"/>
    <s v="Sim"/>
    <s v="Sim"/>
    <x v="211"/>
    <s v="2000000"/>
    <s v="2030000"/>
    <s v="2030100"/>
    <s v="2030101"/>
    <x v="1"/>
    <x v="4"/>
    <x v="21"/>
    <s v="IOF"/>
  </r>
  <r>
    <s v="Sim"/>
    <s v="Sim"/>
    <s v="Sim"/>
    <x v="212"/>
    <s v="2000000"/>
    <s v="2030000"/>
    <s v="2030100"/>
    <s v="2030102"/>
    <x v="1"/>
    <x v="4"/>
    <x v="21"/>
    <s v="TED/DOC"/>
  </r>
  <r>
    <s v="Sim"/>
    <s v="Sim"/>
    <s v="Sim"/>
    <x v="213"/>
    <s v="2000000"/>
    <s v="2030000"/>
    <s v="2030100"/>
    <s v="2030103"/>
    <x v="1"/>
    <x v="4"/>
    <x v="21"/>
    <s v="Despesas Bancárias"/>
  </r>
  <r>
    <s v="Sim"/>
    <s v="Sim"/>
    <s v="Sim"/>
    <x v="214"/>
    <s v="2000000"/>
    <s v="2030000"/>
    <s v="2030100"/>
    <s v="2030104"/>
    <x v="1"/>
    <x v="4"/>
    <x v="21"/>
    <s v="Juros sobre Emprestimos"/>
  </r>
  <r>
    <s v="Sim"/>
    <s v="Sim"/>
    <s v="Sim"/>
    <x v="215"/>
    <s v="2000000"/>
    <s v="2030000"/>
    <s v="2030100"/>
    <s v="2030105"/>
    <x v="1"/>
    <x v="4"/>
    <x v="21"/>
    <s v="Despesas Com Cobrança"/>
  </r>
  <r>
    <s v="Sim"/>
    <s v="Sim"/>
    <s v="Sim"/>
    <x v="216"/>
    <s v="2000000"/>
    <s v="2030000"/>
    <s v="2030100"/>
    <s v="2030106"/>
    <x v="1"/>
    <x v="4"/>
    <x v="21"/>
    <s v="Debito por Recebimento indevido"/>
  </r>
  <r>
    <s v="Sim"/>
    <s v="Sim"/>
    <s v="Sim"/>
    <x v="217"/>
    <s v="2000000"/>
    <s v="2030000"/>
    <s v="2030100"/>
    <s v="2030107"/>
    <x v="1"/>
    <x v="4"/>
    <x v="21"/>
    <s v="Juros sobre Financiamentos"/>
  </r>
  <r>
    <s v="Sim"/>
    <s v="Sim"/>
    <s v="Sim"/>
    <x v="218"/>
    <s v="2000000"/>
    <s v="2030000"/>
    <s v="2030100"/>
    <s v="2030108"/>
    <x v="1"/>
    <x v="4"/>
    <x v="21"/>
    <s v="Debito Indevido"/>
  </r>
  <r>
    <s v="Sim"/>
    <s v="Sim"/>
    <s v="Sim"/>
    <x v="219"/>
    <s v="2000000"/>
    <s v="2030000"/>
    <s v="2030100"/>
    <s v="2030109"/>
    <x v="1"/>
    <x v="4"/>
    <x v="21"/>
    <s v="Tarifa Cartão de Crédito/Débito"/>
  </r>
  <r>
    <s v="Sim"/>
    <s v="Sim"/>
    <s v="Sim"/>
    <x v="220"/>
    <s v="2000000"/>
    <s v="2030000"/>
    <s v="2030100"/>
    <s v="2030110"/>
    <x v="1"/>
    <x v="4"/>
    <x v="21"/>
    <s v="Aluguel Máquina de Cartão"/>
  </r>
  <r>
    <s v="Sim"/>
    <s v="Sim"/>
    <s v="Sim"/>
    <x v="220"/>
    <s v="2000000"/>
    <s v="2030000"/>
    <s v="2030100"/>
    <s v="2030110"/>
    <x v="1"/>
    <x v="4"/>
    <x v="21"/>
    <s v="Aluguel Máquina de Cartão"/>
  </r>
  <r>
    <s v="Sim"/>
    <s v="Sim"/>
    <s v="Sim"/>
    <x v="221"/>
    <s v="2000000"/>
    <s v="2030000"/>
    <s v="2030200"/>
    <s v="2030201"/>
    <x v="1"/>
    <x v="4"/>
    <x v="22"/>
    <s v="Pagamento de Mútuo"/>
  </r>
  <r>
    <s v="Sim"/>
    <s v="Sim"/>
    <s v="Sim"/>
    <x v="222"/>
    <s v="2000000"/>
    <s v="2030000"/>
    <s v="2030200"/>
    <s v="2030202"/>
    <x v="1"/>
    <x v="4"/>
    <x v="22"/>
    <s v="Pagamento de Empréstimo Bancário"/>
  </r>
  <r>
    <s v="Sim"/>
    <s v="Sim"/>
    <s v="Sim"/>
    <x v="223"/>
    <s v="2000000"/>
    <s v="2030000"/>
    <s v="2030200"/>
    <s v="2030203"/>
    <x v="1"/>
    <x v="4"/>
    <x v="22"/>
    <s v="Pagamento de Financiamento"/>
  </r>
  <r>
    <s v="Sim"/>
    <s v="Sim"/>
    <s v="Sim"/>
    <x v="224"/>
    <s v="2000000"/>
    <s v="2030000"/>
    <s v="2030200"/>
    <s v="2030204"/>
    <x v="1"/>
    <x v="4"/>
    <x v="22"/>
    <s v="Emprestimo a Terceiros"/>
  </r>
  <r>
    <s v="Sim"/>
    <s v="Sim"/>
    <s v="Sim"/>
    <x v="225"/>
    <s v="2000000"/>
    <s v="2030000"/>
    <s v="2030200"/>
    <s v="2030205"/>
    <x v="1"/>
    <x v="4"/>
    <x v="22"/>
    <s v="Pagamento Emprestimo"/>
  </r>
  <r>
    <s v="Sim"/>
    <s v="Sim"/>
    <s v="Sim"/>
    <x v="226"/>
    <s v="2000000"/>
    <s v="2030000"/>
    <s v="2030200"/>
    <s v="2030206"/>
    <x v="1"/>
    <x v="4"/>
    <x v="22"/>
    <s v="Despesas Emprestimos e Financiamentos"/>
  </r>
  <r>
    <s v="Sim"/>
    <s v="Sim"/>
    <s v="Sim"/>
    <x v="227"/>
    <s v="2000000"/>
    <s v="2030000"/>
    <s v="2030300"/>
    <s v="2030301"/>
    <x v="1"/>
    <x v="4"/>
    <x v="23"/>
    <s v="Aquisicao de Moveis e Utensilios"/>
  </r>
  <r>
    <s v="Sim"/>
    <s v="Sim"/>
    <s v="Sim"/>
    <x v="228"/>
    <s v="2000000"/>
    <s v="2030000"/>
    <s v="2030300"/>
    <s v="2030302"/>
    <x v="1"/>
    <x v="4"/>
    <x v="23"/>
    <s v="Aquisicao de Maquinas e Equipamentos"/>
  </r>
  <r>
    <s v="Sim"/>
    <s v="Sim"/>
    <s v="Sim"/>
    <x v="229"/>
    <s v="2000000"/>
    <s v="2030000"/>
    <s v="2030300"/>
    <s v="2030303"/>
    <x v="1"/>
    <x v="4"/>
    <x v="23"/>
    <s v="Aquisicao de Veiculos"/>
  </r>
  <r>
    <s v="Sim"/>
    <s v="Sim"/>
    <s v="Sim"/>
    <x v="230"/>
    <s v="2000000"/>
    <s v="2030000"/>
    <s v="2030300"/>
    <s v="2030304"/>
    <x v="1"/>
    <x v="4"/>
    <x v="23"/>
    <s v="Consorcios"/>
  </r>
  <r>
    <s v="Sim"/>
    <s v="Sim"/>
    <s v="Sim"/>
    <x v="231"/>
    <s v="2000000"/>
    <s v="2030000"/>
    <s v="2030300"/>
    <s v="2030305"/>
    <x v="1"/>
    <x v="4"/>
    <x v="23"/>
    <s v="Leasing"/>
  </r>
  <r>
    <s v="Sim"/>
    <s v="Sim"/>
    <s v="Sim"/>
    <x v="232"/>
    <s v="2000000"/>
    <s v="2030000"/>
    <s v="2030300"/>
    <s v="2030306"/>
    <x v="1"/>
    <x v="4"/>
    <x v="23"/>
    <s v="Aquisicao de Software"/>
  </r>
  <r>
    <s v="Sim"/>
    <s v="Sim"/>
    <s v="Sim"/>
    <x v="233"/>
    <s v="2000000"/>
    <s v="2030000"/>
    <s v="2030300"/>
    <s v="2030307"/>
    <x v="1"/>
    <x v="4"/>
    <x v="23"/>
    <s v="Imoveis  (terrenos, salas, lotes)"/>
  </r>
  <r>
    <s v="Sim"/>
    <s v="Sim"/>
    <s v="Sim"/>
    <x v="234"/>
    <s v="2000000"/>
    <s v="2030000"/>
    <s v="2030300"/>
    <s v="2030308"/>
    <x v="1"/>
    <x v="4"/>
    <x v="23"/>
    <s v="Estruturas Comerciais (paineis, outdoor)"/>
  </r>
  <r>
    <s v="Sim"/>
    <s v="Sim"/>
    <s v="Sim"/>
    <x v="235"/>
    <s v="2000000"/>
    <s v="2030000"/>
    <s v="2030300"/>
    <s v="2030309"/>
    <x v="1"/>
    <x v="4"/>
    <x v="23"/>
    <s v="Computadores e Periféricos"/>
  </r>
  <r>
    <s v="Sim"/>
    <s v="Sim"/>
    <s v="Sim"/>
    <x v="236"/>
    <s v="2000000"/>
    <s v="2030000"/>
    <s v="2030300"/>
    <s v="2030310"/>
    <x v="1"/>
    <x v="4"/>
    <x v="23"/>
    <s v="Marcas e Patentes"/>
  </r>
  <r>
    <s v="Sim"/>
    <s v="Sim"/>
    <s v="Sim"/>
    <x v="237"/>
    <s v="2000000"/>
    <s v="2030000"/>
    <s v="2030400"/>
    <s v="2030401"/>
    <x v="1"/>
    <x v="4"/>
    <x v="24"/>
    <s v="Benfeitorias em Imóveis de Terceiros"/>
  </r>
  <r>
    <s v="Sim"/>
    <s v="Sim"/>
    <s v="Sim"/>
    <x v="238"/>
    <s v="2000000"/>
    <s v="2030000"/>
    <s v="2030400"/>
    <s v="2030402"/>
    <x v="1"/>
    <x v="4"/>
    <x v="24"/>
    <s v="Benfeitorias em Imóveis Próprios"/>
  </r>
  <r>
    <s v="Sim"/>
    <s v="Sim"/>
    <s v="Sim"/>
    <x v="239"/>
    <s v="2000000"/>
    <s v="2030000"/>
    <s v="2030500"/>
    <s v="2030501"/>
    <x v="1"/>
    <x v="4"/>
    <x v="25"/>
    <s v="Aplicacao Financeira"/>
  </r>
  <r>
    <s v="Sim"/>
    <s v="Sim"/>
    <s v="Sim"/>
    <x v="240"/>
    <s v="2000000"/>
    <s v="2030000"/>
    <s v="2030500"/>
    <s v="2030502"/>
    <x v="1"/>
    <x v="4"/>
    <x v="25"/>
    <s v="Ações"/>
  </r>
  <r>
    <s v="Sim"/>
    <s v="Sim"/>
    <s v="Sim"/>
    <x v="241"/>
    <s v="2000000"/>
    <s v="2030000"/>
    <s v="2030600"/>
    <s v="2030600"/>
    <x v="1"/>
    <x v="4"/>
    <x v="26"/>
    <s v="Controle Permuta Avulsa"/>
  </r>
  <r>
    <s v="Sim"/>
    <s v="Sim"/>
    <s v="Sim"/>
    <x v="242"/>
    <s v="2000000"/>
    <s v="2040000"/>
    <s v="2040000"/>
    <s v="2040001"/>
    <x v="1"/>
    <x v="5"/>
    <x v="27"/>
    <s v="Engenheiro/ Arquiteto"/>
  </r>
  <r>
    <s v="Sim"/>
    <s v="Sim"/>
    <s v="Não"/>
    <x v="243"/>
    <s v="8000000"/>
    <s v="8000000"/>
    <s v="8000000"/>
    <s v="8000000"/>
    <x v="2"/>
    <x v="6"/>
    <x v="28"/>
    <s v="#CLASSIFICAR"/>
  </r>
  <r>
    <s v="Sim"/>
    <s v="Sim"/>
    <s v="Sim"/>
    <x v="244"/>
    <s v="9000000"/>
    <s v="9000000"/>
    <s v="9000000"/>
    <s v="9000000"/>
    <x v="3"/>
    <x v="7"/>
    <x v="29"/>
    <s v="Importação de XM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">
  <r>
    <s v="1000000"/>
    <s v="1030000"/>
    <s v="1030000"/>
    <s v="1030000"/>
    <s v="DEPARTAMENTOS"/>
    <s v="Diretoria"/>
    <s v="Diretoria"/>
    <s v="Diretoria"/>
    <x v="0"/>
    <x v="0"/>
    <x v="0"/>
    <x v="0"/>
    <s v="DESPESAS ADMINISTRATIVAS"/>
    <s v="DESPESAS COM PESSOAL"/>
  </r>
  <r>
    <m/>
    <m/>
    <m/>
    <m/>
    <m/>
    <m/>
    <m/>
    <m/>
    <x v="0"/>
    <x v="0"/>
    <x v="0"/>
    <x v="1"/>
    <s v="DESPESAS ADMINISTRATIVAS"/>
    <s v="DESPESAS COM PESSOAL"/>
  </r>
  <r>
    <m/>
    <m/>
    <m/>
    <m/>
    <m/>
    <m/>
    <m/>
    <m/>
    <x v="0"/>
    <x v="0"/>
    <x v="1"/>
    <x v="2"/>
    <s v="DESPESAS ADMINISTRATIVAS"/>
    <s v="DESPESAS COM PESSOAL"/>
  </r>
  <r>
    <m/>
    <m/>
    <m/>
    <m/>
    <m/>
    <m/>
    <m/>
    <m/>
    <x v="0"/>
    <x v="0"/>
    <x v="1"/>
    <x v="3"/>
    <s v="DESPESAS ADMINISTRATIVAS"/>
    <s v="DESPESAS COM PESSOAL"/>
  </r>
  <r>
    <s v="1000000"/>
    <s v="1080000"/>
    <s v="1080000"/>
    <s v="1080000"/>
    <s v="DEPARTAMENTOS"/>
    <s v="Recursos Humanos"/>
    <s v="Recursos Humanos"/>
    <s v="Recursos Humanos"/>
    <x v="0"/>
    <x v="0"/>
    <x v="1"/>
    <x v="4"/>
    <s v="DESPESAS ADMINISTRATIVAS"/>
    <s v="DESPESAS COM PESSOAL"/>
  </r>
  <r>
    <m/>
    <m/>
    <m/>
    <m/>
    <m/>
    <m/>
    <m/>
    <m/>
    <x v="0"/>
    <x v="0"/>
    <x v="1"/>
    <x v="5"/>
    <s v="DESPESAS ADMINISTRATIVAS"/>
    <s v="DESPESAS COM PESSOAL"/>
  </r>
  <r>
    <m/>
    <m/>
    <m/>
    <m/>
    <m/>
    <m/>
    <m/>
    <m/>
    <x v="0"/>
    <x v="0"/>
    <x v="1"/>
    <x v="6"/>
    <s v="DESPESAS ADMINISTRATIVAS"/>
    <s v="DESPESAS COM PESSOAL"/>
  </r>
  <r>
    <s v="1000000"/>
    <s v="1010000"/>
    <s v="1010000"/>
    <s v="1010000"/>
    <s v="DEPARTAMENTOS"/>
    <s v="Corporativo"/>
    <s v="Corporativo"/>
    <s v="Corporativo"/>
    <x v="0"/>
    <x v="0"/>
    <x v="1"/>
    <x v="7"/>
    <s v="DESPESAS ADMINISTRATIVAS"/>
    <s v="DESPESAS COM PESSOAL"/>
  </r>
  <r>
    <s v="1000000"/>
    <s v="1040000"/>
    <s v="1040000"/>
    <s v="1040000"/>
    <s v="DEPARTAMENTOS"/>
    <s v="Financeiro Administrativo"/>
    <s v="Financeiro Administrativo"/>
    <s v="Financeiro Administrativo"/>
    <x v="0"/>
    <x v="0"/>
    <x v="2"/>
    <x v="8"/>
    <s v="DESPESAS ADMINISTRATIVAS"/>
    <s v="DESPESAS COM PESSOAL"/>
  </r>
  <r>
    <m/>
    <m/>
    <m/>
    <m/>
    <m/>
    <m/>
    <m/>
    <m/>
    <x v="0"/>
    <x v="0"/>
    <x v="2"/>
    <x v="9"/>
    <s v="DESPESAS ADMINISTRATIVAS"/>
    <s v="DESPESAS COM PESSOAL"/>
  </r>
  <r>
    <s v="1000000"/>
    <s v="1090000"/>
    <s v="1090000"/>
    <s v="1090000"/>
    <s v="DEPARTAMENTOS"/>
    <s v="Infraestrutura de Tecnologia"/>
    <s v="Infraestrutura de Tecnologia"/>
    <s v="Infraestrutura de Tecnologia"/>
    <x v="0"/>
    <x v="0"/>
    <x v="2"/>
    <x v="10"/>
    <s v="DESPESAS ADMINISTRATIVAS"/>
    <s v="DESPESAS COM PESSOAL"/>
  </r>
  <r>
    <s v="1000000"/>
    <s v="1020000"/>
    <s v="1020000"/>
    <s v="1020000"/>
    <s v="DEPARTAMENTOS"/>
    <s v="Comercial"/>
    <s v="Comercial"/>
    <s v="Comercial"/>
    <x v="0"/>
    <x v="0"/>
    <x v="3"/>
    <x v="11"/>
    <s v="DESPESAS ADMINISTRATIVAS"/>
    <s v="DESPESAS COM PESSOAL"/>
  </r>
  <r>
    <m/>
    <m/>
    <m/>
    <m/>
    <m/>
    <m/>
    <m/>
    <m/>
    <x v="0"/>
    <x v="0"/>
    <x v="3"/>
    <x v="12"/>
    <s v="DESPESAS ADMINISTRATIVAS"/>
    <s v="DESPESAS COM PESSOAL"/>
  </r>
  <r>
    <m/>
    <m/>
    <m/>
    <m/>
    <m/>
    <m/>
    <m/>
    <m/>
    <x v="1"/>
    <x v="1"/>
    <x v="4"/>
    <x v="13"/>
    <s v="CUSTOS DOS SERVIÇOS PRESTADOS"/>
    <s v="CUSTOS COM PESSOAL"/>
  </r>
  <r>
    <s v="1000000"/>
    <s v="1140000"/>
    <s v="1140000"/>
    <s v="1140000"/>
    <s v="DEPARTAMENTOS"/>
    <s v="Atleta Amador"/>
    <s v="Atleta Amador"/>
    <s v="Atleta Amador"/>
    <x v="1"/>
    <x v="1"/>
    <x v="4"/>
    <x v="14"/>
    <s v="CUSTOS DOS SERVIÇOS PRESTADOS"/>
    <s v="CUSTOS COM PESSOAL"/>
  </r>
  <r>
    <m/>
    <m/>
    <m/>
    <m/>
    <m/>
    <m/>
    <m/>
    <m/>
    <x v="1"/>
    <x v="1"/>
    <x v="4"/>
    <x v="15"/>
    <s v="CUSTOS DOS SERVIÇOS PRESTADOS"/>
    <s v="CUSTOS COM PESSOAL"/>
  </r>
  <r>
    <m/>
    <m/>
    <m/>
    <m/>
    <m/>
    <m/>
    <m/>
    <m/>
    <x v="1"/>
    <x v="1"/>
    <x v="5"/>
    <x v="16"/>
    <s v="CUSTOS DOS SERVIÇOS PRESTADOS"/>
    <s v="CUSTOS COM PESSOAL"/>
  </r>
  <r>
    <s v="1000000"/>
    <s v="1150000"/>
    <s v="1150000"/>
    <s v="1150000"/>
    <s v="DEPARTAMENTOS"/>
    <s v="Atleta Profissional"/>
    <s v="Atleta Profissional"/>
    <s v="Atleta Profissional"/>
    <x v="1"/>
    <x v="1"/>
    <x v="5"/>
    <x v="17"/>
    <s v="CUSTOS DOS SERVIÇOS PRESTADOS"/>
    <s v="CUSTOS COM PESSOAL"/>
  </r>
  <r>
    <m/>
    <m/>
    <m/>
    <m/>
    <m/>
    <m/>
    <m/>
    <m/>
    <x v="1"/>
    <x v="1"/>
    <x v="5"/>
    <x v="18"/>
    <s v="CUSTOS DOS SERVIÇOS PRESTADOS"/>
    <s v="CUSTOS COM PESSOAL"/>
  </r>
  <r>
    <m/>
    <m/>
    <m/>
    <m/>
    <m/>
    <m/>
    <m/>
    <m/>
    <x v="1"/>
    <x v="1"/>
    <x v="6"/>
    <x v="19"/>
    <s v="CUSTOS DOS SERVIÇOS PRESTADOS"/>
    <s v="CUSTOS COM PESSOAL"/>
  </r>
  <r>
    <s v="1000000"/>
    <s v="1120000"/>
    <s v="1120000"/>
    <s v="1120000"/>
    <s v="DEPARTAMENTOS"/>
    <s v="Alojamento"/>
    <s v="Alojamento"/>
    <s v="Alojamento"/>
    <x v="1"/>
    <x v="1"/>
    <x v="6"/>
    <x v="20"/>
    <s v="CUSTOS DOS SERVIÇOS PRESTADOS"/>
    <s v="CUSTOS COM PESSOAL"/>
  </r>
  <r>
    <s v="1000000"/>
    <s v="1160000"/>
    <s v="1160000"/>
    <s v="1160000"/>
    <s v="DEPARTAMENTOS"/>
    <s v="Target"/>
    <s v="Target"/>
    <s v="Target"/>
    <x v="1"/>
    <x v="2"/>
    <x v="7"/>
    <x v="21"/>
    <s v="CUSTOS DOS SERVIÇOS PRESTADOS"/>
    <s v="CUSTOS COM PESSOAL"/>
  </r>
  <r>
    <s v="2000000"/>
    <s v="2040000"/>
    <s v="2040300"/>
    <s v="2040300"/>
    <s v="UNIDADES DE NEGOCIO"/>
    <s v="AMBIENTES DE CONSUMO"/>
    <s v="Farmacia"/>
    <s v="Farmacia"/>
    <x v="1"/>
    <x v="3"/>
    <x v="8"/>
    <x v="22"/>
    <m/>
    <m/>
  </r>
  <r>
    <s v="2000000"/>
    <s v="2040000"/>
    <s v="2040100"/>
    <s v="2040103"/>
    <s v="UNIDADES DE NEGOCIO"/>
    <s v="AMBIENTES DE CONSUMO"/>
    <s v="SHOPPING"/>
    <s v="Shopping Mestre Alvaro"/>
    <x v="1"/>
    <x v="3"/>
    <x v="9"/>
    <x v="23"/>
    <m/>
    <m/>
  </r>
  <r>
    <s v="2000000"/>
    <s v="2040000"/>
    <s v="2040100"/>
    <s v="2040105"/>
    <s v="UNIDADES DE NEGOCIO"/>
    <s v="AMBIENTES DE CONSUMO"/>
    <s v="SHOPPING"/>
    <s v="Shopping Montserrat"/>
    <x v="1"/>
    <x v="3"/>
    <x v="9"/>
    <x v="24"/>
    <m/>
    <m/>
  </r>
  <r>
    <s v="2000000"/>
    <s v="2040000"/>
    <s v="2040100"/>
    <s v="2040104"/>
    <s v="UNIDADES DE NEGOCIO"/>
    <s v="AMBIENTES DE CONSUMO"/>
    <s v="SHOPPING"/>
    <s v="Shopping Moxuara"/>
    <x v="1"/>
    <x v="3"/>
    <x v="9"/>
    <x v="25"/>
    <m/>
    <m/>
  </r>
  <r>
    <s v="2000000"/>
    <s v="2040000"/>
    <s v="2040100"/>
    <s v="2040102"/>
    <s v="UNIDADES DE NEGOCIO"/>
    <s v="AMBIENTES DE CONSUMO"/>
    <s v="SHOPPING"/>
    <s v="Shopping Norte Sul"/>
    <x v="1"/>
    <x v="3"/>
    <x v="9"/>
    <x v="26"/>
    <m/>
    <m/>
  </r>
  <r>
    <s v="2000000"/>
    <s v="2040000"/>
    <s v="2040100"/>
    <s v="2040101"/>
    <s v="UNIDADES DE NEGOCIO"/>
    <s v="AMBIENTES DE CONSUMO"/>
    <s v="SHOPPING"/>
    <s v="Shopping Vitoria"/>
    <x v="1"/>
    <x v="3"/>
    <x v="9"/>
    <x v="27"/>
    <m/>
    <m/>
  </r>
  <r>
    <s v="2000000"/>
    <s v="2040000"/>
    <s v="2040200"/>
    <s v="2040200"/>
    <s v="UNIDADES DE NEGOCIO"/>
    <s v="AMBIENTES DE CONSUMO"/>
    <s v="Supermercado"/>
    <s v="Supermercado"/>
    <x v="1"/>
    <x v="3"/>
    <x v="10"/>
    <x v="28"/>
    <m/>
    <m/>
  </r>
  <r>
    <s v="2000000"/>
    <s v="2090000"/>
    <s v="2090100"/>
    <s v="2090100"/>
    <s v="UNIDADES DE NEGOCIO"/>
    <s v="CONSORCIO"/>
    <s v="All Space Visao"/>
    <s v="All Space Visao"/>
    <x v="1"/>
    <x v="4"/>
    <x v="11"/>
    <x v="29"/>
    <m/>
    <m/>
  </r>
  <r>
    <s v="2000000"/>
    <s v="2120000"/>
    <s v="2120300"/>
    <s v="2120300"/>
    <s v="UNIDADES DE NEGOCIO"/>
    <s v="ECONTO"/>
    <s v="Econto Filial Guarapari"/>
    <s v="Econto Filial Guarapari"/>
    <x v="1"/>
    <x v="5"/>
    <x v="12"/>
    <x v="30"/>
    <m/>
    <m/>
  </r>
  <r>
    <s v="2000000"/>
    <s v="2120000"/>
    <s v="2120200"/>
    <s v="2120200"/>
    <s v="UNIDADES DE NEGOCIO"/>
    <s v="ECONTO"/>
    <s v="Venda Material Esportivo"/>
    <s v="Venda Material Esportivo"/>
    <x v="1"/>
    <x v="5"/>
    <x v="13"/>
    <x v="31"/>
    <m/>
    <m/>
  </r>
  <r>
    <s v="2000000"/>
    <s v="2120000"/>
    <s v="2120100"/>
    <s v="2120100"/>
    <s v="UNIDADES DE NEGOCIO"/>
    <s v="ECONTO"/>
    <s v="Venda Plano Primer"/>
    <s v="Venda Plano Primer"/>
    <x v="1"/>
    <x v="5"/>
    <x v="14"/>
    <x v="32"/>
    <m/>
    <m/>
  </r>
  <r>
    <s v="2000000"/>
    <s v="2010000"/>
    <s v="2010600"/>
    <s v="2010600"/>
    <s v="UNIDADES DE NEGOCIO"/>
    <s v="GRANDES FORMATOS"/>
    <s v="Comunidade Outdoor"/>
    <s v="Comunidade Outdoor"/>
    <x v="1"/>
    <x v="6"/>
    <x v="15"/>
    <x v="33"/>
    <m/>
    <m/>
  </r>
  <r>
    <s v="2000000"/>
    <s v="2010000"/>
    <s v="2010300"/>
    <s v="2010300"/>
    <s v="UNIDADES DE NEGOCIO"/>
    <s v="GRANDES FORMATOS"/>
    <s v="Empena"/>
    <s v="Empena"/>
    <x v="1"/>
    <x v="6"/>
    <x v="16"/>
    <x v="34"/>
    <m/>
    <m/>
  </r>
  <r>
    <s v="2000000"/>
    <s v="2010000"/>
    <s v="2010800"/>
    <s v="2010800"/>
    <s v="UNIDADES DE NEGOCIO"/>
    <s v="GRANDES FORMATOS"/>
    <s v="Empena de Led"/>
    <s v="Empena de Led"/>
    <x v="1"/>
    <x v="6"/>
    <x v="17"/>
    <x v="35"/>
    <m/>
    <m/>
  </r>
  <r>
    <s v="2000000"/>
    <s v="2010000"/>
    <s v="2010200"/>
    <s v="2010200"/>
    <s v="UNIDADES DE NEGOCIO"/>
    <s v="GRANDES FORMATOS"/>
    <s v="Front"/>
    <s v="Front"/>
    <x v="1"/>
    <x v="6"/>
    <x v="18"/>
    <x v="36"/>
    <m/>
    <m/>
  </r>
  <r>
    <s v="2000000"/>
    <s v="2010000"/>
    <s v="2010100"/>
    <s v="2010100"/>
    <s v="UNIDADES DE NEGOCIO"/>
    <s v="GRANDES FORMATOS"/>
    <s v="Outdoor"/>
    <s v="Outdoor"/>
    <x v="1"/>
    <x v="6"/>
    <x v="19"/>
    <x v="37"/>
    <m/>
    <m/>
  </r>
  <r>
    <s v="2000000"/>
    <s v="2010000"/>
    <s v="2010700"/>
    <s v="2010700"/>
    <s v="UNIDADES DE NEGOCIO"/>
    <s v="GRANDES FORMATOS"/>
    <s v="Paineis de Led"/>
    <s v="Paineis de Led"/>
    <x v="1"/>
    <x v="6"/>
    <x v="20"/>
    <x v="38"/>
    <m/>
    <m/>
  </r>
  <r>
    <s v="2000000"/>
    <s v="2010000"/>
    <s v="2010500"/>
    <s v="2010500"/>
    <s v="UNIDADES DE NEGOCIO"/>
    <s v="GRANDES FORMATOS"/>
    <s v="Paineis Rodoviarios"/>
    <s v="Paineis Rodoviarios"/>
    <x v="1"/>
    <x v="6"/>
    <x v="21"/>
    <x v="39"/>
    <m/>
    <m/>
  </r>
  <r>
    <s v="2000000"/>
    <s v="2010000"/>
    <s v="2010400"/>
    <s v="2010400"/>
    <s v="UNIDADES DE NEGOCIO"/>
    <s v="GRANDES FORMATOS"/>
    <s v="Rodosol - Paineis e Inflaveis"/>
    <s v="Rodosol - Paineis e Inflaveis"/>
    <x v="1"/>
    <x v="6"/>
    <x v="22"/>
    <x v="40"/>
    <m/>
    <m/>
  </r>
  <r>
    <s v="2000000"/>
    <s v="2070000"/>
    <s v="2070300"/>
    <s v="2070300"/>
    <s v="UNIDADES DE NEGOCIO"/>
    <s v="INDUSTRIALIZACAO"/>
    <s v="Estoque"/>
    <s v="Estoque"/>
    <x v="1"/>
    <x v="7"/>
    <x v="23"/>
    <x v="41"/>
    <m/>
    <m/>
  </r>
  <r>
    <s v="2000000"/>
    <s v="2070000"/>
    <s v="2070100"/>
    <s v="2070100"/>
    <s v="UNIDADES DE NEGOCIO"/>
    <s v="INDUSTRIALIZACAO"/>
    <s v="Estrutura"/>
    <s v="Estrutura"/>
    <x v="1"/>
    <x v="7"/>
    <x v="24"/>
    <x v="42"/>
    <m/>
    <m/>
  </r>
  <r>
    <s v="2000000"/>
    <s v="2070000"/>
    <s v="2070200"/>
    <s v="2070200"/>
    <s v="UNIDADES DE NEGOCIO"/>
    <s v="INDUSTRIALIZACAO"/>
    <s v="Placa"/>
    <s v="Placa"/>
    <x v="1"/>
    <x v="7"/>
    <x v="25"/>
    <x v="43"/>
    <m/>
    <m/>
  </r>
  <r>
    <s v="2000000"/>
    <s v="2150000"/>
    <s v="2151100"/>
    <s v="2151100"/>
    <s v="UNIDADES DE NEGOCIO"/>
    <s v="MAELY SP"/>
    <s v="B-Air Digital Onibus"/>
    <s v="B-Air Digital Onibus"/>
    <x v="1"/>
    <x v="8"/>
    <x v="26"/>
    <x v="44"/>
    <m/>
    <m/>
  </r>
  <r>
    <s v="2000000"/>
    <s v="2150000"/>
    <s v="2151000"/>
    <s v="2151000"/>
    <s v="UNIDADES DE NEGOCIO"/>
    <s v="MAELY SP"/>
    <s v="B-Air Estatico Onibus"/>
    <s v="B-Air Estatico Onibus"/>
    <x v="1"/>
    <x v="8"/>
    <x v="26"/>
    <x v="45"/>
    <m/>
    <m/>
  </r>
  <r>
    <s v="2000000"/>
    <s v="2150000"/>
    <s v="2151200"/>
    <s v="2151200"/>
    <s v="UNIDADES DE NEGOCIO"/>
    <s v="MAELY SP"/>
    <s v="Estação de Metrô - Estatico"/>
    <s v="Estação de Metrô - Estatico"/>
    <x v="1"/>
    <x v="8"/>
    <x v="26"/>
    <x v="46"/>
    <m/>
    <m/>
  </r>
  <r>
    <s v="2000000"/>
    <s v="2050000"/>
    <s v="2050300"/>
    <s v="2050300"/>
    <s v="UNIDADES DE NEGOCIO"/>
    <s v="MIDIA ONLINE"/>
    <s v="Ads"/>
    <s v="Ads"/>
    <x v="1"/>
    <x v="8"/>
    <x v="27"/>
    <x v="47"/>
    <m/>
    <m/>
  </r>
  <r>
    <s v="2000000"/>
    <s v="2050000"/>
    <s v="2050400"/>
    <s v="2050400"/>
    <s v="UNIDADES DE NEGOCIO"/>
    <s v="MIDIA ONLINE"/>
    <s v="Metrópolis"/>
    <s v="Metrópolis"/>
    <x v="1"/>
    <x v="8"/>
    <x v="27"/>
    <x v="48"/>
    <m/>
    <m/>
  </r>
  <r>
    <s v="2000000"/>
    <s v="2050000"/>
    <s v="2050200"/>
    <s v="2050200"/>
    <s v="UNIDADES DE NEGOCIO"/>
    <s v="MIDIA ONLINE"/>
    <s v="Sempre On"/>
    <s v="Sempre On"/>
    <x v="1"/>
    <x v="8"/>
    <x v="27"/>
    <x v="49"/>
    <m/>
    <m/>
  </r>
  <r>
    <s v="2000000"/>
    <s v="2050000"/>
    <s v="2050100"/>
    <s v="2050100"/>
    <s v="UNIDADES DE NEGOCIO"/>
    <s v="MIDIA ONLINE"/>
    <s v="SouES"/>
    <s v="SouES"/>
    <x v="1"/>
    <x v="8"/>
    <x v="27"/>
    <x v="50"/>
    <m/>
    <m/>
  </r>
  <r>
    <s v="2000000"/>
    <s v="2020000"/>
    <s v="2020600"/>
    <s v="2020600"/>
    <s v="UNIDADES DE NEGOCIO"/>
    <s v="MOBILIARIO URBANO"/>
    <s v="Banca Led"/>
    <s v="Banca Led"/>
    <x v="1"/>
    <x v="8"/>
    <x v="28"/>
    <x v="51"/>
    <m/>
    <m/>
  </r>
  <r>
    <s v="2000000"/>
    <s v="2020000"/>
    <s v="2020300"/>
    <s v="2020300"/>
    <s v="UNIDADES DE NEGOCIO"/>
    <s v="MOBILIARIO URBANO"/>
    <s v="Bancas Traseiras"/>
    <s v="Bancas Traseiras"/>
    <x v="1"/>
    <x v="8"/>
    <x v="28"/>
    <x v="52"/>
    <m/>
    <m/>
  </r>
  <r>
    <s v="2000000"/>
    <s v="2020000"/>
    <s v="2020100"/>
    <s v="2020100"/>
    <s v="UNIDADES DE NEGOCIO"/>
    <s v="MOBILIARIO URBANO"/>
    <s v="Circuito Abrigos e Relogios"/>
    <s v="Circuito Abrigos e Relogios"/>
    <x v="1"/>
    <x v="8"/>
    <x v="28"/>
    <x v="53"/>
    <m/>
    <m/>
  </r>
  <r>
    <s v="2000000"/>
    <s v="2020000"/>
    <s v="2020200"/>
    <s v="2020200"/>
    <s v="UNIDADES DE NEGOCIO"/>
    <s v="MOBILIARIO URBANO"/>
    <s v="Circuito Mub Banca"/>
    <s v="Circuito Mub Banca"/>
    <x v="1"/>
    <x v="8"/>
    <x v="28"/>
    <x v="54"/>
    <m/>
    <m/>
  </r>
  <r>
    <s v="2000000"/>
    <s v="2020000"/>
    <s v="2020500"/>
    <s v="2020500"/>
    <s v="UNIDADES DE NEGOCIO"/>
    <s v="MOBILIARIO URBANO"/>
    <s v="Placas Toponimicas"/>
    <s v="Placas Toponimicas"/>
    <x v="1"/>
    <x v="8"/>
    <x v="28"/>
    <x v="55"/>
    <m/>
    <m/>
  </r>
  <r>
    <s v="2000000"/>
    <s v="2020000"/>
    <s v="2020400"/>
    <s v="2020400"/>
    <s v="UNIDADES DE NEGOCIO"/>
    <s v="MOBILIARIO URBANO"/>
    <s v="Rodosol Cabines e Totens"/>
    <s v="Rodosol Cabines e Totens"/>
    <x v="1"/>
    <x v="8"/>
    <x v="28"/>
    <x v="56"/>
    <m/>
    <m/>
  </r>
  <r>
    <s v="2000000"/>
    <s v="2100000"/>
    <s v="2100100"/>
    <s v="2100106"/>
    <s v="UNIDADES DE NEGOCIO"/>
    <s v="NEGÓCIOS DA MMP"/>
    <s v="MovLog"/>
    <s v="Administrativo Movlog"/>
    <x v="1"/>
    <x v="9"/>
    <x v="29"/>
    <x v="57"/>
    <m/>
    <m/>
  </r>
  <r>
    <s v="2000000"/>
    <s v="2100000"/>
    <s v="2100100"/>
    <s v="2100105"/>
    <s v="UNIDADES DE NEGOCIO"/>
    <s v="NEGÓCIOS DA MMP"/>
    <s v="MovLog"/>
    <s v="Area comum"/>
    <x v="1"/>
    <x v="9"/>
    <x v="29"/>
    <x v="58"/>
    <m/>
    <m/>
  </r>
  <r>
    <s v="2000000"/>
    <s v="2100000"/>
    <s v="2100100"/>
    <s v="2100111"/>
    <s v="UNIDADES DE NEGOCIO"/>
    <s v="NEGÓCIOS DA MMP"/>
    <s v="MovLog"/>
    <s v="Galpão 11"/>
    <x v="1"/>
    <x v="9"/>
    <x v="29"/>
    <x v="59"/>
    <m/>
    <m/>
  </r>
  <r>
    <s v="2000000"/>
    <s v="2100000"/>
    <s v="2100100"/>
    <s v="2100112"/>
    <s v="UNIDADES DE NEGOCIO"/>
    <s v="NEGÓCIOS DA MMP"/>
    <s v="MovLog"/>
    <s v="Galpão n°005"/>
    <x v="1"/>
    <x v="9"/>
    <x v="29"/>
    <x v="60"/>
    <m/>
    <m/>
  </r>
  <r>
    <s v="2000000"/>
    <s v="2100000"/>
    <s v="2100100"/>
    <s v="2100104"/>
    <s v="UNIDADES DE NEGOCIO"/>
    <s v="NEGÓCIOS DA MMP"/>
    <s v="MovLog"/>
    <s v="Galpão n°006"/>
    <x v="1"/>
    <x v="9"/>
    <x v="29"/>
    <x v="61"/>
    <m/>
    <m/>
  </r>
  <r>
    <s v="2000000"/>
    <s v="2100000"/>
    <s v="2100100"/>
    <s v="2100101"/>
    <s v="UNIDADES DE NEGOCIO"/>
    <s v="NEGÓCIOS DA MMP"/>
    <s v="MovLog"/>
    <s v="Galpão nº001"/>
    <x v="1"/>
    <x v="9"/>
    <x v="29"/>
    <x v="62"/>
    <m/>
    <m/>
  </r>
  <r>
    <s v="2000000"/>
    <s v="2100000"/>
    <s v="2100100"/>
    <s v="2100102"/>
    <s v="UNIDADES DE NEGOCIO"/>
    <s v="NEGÓCIOS DA MMP"/>
    <s v="MovLog"/>
    <s v="Galpão nº002"/>
    <x v="1"/>
    <x v="9"/>
    <x v="29"/>
    <x v="63"/>
    <m/>
    <m/>
  </r>
  <r>
    <s v="2000000"/>
    <s v="2100000"/>
    <s v="2100100"/>
    <s v="2100103"/>
    <s v="UNIDADES DE NEGOCIO"/>
    <s v="NEGÓCIOS DA MMP"/>
    <s v="MovLog"/>
    <s v="Galpão nº003"/>
    <x v="1"/>
    <x v="9"/>
    <x v="29"/>
    <x v="64"/>
    <m/>
    <m/>
  </r>
  <r>
    <s v="2000000"/>
    <s v="2100000"/>
    <s v="2100100"/>
    <s v="2100107"/>
    <s v="UNIDADES DE NEGOCIO"/>
    <s v="NEGÓCIOS DA MMP"/>
    <s v="MovLog"/>
    <s v="Galpão 04 D"/>
    <x v="1"/>
    <x v="9"/>
    <x v="29"/>
    <x v="65"/>
    <m/>
    <m/>
  </r>
  <r>
    <s v="2000000"/>
    <s v="2100000"/>
    <s v="2100100"/>
    <s v="2100108"/>
    <s v="UNIDADES DE NEGOCIO"/>
    <s v="NEGÓCIOS DA MMP"/>
    <s v="MovLog"/>
    <s v="Galpão 04 E"/>
    <x v="1"/>
    <x v="9"/>
    <x v="29"/>
    <x v="66"/>
    <m/>
    <m/>
  </r>
  <r>
    <s v="2000000"/>
    <s v="2100000"/>
    <s v="2100100"/>
    <s v="2100110"/>
    <s v="UNIDADES DE NEGOCIO"/>
    <s v="NEGÓCIOS DA MMP"/>
    <s v="MovLog"/>
    <s v="Nescher"/>
    <x v="1"/>
    <x v="9"/>
    <x v="29"/>
    <x v="67"/>
    <m/>
    <m/>
  </r>
  <r>
    <s v="2000000"/>
    <s v="2100000"/>
    <s v="2100100"/>
    <s v="2100109"/>
    <s v="UNIDADES DE NEGOCIO"/>
    <s v="NEGÓCIOS DA MMP"/>
    <s v="MovLog"/>
    <s v="Obra Movlog"/>
    <x v="1"/>
    <x v="9"/>
    <x v="29"/>
    <x v="68"/>
    <m/>
    <m/>
  </r>
  <r>
    <s v="2000000"/>
    <s v="2100000"/>
    <s v="2100200"/>
    <s v="2100201"/>
    <s v="UNIDADES DE NEGOCIO"/>
    <s v="NEGÓCIOS DA MMP"/>
    <s v="NEGOCIOS GUARAPARI"/>
    <s v="Siribeira"/>
    <x v="1"/>
    <x v="9"/>
    <x v="30"/>
    <x v="69"/>
    <m/>
    <m/>
  </r>
  <r>
    <s v="2000000"/>
    <s v="2100000"/>
    <s v="2100200"/>
    <s v="2100202"/>
    <s v="UNIDADES DE NEGOCIO"/>
    <s v="NEGÓCIOS DA MMP"/>
    <s v="NEGOCIOS GUARAPARI"/>
    <s v="Terreno Praia do Morro"/>
    <x v="1"/>
    <x v="9"/>
    <x v="30"/>
    <x v="70"/>
    <m/>
    <m/>
  </r>
  <r>
    <s v="2000000"/>
    <s v="2140000"/>
    <s v="2141000"/>
    <s v="2141000"/>
    <s v="UNIDADES DE NEGOCIO"/>
    <s v="PORTO"/>
    <s v="Venda de ingressos"/>
    <s v="Venda de ingressos"/>
    <x v="1"/>
    <x v="1"/>
    <x v="31"/>
    <x v="71"/>
    <m/>
    <m/>
  </r>
  <r>
    <s v="2000000"/>
    <s v="2110000"/>
    <s v="2110100"/>
    <s v="2110100"/>
    <s v="UNIDADES DE NEGOCIO"/>
    <s v="PRIMER"/>
    <s v="Area Protegida"/>
    <s v="Area Protegida"/>
    <x v="1"/>
    <x v="10"/>
    <x v="32"/>
    <x v="72"/>
    <m/>
    <m/>
  </r>
  <r>
    <s v="2000000"/>
    <s v="2110000"/>
    <s v="2110200"/>
    <s v="2110200"/>
    <s v="UNIDADES DE NEGOCIO"/>
    <s v="PRIMER"/>
    <s v="Assistencia Domiciliar"/>
    <s v="Assistencia Domiciliar"/>
    <x v="1"/>
    <x v="10"/>
    <x v="33"/>
    <x v="73"/>
    <m/>
    <m/>
  </r>
  <r>
    <s v="2000000"/>
    <s v="2110000"/>
    <s v="2111000"/>
    <s v="2111000"/>
    <s v="UNIDADES DE NEGOCIO"/>
    <s v="PRIMER"/>
    <s v="Central Atendimento"/>
    <s v="Central Atendimento"/>
    <x v="1"/>
    <x v="10"/>
    <x v="34"/>
    <x v="74"/>
    <m/>
    <m/>
  </r>
  <r>
    <s v="2000000"/>
    <s v="2110000"/>
    <s v="2110300"/>
    <s v="2110300"/>
    <s v="UNIDADES DE NEGOCIO"/>
    <s v="PRIMER"/>
    <s v="Filial Linhares"/>
    <s v="Filial Linhares"/>
    <x v="1"/>
    <x v="10"/>
    <x v="35"/>
    <x v="75"/>
    <m/>
    <m/>
  </r>
  <r>
    <s v="2000000"/>
    <s v="2110000"/>
    <s v="2110400"/>
    <s v="2110400"/>
    <s v="UNIDADES DE NEGOCIO"/>
    <s v="PRIMER"/>
    <s v="Locação de Ambulância com Mão de Obra"/>
    <s v="Locação de Ambulância com Mão de Obra"/>
    <x v="1"/>
    <x v="10"/>
    <x v="36"/>
    <x v="76"/>
    <m/>
    <m/>
  </r>
  <r>
    <s v="2000000"/>
    <s v="2110000"/>
    <s v="2110500"/>
    <s v="2110500"/>
    <s v="UNIDADES DE NEGOCIO"/>
    <s v="PRIMER"/>
    <s v="Particular PF"/>
    <s v="Particular PF"/>
    <x v="1"/>
    <x v="10"/>
    <x v="37"/>
    <x v="77"/>
    <m/>
    <m/>
  </r>
  <r>
    <s v="2000000"/>
    <s v="2110000"/>
    <s v="2110600"/>
    <s v="2110600"/>
    <s v="UNIDADES DE NEGOCIO"/>
    <s v="PRIMER"/>
    <s v="Particular PJ"/>
    <s v="Particular PJ"/>
    <x v="1"/>
    <x v="10"/>
    <x v="38"/>
    <x v="78"/>
    <m/>
    <m/>
  </r>
  <r>
    <s v="2000000"/>
    <s v="2110000"/>
    <s v="2110700"/>
    <s v="2110700"/>
    <s v="UNIDADES DE NEGOCIO"/>
    <s v="PRIMER"/>
    <s v="Plano Primer PF"/>
    <s v="Plano Primer PF"/>
    <x v="1"/>
    <x v="10"/>
    <x v="39"/>
    <x v="79"/>
    <m/>
    <m/>
  </r>
  <r>
    <s v="2000000"/>
    <s v="2110000"/>
    <s v="2110800"/>
    <s v="2110800"/>
    <s v="UNIDADES DE NEGOCIO"/>
    <s v="PRIMER"/>
    <s v="Plano Primer PJ"/>
    <s v="Plano Primer PJ"/>
    <x v="1"/>
    <x v="10"/>
    <x v="40"/>
    <x v="80"/>
    <m/>
    <m/>
  </r>
  <r>
    <s v="2000000"/>
    <s v="2110000"/>
    <s v="2110900"/>
    <s v="2110900"/>
    <s v="UNIDADES DE NEGOCIO"/>
    <s v="PRIMER"/>
    <s v="Remoção"/>
    <s v="Remoção"/>
    <x v="1"/>
    <x v="10"/>
    <x v="41"/>
    <x v="81"/>
    <m/>
    <m/>
  </r>
  <r>
    <s v="2000000"/>
    <s v="2060000"/>
    <s v="2060100"/>
    <s v="2060100"/>
    <s v="UNIDADES DE NEGOCIO"/>
    <s v="REVENDA"/>
    <s v="Impressao Revenda"/>
    <s v="Impressao Revenda"/>
    <x v="1"/>
    <x v="11"/>
    <x v="42"/>
    <x v="82"/>
    <m/>
    <m/>
  </r>
  <r>
    <s v="2000000"/>
    <s v="2080000"/>
    <s v="2080100"/>
    <s v="2080100"/>
    <s v="UNIDADES DE NEGOCIO"/>
    <s v="SERVICO"/>
    <s v="Colagem"/>
    <s v="Colagem"/>
    <x v="1"/>
    <x v="12"/>
    <x v="43"/>
    <x v="83"/>
    <m/>
    <m/>
  </r>
  <r>
    <s v="2000000"/>
    <s v="2080000"/>
    <s v="2080400"/>
    <s v="2080400"/>
    <s v="UNIDADES DE NEGOCIO"/>
    <s v="SERVICO"/>
    <s v="Limpeza de Terreno"/>
    <s v="Limpeza de Terreno"/>
    <x v="1"/>
    <x v="12"/>
    <x v="44"/>
    <x v="84"/>
    <m/>
    <m/>
  </r>
  <r>
    <s v="2000000"/>
    <s v="2080000"/>
    <s v="2080200"/>
    <s v="2080200"/>
    <s v="UNIDADES DE NEGOCIO"/>
    <s v="SERVICO"/>
    <s v="Manutenção"/>
    <s v="Manutenção"/>
    <x v="1"/>
    <x v="12"/>
    <x v="45"/>
    <x v="85"/>
    <m/>
    <m/>
  </r>
  <r>
    <s v="2000000"/>
    <s v="2080000"/>
    <s v="2080300"/>
    <s v="2080300"/>
    <s v="UNIDADES DE NEGOCIO"/>
    <s v="SERVICO"/>
    <s v="Montagem e Instalacao"/>
    <s v="Montagem e Instalacao"/>
    <x v="1"/>
    <x v="12"/>
    <x v="46"/>
    <x v="86"/>
    <m/>
    <m/>
  </r>
  <r>
    <s v="2000000"/>
    <s v="2080000"/>
    <s v="2080500"/>
    <s v="2080500"/>
    <s v="UNIDADES DE NEGOCIO"/>
    <s v="SERVICO"/>
    <s v="Projeto Especial"/>
    <s v="Projeto Especial"/>
    <x v="1"/>
    <x v="12"/>
    <x v="47"/>
    <x v="87"/>
    <m/>
    <m/>
  </r>
  <r>
    <s v="2000000"/>
    <s v="2130000"/>
    <s v="2131000"/>
    <s v="2131000"/>
    <s v="UNIDADES DE NEGOCIO"/>
    <s v="TELAS INDOOR"/>
    <s v="Eletromidia Elevador"/>
    <s v="Eletromidia Elevador"/>
    <x v="1"/>
    <x v="8"/>
    <x v="48"/>
    <x v="88"/>
    <m/>
    <m/>
  </r>
  <r>
    <s v="2000000"/>
    <s v="2030000"/>
    <s v="2030200"/>
    <s v="2030200"/>
    <s v="UNIDADES DE NEGOCIO"/>
    <s v="TRANSPORTES"/>
    <s v="Aeroporto Florianopólis"/>
    <s v="Aeroporto Florianopólis"/>
    <x v="1"/>
    <x v="13"/>
    <x v="49"/>
    <x v="89"/>
    <m/>
    <m/>
  </r>
  <r>
    <s v="2000000"/>
    <s v="2030000"/>
    <s v="2030100"/>
    <s v="2030100"/>
    <s v="UNIDADES DE NEGOCIO"/>
    <s v="TRANSPORTES"/>
    <s v="Aeroporto Vitoria"/>
    <s v="Aeroporto Vitoria"/>
    <x v="1"/>
    <x v="13"/>
    <x v="50"/>
    <x v="90"/>
    <m/>
    <m/>
  </r>
  <r>
    <s v="2000000"/>
    <s v="2030000"/>
    <s v="2030700"/>
    <s v="2030700"/>
    <s v="UNIDADES DE NEGOCIO"/>
    <s v="TRANSPORTES"/>
    <s v="Balsas"/>
    <s v="Balsas"/>
    <x v="1"/>
    <x v="13"/>
    <x v="51"/>
    <x v="91"/>
    <m/>
    <m/>
  </r>
  <r>
    <s v="2000000"/>
    <s v="2030000"/>
    <s v="2030500"/>
    <s v="2030500"/>
    <s v="UNIDADES DE NEGOCIO"/>
    <s v="TRANSPORTES"/>
    <s v="busdoor/van/taxi/vi"/>
    <s v="busdoor/van/taxi/vi"/>
    <x v="1"/>
    <x v="13"/>
    <x v="52"/>
    <x v="92"/>
    <m/>
    <m/>
  </r>
  <r>
    <s v="2000000"/>
    <s v="2030000"/>
    <s v="2030600"/>
    <s v="2030600"/>
    <s v="UNIDADES DE NEGOCIO"/>
    <s v="TRANSPORTES"/>
    <s v="Eco 101"/>
    <s v="Eco 101"/>
    <x v="1"/>
    <x v="13"/>
    <x v="53"/>
    <x v="93"/>
    <m/>
    <m/>
  </r>
  <r>
    <s v="2000000"/>
    <s v="2030000"/>
    <s v="2030400"/>
    <s v="2030400"/>
    <s v="UNIDADES DE NEGOCIO"/>
    <s v="TRANSPORTES"/>
    <s v="Midia Viacao Aguia Branca"/>
    <s v="Midia Viacao Aguia Branca"/>
    <x v="1"/>
    <x v="13"/>
    <x v="54"/>
    <x v="94"/>
    <m/>
    <m/>
  </r>
  <r>
    <s v="2000000"/>
    <s v="2030000"/>
    <s v="2030300"/>
    <s v="2030300"/>
    <s v="UNIDADES DE NEGOCIO"/>
    <s v="TRANSPORTES"/>
    <s v="Rodoviarias"/>
    <s v="Rodoviarias"/>
    <x v="1"/>
    <x v="13"/>
    <x v="55"/>
    <x v="95"/>
    <m/>
    <m/>
  </r>
  <r>
    <s v="1000000"/>
    <s v="1050000"/>
    <s v="1050100"/>
    <s v="1050100"/>
    <s v="DEPARTAMENTOS"/>
    <s v="GRUPO MAELY"/>
    <s v="Visao Midia"/>
    <s v="Visao Midia"/>
    <x v="1"/>
    <x v="14"/>
    <x v="56"/>
    <x v="96"/>
    <m/>
    <m/>
  </r>
  <r>
    <s v="1000000"/>
    <s v="1050000"/>
    <s v="1050200"/>
    <s v="1050200"/>
    <s v="DEPARTAMENTOS"/>
    <s v="GRUPO MAELY"/>
    <s v="Porto Vitória"/>
    <s v="Porto Vitória"/>
    <x v="1"/>
    <x v="14"/>
    <x v="57"/>
    <x v="97"/>
    <m/>
    <m/>
  </r>
  <r>
    <s v="1000000"/>
    <s v="1050000"/>
    <s v="1050300"/>
    <s v="1050300"/>
    <s v="DEPARTAMENTOS"/>
    <s v="GRUPO MAELY"/>
    <s v="WB Schultz"/>
    <s v="WB Schultz"/>
    <x v="1"/>
    <x v="14"/>
    <x v="58"/>
    <x v="98"/>
    <m/>
    <m/>
  </r>
  <r>
    <s v="1000000"/>
    <s v="1050000"/>
    <s v="1050400"/>
    <s v="1050400"/>
    <s v="DEPARTAMENTOS"/>
    <s v="GRUPO MAELY"/>
    <s v="Maely Arte"/>
    <s v="Maely Arte"/>
    <x v="1"/>
    <x v="14"/>
    <x v="59"/>
    <x v="99"/>
    <m/>
    <m/>
  </r>
  <r>
    <s v="1000000"/>
    <s v="1050000"/>
    <s v="1050500"/>
    <s v="1050500"/>
    <s v="DEPARTAMENTOS"/>
    <s v="GRUPO MAELY"/>
    <s v="MMP &amp; Tres"/>
    <s v="MMP &amp; Tres"/>
    <x v="1"/>
    <x v="14"/>
    <x v="60"/>
    <x v="100"/>
    <m/>
    <m/>
  </r>
  <r>
    <s v="1000000"/>
    <s v="1050000"/>
    <s v="1050600"/>
    <s v="1050600"/>
    <s v="DEPARTAMENTOS"/>
    <s v="GRUPO MAELY"/>
    <s v="Primer Vida"/>
    <s v="Primer Vida"/>
    <x v="1"/>
    <x v="14"/>
    <x v="61"/>
    <x v="101"/>
    <m/>
    <m/>
  </r>
  <r>
    <s v="1000000"/>
    <s v="1050000"/>
    <s v="1050700"/>
    <s v="1050700"/>
    <s v="DEPARTAMENTOS"/>
    <s v="GRUPO MAELY"/>
    <s v="MedSenior"/>
    <s v="MedSenior"/>
    <x v="1"/>
    <x v="14"/>
    <x v="62"/>
    <x v="102"/>
    <m/>
    <m/>
  </r>
  <r>
    <s v="1000000"/>
    <s v="1050000"/>
    <s v="1050800"/>
    <s v="1050800"/>
    <s v="DEPARTAMENTOS"/>
    <s v="GRUPO MAELY"/>
    <s v="MMP&amp;3 Inc"/>
    <s v="MMP&amp;3 Inc"/>
    <x v="1"/>
    <x v="14"/>
    <x v="63"/>
    <x v="103"/>
    <m/>
    <m/>
  </r>
  <r>
    <s v="1000000"/>
    <s v="1050000"/>
    <s v="1050900"/>
    <s v="1050900"/>
    <s v="DEPARTAMENTOS"/>
    <s v="GRUPO MAELY"/>
    <s v="AirPower S.A"/>
    <s v="AirPower S.A"/>
    <x v="1"/>
    <x v="14"/>
    <x v="64"/>
    <x v="104"/>
    <m/>
    <m/>
  </r>
  <r>
    <s v="1000000"/>
    <s v="1050000"/>
    <s v="1051000"/>
    <s v="1051000"/>
    <s v="DEPARTAMENTOS"/>
    <s v="GRUPO MAELY"/>
    <s v="EConto"/>
    <s v="EConto"/>
    <x v="1"/>
    <x v="14"/>
    <x v="65"/>
    <x v="105"/>
    <m/>
    <m/>
  </r>
  <r>
    <s v="1000000"/>
    <s v="1050000"/>
    <s v="1051100"/>
    <s v="1051100"/>
    <s v="DEPARTAMENTOS"/>
    <s v="GRUPO MAELY"/>
    <s v="PVEC"/>
    <s v="PVEC"/>
    <x v="1"/>
    <x v="14"/>
    <x v="66"/>
    <x v="106"/>
    <m/>
    <m/>
  </r>
  <r>
    <s v="1000000"/>
    <s v="1050000"/>
    <s v="1051200"/>
    <s v="1051200"/>
    <s v="DEPARTAMENTOS"/>
    <s v="GRUPO MAELY"/>
    <s v="Mouty Tecnologia"/>
    <s v="Mouty Tecnologia"/>
    <x v="1"/>
    <x v="14"/>
    <x v="67"/>
    <x v="107"/>
    <m/>
    <m/>
  </r>
  <r>
    <s v="1000000"/>
    <s v="1050000"/>
    <s v="1051300"/>
    <s v="1051300"/>
    <s v="DEPARTAMENTOS"/>
    <s v="GRUPO MAELY"/>
    <s v="Hotel Porto do Sol"/>
    <s v="Hotel Porto do Sol"/>
    <x v="1"/>
    <x v="14"/>
    <x v="68"/>
    <x v="108"/>
    <m/>
    <m/>
  </r>
  <r>
    <s v="1000000"/>
    <s v="1050000"/>
    <s v="1051400"/>
    <s v="1051400"/>
    <s v="DEPARTAMENTOS"/>
    <s v="GRUPO MAELY"/>
    <s v="Contobank"/>
    <s v="Contobank"/>
    <x v="1"/>
    <x v="14"/>
    <x v="69"/>
    <x v="109"/>
    <m/>
    <m/>
  </r>
  <r>
    <s v="1000000"/>
    <s v="1050000"/>
    <s v="1051500"/>
    <s v="1051500"/>
    <s v="DEPARTAMENTOS"/>
    <s v="GRUPO MAELY"/>
    <s v="Maely SP"/>
    <s v="Maely SP"/>
    <x v="1"/>
    <x v="14"/>
    <x v="26"/>
    <x v="110"/>
    <m/>
    <m/>
  </r>
  <r>
    <s v="1000000"/>
    <s v="1060000"/>
    <s v="1060000"/>
    <s v="1060000"/>
    <s v="DEPARTAMENTOS"/>
    <s v="Marketing"/>
    <s v="Marketing"/>
    <s v="Marketing"/>
    <x v="0"/>
    <x v="0"/>
    <x v="3"/>
    <x v="111"/>
    <m/>
    <m/>
  </r>
  <r>
    <s v="1000000"/>
    <s v="1070000"/>
    <s v="1070000"/>
    <s v="1070000"/>
    <s v="DEPARTAMENTOS"/>
    <s v="Operacional"/>
    <s v="Operacional"/>
    <s v="Operacional"/>
    <x v="1"/>
    <x v="15"/>
    <x v="70"/>
    <x v="112"/>
    <m/>
    <m/>
  </r>
  <r>
    <s v="1000000"/>
    <s v="1100000"/>
    <s v="1100100"/>
    <s v="1100100"/>
    <s v="DEPARTAMENTOS"/>
    <s v="SOCIOS"/>
    <s v="Helber"/>
    <s v="Helber"/>
    <x v="0"/>
    <x v="0"/>
    <x v="71"/>
    <x v="113"/>
    <m/>
    <m/>
  </r>
  <r>
    <s v="1000000"/>
    <s v="1100000"/>
    <s v="1100200"/>
    <s v="1100200"/>
    <s v="DEPARTAMENTOS"/>
    <s v="SOCIOS"/>
    <s v="Vinicius"/>
    <s v="Vinicius"/>
    <x v="0"/>
    <x v="0"/>
    <x v="71"/>
    <x v="114"/>
    <m/>
    <m/>
  </r>
  <r>
    <s v="1000000"/>
    <s v="1100000"/>
    <s v="1100300"/>
    <s v="1100300"/>
    <s v="DEPARTAMENTOS"/>
    <s v="SOCIOS"/>
    <s v="Junior"/>
    <s v="Junior"/>
    <x v="0"/>
    <x v="0"/>
    <x v="71"/>
    <x v="115"/>
    <m/>
    <m/>
  </r>
  <r>
    <s v="1000000"/>
    <s v="1100000"/>
    <s v="1100400"/>
    <s v="1100400"/>
    <s v="DEPARTAMENTOS"/>
    <s v="SOCIOS"/>
    <s v="Wacilka"/>
    <s v="Wacilka"/>
    <x v="0"/>
    <x v="0"/>
    <x v="71"/>
    <x v="116"/>
    <m/>
    <m/>
  </r>
  <r>
    <s v="1000000"/>
    <s v="1100000"/>
    <s v="1100500"/>
    <s v="1100500"/>
    <s v="DEPARTAMENTOS"/>
    <s v="SOCIOS"/>
    <s v="Maely Coelho"/>
    <s v="Maely Coelho"/>
    <x v="0"/>
    <x v="0"/>
    <x v="71"/>
    <x v="117"/>
    <m/>
    <m/>
  </r>
  <r>
    <s v="1000000"/>
    <s v="1100000"/>
    <s v="1100600"/>
    <s v="1100600"/>
    <s v="DEPARTAMENTOS"/>
    <s v="SOCIOS"/>
    <s v="Maria da Penha"/>
    <s v="Maria da Penha"/>
    <x v="0"/>
    <x v="0"/>
    <x v="71"/>
    <x v="118"/>
    <m/>
    <m/>
  </r>
  <r>
    <s v="1000000"/>
    <s v="1100000"/>
    <s v="1100700"/>
    <s v="1100700"/>
    <s v="DEPARTAMENTOS"/>
    <s v="SOCIOS"/>
    <s v="Sócios"/>
    <s v="Sócios"/>
    <x v="0"/>
    <x v="0"/>
    <x v="71"/>
    <x v="119"/>
    <m/>
    <m/>
  </r>
  <r>
    <s v="1000000"/>
    <s v="1170000"/>
    <s v="1170000"/>
    <s v="1170000"/>
    <s v="DEPARTAMENTOS"/>
    <s v="Atletas Emprestados"/>
    <s v="Atletas Emprestados"/>
    <s v="Atletas Emprestados"/>
    <x v="1"/>
    <x v="1"/>
    <x v="6"/>
    <x v="120"/>
    <m/>
    <m/>
  </r>
  <r>
    <s v="1000000"/>
    <s v="1180000"/>
    <s v="1180000"/>
    <s v="1180000"/>
    <s v="DEPARTAMENTOS"/>
    <s v="Obra Colaboradores"/>
    <s v="Obra Colaboradores"/>
    <s v="Obra Colaboradores"/>
    <x v="0"/>
    <x v="0"/>
    <x v="1"/>
    <x v="121"/>
    <m/>
    <m/>
  </r>
  <r>
    <s v="1000000"/>
    <s v="1190000"/>
    <s v="1190000"/>
    <s v="1190000"/>
    <s v="DEPARTAMENTOS"/>
    <s v="Desenvolvimento Projetos"/>
    <s v="Desenvolvimento Projetos"/>
    <s v="Desenvolvimento Projetos"/>
    <x v="0"/>
    <x v="0"/>
    <x v="1"/>
    <x v="122"/>
    <m/>
    <m/>
  </r>
  <r>
    <s v="1000000"/>
    <s v="1200000"/>
    <s v="1200000"/>
    <s v="1200000"/>
    <s v="DEPARTAMENTOS"/>
    <s v="Regulação"/>
    <s v="Regulação"/>
    <s v="Regulação"/>
    <x v="0"/>
    <x v="0"/>
    <x v="1"/>
    <x v="123"/>
    <m/>
    <m/>
  </r>
  <r>
    <s v="1000000"/>
    <s v="1220000"/>
    <s v="1220000"/>
    <s v="1220000"/>
    <s v="DEPARTAMENTOS"/>
    <s v="Suprimentos"/>
    <s v="Suprimentos"/>
    <s v="Suprimentos"/>
    <x v="0"/>
    <x v="0"/>
    <x v="1"/>
    <x v="124"/>
    <m/>
    <m/>
  </r>
  <r>
    <s v="1000000"/>
    <s v="1230000"/>
    <s v="1230000"/>
    <s v="1230000"/>
    <s v="DEPARTAMENTOS"/>
    <s v="Permuta Não Operacional"/>
    <s v="Permuta Não Operacional"/>
    <s v="Permuta Não Operacional"/>
    <x v="1"/>
    <x v="16"/>
    <x v="72"/>
    <x v="125"/>
    <m/>
    <m/>
  </r>
  <r>
    <s v="1000000"/>
    <s v="1240000"/>
    <s v="1240000"/>
    <s v="1240000"/>
    <s v="DEPARTAMENTOS"/>
    <s v="Quiosque Metre Álvaro"/>
    <s v="Quiosque Metre Álvaro"/>
    <s v="Quiosque Metre Álvaro"/>
    <x v="1"/>
    <x v="17"/>
    <x v="73"/>
    <x v="126"/>
    <m/>
    <m/>
  </r>
  <r>
    <s v="1000000"/>
    <s v="1250000"/>
    <s v="1250000"/>
    <s v="1250000"/>
    <s v="DEPARTAMENTOS"/>
    <s v="Tecnologia e Inovação"/>
    <s v="Tecnologia e Inovação"/>
    <s v="Tecnologia e Inovação"/>
    <x v="0"/>
    <x v="0"/>
    <x v="2"/>
    <x v="127"/>
    <m/>
    <m/>
  </r>
  <r>
    <s v="1000000"/>
    <s v="1260000"/>
    <s v="1260000"/>
    <s v="1260000"/>
    <s v="DEPARTAMENTOS"/>
    <s v="Centro Serviço Compartilhado - CSC"/>
    <s v="Centro Serviço Compartilhado - CSC"/>
    <s v="Centro Serviço Compartilhado - CSC"/>
    <x v="0"/>
    <x v="0"/>
    <x v="1"/>
    <x v="128"/>
    <m/>
    <m/>
  </r>
  <r>
    <s v="1000000"/>
    <s v="1270000"/>
    <s v="1270000"/>
    <s v="1270000"/>
    <s v="DEPARTAMENTOS"/>
    <s v="Ecommerce Porto Vitória"/>
    <s v="Ecommerce Porto Vitória"/>
    <s v="Ecommerce Porto Vitória"/>
    <x v="1"/>
    <x v="1"/>
    <x v="31"/>
    <x v="129"/>
    <m/>
    <m/>
  </r>
  <r>
    <s v="1000000"/>
    <s v="1280000"/>
    <s v="1280000"/>
    <s v="1280000"/>
    <s v="DEPARTAMENTOS"/>
    <s v="Porto Academy"/>
    <s v="Porto Academy"/>
    <s v="Porto Academy"/>
    <x v="1"/>
    <x v="1"/>
    <x v="6"/>
    <x v="130"/>
    <m/>
    <m/>
  </r>
  <r>
    <s v="2000000"/>
    <s v="2100000"/>
    <s v="2100100"/>
    <s v="2100113"/>
    <s v="UNIDADES DE NEGOCIO"/>
    <s v="NEGÓCIOS DA MMP"/>
    <s v="MovLog"/>
    <s v="Transcherrer"/>
    <x v="1"/>
    <x v="9"/>
    <x v="29"/>
    <x v="131"/>
    <m/>
    <m/>
  </r>
  <r>
    <s v="2000000"/>
    <s v="2160000"/>
    <s v="2161000"/>
    <s v="2161000"/>
    <s v="UNIDADES DE NEGOCIO"/>
    <s v="MAELY"/>
    <s v="Mídias Diversas"/>
    <s v="Mídias Diversas"/>
    <x v="1"/>
    <x v="8"/>
    <x v="74"/>
    <x v="132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s v="1000000"/>
    <s v="1010000"/>
    <s v="1010100"/>
    <s v="1010101"/>
    <s v="ENTRADAS"/>
    <s v="RECEITA OPERACIONAL"/>
    <s v="RECEITA DE VENDA"/>
    <s v="Prestação de Serviço"/>
    <x v="0"/>
    <x v="0"/>
    <x v="0"/>
    <m/>
    <x v="0"/>
    <x v="0"/>
    <x v="0"/>
    <x v="0"/>
    <s v="Reclassificar lançamentos, pois não refere-se a receita de presta~çao de serviços. INATIVAR PARA A PORTO"/>
    <s v="-"/>
  </r>
  <r>
    <s v="1000000"/>
    <s v="1010000"/>
    <s v="1010100"/>
    <s v="1010102"/>
    <s v="ENTRADAS"/>
    <s v="RECEITA OPERACIONAL"/>
    <s v="RECEITA DE VENDA"/>
    <s v="Venda de industrialização"/>
    <x v="0"/>
    <x v="0"/>
    <x v="1"/>
    <m/>
    <x v="0"/>
    <x v="0"/>
    <x v="1"/>
    <x v="1"/>
    <m/>
    <s v="-"/>
  </r>
  <r>
    <s v="1000000"/>
    <s v="1010000"/>
    <s v="1010100"/>
    <s v="1010103"/>
    <s v="ENTRADAS"/>
    <s v="RECEITA OPERACIONAL"/>
    <s v="RECEITA DE VENDA"/>
    <s v="Revenda"/>
    <x v="0"/>
    <x v="0"/>
    <x v="1"/>
    <m/>
    <x v="0"/>
    <x v="0"/>
    <x v="1"/>
    <x v="2"/>
    <m/>
    <s v="-"/>
  </r>
  <r>
    <s v="1000000"/>
    <s v="1010000"/>
    <s v="1010100"/>
    <s v="1010106"/>
    <s v="ENTRADAS"/>
    <s v="RECEITA OPERACIONAL"/>
    <s v="RECEITA DE VENDA"/>
    <s v="Remessas e Outras Saidas"/>
    <x v="0"/>
    <x v="0"/>
    <x v="1"/>
    <m/>
    <x v="0"/>
    <x v="0"/>
    <x v="1"/>
    <x v="3"/>
    <m/>
    <s v="VALIDAR AJUSTE"/>
  </r>
  <r>
    <s v="1000000"/>
    <s v="1010000"/>
    <s v="1010100"/>
    <s v="1010105"/>
    <s v="ENTRADAS"/>
    <s v="RECEITA OPERACIONAL"/>
    <s v="RECEITA DE VENDA"/>
    <s v="Receita de aluguel"/>
    <x v="0"/>
    <x v="0"/>
    <x v="2"/>
    <m/>
    <x v="0"/>
    <x v="0"/>
    <x v="2"/>
    <x v="4"/>
    <m/>
    <s v="-"/>
  </r>
  <r>
    <s v="1000000"/>
    <s v="1010000"/>
    <s v="1010100"/>
    <s v="1010107"/>
    <s v="ENTRADAS"/>
    <s v="RECEITA OPERACIONAL"/>
    <s v="RECEITA DE VENDA"/>
    <s v="Venda de Ingressos"/>
    <x v="0"/>
    <x v="0"/>
    <x v="3"/>
    <m/>
    <x v="0"/>
    <x v="0"/>
    <x v="3"/>
    <x v="5"/>
    <m/>
    <s v="VALIDAR AJUSTE"/>
  </r>
  <r>
    <m/>
    <m/>
    <m/>
    <m/>
    <m/>
    <m/>
    <m/>
    <m/>
    <x v="0"/>
    <x v="0"/>
    <x v="3"/>
    <m/>
    <x v="0"/>
    <x v="0"/>
    <x v="3"/>
    <x v="6"/>
    <s v="Verificar com Leonardo"/>
    <s v="VALIDAR AJUSTE"/>
  </r>
  <r>
    <m/>
    <m/>
    <m/>
    <m/>
    <m/>
    <m/>
    <m/>
    <m/>
    <x v="0"/>
    <x v="0"/>
    <x v="3"/>
    <m/>
    <x v="0"/>
    <x v="0"/>
    <x v="3"/>
    <x v="7"/>
    <m/>
    <s v="VALIDAR AJUSTE"/>
  </r>
  <r>
    <m/>
    <m/>
    <m/>
    <m/>
    <m/>
    <m/>
    <m/>
    <m/>
    <x v="0"/>
    <x v="0"/>
    <x v="3"/>
    <m/>
    <x v="0"/>
    <x v="0"/>
    <x v="3"/>
    <x v="8"/>
    <m/>
    <s v="VALIDAR AJUSTE"/>
  </r>
  <r>
    <m/>
    <m/>
    <m/>
    <m/>
    <m/>
    <m/>
    <m/>
    <m/>
    <x v="0"/>
    <x v="0"/>
    <x v="3"/>
    <m/>
    <x v="0"/>
    <x v="0"/>
    <x v="3"/>
    <x v="9"/>
    <m/>
    <s v="VALIDAR AJUSTE"/>
  </r>
  <r>
    <s v="1000000"/>
    <s v="1010000"/>
    <s v="1010100"/>
    <s v="1010104"/>
    <s v="ENTRADAS"/>
    <s v="RECEITA OPERACIONAL"/>
    <s v="RECEITA DE VENDA"/>
    <s v="Venda passe jogador"/>
    <x v="0"/>
    <x v="0"/>
    <x v="4"/>
    <m/>
    <x v="0"/>
    <x v="0"/>
    <x v="4"/>
    <x v="10"/>
    <m/>
    <s v="VALIDAR AJUSTE"/>
  </r>
  <r>
    <m/>
    <m/>
    <m/>
    <m/>
    <m/>
    <m/>
    <m/>
    <m/>
    <x v="0"/>
    <x v="0"/>
    <x v="4"/>
    <m/>
    <x v="0"/>
    <x v="0"/>
    <x v="4"/>
    <x v="11"/>
    <m/>
    <s v="VALIDAR AJUSTE"/>
  </r>
  <r>
    <m/>
    <m/>
    <m/>
    <m/>
    <m/>
    <m/>
    <m/>
    <m/>
    <x v="0"/>
    <x v="0"/>
    <x v="4"/>
    <m/>
    <x v="0"/>
    <x v="0"/>
    <x v="4"/>
    <x v="12"/>
    <m/>
    <s v="VALIDAR AJUSTE"/>
  </r>
  <r>
    <m/>
    <m/>
    <m/>
    <m/>
    <m/>
    <m/>
    <m/>
    <m/>
    <x v="0"/>
    <x v="0"/>
    <x v="4"/>
    <m/>
    <x v="0"/>
    <x v="0"/>
    <x v="4"/>
    <x v="13"/>
    <m/>
    <s v="VALIDAR AJUSTE"/>
  </r>
  <r>
    <m/>
    <m/>
    <m/>
    <m/>
    <m/>
    <m/>
    <m/>
    <m/>
    <x v="0"/>
    <x v="0"/>
    <x v="4"/>
    <m/>
    <x v="0"/>
    <x v="0"/>
    <x v="4"/>
    <x v="14"/>
    <s v="Verificar com Leonardo"/>
    <s v="VALIDAR AJUSTE"/>
  </r>
  <r>
    <s v="1000000"/>
    <s v="1020000"/>
    <s v="1020200"/>
    <s v="1020208"/>
    <s v="ENTRADAS"/>
    <s v="OUTRAS RECEITAS"/>
    <s v="RECEITAS DIVERSAS"/>
    <s v="Patrocinio"/>
    <x v="0"/>
    <x v="0"/>
    <x v="5"/>
    <m/>
    <x v="0"/>
    <x v="0"/>
    <x v="5"/>
    <x v="15"/>
    <m/>
    <s v="VALIDAR AJUSTE"/>
  </r>
  <r>
    <m/>
    <m/>
    <m/>
    <m/>
    <m/>
    <m/>
    <m/>
    <m/>
    <x v="0"/>
    <x v="0"/>
    <x v="5"/>
    <m/>
    <x v="0"/>
    <x v="0"/>
    <x v="5"/>
    <x v="16"/>
    <m/>
    <s v="VALIDAR AJUSTE"/>
  </r>
  <r>
    <m/>
    <m/>
    <m/>
    <m/>
    <m/>
    <m/>
    <m/>
    <m/>
    <x v="0"/>
    <x v="0"/>
    <x v="5"/>
    <m/>
    <x v="0"/>
    <x v="0"/>
    <x v="5"/>
    <x v="17"/>
    <m/>
    <s v="VALIDAR AJUSTE"/>
  </r>
  <r>
    <s v="2000000"/>
    <s v="2020000"/>
    <s v="2020800"/>
    <s v="2020805"/>
    <s v="SAIDAS"/>
    <s v="DESPESAS ADMINISTRATIVAS"/>
    <s v="TRIBUTOS SOBRE VENDAS"/>
    <s v="ISS - Imposto Sobre Serviço"/>
    <x v="0"/>
    <x v="1"/>
    <x v="6"/>
    <s v="1.05.01.01"/>
    <x v="0"/>
    <x v="1"/>
    <x v="6"/>
    <x v="18"/>
    <m/>
    <s v="-"/>
  </r>
  <r>
    <s v="2000000"/>
    <s v="2020000"/>
    <s v="2020800"/>
    <s v="2020801"/>
    <s v="SAIDAS"/>
    <s v="DESPESAS ADMINISTRATIVAS"/>
    <s v="TRIBUTOS SOBRE VENDAS"/>
    <s v="PIS"/>
    <x v="0"/>
    <x v="1"/>
    <x v="6"/>
    <s v="1.05.01.02"/>
    <x v="0"/>
    <x v="1"/>
    <x v="6"/>
    <x v="19"/>
    <m/>
    <s v="-"/>
  </r>
  <r>
    <s v="2000000"/>
    <s v="2020000"/>
    <s v="2020800"/>
    <s v="2020802"/>
    <s v="SAIDAS"/>
    <s v="DESPESAS ADMINISTRATIVAS"/>
    <s v="TRIBUTOS SOBRE VENDAS"/>
    <s v="COFINS"/>
    <x v="0"/>
    <x v="1"/>
    <x v="6"/>
    <s v="1.05.01.03"/>
    <x v="0"/>
    <x v="1"/>
    <x v="6"/>
    <x v="20"/>
    <m/>
    <s v="-"/>
  </r>
  <r>
    <s v="2000000"/>
    <s v="2020000"/>
    <s v="2020800"/>
    <s v="2020806"/>
    <s v="SAIDAS"/>
    <s v="DESPESAS ADMINISTRATIVAS"/>
    <s v="TRIBUTOS SOBRE VENDAS"/>
    <s v="Simples Nacional"/>
    <x v="0"/>
    <x v="1"/>
    <x v="6"/>
    <s v="1.05.01.04"/>
    <x v="0"/>
    <x v="1"/>
    <x v="6"/>
    <x v="21"/>
    <m/>
    <s v="-"/>
  </r>
  <r>
    <s v="2000000"/>
    <s v="2020000"/>
    <s v="2020800"/>
    <s v="2020803"/>
    <s v="SAIDAS"/>
    <s v="DESPESAS ADMINISTRATIVAS"/>
    <s v="TRIBUTOS SOBRE VENDAS"/>
    <s v="ICMS S/ VENDA"/>
    <x v="0"/>
    <x v="1"/>
    <x v="6"/>
    <s v="1.05.01.05"/>
    <x v="0"/>
    <x v="1"/>
    <x v="6"/>
    <x v="22"/>
    <m/>
    <s v="-"/>
  </r>
  <r>
    <s v="2000000"/>
    <s v="2010000"/>
    <s v="2010300"/>
    <s v="2010307"/>
    <s v="SAIDAS"/>
    <s v="SAÍDAS OPERACIONAIS"/>
    <s v="DESPESAS TERCEIRIZADAS, VEICULAÇÃO E PRO"/>
    <s v="Despesas com parceiros"/>
    <x v="0"/>
    <x v="2"/>
    <x v="7"/>
    <m/>
    <x v="0"/>
    <x v="2"/>
    <x v="7"/>
    <x v="23"/>
    <s v="Verificar o que as outras empresas do grupo lançam nessa conta"/>
    <s v="-"/>
  </r>
  <r>
    <s v="2000000"/>
    <s v="2010000"/>
    <s v="2010300"/>
    <s v="2010302"/>
    <s v="SAIDAS"/>
    <s v="SAÍDAS OPERACIONAIS"/>
    <s v="DESPESAS TERCEIRIZADAS, VEICULAÇÃO E PRO"/>
    <s v="Producao Estrutural Terceirizada"/>
    <x v="0"/>
    <x v="2"/>
    <x v="7"/>
    <m/>
    <x v="0"/>
    <x v="2"/>
    <x v="7"/>
    <x v="24"/>
    <m/>
    <s v="VALIDAR AJUSTE"/>
  </r>
  <r>
    <s v="2000000"/>
    <s v="2010000"/>
    <s v="2010300"/>
    <s v="2010303"/>
    <s v="SAIDAS"/>
    <s v="SAÍDAS OPERACIONAIS"/>
    <s v="DESPESAS TERCEIRIZADAS, VEICULAÇÃO E PRO"/>
    <s v="Impressao Terceirizada"/>
    <x v="0"/>
    <x v="2"/>
    <x v="7"/>
    <m/>
    <x v="0"/>
    <x v="2"/>
    <x v="7"/>
    <x v="25"/>
    <m/>
    <s v="VALIDAR AJUSTE"/>
  </r>
  <r>
    <s v="2000000"/>
    <s v="2010000"/>
    <s v="2010300"/>
    <s v="2010304"/>
    <s v="SAIDAS"/>
    <s v="SAÍDAS OPERACIONAIS"/>
    <s v="DESPESAS TERCEIRIZADAS, VEICULAÇÃO E PRO"/>
    <s v="Veiculação Terceirizada"/>
    <x v="0"/>
    <x v="2"/>
    <x v="7"/>
    <m/>
    <x v="0"/>
    <x v="2"/>
    <x v="7"/>
    <x v="26"/>
    <m/>
    <s v="-"/>
  </r>
  <r>
    <s v="2000000"/>
    <s v="2010000"/>
    <s v="2010300"/>
    <s v="2010305"/>
    <s v="SAIDAS"/>
    <s v="SAÍDAS OPERACIONAIS"/>
    <s v="DESPESAS TERCEIRIZADAS, VEICULAÇÃO E PRO"/>
    <s v="Instalação Terceirizada"/>
    <x v="0"/>
    <x v="2"/>
    <x v="7"/>
    <m/>
    <x v="0"/>
    <x v="2"/>
    <x v="7"/>
    <x v="27"/>
    <m/>
    <s v="-"/>
  </r>
  <r>
    <s v="2000000"/>
    <s v="2010000"/>
    <s v="2010300"/>
    <s v="2010311"/>
    <s v="SAIDAS"/>
    <s v="SAÍDAS OPERACIONAIS"/>
    <s v="DESPESAS TERCEIRIZADAS, VEICULAÇÃO E PRO"/>
    <s v="Alvará Publicidade"/>
    <x v="0"/>
    <x v="2"/>
    <x v="7"/>
    <m/>
    <x v="0"/>
    <x v="2"/>
    <x v="7"/>
    <x v="28"/>
    <m/>
    <s v="-"/>
  </r>
  <r>
    <s v="2000000"/>
    <s v="2010000"/>
    <s v="2010300"/>
    <s v="2010313"/>
    <s v="SAIDAS"/>
    <s v="SAÍDAS OPERACIONAIS"/>
    <s v="DESPESAS TERCEIRIZADAS, VEICULAÇÃO E PRO"/>
    <s v="Energia Mídias"/>
    <x v="0"/>
    <x v="2"/>
    <x v="7"/>
    <m/>
    <x v="0"/>
    <x v="2"/>
    <x v="7"/>
    <x v="29"/>
    <m/>
    <s v="-"/>
  </r>
  <r>
    <s v="2000000"/>
    <s v="2010000"/>
    <s v="2010300"/>
    <s v="2010316"/>
    <s v="SAIDAS"/>
    <s v="SAÍDAS OPERACIONAIS"/>
    <s v="DESPESAS TERCEIRIZADAS, VEICULAÇÃO E PRO"/>
    <s v="Internet Mídias"/>
    <x v="0"/>
    <x v="2"/>
    <x v="7"/>
    <m/>
    <x v="0"/>
    <x v="2"/>
    <x v="7"/>
    <x v="30"/>
    <m/>
    <s v="-"/>
  </r>
  <r>
    <s v="2000000"/>
    <s v="2010000"/>
    <s v="2010300"/>
    <s v="2010317"/>
    <s v="SAIDAS"/>
    <s v="SAÍDAS OPERACIONAIS"/>
    <s v="DESPESAS TERCEIRIZADAS, VEICULAÇÃO E PRO"/>
    <s v="Material de Fixação Midias"/>
    <x v="0"/>
    <x v="2"/>
    <x v="7"/>
    <m/>
    <x v="0"/>
    <x v="2"/>
    <x v="7"/>
    <x v="31"/>
    <m/>
    <s v="VALIDAR AJUSTE"/>
  </r>
  <r>
    <s v="2000000"/>
    <s v="2010000"/>
    <s v="2010300"/>
    <s v="2010318"/>
    <s v="SAIDAS"/>
    <s v="SAÍDAS OPERACIONAIS"/>
    <s v="DESPESAS TERCEIRIZADAS, VEICULAÇÃO E PRO"/>
    <s v="Seguro de Midias"/>
    <x v="0"/>
    <x v="2"/>
    <x v="7"/>
    <m/>
    <x v="0"/>
    <x v="2"/>
    <x v="7"/>
    <x v="32"/>
    <m/>
    <s v="VALIDAR AJUSTE"/>
  </r>
  <r>
    <s v="2000000"/>
    <s v="2010000"/>
    <s v="2010600"/>
    <s v="2010602"/>
    <s v="SAIDAS"/>
    <s v="SAÍDAS OPERACIONAIS"/>
    <s v="MANUTENÇÕES"/>
    <s v="Manutenção em Produtos Comerciais"/>
    <x v="0"/>
    <x v="2"/>
    <x v="7"/>
    <m/>
    <x v="0"/>
    <x v="2"/>
    <x v="7"/>
    <x v="33"/>
    <m/>
    <s v="-"/>
  </r>
  <r>
    <s v="2000000"/>
    <s v="2010000"/>
    <s v="2010300"/>
    <s v="2010308"/>
    <s v="SAIDAS"/>
    <s v="SAÍDAS OPERACIONAIS"/>
    <s v="DESPESAS TERCEIRIZADAS, VEICULAÇÃO E PRO"/>
    <s v="Aluguel de Terreno PJ"/>
    <x v="0"/>
    <x v="2"/>
    <x v="8"/>
    <m/>
    <x v="0"/>
    <x v="2"/>
    <x v="8"/>
    <x v="34"/>
    <m/>
    <s v="-"/>
  </r>
  <r>
    <s v="2000000"/>
    <s v="2010000"/>
    <s v="2010300"/>
    <s v="2010309"/>
    <s v="SAIDAS"/>
    <s v="SAÍDAS OPERACIONAIS"/>
    <s v="DESPESAS TERCEIRIZADAS, VEICULAÇÃO E PRO"/>
    <s v="Aluguel de Terreno PF"/>
    <x v="0"/>
    <x v="2"/>
    <x v="8"/>
    <m/>
    <x v="0"/>
    <x v="2"/>
    <x v="8"/>
    <x v="35"/>
    <m/>
    <s v="-"/>
  </r>
  <r>
    <s v="2000000"/>
    <s v="2010000"/>
    <s v="2010300"/>
    <s v="2010310"/>
    <s v="SAIDAS"/>
    <s v="SAÍDAS OPERACIONAIS"/>
    <s v="DESPESAS TERCEIRIZADAS, VEICULAÇÃO E PRO"/>
    <s v="IRPF aluguel de terreno"/>
    <x v="0"/>
    <x v="2"/>
    <x v="8"/>
    <m/>
    <x v="0"/>
    <x v="2"/>
    <x v="8"/>
    <x v="36"/>
    <m/>
    <s v="-"/>
  </r>
  <r>
    <s v="2000000"/>
    <s v="2010000"/>
    <s v="2010300"/>
    <s v="2010312"/>
    <s v="SAIDAS"/>
    <s v="SAÍDAS OPERACIONAIS"/>
    <s v="DESPESAS TERCEIRIZADAS, VEICULAÇÃO E PRO"/>
    <s v="ART Estruturas/ Taxa CREA"/>
    <x v="0"/>
    <x v="2"/>
    <x v="8"/>
    <m/>
    <x v="0"/>
    <x v="2"/>
    <x v="8"/>
    <x v="37"/>
    <m/>
    <s v="-"/>
  </r>
  <r>
    <s v="2000000"/>
    <s v="2010000"/>
    <s v="2010300"/>
    <s v="2010331"/>
    <s v="SAIDAS"/>
    <s v="SAÍDAS OPERACIONAIS"/>
    <s v="DESPESAS TERCEIRIZADAS, VEICULAÇÃO E PRO"/>
    <s v="Aluguel de Terreno PJ Esporádico"/>
    <x v="0"/>
    <x v="2"/>
    <x v="8"/>
    <m/>
    <x v="0"/>
    <x v="2"/>
    <x v="8"/>
    <x v="38"/>
    <m/>
    <s v="-"/>
  </r>
  <r>
    <s v="2000000"/>
    <s v="2010000"/>
    <s v="2010300"/>
    <s v="2010332"/>
    <s v="SAIDAS"/>
    <s v="SAÍDAS OPERACIONAIS"/>
    <s v="DESPESAS TERCEIRIZADAS, VEICULAÇÃO E PRO"/>
    <s v="Aluguel de Terreno PF Esporádico"/>
    <x v="0"/>
    <x v="2"/>
    <x v="8"/>
    <m/>
    <x v="0"/>
    <x v="2"/>
    <x v="8"/>
    <x v="39"/>
    <m/>
    <s v="-"/>
  </r>
  <r>
    <s v="2000000"/>
    <s v="2010000"/>
    <s v="2010600"/>
    <s v="2010601"/>
    <s v="SAIDAS"/>
    <s v="SAÍDAS OPERACIONAIS"/>
    <s v="MANUTENÇÕES"/>
    <s v="Manutenção de Terrenos"/>
    <x v="0"/>
    <x v="2"/>
    <x v="8"/>
    <m/>
    <x v="0"/>
    <x v="2"/>
    <x v="8"/>
    <x v="40"/>
    <m/>
    <s v="-"/>
  </r>
  <r>
    <s v="2000000"/>
    <s v="2010000"/>
    <s v="2010100"/>
    <s v="2010101"/>
    <s v="SAIDAS"/>
    <s v="SAÍDAS OPERACIONAIS"/>
    <s v="INDUSTRIALIZAÇÃO"/>
    <s v="Matéria Prima"/>
    <x v="0"/>
    <x v="3"/>
    <x v="9"/>
    <m/>
    <x v="0"/>
    <x v="3"/>
    <x v="9"/>
    <x v="41"/>
    <m/>
    <s v="-"/>
  </r>
  <r>
    <s v="2000000"/>
    <s v="2010000"/>
    <s v="2010100"/>
    <s v="2010102"/>
    <s v="SAIDAS"/>
    <s v="SAÍDAS OPERACIONAIS"/>
    <s v="INDUSTRIALIZAÇÃO"/>
    <s v="Material Secundário"/>
    <x v="0"/>
    <x v="3"/>
    <x v="9"/>
    <m/>
    <x v="0"/>
    <x v="3"/>
    <x v="9"/>
    <x v="42"/>
    <m/>
    <s v="-"/>
  </r>
  <r>
    <s v="2000000"/>
    <s v="2010000"/>
    <s v="2010100"/>
    <s v="2010104"/>
    <s v="SAIDAS"/>
    <s v="SAÍDAS OPERACIONAIS"/>
    <s v="INDUSTRIALIZAÇÃO"/>
    <s v="Produção Maely"/>
    <x v="0"/>
    <x v="3"/>
    <x v="9"/>
    <m/>
    <x v="0"/>
    <x v="3"/>
    <x v="9"/>
    <x v="43"/>
    <m/>
    <s v="-"/>
  </r>
  <r>
    <s v="2000000"/>
    <s v="2010000"/>
    <s v="2010100"/>
    <s v="2010105"/>
    <s v="SAIDAS"/>
    <s v="SAÍDAS OPERACIONAIS"/>
    <s v="INDUSTRIALIZAÇÃO"/>
    <s v="Produção Visão"/>
    <x v="0"/>
    <x v="3"/>
    <x v="9"/>
    <m/>
    <x v="0"/>
    <x v="3"/>
    <x v="9"/>
    <x v="44"/>
    <m/>
    <s v="-"/>
  </r>
  <r>
    <s v="2000000"/>
    <s v="2010000"/>
    <s v="2010200"/>
    <s v="2010201"/>
    <s v="SAIDAS"/>
    <s v="SAÍDAS OPERACIONAIS"/>
    <s v="REVENDA"/>
    <s v="Impressão para Revenda"/>
    <x v="0"/>
    <x v="4"/>
    <x v="10"/>
    <m/>
    <x v="0"/>
    <x v="4"/>
    <x v="10"/>
    <x v="45"/>
    <m/>
    <s v="-"/>
  </r>
  <r>
    <s v="2000000"/>
    <s v="2010000"/>
    <s v="2010200"/>
    <s v="2010202"/>
    <s v="SAIDAS"/>
    <s v="SAÍDAS OPERACIONAIS"/>
    <s v="REVENDA"/>
    <s v="Material Esportivo Revenda"/>
    <x v="0"/>
    <x v="4"/>
    <x v="10"/>
    <m/>
    <x v="0"/>
    <x v="4"/>
    <x v="10"/>
    <x v="46"/>
    <m/>
    <s v="-"/>
  </r>
  <r>
    <s v="2000000"/>
    <s v="2010000"/>
    <s v="2010500"/>
    <s v="2010503"/>
    <s v="SAIDAS"/>
    <s v="SAÍDAS OPERACIONAIS"/>
    <s v="DESPESAS COM JOGADORES"/>
    <s v="Alimentação de Atleta"/>
    <x v="0"/>
    <x v="5"/>
    <x v="11"/>
    <m/>
    <x v="0"/>
    <x v="5"/>
    <x v="11"/>
    <x v="47"/>
    <m/>
    <s v="-"/>
  </r>
  <r>
    <s v="2000000"/>
    <s v="2010000"/>
    <s v="2010500"/>
    <s v="2010509"/>
    <s v="SAIDAS"/>
    <s v="SAÍDAS OPERACIONAIS"/>
    <s v="DESPESAS COM JOGADORES"/>
    <s v="Direito de Imagem"/>
    <x v="0"/>
    <x v="5"/>
    <x v="11"/>
    <m/>
    <x v="0"/>
    <x v="5"/>
    <x v="11"/>
    <x v="48"/>
    <m/>
    <s v="-"/>
  </r>
  <r>
    <s v="2000000"/>
    <s v="2010000"/>
    <s v="2010500"/>
    <s v="2010505"/>
    <s v="SAIDAS"/>
    <s v="SAÍDAS OPERACIONAIS"/>
    <s v="DESPESAS COM JOGADORES"/>
    <s v="Exames de Avaliação"/>
    <x v="0"/>
    <x v="5"/>
    <x v="11"/>
    <m/>
    <x v="0"/>
    <x v="5"/>
    <x v="11"/>
    <x v="49"/>
    <m/>
    <s v="VALIDAR AJUSTE"/>
  </r>
  <r>
    <s v="2000000"/>
    <s v="2010000"/>
    <s v="2010500"/>
    <s v="2010501"/>
    <s v="SAIDAS"/>
    <s v="SAÍDAS OPERACIONAIS"/>
    <s v="DESPESAS COM JOGADORES"/>
    <s v="Taxa de Federação"/>
    <x v="0"/>
    <x v="5"/>
    <x v="11"/>
    <m/>
    <x v="0"/>
    <x v="5"/>
    <x v="11"/>
    <x v="50"/>
    <m/>
    <s v="VALIDAR AJUSTE"/>
  </r>
  <r>
    <s v="2000000"/>
    <s v="2010000"/>
    <s v="2010500"/>
    <s v="2010502"/>
    <s v="SAIDAS"/>
    <s v="SAÍDAS OPERACIONAIS"/>
    <s v="DESPESAS COM JOGADORES"/>
    <s v="Taxa de Transferência de Jogador"/>
    <x v="0"/>
    <x v="5"/>
    <x v="11"/>
    <m/>
    <x v="0"/>
    <x v="5"/>
    <x v="11"/>
    <x v="51"/>
    <m/>
    <s v="-"/>
  </r>
  <r>
    <s v="2000000"/>
    <s v="2020000"/>
    <s v="2020200"/>
    <s v="2020220"/>
    <s v="SAIDAS"/>
    <s v="DESPESAS ADMINISTRATIVAS"/>
    <s v="DESPESAS COM PESSOAL TERCEIRIZADOS"/>
    <s v="Treinador de Goleiro"/>
    <x v="0"/>
    <x v="5"/>
    <x v="11"/>
    <m/>
    <x v="0"/>
    <x v="5"/>
    <x v="11"/>
    <x v="52"/>
    <s v="Reclassificar lançamento desta conta em &quot;material esportivo&quot;"/>
    <s v="-"/>
  </r>
  <r>
    <m/>
    <m/>
    <m/>
    <m/>
    <m/>
    <m/>
    <m/>
    <m/>
    <x v="0"/>
    <x v="5"/>
    <x v="11"/>
    <m/>
    <x v="0"/>
    <x v="5"/>
    <x v="11"/>
    <x v="53"/>
    <m/>
    <s v="VALIDAR AJUSTE"/>
  </r>
  <r>
    <m/>
    <m/>
    <m/>
    <m/>
    <m/>
    <m/>
    <m/>
    <m/>
    <x v="0"/>
    <x v="5"/>
    <x v="11"/>
    <m/>
    <x v="0"/>
    <x v="5"/>
    <x v="11"/>
    <x v="54"/>
    <m/>
    <s v="VALIDAR AJUSTE"/>
  </r>
  <r>
    <m/>
    <m/>
    <m/>
    <m/>
    <m/>
    <m/>
    <m/>
    <m/>
    <x v="0"/>
    <x v="5"/>
    <x v="11"/>
    <m/>
    <x v="0"/>
    <x v="5"/>
    <x v="11"/>
    <x v="55"/>
    <m/>
    <s v="VALIDAR AJUSTE"/>
  </r>
  <r>
    <m/>
    <m/>
    <m/>
    <m/>
    <m/>
    <m/>
    <m/>
    <m/>
    <x v="0"/>
    <x v="5"/>
    <x v="11"/>
    <m/>
    <x v="0"/>
    <x v="5"/>
    <x v="11"/>
    <x v="56"/>
    <m/>
    <s v="VALIDAR AJUSTE"/>
  </r>
  <r>
    <s v="2000000"/>
    <s v="2010000"/>
    <s v="2010500"/>
    <s v="2010510"/>
    <s v="SAIDAS"/>
    <s v="SAÍDAS OPERACIONAIS"/>
    <s v="DESPESAS COM JOGADORES"/>
    <s v="Recreação / Monitores"/>
    <x v="0"/>
    <x v="5"/>
    <x v="11"/>
    <m/>
    <x v="0"/>
    <x v="5"/>
    <x v="11"/>
    <x v="57"/>
    <m/>
    <s v="-"/>
  </r>
  <r>
    <s v="2000000"/>
    <s v="2020000"/>
    <s v="2020200"/>
    <s v="2020217"/>
    <s v="SAIDAS"/>
    <s v="DESPESAS ADMINISTRATIVAS"/>
    <s v="DESPESAS COM PESSOAL TERCEIRIZADOS"/>
    <s v="Coordenador Futebol"/>
    <x v="0"/>
    <x v="5"/>
    <x v="12"/>
    <m/>
    <x v="0"/>
    <x v="5"/>
    <x v="12"/>
    <x v="58"/>
    <m/>
    <s v="-"/>
  </r>
  <r>
    <s v="2000000"/>
    <s v="2020000"/>
    <s v="2020200"/>
    <s v="2020215"/>
    <s v="SAIDAS"/>
    <s v="DESPESAS ADMINISTRATIVAS"/>
    <s v="DESPESAS COM PESSOAL TERCEIRIZADOS"/>
    <s v="Treinador Futebol"/>
    <x v="0"/>
    <x v="5"/>
    <x v="12"/>
    <m/>
    <x v="0"/>
    <x v="5"/>
    <x v="12"/>
    <x v="59"/>
    <m/>
    <s v="-"/>
  </r>
  <r>
    <s v="2000000"/>
    <s v="2020000"/>
    <s v="2020200"/>
    <s v="2020221"/>
    <s v="SAIDAS"/>
    <s v="DESPESAS ADMINISTRATIVAS"/>
    <s v="DESPESAS COM PESSOAL TERCEIRIZADOS"/>
    <s v="Tecnico Futebol"/>
    <x v="0"/>
    <x v="5"/>
    <x v="12"/>
    <m/>
    <x v="0"/>
    <x v="5"/>
    <x v="12"/>
    <x v="60"/>
    <m/>
    <s v="VALIDAR AJUSTE"/>
  </r>
  <r>
    <s v="2000000"/>
    <s v="2020000"/>
    <s v="2020200"/>
    <s v="2020222"/>
    <s v="SAIDAS"/>
    <s v="DESPESAS ADMINISTRATIVAS"/>
    <s v="DESPESAS COM PESSOAL TERCEIRIZADOS"/>
    <s v="Supervisor Técnico"/>
    <x v="0"/>
    <x v="5"/>
    <x v="12"/>
    <m/>
    <x v="0"/>
    <x v="5"/>
    <x v="12"/>
    <x v="61"/>
    <m/>
    <s v="-"/>
  </r>
  <r>
    <s v="2000000"/>
    <s v="2010000"/>
    <s v="2010500"/>
    <s v="2010507"/>
    <s v="SAIDAS"/>
    <s v="SAÍDAS OPERACIONAIS"/>
    <s v="DESPESAS COM JOGADORES"/>
    <s v="Fisioterapia"/>
    <x v="0"/>
    <x v="5"/>
    <x v="13"/>
    <m/>
    <x v="0"/>
    <x v="5"/>
    <x v="13"/>
    <x v="62"/>
    <m/>
    <s v="-"/>
  </r>
  <r>
    <s v="2000000"/>
    <s v="2010000"/>
    <s v="2010400"/>
    <s v="2010402"/>
    <s v="SAIDAS"/>
    <s v="SAÍDAS OPERACIONAIS"/>
    <s v="DESPESAS COM JOGOS"/>
    <s v="Massagista"/>
    <x v="0"/>
    <x v="5"/>
    <x v="13"/>
    <m/>
    <x v="0"/>
    <x v="5"/>
    <x v="13"/>
    <x v="63"/>
    <m/>
    <s v="-"/>
  </r>
  <r>
    <s v="2000000"/>
    <s v="2020000"/>
    <s v="2020200"/>
    <s v="2020225"/>
    <s v="SAIDAS"/>
    <s v="DESPESAS ADMINISTRATIVAS"/>
    <s v="DESPESAS COM PESSOAL TERCEIRIZADOS"/>
    <s v="Nutricionista"/>
    <x v="0"/>
    <x v="5"/>
    <x v="13"/>
    <m/>
    <x v="0"/>
    <x v="5"/>
    <x v="13"/>
    <x v="64"/>
    <m/>
    <s v="-"/>
  </r>
  <r>
    <s v="2000000"/>
    <s v="2020000"/>
    <s v="2020200"/>
    <s v="2020219"/>
    <s v="SAIDAS"/>
    <s v="DESPESAS ADMINISTRATIVAS"/>
    <s v="DESPESAS COM PESSOAL TERCEIRIZADOS"/>
    <s v="Preparador Físico"/>
    <x v="0"/>
    <x v="5"/>
    <x v="13"/>
    <m/>
    <x v="0"/>
    <x v="5"/>
    <x v="13"/>
    <x v="65"/>
    <m/>
    <s v="-"/>
  </r>
  <r>
    <s v="2000000"/>
    <s v="2020000"/>
    <s v="2020500"/>
    <s v="2020504"/>
    <s v="SAIDAS"/>
    <s v="DESPESAS ADMINISTRATIVAS"/>
    <s v="DESPESAS COM MATERIAIS - CONSUMO"/>
    <s v="Material Esportivo"/>
    <x v="0"/>
    <x v="5"/>
    <x v="14"/>
    <m/>
    <x v="0"/>
    <x v="5"/>
    <x v="14"/>
    <x v="66"/>
    <m/>
    <s v="-"/>
  </r>
  <r>
    <s v="2000000"/>
    <s v="2010000"/>
    <s v="2010400"/>
    <s v="2010405"/>
    <s v="SAIDAS"/>
    <s v="SAÍDAS OPERACIONAIS"/>
    <s v="DESPESAS COM JOGOS"/>
    <s v="Transporte de materiais esportivos"/>
    <x v="0"/>
    <x v="5"/>
    <x v="14"/>
    <m/>
    <x v="0"/>
    <x v="5"/>
    <x v="14"/>
    <x v="67"/>
    <m/>
    <s v="-"/>
  </r>
  <r>
    <m/>
    <m/>
    <m/>
    <m/>
    <m/>
    <m/>
    <m/>
    <m/>
    <x v="0"/>
    <x v="5"/>
    <x v="14"/>
    <m/>
    <x v="0"/>
    <x v="5"/>
    <x v="14"/>
    <x v="68"/>
    <m/>
    <s v="VALIDAR AJUSTE"/>
  </r>
  <r>
    <m/>
    <m/>
    <m/>
    <m/>
    <m/>
    <m/>
    <m/>
    <m/>
    <x v="0"/>
    <x v="5"/>
    <x v="14"/>
    <m/>
    <x v="0"/>
    <x v="5"/>
    <x v="14"/>
    <x v="69"/>
    <m/>
    <s v="VALIDAR AJUSTE"/>
  </r>
  <r>
    <s v="2000000"/>
    <s v="2010000"/>
    <s v="2010600"/>
    <s v="2010604"/>
    <s v="SAIDAS"/>
    <s v="SAÍDAS OPERACIONAIS"/>
    <s v="MANUTENÇÕES"/>
    <s v="Conserto de Materiais Esportivos"/>
    <x v="0"/>
    <x v="5"/>
    <x v="14"/>
    <m/>
    <x v="0"/>
    <x v="5"/>
    <x v="14"/>
    <x v="70"/>
    <m/>
    <s v="-"/>
  </r>
  <r>
    <s v="2000000"/>
    <s v="2020000"/>
    <s v="2020200"/>
    <s v="2020223"/>
    <s v="SAIDAS"/>
    <s v="DESPESAS ADMINISTRATIVAS"/>
    <s v="DESPESAS COM PESSOAL TERCEIRIZADOS"/>
    <s v="Captador de Atleta"/>
    <x v="0"/>
    <x v="5"/>
    <x v="15"/>
    <m/>
    <x v="0"/>
    <x v="5"/>
    <x v="15"/>
    <x v="71"/>
    <m/>
    <s v="VALIDAR AJUSTE"/>
  </r>
  <r>
    <s v="2000000"/>
    <s v="2010000"/>
    <s v="2010400"/>
    <s v="2010406"/>
    <s v="SAIDAS"/>
    <s v="SAÍDAS OPERACIONAIS"/>
    <s v="DESPESAS COM JOGOS"/>
    <s v="Filmagem e Sonorização"/>
    <x v="0"/>
    <x v="5"/>
    <x v="15"/>
    <m/>
    <x v="0"/>
    <x v="5"/>
    <x v="15"/>
    <x v="72"/>
    <m/>
    <s v="-"/>
  </r>
  <r>
    <s v="2000000"/>
    <s v="2010000"/>
    <s v="2010600"/>
    <s v="2010607"/>
    <s v="SAIDAS"/>
    <s v="SAÍDAS OPERACIONAIS"/>
    <s v="MANUTENÇÕES"/>
    <s v="Manutenção de Campo Futebol"/>
    <x v="0"/>
    <x v="5"/>
    <x v="15"/>
    <m/>
    <x v="0"/>
    <x v="5"/>
    <x v="15"/>
    <x v="73"/>
    <m/>
    <s v="-"/>
  </r>
  <r>
    <s v="2000000"/>
    <s v="2010000"/>
    <s v="2010400"/>
    <s v="2010407"/>
    <s v="SAIDAS"/>
    <s v="SAÍDAS OPERACIONAIS"/>
    <s v="DESPESAS COM JOGOS"/>
    <s v="Outras Despesas com Jogos"/>
    <x v="0"/>
    <x v="5"/>
    <x v="15"/>
    <m/>
    <x v="0"/>
    <x v="5"/>
    <x v="15"/>
    <x v="74"/>
    <s v="Avaliar necessidade de separar a classificação &quot;Alimentação e Hidratação&quot;,..."/>
    <s v="VALIDAR AJUSTE"/>
  </r>
  <r>
    <s v="2000000"/>
    <s v="2020000"/>
    <s v="2020700"/>
    <s v="2020723"/>
    <s v="SAIDAS"/>
    <s v="DESPESAS ADMINISTRATIVAS"/>
    <s v="DESPESAS GERAIS"/>
    <s v="Pagamento de Reembolso"/>
    <x v="0"/>
    <x v="5"/>
    <x v="15"/>
    <m/>
    <x v="0"/>
    <x v="5"/>
    <x v="15"/>
    <x v="75"/>
    <s v="Ajustar lançamentos - classificando conforme cada natureza (alimentação, custos com jogos,...)"/>
    <s v="VALIDAR AJUSTE"/>
  </r>
  <r>
    <m/>
    <m/>
    <m/>
    <m/>
    <m/>
    <m/>
    <m/>
    <m/>
    <x v="0"/>
    <x v="5"/>
    <x v="15"/>
    <m/>
    <x v="0"/>
    <x v="5"/>
    <x v="15"/>
    <x v="76"/>
    <m/>
    <s v="VALIDAR AJUSTE"/>
  </r>
  <r>
    <s v="2000000"/>
    <s v="2010000"/>
    <s v="2010400"/>
    <s v="2010403"/>
    <s v="SAIDAS"/>
    <s v="SAÍDAS OPERACIONAIS"/>
    <s v="DESPESAS COM JOGOS"/>
    <s v="Arbitragem"/>
    <x v="0"/>
    <x v="5"/>
    <x v="15"/>
    <m/>
    <x v="0"/>
    <x v="5"/>
    <x v="15"/>
    <x v="77"/>
    <m/>
    <s v="-"/>
  </r>
  <r>
    <s v="2000000"/>
    <s v="2010000"/>
    <s v="2010400"/>
    <s v="2010401"/>
    <s v="SAIDAS"/>
    <s v="SAÍDAS OPERACIONAIS"/>
    <s v="DESPESAS COM JOGOS"/>
    <s v="Aluguel de Campo"/>
    <x v="0"/>
    <x v="5"/>
    <x v="16"/>
    <m/>
    <x v="0"/>
    <x v="5"/>
    <x v="16"/>
    <x v="78"/>
    <m/>
    <s v="-"/>
  </r>
  <r>
    <s v="2000000"/>
    <s v="2020000"/>
    <s v="2020400"/>
    <s v="2020406"/>
    <s v="SAIDAS"/>
    <s v="DESPESAS ADMINISTRATIVAS"/>
    <s v="DESPESAS COM VEICULOS"/>
    <s v="Aluguel de Veiculos"/>
    <x v="0"/>
    <x v="5"/>
    <x v="16"/>
    <m/>
    <x v="0"/>
    <x v="5"/>
    <x v="16"/>
    <x v="79"/>
    <m/>
    <s v="VALIDAR AJUSTE"/>
  </r>
  <r>
    <s v="2000000"/>
    <s v="2020000"/>
    <s v="2020400"/>
    <s v="2020401"/>
    <s v="SAIDAS"/>
    <s v="DESPESAS ADMINISTRATIVAS"/>
    <s v="DESPESAS COM VEICULOS"/>
    <s v="Combustiveis/Lubrificantes"/>
    <x v="0"/>
    <x v="5"/>
    <x v="16"/>
    <m/>
    <x v="0"/>
    <x v="5"/>
    <x v="16"/>
    <x v="80"/>
    <m/>
    <s v="VALIDAR AJUSTE"/>
  </r>
  <r>
    <s v="2000000"/>
    <s v="2020000"/>
    <s v="2020700"/>
    <s v="2020724"/>
    <s v="SAIDAS"/>
    <s v="DESPESAS ADMINISTRATIVAS"/>
    <s v="DESPESAS GERAIS"/>
    <s v="Transporte de Pessoas"/>
    <x v="0"/>
    <x v="5"/>
    <x v="16"/>
    <m/>
    <x v="0"/>
    <x v="5"/>
    <x v="16"/>
    <x v="81"/>
    <m/>
    <s v="-"/>
  </r>
  <r>
    <s v="2000000"/>
    <s v="2020000"/>
    <s v="2020700"/>
    <s v="2020703"/>
    <s v="SAIDAS"/>
    <s v="DESPESAS ADMINISTRATIVAS"/>
    <s v="DESPESAS GERAIS"/>
    <s v="Viagens e estadias"/>
    <x v="0"/>
    <x v="5"/>
    <x v="16"/>
    <m/>
    <x v="0"/>
    <x v="5"/>
    <x v="16"/>
    <x v="82"/>
    <m/>
    <s v="-"/>
  </r>
  <r>
    <s v="2000000"/>
    <s v="2010000"/>
    <s v="2010400"/>
    <s v="2010404"/>
    <s v="SAIDAS"/>
    <s v="SAÍDAS OPERACIONAIS"/>
    <s v="DESPESAS COM JOGOS"/>
    <s v="Aluguel de ônibus"/>
    <x v="0"/>
    <x v="5"/>
    <x v="16"/>
    <m/>
    <x v="0"/>
    <x v="5"/>
    <x v="16"/>
    <x v="83"/>
    <m/>
    <s v="-"/>
  </r>
  <r>
    <s v="2000000"/>
    <s v="2020000"/>
    <s v="2020100"/>
    <s v="2020101"/>
    <s v="SAIDAS"/>
    <s v="DESPESAS ADMINISTRATIVAS"/>
    <s v="DESPESAS COM PESSOAL"/>
    <s v="13º Salarios"/>
    <x v="0"/>
    <x v="6"/>
    <x v="17"/>
    <m/>
    <x v="0"/>
    <x v="6"/>
    <x v="17"/>
    <x v="84"/>
    <m/>
    <s v="VALIDAR AJUSTE"/>
  </r>
  <r>
    <s v="2000000"/>
    <s v="2020000"/>
    <s v="2020100"/>
    <s v="2020122"/>
    <s v="SAIDAS"/>
    <s v="DESPESAS ADMINISTRATIVAS"/>
    <s v="DESPESAS COM PESSOAL"/>
    <s v="Açoes do RH"/>
    <x v="0"/>
    <x v="6"/>
    <x v="17"/>
    <m/>
    <x v="0"/>
    <x v="6"/>
    <x v="17"/>
    <x v="85"/>
    <m/>
    <s v="VALIDAR AJUSTE"/>
  </r>
  <r>
    <s v="2000000"/>
    <s v="2010000"/>
    <s v="2010500"/>
    <s v="2010506"/>
    <s v="SAIDAS"/>
    <s v="SAÍDAS OPERACIONAIS"/>
    <s v="DESPESAS COM JOGADORES"/>
    <s v="Ajuda de Custo"/>
    <x v="0"/>
    <x v="6"/>
    <x v="17"/>
    <m/>
    <x v="0"/>
    <x v="6"/>
    <x v="17"/>
    <x v="86"/>
    <m/>
    <s v="-"/>
  </r>
  <r>
    <s v="2000000"/>
    <s v="2020000"/>
    <s v="2020100"/>
    <s v="2020130"/>
    <s v="SAIDAS"/>
    <s v="DESPESAS ADMINISTRATIVAS"/>
    <s v="DESPESAS COM PESSOAL"/>
    <s v="Benefícios Bem-Estar e Saúde"/>
    <x v="0"/>
    <x v="6"/>
    <x v="17"/>
    <m/>
    <x v="0"/>
    <x v="6"/>
    <x v="17"/>
    <x v="87"/>
    <m/>
    <s v="-"/>
  </r>
  <r>
    <s v="2000000"/>
    <s v="2010000"/>
    <s v="2010500"/>
    <s v="2010508"/>
    <s v="SAIDAS"/>
    <s v="SAÍDAS OPERACIONAIS"/>
    <s v="DESPESAS COM JOGADORES"/>
    <s v="Bolsa Atleta"/>
    <x v="0"/>
    <x v="6"/>
    <x v="17"/>
    <m/>
    <x v="0"/>
    <x v="6"/>
    <x v="17"/>
    <x v="88"/>
    <m/>
    <s v="-"/>
  </r>
  <r>
    <s v="2000000"/>
    <s v="2020000"/>
    <s v="2020100"/>
    <s v="2020119"/>
    <s v="SAIDAS"/>
    <s v="DESPESAS ADMINISTRATIVAS"/>
    <s v="DESPESAS COM PESSOAL"/>
    <s v="Bonificaçao/Premio"/>
    <x v="0"/>
    <x v="6"/>
    <x v="17"/>
    <m/>
    <x v="0"/>
    <x v="6"/>
    <x v="17"/>
    <x v="89"/>
    <m/>
    <s v="VALIDAR AJUSTE"/>
  </r>
  <r>
    <s v="2000000"/>
    <s v="2020000"/>
    <s v="2020100"/>
    <s v="2020111"/>
    <s v="SAIDAS"/>
    <s v="DESPESAS ADMINISTRATIVAS"/>
    <s v="DESPESAS COM PESSOAL"/>
    <s v="Cursos e Treinamentos"/>
    <x v="0"/>
    <x v="6"/>
    <x v="17"/>
    <m/>
    <x v="0"/>
    <x v="6"/>
    <x v="17"/>
    <x v="90"/>
    <m/>
    <s v="-"/>
  </r>
  <r>
    <s v="2000000"/>
    <s v="2020000"/>
    <s v="2020100"/>
    <s v="2020129"/>
    <s v="SAIDAS"/>
    <s v="DESPESAS ADMINISTRATIVAS"/>
    <s v="DESPESAS COM PESSOAL"/>
    <s v="Despesas Médicas"/>
    <x v="0"/>
    <x v="6"/>
    <x v="17"/>
    <m/>
    <x v="0"/>
    <x v="6"/>
    <x v="17"/>
    <x v="91"/>
    <m/>
    <s v="-"/>
  </r>
  <r>
    <s v="2000000"/>
    <s v="2020000"/>
    <s v="2020100"/>
    <s v="2020106"/>
    <s v="SAIDAS"/>
    <s v="DESPESAS ADMINISTRATIVAS"/>
    <s v="DESPESAS COM PESSOAL"/>
    <s v="Encargos (INSS/FGTS)"/>
    <x v="0"/>
    <x v="6"/>
    <x v="17"/>
    <m/>
    <x v="0"/>
    <x v="6"/>
    <x v="17"/>
    <x v="92"/>
    <m/>
    <s v="-"/>
  </r>
  <r>
    <s v="2000000"/>
    <s v="2020000"/>
    <s v="2020100"/>
    <s v="2020116"/>
    <s v="SAIDAS"/>
    <s v="DESPESAS ADMINISTRATIVAS"/>
    <s v="DESPESAS COM PESSOAL"/>
    <s v="Exames (Admissionais/Demissionais e Peri"/>
    <x v="0"/>
    <x v="6"/>
    <x v="17"/>
    <m/>
    <x v="0"/>
    <x v="6"/>
    <x v="17"/>
    <x v="93"/>
    <m/>
    <s v="VALIDAR AJUSTE"/>
  </r>
  <r>
    <s v="2000000"/>
    <s v="2020000"/>
    <s v="2020100"/>
    <s v="2020110"/>
    <s v="SAIDAS"/>
    <s v="DESPESAS ADMINISTRATIVAS"/>
    <s v="DESPESAS COM PESSOAL"/>
    <s v="Farmacia"/>
    <x v="0"/>
    <x v="6"/>
    <x v="17"/>
    <m/>
    <x v="0"/>
    <x v="6"/>
    <x v="17"/>
    <x v="94"/>
    <m/>
    <s v="VALIDAR AJUSTE"/>
  </r>
  <r>
    <s v="2000000"/>
    <s v="2020000"/>
    <s v="2020100"/>
    <s v="2020105"/>
    <s v="SAIDAS"/>
    <s v="DESPESAS ADMINISTRATIVAS"/>
    <s v="DESPESAS COM PESSOAL"/>
    <s v="Ferias"/>
    <x v="0"/>
    <x v="6"/>
    <x v="17"/>
    <m/>
    <x v="0"/>
    <x v="6"/>
    <x v="17"/>
    <x v="95"/>
    <m/>
    <s v="VALIDAR AJUSTE"/>
  </r>
  <r>
    <s v="2000000"/>
    <s v="2020000"/>
    <s v="2020100"/>
    <s v="2020117"/>
    <s v="SAIDAS"/>
    <s v="DESPESAS ADMINISTRATIVAS"/>
    <s v="DESPESAS COM PESSOAL"/>
    <s v="Pensao Alimenticia"/>
    <x v="0"/>
    <x v="6"/>
    <x v="17"/>
    <m/>
    <x v="0"/>
    <x v="6"/>
    <x v="17"/>
    <x v="96"/>
    <m/>
    <s v="VALIDAR AJUSTE"/>
  </r>
  <r>
    <s v="2000000"/>
    <s v="2020000"/>
    <s v="2020100"/>
    <s v="2020114"/>
    <s v="SAIDAS"/>
    <s v="DESPESAS ADMINISTRATIVAS"/>
    <s v="DESPESAS COM PESSOAL"/>
    <s v="Plano de Saude"/>
    <x v="0"/>
    <x v="6"/>
    <x v="17"/>
    <m/>
    <x v="0"/>
    <x v="6"/>
    <x v="17"/>
    <x v="97"/>
    <m/>
    <s v="VALIDAR AJUSTE"/>
  </r>
  <r>
    <s v="2000000"/>
    <s v="2020000"/>
    <s v="2020100"/>
    <s v="2020108"/>
    <s v="SAIDAS"/>
    <s v="DESPESAS ADMINISTRATIVAS"/>
    <s v="DESPESAS COM PESSOAL"/>
    <s v="Plano Odontológico"/>
    <x v="0"/>
    <x v="6"/>
    <x v="17"/>
    <m/>
    <x v="0"/>
    <x v="6"/>
    <x v="17"/>
    <x v="98"/>
    <m/>
    <s v="-"/>
  </r>
  <r>
    <s v="2000000"/>
    <s v="2020000"/>
    <s v="2020100"/>
    <s v="2020113"/>
    <s v="SAIDAS"/>
    <s v="DESPESAS ADMINISTRATIVAS"/>
    <s v="DESPESAS COM PESSOAL"/>
    <s v="Rescisoes/ GRRF"/>
    <x v="0"/>
    <x v="6"/>
    <x v="17"/>
    <m/>
    <x v="0"/>
    <x v="6"/>
    <x v="17"/>
    <x v="99"/>
    <m/>
    <s v="VALIDAR AJUSTE"/>
  </r>
  <r>
    <s v="2000000"/>
    <s v="2020000"/>
    <s v="2020100"/>
    <s v="2020102"/>
    <s v="SAIDAS"/>
    <s v="DESPESAS ADMINISTRATIVAS"/>
    <s v="DESPESAS COM PESSOAL"/>
    <s v="Salarios"/>
    <x v="0"/>
    <x v="6"/>
    <x v="17"/>
    <m/>
    <x v="0"/>
    <x v="6"/>
    <x v="17"/>
    <x v="100"/>
    <m/>
    <s v="VALIDAR AJUSTE"/>
  </r>
  <r>
    <s v="2000000"/>
    <s v="2020000"/>
    <s v="2020100"/>
    <s v="2020126"/>
    <s v="SAIDAS"/>
    <s v="DESPESAS ADMINISTRATIVAS"/>
    <s v="DESPESAS COM PESSOAL"/>
    <s v="Saude e Segurança Ocupacional"/>
    <x v="0"/>
    <x v="6"/>
    <x v="17"/>
    <m/>
    <x v="0"/>
    <x v="6"/>
    <x v="17"/>
    <x v="101"/>
    <m/>
    <s v="VALIDAR AJUSTE"/>
  </r>
  <r>
    <s v="2000000"/>
    <s v="2020000"/>
    <s v="2020100"/>
    <s v="2020118"/>
    <s v="SAIDAS"/>
    <s v="DESPESAS ADMINISTRATIVAS"/>
    <s v="DESPESAS COM PESSOAL"/>
    <s v="Seguro de Vida"/>
    <x v="0"/>
    <x v="6"/>
    <x v="17"/>
    <m/>
    <x v="0"/>
    <x v="6"/>
    <x v="17"/>
    <x v="102"/>
    <m/>
    <s v="-"/>
  </r>
  <r>
    <s v="2000000"/>
    <s v="2020000"/>
    <s v="2020100"/>
    <s v="2020104"/>
    <s v="SAIDAS"/>
    <s v="DESPESAS ADMINISTRATIVAS"/>
    <s v="DESPESAS COM PESSOAL"/>
    <s v="Uniformes"/>
    <x v="0"/>
    <x v="6"/>
    <x v="17"/>
    <m/>
    <x v="0"/>
    <x v="6"/>
    <x v="17"/>
    <x v="103"/>
    <m/>
    <s v="-"/>
  </r>
  <r>
    <s v="2000000"/>
    <s v="2020000"/>
    <s v="2020100"/>
    <s v="2020107"/>
    <s v="SAIDAS"/>
    <s v="DESPESAS ADMINISTRATIVAS"/>
    <s v="DESPESAS COM PESSOAL"/>
    <s v="Vale Refeiçao"/>
    <x v="0"/>
    <x v="6"/>
    <x v="17"/>
    <m/>
    <x v="0"/>
    <x v="6"/>
    <x v="17"/>
    <x v="104"/>
    <m/>
    <s v="VALIDAR AJUSTE"/>
  </r>
  <r>
    <s v="2000000"/>
    <s v="2020000"/>
    <s v="2020100"/>
    <s v="2020103"/>
    <s v="SAIDAS"/>
    <s v="DESPESAS ADMINISTRATIVAS"/>
    <s v="DESPESAS COM PESSOAL"/>
    <s v="Vale Transporte/Combustível"/>
    <x v="0"/>
    <x v="6"/>
    <x v="17"/>
    <m/>
    <x v="0"/>
    <x v="6"/>
    <x v="17"/>
    <x v="105"/>
    <m/>
    <s v="-"/>
  </r>
  <r>
    <s v="2000000"/>
    <s v="2020000"/>
    <s v="2020100"/>
    <s v="2020109"/>
    <s v="SAIDAS"/>
    <s v="DESPESAS ADMINISTRATIVAS"/>
    <s v="DESPESAS COM PESSOAL"/>
    <s v="IRPF"/>
    <x v="0"/>
    <x v="6"/>
    <x v="17"/>
    <m/>
    <x v="0"/>
    <x v="6"/>
    <x v="17"/>
    <x v="106"/>
    <m/>
    <s v="-"/>
  </r>
  <r>
    <s v="2000000"/>
    <s v="2020000"/>
    <s v="2020100"/>
    <s v="2020112"/>
    <s v="SAIDAS"/>
    <s v="DESPESAS ADMINISTRATIVAS"/>
    <s v="DESPESAS COM PESSOAL"/>
    <s v="Contribuiçao Sindical"/>
    <x v="0"/>
    <x v="6"/>
    <x v="17"/>
    <m/>
    <x v="0"/>
    <x v="6"/>
    <x v="17"/>
    <x v="107"/>
    <m/>
    <s v="VALIDAR AJUSTE"/>
  </r>
  <r>
    <s v="2000000"/>
    <s v="2020000"/>
    <s v="2020100"/>
    <s v="2020120"/>
    <s v="SAIDAS"/>
    <s v="DESPESAS ADMINISTRATIVAS"/>
    <s v="DESPESAS COM PESSOAL"/>
    <s v="Auxilio Universidade"/>
    <x v="0"/>
    <x v="6"/>
    <x v="17"/>
    <m/>
    <x v="0"/>
    <x v="6"/>
    <x v="17"/>
    <x v="108"/>
    <m/>
    <s v="VALIDAR AJUSTE"/>
  </r>
  <r>
    <s v="2000000"/>
    <s v="2020000"/>
    <s v="2020100"/>
    <s v="2020127"/>
    <s v="SAIDAS"/>
    <s v="DESPESAS ADMINISTRATIVAS"/>
    <s v="DESPESAS COM PESSOAL"/>
    <s v="EPI"/>
    <x v="0"/>
    <x v="6"/>
    <x v="17"/>
    <m/>
    <x v="0"/>
    <x v="6"/>
    <x v="17"/>
    <x v="109"/>
    <m/>
    <s v="-"/>
  </r>
  <r>
    <s v="2000000"/>
    <s v="2020000"/>
    <s v="2020100"/>
    <s v="2020128"/>
    <s v="SAIDAS"/>
    <s v="DESPESAS ADMINISTRATIVAS"/>
    <s v="DESPESAS COM PESSOAL"/>
    <s v="Menor Aprendiz / Estagiário"/>
    <x v="0"/>
    <x v="6"/>
    <x v="17"/>
    <m/>
    <x v="0"/>
    <x v="6"/>
    <x v="17"/>
    <x v="110"/>
    <m/>
    <s v="-"/>
  </r>
  <r>
    <s v="2000000"/>
    <s v="2020000"/>
    <s v="2020100"/>
    <s v="2020131"/>
    <s v="SAIDAS"/>
    <s v="DESPESAS ADMINISTRATIVAS"/>
    <s v="DESPESAS COM PESSOAL"/>
    <s v="Emprestimo Consignado"/>
    <x v="0"/>
    <x v="6"/>
    <x v="17"/>
    <m/>
    <x v="0"/>
    <x v="6"/>
    <x v="17"/>
    <x v="111"/>
    <m/>
    <s v="VALIDAR AJUSTE"/>
  </r>
  <r>
    <s v="2000000"/>
    <s v="2010000"/>
    <s v="2010300"/>
    <s v="2010324"/>
    <s v="SAIDAS"/>
    <s v="SAÍDAS OPERACIONAIS"/>
    <s v="DESPESAS TERCEIRIZADAS, VEICULAÇÃO E PRO"/>
    <s v="Lavanderia"/>
    <x v="0"/>
    <x v="7"/>
    <x v="18"/>
    <m/>
    <x v="0"/>
    <x v="7"/>
    <x v="18"/>
    <x v="112"/>
    <s v="Verificar o que as outras empresas do grupo lançam nessa conta"/>
    <s v="-"/>
  </r>
  <r>
    <s v="2000000"/>
    <s v="2010000"/>
    <s v="2010300"/>
    <s v="2010301"/>
    <s v="SAIDAS"/>
    <s v="SAÍDAS OPERACIONAIS"/>
    <s v="DESPESAS TERCEIRIZADAS, VEICULAÇÃO E PRO"/>
    <s v="Locaçao Maq./Ferramentas/Equip."/>
    <x v="0"/>
    <x v="7"/>
    <x v="18"/>
    <m/>
    <x v="0"/>
    <x v="7"/>
    <x v="18"/>
    <x v="113"/>
    <s v="Avaliar reclassificações para Custo ou despesa, se for o caso"/>
    <s v="VALIDAR AJUSTE"/>
  </r>
  <r>
    <s v="2000000"/>
    <s v="2010000"/>
    <s v="2010300"/>
    <s v="2010321"/>
    <s v="SAIDAS"/>
    <s v="SAÍDAS OPERACIONAIS"/>
    <s v="DESPESAS TERCEIRIZADAS, VEICULAÇÃO E PRO"/>
    <s v="Movimentação e Transporte"/>
    <x v="0"/>
    <x v="7"/>
    <x v="18"/>
    <m/>
    <x v="0"/>
    <x v="7"/>
    <x v="18"/>
    <x v="114"/>
    <s v="Na Porto Vitória não deveria ter lançamentos nessa conta. Ajustar para &quot;Transporte de materiais esportivos&quot;"/>
    <s v="-"/>
  </r>
  <r>
    <s v="2000000"/>
    <s v="2010000"/>
    <s v="2010300"/>
    <s v="2010306"/>
    <s v="SAIDAS"/>
    <s v="SAÍDAS OPERACIONAIS"/>
    <s v="DESPESAS TERCEIRIZADAS, VEICULAÇÃO E PRO"/>
    <s v="Frete de Mercadorias"/>
    <x v="0"/>
    <x v="7"/>
    <x v="18"/>
    <m/>
    <x v="0"/>
    <x v="7"/>
    <x v="18"/>
    <x v="115"/>
    <m/>
    <s v="-"/>
  </r>
  <r>
    <s v="2000000"/>
    <s v="2010000"/>
    <s v="2010300"/>
    <s v="2010314"/>
    <s v="SAIDAS"/>
    <s v="SAÍDAS OPERACIONAIS"/>
    <s v="DESPESAS TERCEIRIZADAS, VEICULAÇÃO E PRO"/>
    <s v="Material Utilzado na Prestação de Serviç"/>
    <x v="0"/>
    <x v="7"/>
    <x v="18"/>
    <m/>
    <x v="0"/>
    <x v="7"/>
    <x v="18"/>
    <x v="116"/>
    <m/>
    <s v="VALIDAR AJUSTE"/>
  </r>
  <r>
    <s v="2000000"/>
    <s v="2010000"/>
    <s v="2010300"/>
    <s v="2010322"/>
    <s v="SAIDAS"/>
    <s v="SAÍDAS OPERACIONAIS"/>
    <s v="DESPESAS TERCEIRIZADAS, VEICULAÇÃO E PRO"/>
    <s v="Calibração"/>
    <x v="0"/>
    <x v="7"/>
    <x v="18"/>
    <m/>
    <x v="0"/>
    <x v="7"/>
    <x v="18"/>
    <x v="117"/>
    <m/>
    <s v="-"/>
  </r>
  <r>
    <s v="2000000"/>
    <s v="2010000"/>
    <s v="2010300"/>
    <s v="2010326"/>
    <s v="SAIDAS"/>
    <s v="SAÍDAS OPERACIONAIS"/>
    <s v="DESPESAS TERCEIRIZADAS, VEICULAÇÃO E PRO"/>
    <s v="Serviços Médicos PJ"/>
    <x v="0"/>
    <x v="7"/>
    <x v="18"/>
    <m/>
    <x v="0"/>
    <x v="7"/>
    <x v="18"/>
    <x v="118"/>
    <m/>
    <s v="-"/>
  </r>
  <r>
    <s v="2000000"/>
    <s v="2010000"/>
    <s v="2010300"/>
    <s v="2010328"/>
    <s v="SAIDAS"/>
    <s v="SAÍDAS OPERACIONAIS"/>
    <s v="DESPESAS TERCEIRIZADAS, VEICULAÇÃO E PRO"/>
    <s v="Remoção Terceirizada"/>
    <x v="0"/>
    <x v="7"/>
    <x v="18"/>
    <m/>
    <x v="0"/>
    <x v="7"/>
    <x v="18"/>
    <x v="119"/>
    <m/>
    <s v="-"/>
  </r>
  <r>
    <s v="2000000"/>
    <s v="2010000"/>
    <s v="2010300"/>
    <s v="2010329"/>
    <s v="SAIDAS"/>
    <s v="SAÍDAS OPERACIONAIS"/>
    <s v="DESPESAS TERCEIRIZADAS, VEICULAÇÃO E PRO"/>
    <s v="Autonomos (Enfermeiros/Socorristas/Cond)"/>
    <x v="0"/>
    <x v="7"/>
    <x v="18"/>
    <m/>
    <x v="0"/>
    <x v="7"/>
    <x v="18"/>
    <x v="120"/>
    <m/>
    <s v="VALIDAR AJUSTE"/>
  </r>
  <r>
    <s v="2000000"/>
    <s v="2010000"/>
    <s v="2010300"/>
    <s v="2010330"/>
    <s v="SAIDAS"/>
    <s v="SAÍDAS OPERACIONAIS"/>
    <s v="DESPESAS TERCEIRIZADAS, VEICULAÇÃO E PRO"/>
    <s v="Materiais Infraestrutura e Conectividade"/>
    <x v="0"/>
    <x v="7"/>
    <x v="18"/>
    <m/>
    <x v="0"/>
    <x v="7"/>
    <x v="18"/>
    <x v="121"/>
    <m/>
    <s v="-"/>
  </r>
  <r>
    <s v="2000000"/>
    <s v="2010000"/>
    <s v="2010600"/>
    <s v="2010603"/>
    <s v="SAIDAS"/>
    <s v="SAÍDAS OPERACIONAIS"/>
    <s v="MANUTENÇÕES"/>
    <s v="Despesas com Retrabalho"/>
    <x v="0"/>
    <x v="7"/>
    <x v="18"/>
    <m/>
    <x v="0"/>
    <x v="7"/>
    <x v="18"/>
    <x v="122"/>
    <m/>
    <s v="-"/>
  </r>
  <r>
    <s v="2000000"/>
    <s v="2010000"/>
    <s v="2010600"/>
    <s v="2010605"/>
    <s v="SAIDAS"/>
    <s v="SAÍDAS OPERACIONAIS"/>
    <s v="MANUTENÇÕES"/>
    <s v="Manutenção em Produtos de Terceiros"/>
    <x v="0"/>
    <x v="7"/>
    <x v="18"/>
    <m/>
    <x v="0"/>
    <x v="7"/>
    <x v="18"/>
    <x v="123"/>
    <m/>
    <s v="-"/>
  </r>
  <r>
    <s v="2000000"/>
    <s v="2010000"/>
    <s v="2010800"/>
    <s v="2010801"/>
    <s v="SAIDAS"/>
    <s v="SAÍDAS OPERACIONAIS"/>
    <s v="PREMIOS ECONTO"/>
    <s v="Saque Prêmio eConto"/>
    <x v="0"/>
    <x v="7"/>
    <x v="18"/>
    <m/>
    <x v="0"/>
    <x v="7"/>
    <x v="18"/>
    <x v="124"/>
    <m/>
    <s v="-"/>
  </r>
  <r>
    <m/>
    <m/>
    <m/>
    <m/>
    <m/>
    <m/>
    <m/>
    <m/>
    <x v="0"/>
    <x v="7"/>
    <x v="18"/>
    <m/>
    <x v="0"/>
    <x v="7"/>
    <x v="18"/>
    <x v="125"/>
    <m/>
    <s v="VALIDAR AJUSTE"/>
  </r>
  <r>
    <s v="2000000"/>
    <s v="2020000"/>
    <s v="2020700"/>
    <s v="2020714"/>
    <s v="SAIDAS"/>
    <s v="DESPESAS ADMINISTRATIVAS"/>
    <s v="DESPESAS GERAIS"/>
    <s v="Comissão e Corretagem"/>
    <x v="0"/>
    <x v="7"/>
    <x v="18"/>
    <m/>
    <x v="0"/>
    <x v="7"/>
    <x v="18"/>
    <x v="126"/>
    <m/>
    <s v="VALIDAR AJUSTE"/>
  </r>
  <r>
    <s v="2000000"/>
    <s v="2010000"/>
    <s v="2010300"/>
    <s v="2010315"/>
    <s v="SAIDAS"/>
    <s v="SAÍDAS OPERACIONAIS"/>
    <s v="DESPESAS TERCEIRIZADAS, VEICULAÇÃO E PRO"/>
    <s v="Comissão de Agência"/>
    <x v="0"/>
    <x v="8"/>
    <x v="19"/>
    <m/>
    <x v="0"/>
    <x v="8"/>
    <x v="19"/>
    <x v="127"/>
    <m/>
    <s v="-"/>
  </r>
  <r>
    <s v="2000000"/>
    <s v="2010000"/>
    <s v="2010300"/>
    <s v="2010319"/>
    <s v="SAIDAS"/>
    <s v="SAÍDAS OPERACIONAIS"/>
    <s v="DESPESAS TERCEIRIZADAS, VEICULAÇÃO E PRO"/>
    <s v="BV Bonificacão por Volume"/>
    <x v="0"/>
    <x v="8"/>
    <x v="19"/>
    <m/>
    <x v="0"/>
    <x v="8"/>
    <x v="19"/>
    <x v="128"/>
    <m/>
    <s v="VALIDAR AJUSTE"/>
  </r>
  <r>
    <s v="2000000"/>
    <s v="2020000"/>
    <s v="2020100"/>
    <s v="2020123"/>
    <s v="SAIDAS"/>
    <s v="DESPESAS ADMINISTRATIVAS"/>
    <s v="DESPESAS COM PESSOAL"/>
    <s v="Comissoes Vendedor"/>
    <x v="0"/>
    <x v="8"/>
    <x v="19"/>
    <m/>
    <x v="0"/>
    <x v="8"/>
    <x v="19"/>
    <x v="129"/>
    <m/>
    <s v="VALIDAR AJUSTE"/>
  </r>
  <r>
    <s v="2000000"/>
    <s v="2020000"/>
    <s v="2020500"/>
    <s v="2020506"/>
    <s v="SAIDAS"/>
    <s v="DESPESAS ADMINISTRATIVAS"/>
    <s v="DESPESAS COM MATERIAIS - CONSUMO"/>
    <s v="Material para Embalagem"/>
    <x v="0"/>
    <x v="8"/>
    <x v="20"/>
    <m/>
    <x v="0"/>
    <x v="8"/>
    <x v="20"/>
    <x v="130"/>
    <m/>
    <s v="-"/>
  </r>
  <r>
    <s v="2000000"/>
    <s v="2030000"/>
    <s v="2030100"/>
    <s v="2030105"/>
    <s v="SAIDAS"/>
    <s v="SAÍDAS NAO OPERACIONAIS"/>
    <s v="DESPESAS FINANCEIRAS"/>
    <s v="Despesas Com Cobrança"/>
    <x v="0"/>
    <x v="8"/>
    <x v="20"/>
    <m/>
    <x v="0"/>
    <x v="8"/>
    <x v="20"/>
    <x v="131"/>
    <m/>
    <s v="-"/>
  </r>
  <r>
    <s v="2000000"/>
    <s v="2020000"/>
    <s v="2020200"/>
    <s v="2020207"/>
    <s v="SAIDAS"/>
    <s v="DESPESAS ADMINISTRATIVAS"/>
    <s v="DESPESAS COM PESSOAL TERCEIRIZADOS"/>
    <s v="Servicos de Terceiros"/>
    <x v="0"/>
    <x v="9"/>
    <x v="21"/>
    <m/>
    <x v="0"/>
    <x v="9"/>
    <x v="21"/>
    <x v="132"/>
    <m/>
    <s v="VALIDAR AJUSTE"/>
  </r>
  <r>
    <s v="2000000"/>
    <s v="2020000"/>
    <s v="2020400"/>
    <s v="2020409"/>
    <s v="SAIDAS"/>
    <s v="DESPESAS ADMINISTRATIVAS"/>
    <s v="DESPESAS COM VEICULOS"/>
    <s v="Motorista"/>
    <x v="0"/>
    <x v="9"/>
    <x v="21"/>
    <m/>
    <x v="0"/>
    <x v="9"/>
    <x v="21"/>
    <x v="133"/>
    <m/>
    <s v="-"/>
  </r>
  <r>
    <s v="2000000"/>
    <s v="2020000"/>
    <s v="2020700"/>
    <s v="2020721"/>
    <s v="SAIDAS"/>
    <s v="DESPESAS ADMINISTRATIVAS"/>
    <s v="DESPESAS GERAIS"/>
    <s v="Gerente"/>
    <x v="0"/>
    <x v="9"/>
    <x v="21"/>
    <m/>
    <x v="0"/>
    <x v="9"/>
    <x v="21"/>
    <x v="134"/>
    <s v="Repetir as contas analíticas dos custos com pessoal e encargos"/>
    <s v="-"/>
  </r>
  <r>
    <s v="2000000"/>
    <s v="2020000"/>
    <s v="2020700"/>
    <s v="2020720"/>
    <s v="SAIDAS"/>
    <s v="DESPESAS ADMINISTRATIVAS"/>
    <s v="DESPESAS GERAIS"/>
    <s v="Diretor"/>
    <x v="0"/>
    <x v="10"/>
    <x v="22"/>
    <m/>
    <x v="0"/>
    <x v="10"/>
    <x v="22"/>
    <x v="135"/>
    <m/>
    <s v="-"/>
  </r>
  <r>
    <s v="2000000"/>
    <s v="2020000"/>
    <s v="2020100"/>
    <s v="2020124"/>
    <s v="SAIDAS"/>
    <s v="DESPESAS ADMINISTRATIVAS"/>
    <s v="DESPESAS COM PESSOAL"/>
    <s v="Pro Labore"/>
    <x v="0"/>
    <x v="10"/>
    <x v="22"/>
    <m/>
    <x v="0"/>
    <x v="10"/>
    <x v="22"/>
    <x v="136"/>
    <m/>
    <s v="VALIDAR AJUSTE"/>
  </r>
  <r>
    <s v="2000000"/>
    <s v="2020000"/>
    <s v="2020700"/>
    <s v="2020708"/>
    <s v="SAIDAS"/>
    <s v="DESPESAS ADMINISTRATIVAS"/>
    <s v="DESPESAS GERAIS"/>
    <s v="Anúncios/ Publicações"/>
    <x v="0"/>
    <x v="11"/>
    <x v="23"/>
    <m/>
    <x v="0"/>
    <x v="11"/>
    <x v="23"/>
    <x v="137"/>
    <m/>
    <s v="-"/>
  </r>
  <r>
    <s v="2000000"/>
    <s v="2020000"/>
    <s v="2020200"/>
    <s v="2020216"/>
    <s v="SAIDAS"/>
    <s v="DESPESAS ADMINISTRATIVAS"/>
    <s v="DESPESAS COM PESSOAL TERCEIRIZADOS"/>
    <s v="Assessoria de Imprensa"/>
    <x v="0"/>
    <x v="11"/>
    <x v="23"/>
    <m/>
    <x v="0"/>
    <x v="11"/>
    <x v="23"/>
    <x v="138"/>
    <m/>
    <s v="-"/>
  </r>
  <r>
    <m/>
    <m/>
    <m/>
    <m/>
    <m/>
    <m/>
    <m/>
    <m/>
    <x v="0"/>
    <x v="11"/>
    <x v="23"/>
    <m/>
    <x v="0"/>
    <x v="11"/>
    <x v="23"/>
    <x v="139"/>
    <m/>
    <s v="VALIDAR AJUSTE"/>
  </r>
  <r>
    <s v="2000000"/>
    <s v="2020000"/>
    <s v="2020700"/>
    <s v="2020716"/>
    <s v="SAIDAS"/>
    <s v="DESPESAS ADMINISTRATIVAS"/>
    <s v="DESPESAS GERAIS"/>
    <s v="Ações com Clientes"/>
    <x v="0"/>
    <x v="11"/>
    <x v="23"/>
    <m/>
    <x v="0"/>
    <x v="11"/>
    <x v="23"/>
    <x v="140"/>
    <m/>
    <s v="-"/>
  </r>
  <r>
    <s v="2000000"/>
    <s v="2020000"/>
    <s v="2020200"/>
    <s v="2020209"/>
    <s v="SAIDAS"/>
    <s v="DESPESAS ADMINISTRATIVAS"/>
    <s v="DESPESAS COM PESSOAL TERCEIRIZADOS"/>
    <s v="Advogados"/>
    <x v="0"/>
    <x v="12"/>
    <x v="24"/>
    <m/>
    <x v="0"/>
    <x v="12"/>
    <x v="24"/>
    <x v="141"/>
    <m/>
    <s v="VALIDAR AJUSTE"/>
  </r>
  <r>
    <s v="2000000"/>
    <s v="2020000"/>
    <s v="2020200"/>
    <s v="2020210"/>
    <s v="SAIDAS"/>
    <s v="DESPESAS ADMINISTRATIVAS"/>
    <s v="DESPESAS COM PESSOAL TERCEIRIZADOS"/>
    <s v="Assessoria e Consultoria"/>
    <x v="0"/>
    <x v="12"/>
    <x v="24"/>
    <m/>
    <x v="0"/>
    <x v="12"/>
    <x v="24"/>
    <x v="142"/>
    <m/>
    <s v="-"/>
  </r>
  <r>
    <s v="2000000"/>
    <s v="2020000"/>
    <s v="2020200"/>
    <s v="2020212"/>
    <s v="SAIDAS"/>
    <s v="DESPESAS ADMINISTRATIVAS"/>
    <s v="DESPESAS COM PESSOAL TERCEIRIZADOS"/>
    <s v="Contador"/>
    <x v="0"/>
    <x v="12"/>
    <x v="24"/>
    <m/>
    <x v="0"/>
    <x v="12"/>
    <x v="24"/>
    <x v="143"/>
    <m/>
    <s v="VALIDAR AJUSTE"/>
  </r>
  <r>
    <s v="2000000"/>
    <s v="2020000"/>
    <s v="2020200"/>
    <s v="2020204"/>
    <s v="SAIDAS"/>
    <s v="DESPESAS ADMINISTRATIVAS"/>
    <s v="DESPESAS COM PESSOAL TERCEIRIZADOS"/>
    <s v="INSS de Terceiros"/>
    <x v="0"/>
    <x v="12"/>
    <x v="24"/>
    <m/>
    <x v="0"/>
    <x v="12"/>
    <x v="24"/>
    <x v="144"/>
    <s v="INATIVAR"/>
    <s v="VALIDAR AJUSTE"/>
  </r>
  <r>
    <s v="2000000"/>
    <s v="2020000"/>
    <s v="2020200"/>
    <s v="2020202"/>
    <s v="SAIDAS"/>
    <s v="DESPESAS ADMINISTRATIVAS"/>
    <s v="DESPESAS COM PESSOAL TERCEIRIZADOS"/>
    <s v="IRF de Terceiros"/>
    <x v="0"/>
    <x v="12"/>
    <x v="24"/>
    <m/>
    <x v="0"/>
    <x v="12"/>
    <x v="24"/>
    <x v="145"/>
    <s v="INATIVAR"/>
    <s v="VALIDAR AJUSTE"/>
  </r>
  <r>
    <s v="2000000"/>
    <s v="2020000"/>
    <s v="2020200"/>
    <s v="2020205"/>
    <s v="SAIDAS"/>
    <s v="DESPESAS ADMINISTRATIVAS"/>
    <s v="DESPESAS COM PESSOAL TERCEIRIZADOS"/>
    <s v="ISS de Terceiros"/>
    <x v="0"/>
    <x v="12"/>
    <x v="24"/>
    <m/>
    <x v="0"/>
    <x v="12"/>
    <x v="24"/>
    <x v="146"/>
    <s v="INATIVAR"/>
    <s v="-"/>
  </r>
  <r>
    <s v="2000000"/>
    <s v="2020000"/>
    <s v="2020200"/>
    <s v="2020211"/>
    <s v="SAIDAS"/>
    <s v="DESPESAS ADMINISTRATIVAS"/>
    <s v="DESPESAS COM PESSOAL TERCEIRIZADOS"/>
    <s v="Motoboy"/>
    <x v="0"/>
    <x v="12"/>
    <x v="24"/>
    <m/>
    <x v="0"/>
    <x v="12"/>
    <x v="24"/>
    <x v="147"/>
    <m/>
    <s v="-"/>
  </r>
  <r>
    <s v="2000000"/>
    <s v="2020000"/>
    <s v="2020200"/>
    <s v="2020203"/>
    <s v="SAIDAS"/>
    <s v="DESPESAS ADMINISTRATIVAS"/>
    <s v="DESPESAS COM PESSOAL TERCEIRIZADOS"/>
    <s v="CSL/PIS/COFINS de terceiros"/>
    <x v="0"/>
    <x v="12"/>
    <x v="24"/>
    <m/>
    <x v="0"/>
    <x v="12"/>
    <x v="24"/>
    <x v="148"/>
    <s v="INATIVAR"/>
    <s v="-"/>
  </r>
  <r>
    <s v="2000000"/>
    <s v="2020000"/>
    <s v="2020200"/>
    <s v="2020208"/>
    <s v="SAIDAS"/>
    <s v="DESPESAS ADMINISTRATIVAS"/>
    <s v="DESPESAS COM PESSOAL TERCEIRIZADOS"/>
    <s v="Auditorias"/>
    <x v="0"/>
    <x v="12"/>
    <x v="24"/>
    <m/>
    <x v="0"/>
    <x v="12"/>
    <x v="24"/>
    <x v="149"/>
    <m/>
    <s v="-"/>
  </r>
  <r>
    <s v="2000000"/>
    <s v="2020000"/>
    <s v="2020200"/>
    <s v="2020224"/>
    <s v="SAIDAS"/>
    <s v="DESPESAS ADMINISTRATIVAS"/>
    <s v="DESPESAS COM PESSOAL TERCEIRIZADOS"/>
    <s v="Conselho Consultivo"/>
    <x v="0"/>
    <x v="12"/>
    <x v="24"/>
    <m/>
    <x v="0"/>
    <x v="12"/>
    <x v="24"/>
    <x v="150"/>
    <m/>
    <s v="-"/>
  </r>
  <r>
    <s v="2000000"/>
    <s v="2040000"/>
    <s v="2040000"/>
    <s v="2040001"/>
    <s v="SAIDAS"/>
    <s v="PESQUISA, PROJETO E DESENVOLVIMENTO"/>
    <s v="PESQUISA, PROJETO E DESENVOLVIMENTO"/>
    <s v="Engenheiro/ Arquiteto"/>
    <x v="0"/>
    <x v="12"/>
    <x v="24"/>
    <m/>
    <x v="0"/>
    <x v="12"/>
    <x v="24"/>
    <x v="151"/>
    <m/>
    <s v="-"/>
  </r>
  <r>
    <s v="2000000"/>
    <s v="2020000"/>
    <s v="2020700"/>
    <s v="2020725"/>
    <s v="SAIDAS"/>
    <s v="DESPESAS ADMINISTRATIVAS"/>
    <s v="DESPESAS GERAIS"/>
    <s v="Despesas com Site"/>
    <x v="0"/>
    <x v="12"/>
    <x v="25"/>
    <m/>
    <x v="0"/>
    <x v="12"/>
    <x v="25"/>
    <x v="152"/>
    <m/>
    <s v="-"/>
  </r>
  <r>
    <s v="2000000"/>
    <s v="2020000"/>
    <s v="2020200"/>
    <s v="2020218"/>
    <s v="SAIDAS"/>
    <s v="DESPESAS ADMINISTRATIVAS"/>
    <s v="DESPESAS COM PESSOAL TERCEIRIZADOS"/>
    <s v="Dominio e Hospedagem"/>
    <x v="0"/>
    <x v="12"/>
    <x v="25"/>
    <m/>
    <x v="0"/>
    <x v="12"/>
    <x v="25"/>
    <x v="153"/>
    <m/>
    <s v="VALIDAR AJUSTE"/>
  </r>
  <r>
    <s v="2000000"/>
    <s v="2020000"/>
    <s v="2020200"/>
    <s v="2020214"/>
    <s v="SAIDAS"/>
    <s v="DESPESAS ADMINISTRATIVAS"/>
    <s v="DESPESAS COM PESSOAL TERCEIRIZADOS"/>
    <s v="Licença e Consseção de Software"/>
    <x v="0"/>
    <x v="12"/>
    <x v="25"/>
    <m/>
    <x v="0"/>
    <x v="12"/>
    <x v="25"/>
    <x v="154"/>
    <m/>
    <s v="VALIDAR AJUSTE"/>
  </r>
  <r>
    <s v="2000000"/>
    <s v="2020000"/>
    <s v="2020200"/>
    <s v="2020201"/>
    <s v="SAIDAS"/>
    <s v="DESPESAS ADMINISTRATIVAS"/>
    <s v="DESPESAS COM PESSOAL TERCEIRIZADOS"/>
    <s v="Manutencao de Software"/>
    <x v="0"/>
    <x v="12"/>
    <x v="25"/>
    <m/>
    <x v="0"/>
    <x v="12"/>
    <x v="25"/>
    <x v="155"/>
    <m/>
    <s v="VALIDAR AJUSTE"/>
  </r>
  <r>
    <s v="2000000"/>
    <s v="2020000"/>
    <s v="2020500"/>
    <s v="2020503"/>
    <s v="SAIDAS"/>
    <s v="DESPESAS ADMINISTRATIVAS"/>
    <s v="DESPESAS COM MATERIAIS - CONSUMO"/>
    <s v="Material de Informatica"/>
    <x v="0"/>
    <x v="12"/>
    <x v="25"/>
    <m/>
    <x v="0"/>
    <x v="12"/>
    <x v="25"/>
    <x v="156"/>
    <m/>
    <s v="VALIDAR AJUSTE"/>
  </r>
  <r>
    <s v="2000000"/>
    <s v="2020000"/>
    <s v="2020500"/>
    <s v="2020507"/>
    <s v="SAIDAS"/>
    <s v="DESPESAS ADMINISTRATIVAS"/>
    <s v="DESPESAS COM MATERIAIS - CONSUMO"/>
    <s v="Desenvolvimento de Tecnologias"/>
    <x v="0"/>
    <x v="12"/>
    <x v="25"/>
    <m/>
    <x v="0"/>
    <x v="12"/>
    <x v="25"/>
    <x v="157"/>
    <m/>
    <s v="-"/>
  </r>
  <r>
    <s v="2000000"/>
    <s v="2020000"/>
    <s v="2020300"/>
    <s v="2020306"/>
    <s v="SAIDAS"/>
    <s v="DESPESAS ADMINISTRATIVAS"/>
    <s v="DESPESAS COM OCUPAÇAO/UTILIDADES"/>
    <s v="Agua e Esgoto"/>
    <x v="0"/>
    <x v="12"/>
    <x v="26"/>
    <m/>
    <x v="0"/>
    <x v="12"/>
    <x v="26"/>
    <x v="158"/>
    <m/>
    <s v="VALIDAR AJUSTE"/>
  </r>
  <r>
    <s v="2000000"/>
    <s v="2020000"/>
    <s v="2020300"/>
    <s v="2020301"/>
    <s v="SAIDAS"/>
    <s v="DESPESAS ADMINISTRATIVAS"/>
    <s v="DESPESAS COM OCUPAÇAO/UTILIDADES"/>
    <s v="Aluguel"/>
    <x v="0"/>
    <x v="12"/>
    <x v="26"/>
    <m/>
    <x v="0"/>
    <x v="12"/>
    <x v="26"/>
    <x v="159"/>
    <m/>
    <s v="-"/>
  </r>
  <r>
    <s v="2000000"/>
    <s v="2020000"/>
    <s v="2020300"/>
    <s v="2020302"/>
    <s v="SAIDAS"/>
    <s v="DESPESAS ADMINISTRATIVAS"/>
    <s v="DESPESAS COM OCUPAÇAO/UTILIDADES"/>
    <s v="Condominio"/>
    <x v="0"/>
    <x v="12"/>
    <x v="26"/>
    <m/>
    <x v="0"/>
    <x v="12"/>
    <x v="26"/>
    <x v="160"/>
    <m/>
    <s v="VALIDAR AJUSTE"/>
  </r>
  <r>
    <s v="2000000"/>
    <s v="2020000"/>
    <s v="2020300"/>
    <s v="2020305"/>
    <s v="SAIDAS"/>
    <s v="DESPESAS ADMINISTRATIVAS"/>
    <s v="DESPESAS COM OCUPAÇAO/UTILIDADES"/>
    <s v="Energia do Imovel"/>
    <x v="0"/>
    <x v="12"/>
    <x v="26"/>
    <m/>
    <x v="0"/>
    <x v="12"/>
    <x v="26"/>
    <x v="161"/>
    <m/>
    <s v="VALIDAR AJUSTE"/>
  </r>
  <r>
    <s v="2000000"/>
    <s v="2020000"/>
    <s v="2020300"/>
    <s v="2020307"/>
    <s v="SAIDAS"/>
    <s v="DESPESAS ADMINISTRATIVAS"/>
    <s v="DESPESAS COM OCUPAÇAO/UTILIDADES"/>
    <s v="Internet"/>
    <x v="0"/>
    <x v="12"/>
    <x v="26"/>
    <m/>
    <x v="0"/>
    <x v="12"/>
    <x v="26"/>
    <x v="162"/>
    <m/>
    <s v="-"/>
  </r>
  <r>
    <s v="2000000"/>
    <s v="2020000"/>
    <s v="2020300"/>
    <s v="2020311"/>
    <s v="SAIDAS"/>
    <s v="DESPESAS ADMINISTRATIVAS"/>
    <s v="DESPESAS COM OCUPAÇAO/UTILIDADES"/>
    <s v="IPTU"/>
    <x v="0"/>
    <x v="12"/>
    <x v="26"/>
    <m/>
    <x v="0"/>
    <x v="12"/>
    <x v="26"/>
    <x v="163"/>
    <m/>
    <s v="-"/>
  </r>
  <r>
    <s v="2000000"/>
    <s v="2020000"/>
    <s v="2020300"/>
    <s v="2020313"/>
    <s v="SAIDAS"/>
    <s v="DESPESAS ADMINISTRATIVAS"/>
    <s v="DESPESAS COM OCUPAÇAO/UTILIDADES"/>
    <s v="Monitoramento e Vigilancia"/>
    <x v="0"/>
    <x v="12"/>
    <x v="26"/>
    <m/>
    <x v="0"/>
    <x v="12"/>
    <x v="26"/>
    <x v="164"/>
    <m/>
    <s v="VALIDAR AJUSTE"/>
  </r>
  <r>
    <s v="2000000"/>
    <s v="2020000"/>
    <s v="2020300"/>
    <s v="2020308"/>
    <s v="SAIDAS"/>
    <s v="DESPESAS ADMINISTRATIVAS"/>
    <s v="DESPESAS COM OCUPAÇAO/UTILIDADES"/>
    <s v="Segurança/Monitoramento"/>
    <x v="0"/>
    <x v="12"/>
    <x v="26"/>
    <m/>
    <x v="0"/>
    <x v="12"/>
    <x v="26"/>
    <x v="164"/>
    <s v="Consolidar para conta de Monitoramento e Vigilância"/>
    <s v="VALIDAR AJUSTE"/>
  </r>
  <r>
    <s v="2000000"/>
    <s v="2020000"/>
    <s v="2020300"/>
    <s v="2020310"/>
    <s v="SAIDAS"/>
    <s v="DESPESAS ADMINISTRATIVAS"/>
    <s v="DESPESAS COM OCUPAÇAO/UTILIDADES"/>
    <s v="Seguro do Imovel"/>
    <x v="0"/>
    <x v="12"/>
    <x v="26"/>
    <m/>
    <x v="0"/>
    <x v="12"/>
    <x v="26"/>
    <x v="165"/>
    <m/>
    <s v="VALIDAR AJUSTE"/>
  </r>
  <r>
    <s v="2000000"/>
    <s v="2020000"/>
    <s v="2020300"/>
    <s v="2020304"/>
    <s v="SAIDAS"/>
    <s v="DESPESAS ADMINISTRATIVAS"/>
    <s v="DESPESAS COM OCUPAÇAO/UTILIDADES"/>
    <s v="Telefonia Fixa"/>
    <x v="0"/>
    <x v="12"/>
    <x v="26"/>
    <m/>
    <x v="0"/>
    <x v="12"/>
    <x v="26"/>
    <x v="166"/>
    <m/>
    <s v="-"/>
  </r>
  <r>
    <s v="2000000"/>
    <s v="2020000"/>
    <s v="2020300"/>
    <s v="2020303"/>
    <s v="SAIDAS"/>
    <s v="DESPESAS ADMINISTRATIVAS"/>
    <s v="DESPESAS COM OCUPAÇAO/UTILIDADES"/>
    <s v="Telefonia Movel"/>
    <x v="0"/>
    <x v="12"/>
    <x v="26"/>
    <m/>
    <x v="0"/>
    <x v="12"/>
    <x v="26"/>
    <x v="167"/>
    <m/>
    <s v="VALIDAR AJUSTE"/>
  </r>
  <r>
    <s v="2000000"/>
    <s v="2020000"/>
    <s v="2020300"/>
    <s v="2020312"/>
    <s v="SAIDAS"/>
    <s v="DESPESAS ADMINISTRATIVAS"/>
    <s v="DESPESAS COM OCUPAÇAO/UTILIDADES"/>
    <s v="TV por Assinatura"/>
    <x v="0"/>
    <x v="12"/>
    <x v="26"/>
    <m/>
    <x v="0"/>
    <x v="12"/>
    <x v="26"/>
    <x v="168"/>
    <m/>
    <s v="-"/>
  </r>
  <r>
    <s v="2000000"/>
    <s v="2020000"/>
    <s v="2020200"/>
    <s v="2020213"/>
    <s v="SAIDAS"/>
    <s v="DESPESAS ADMINISTRATIVAS"/>
    <s v="DESPESAS COM PESSOAL TERCEIRIZADOS"/>
    <s v="limpeza e conservacao"/>
    <x v="0"/>
    <x v="12"/>
    <x v="27"/>
    <m/>
    <x v="0"/>
    <x v="12"/>
    <x v="27"/>
    <x v="169"/>
    <s v="validar lançamentos são os serviços de limpeza? Se sim, sugere-se renomar conta para &quot;serviço...&quot;"/>
    <s v="VALIDAR AJUSTE"/>
  </r>
  <r>
    <s v="2000000"/>
    <s v="2010000"/>
    <s v="2010600"/>
    <s v="2010608"/>
    <s v="SAIDAS"/>
    <s v="SAÍDAS OPERACIONAIS"/>
    <s v="MANUTENÇÕES"/>
    <s v="Manutenção de Máquinas e Equipamentos"/>
    <x v="0"/>
    <x v="12"/>
    <x v="27"/>
    <m/>
    <x v="0"/>
    <x v="12"/>
    <x v="27"/>
    <x v="170"/>
    <m/>
    <s v="-"/>
  </r>
  <r>
    <s v="2000000"/>
    <s v="2020000"/>
    <s v="2020600"/>
    <s v="2020601"/>
    <s v="SAIDAS"/>
    <s v="DESPESAS ADMINISTRATIVAS"/>
    <s v="MANUTENÇÕES DO IMOVEL"/>
    <s v="Manutencao de Moveis e Utensilios"/>
    <x v="0"/>
    <x v="12"/>
    <x v="27"/>
    <m/>
    <x v="0"/>
    <x v="12"/>
    <x v="27"/>
    <x v="171"/>
    <m/>
    <s v="VALIDAR AJUSTE"/>
  </r>
  <r>
    <s v="2000000"/>
    <s v="2020000"/>
    <s v="2020600"/>
    <s v="2020604"/>
    <s v="SAIDAS"/>
    <s v="DESPESAS ADMINISTRATIVAS"/>
    <s v="MANUTENÇÕES DO IMOVEL"/>
    <s v="Manutencao Predial"/>
    <x v="0"/>
    <x v="12"/>
    <x v="27"/>
    <m/>
    <x v="0"/>
    <x v="12"/>
    <x v="27"/>
    <x v="172"/>
    <m/>
    <s v="VALIDAR AJUSTE"/>
  </r>
  <r>
    <s v="2000000"/>
    <s v="2020000"/>
    <s v="2020500"/>
    <s v="2020505"/>
    <s v="SAIDAS"/>
    <s v="DESPESAS ADMINISTRATIVAS"/>
    <s v="DESPESAS COM MATERIAIS - CONSUMO"/>
    <s v="Material de Limpeza"/>
    <x v="0"/>
    <x v="12"/>
    <x v="27"/>
    <m/>
    <x v="0"/>
    <x v="12"/>
    <x v="27"/>
    <x v="173"/>
    <m/>
    <s v="-"/>
  </r>
  <r>
    <s v="2000000"/>
    <s v="2010000"/>
    <s v="2010600"/>
    <s v="2010606"/>
    <s v="SAIDAS"/>
    <s v="SAÍDAS OPERACIONAIS"/>
    <s v="MANUTENÇÕES"/>
    <s v="Manutenção de Ferramentas"/>
    <x v="0"/>
    <x v="12"/>
    <x v="27"/>
    <m/>
    <x v="0"/>
    <x v="12"/>
    <x v="27"/>
    <x v="174"/>
    <m/>
    <s v="-"/>
  </r>
  <r>
    <s v="2000000"/>
    <s v="2020000"/>
    <s v="2020600"/>
    <s v="2020603"/>
    <s v="SAIDAS"/>
    <s v="DESPESAS ADMINISTRATIVAS"/>
    <s v="MANUTENÇÕES DO IMOVEL"/>
    <s v="ART Imóveis"/>
    <x v="0"/>
    <x v="12"/>
    <x v="27"/>
    <m/>
    <x v="0"/>
    <x v="12"/>
    <x v="27"/>
    <x v="175"/>
    <m/>
    <s v="-"/>
  </r>
  <r>
    <s v="2000000"/>
    <s v="2020000"/>
    <s v="2020500"/>
    <s v="2020502"/>
    <s v="SAIDAS"/>
    <s v="DESPESAS ADMINISTRATIVAS"/>
    <s v="DESPESAS COM MATERIAIS - CONSUMO"/>
    <s v="Material de Copa/Cozinha"/>
    <x v="0"/>
    <x v="12"/>
    <x v="28"/>
    <m/>
    <x v="0"/>
    <x v="12"/>
    <x v="28"/>
    <x v="176"/>
    <m/>
    <s v="-"/>
  </r>
  <r>
    <s v="2000000"/>
    <s v="2020000"/>
    <s v="2020500"/>
    <s v="2020501"/>
    <s v="SAIDAS"/>
    <s v="DESPESAS ADMINISTRATIVAS"/>
    <s v="DESPESAS COM MATERIAIS - CONSUMO"/>
    <s v="Material de Escritorio"/>
    <x v="0"/>
    <x v="12"/>
    <x v="28"/>
    <m/>
    <x v="0"/>
    <x v="12"/>
    <x v="28"/>
    <x v="177"/>
    <m/>
    <s v="VALIDAR AJUSTE"/>
  </r>
  <r>
    <s v="2000000"/>
    <s v="2010000"/>
    <s v="2010700"/>
    <s v="2010701"/>
    <s v="SAIDAS"/>
    <s v="SAÍDAS OPERACIONAIS"/>
    <s v="FERRAMENTAS E ACESSORIOS DE OPERACAO"/>
    <s v="Ferramentas para Operacao"/>
    <x v="0"/>
    <x v="12"/>
    <x v="28"/>
    <m/>
    <x v="0"/>
    <x v="12"/>
    <x v="28"/>
    <x v="178"/>
    <m/>
    <s v="VALIDAR AJUSTE"/>
  </r>
  <r>
    <s v="2000000"/>
    <s v="2020000"/>
    <s v="2020700"/>
    <s v="2020715"/>
    <s v="SAIDAS"/>
    <s v="DESPESAS ADMINISTRATIVAS"/>
    <s v="DESPESAS GERAIS"/>
    <s v="Estacionamento"/>
    <x v="0"/>
    <x v="12"/>
    <x v="29"/>
    <m/>
    <x v="0"/>
    <x v="12"/>
    <x v="29"/>
    <x v="179"/>
    <m/>
    <s v="-"/>
  </r>
  <r>
    <s v="2000000"/>
    <s v="2020000"/>
    <s v="2020400"/>
    <s v="2020403"/>
    <s v="SAIDAS"/>
    <s v="DESPESAS ADMINISTRATIVAS"/>
    <s v="DESPESAS COM VEICULOS"/>
    <s v="IPVA/Licenciamento/DPVAT/Infraero"/>
    <x v="0"/>
    <x v="12"/>
    <x v="29"/>
    <m/>
    <x v="0"/>
    <x v="12"/>
    <x v="29"/>
    <x v="180"/>
    <m/>
    <s v="-"/>
  </r>
  <r>
    <s v="2000000"/>
    <s v="2020000"/>
    <s v="2020400"/>
    <s v="2020402"/>
    <s v="SAIDAS"/>
    <s v="DESPESAS ADMINISTRATIVAS"/>
    <s v="DESPESAS COM VEICULOS"/>
    <s v="Manutencao de Veiculos"/>
    <x v="0"/>
    <x v="12"/>
    <x v="29"/>
    <m/>
    <x v="0"/>
    <x v="12"/>
    <x v="29"/>
    <x v="181"/>
    <m/>
    <s v="VALIDAR AJUSTE"/>
  </r>
  <r>
    <s v="2000000"/>
    <s v="2020000"/>
    <s v="2020400"/>
    <s v="2020404"/>
    <s v="SAIDAS"/>
    <s v="DESPESAS ADMINISTRATIVAS"/>
    <s v="DESPESAS COM VEICULOS"/>
    <s v="Multas de Transito"/>
    <x v="0"/>
    <x v="12"/>
    <x v="29"/>
    <m/>
    <x v="0"/>
    <x v="12"/>
    <x v="29"/>
    <x v="182"/>
    <m/>
    <s v="VALIDAR AJUSTE"/>
  </r>
  <r>
    <s v="2000000"/>
    <s v="2020000"/>
    <s v="2020400"/>
    <s v="2020408"/>
    <s v="SAIDAS"/>
    <s v="DESPESAS ADMINISTRATIVAS"/>
    <s v="DESPESAS COM VEICULOS"/>
    <s v="Pedagio"/>
    <x v="0"/>
    <x v="12"/>
    <x v="29"/>
    <m/>
    <x v="0"/>
    <x v="12"/>
    <x v="29"/>
    <x v="183"/>
    <m/>
    <s v="VALIDAR AJUSTE"/>
  </r>
  <r>
    <s v="2000000"/>
    <s v="2020000"/>
    <s v="2020400"/>
    <s v="2020405"/>
    <s v="SAIDAS"/>
    <s v="DESPESAS ADMINISTRATIVAS"/>
    <s v="DESPESAS COM VEICULOS"/>
    <s v="Seguros de Veiculos"/>
    <x v="0"/>
    <x v="12"/>
    <x v="29"/>
    <m/>
    <x v="0"/>
    <x v="12"/>
    <x v="29"/>
    <x v="184"/>
    <m/>
    <s v="VALIDAR AJUSTE"/>
  </r>
  <r>
    <s v="2000000"/>
    <s v="2020000"/>
    <s v="2020400"/>
    <s v="2020407"/>
    <s v="SAIDAS"/>
    <s v="DESPESAS ADMINISTRATIVAS"/>
    <s v="DESPESAS COM VEICULOS"/>
    <s v="Rastreador de Veículos"/>
    <x v="0"/>
    <x v="12"/>
    <x v="29"/>
    <m/>
    <x v="0"/>
    <x v="12"/>
    <x v="29"/>
    <x v="185"/>
    <m/>
    <s v="-"/>
  </r>
  <r>
    <s v="2000000"/>
    <s v="2020000"/>
    <s v="2020400"/>
    <s v="2020410"/>
    <s v="SAIDAS"/>
    <s v="DESPESAS ADMINISTRATIVAS"/>
    <s v="DESPESAS COM VEICULOS"/>
    <s v="Transformação de Veículo"/>
    <x v="0"/>
    <x v="12"/>
    <x v="29"/>
    <m/>
    <x v="0"/>
    <x v="12"/>
    <x v="29"/>
    <x v="186"/>
    <m/>
    <s v="-"/>
  </r>
  <r>
    <s v="2000000"/>
    <s v="2020000"/>
    <s v="2020400"/>
    <s v="2020411"/>
    <s v="SAIDAS"/>
    <s v="DESPESAS ADMINISTRATIVAS"/>
    <s v="DESPESAS COM VEICULOS"/>
    <s v="Lavgem Veículo"/>
    <x v="0"/>
    <x v="12"/>
    <x v="29"/>
    <m/>
    <x v="0"/>
    <x v="12"/>
    <x v="29"/>
    <x v="187"/>
    <m/>
    <s v="VALIDAR AJUSTE"/>
  </r>
  <r>
    <s v="2000000"/>
    <s v="2020000"/>
    <s v="2020400"/>
    <s v="2020412"/>
    <s v="SAIDAS"/>
    <s v="DESPESAS ADMINISTRATIVAS"/>
    <s v="DESPESAS COM VEICULOS"/>
    <s v="Despachante de Veículos"/>
    <x v="0"/>
    <x v="12"/>
    <x v="29"/>
    <m/>
    <x v="0"/>
    <x v="12"/>
    <x v="29"/>
    <x v="188"/>
    <m/>
    <s v="-"/>
  </r>
  <r>
    <s v="2000000"/>
    <s v="2020000"/>
    <s v="2020700"/>
    <s v="2020712"/>
    <s v="SAIDAS"/>
    <s v="DESPESAS ADMINISTRATIVAS"/>
    <s v="DESPESAS GERAIS"/>
    <s v="Associações/Orgão regulamentadores"/>
    <x v="0"/>
    <x v="12"/>
    <x v="30"/>
    <m/>
    <x v="0"/>
    <x v="12"/>
    <x v="30"/>
    <x v="189"/>
    <m/>
    <s v="VALIDAR AJUSTE"/>
  </r>
  <r>
    <s v="2000000"/>
    <s v="2020000"/>
    <s v="2020700"/>
    <s v="2020710"/>
    <s v="SAIDAS"/>
    <s v="DESPESAS ADMINISTRATIVAS"/>
    <s v="DESPESAS GERAIS"/>
    <s v="Cartório"/>
    <x v="0"/>
    <x v="12"/>
    <x v="30"/>
    <m/>
    <x v="0"/>
    <x v="12"/>
    <x v="30"/>
    <x v="190"/>
    <m/>
    <s v="-"/>
  </r>
  <r>
    <s v="2000000"/>
    <s v="2020000"/>
    <s v="2020700"/>
    <s v="2020705"/>
    <s v="SAIDAS"/>
    <s v="DESPESAS ADMINISTRATIVAS"/>
    <s v="DESPESAS GERAIS"/>
    <s v="Confraternizações e Eventos"/>
    <x v="0"/>
    <x v="12"/>
    <x v="30"/>
    <m/>
    <x v="0"/>
    <x v="12"/>
    <x v="30"/>
    <x v="191"/>
    <m/>
    <s v="-"/>
  </r>
  <r>
    <s v="2000000"/>
    <s v="2020000"/>
    <s v="2020700"/>
    <s v="2020702"/>
    <s v="SAIDAS"/>
    <s v="DESPESAS ADMINISTRATIVAS"/>
    <s v="DESPESAS GERAIS"/>
    <s v="Correios"/>
    <x v="0"/>
    <x v="12"/>
    <x v="30"/>
    <m/>
    <x v="0"/>
    <x v="12"/>
    <x v="30"/>
    <x v="192"/>
    <m/>
    <s v="-"/>
  </r>
  <r>
    <s v="2000000"/>
    <s v="2020000"/>
    <s v="2020700"/>
    <s v="2020707"/>
    <s v="SAIDAS"/>
    <s v="DESPESAS ADMINISTRATIVAS"/>
    <s v="DESPESAS GERAIS"/>
    <s v="Gráfica"/>
    <x v="0"/>
    <x v="12"/>
    <x v="30"/>
    <m/>
    <x v="0"/>
    <x v="12"/>
    <x v="30"/>
    <x v="193"/>
    <m/>
    <s v="-"/>
  </r>
  <r>
    <s v="2000000"/>
    <s v="2020000"/>
    <s v="2020700"/>
    <s v="2020701"/>
    <s v="SAIDAS"/>
    <s v="DESPESAS ADMINISTRATIVAS"/>
    <s v="DESPESAS GERAIS"/>
    <s v="Brindes"/>
    <x v="0"/>
    <x v="12"/>
    <x v="30"/>
    <m/>
    <x v="0"/>
    <x v="12"/>
    <x v="30"/>
    <x v="194"/>
    <m/>
    <s v="-"/>
  </r>
  <r>
    <s v="2000000"/>
    <s v="2020000"/>
    <s v="2020700"/>
    <s v="2020704"/>
    <s v="SAIDAS"/>
    <s v="DESPESAS ADMINISTRATIVAS"/>
    <s v="DESPESAS GERAIS"/>
    <s v="Ass. Jornais/Revistas"/>
    <x v="0"/>
    <x v="12"/>
    <x v="30"/>
    <m/>
    <x v="0"/>
    <x v="12"/>
    <x v="30"/>
    <x v="195"/>
    <m/>
    <s v="-"/>
  </r>
  <r>
    <s v="2000000"/>
    <s v="2020000"/>
    <s v="2020700"/>
    <s v="2020706"/>
    <s v="SAIDAS"/>
    <s v="DESPESAS ADMINISTRATIVAS"/>
    <s v="DESPESAS GERAIS"/>
    <s v="Despesas com Licitações"/>
    <x v="0"/>
    <x v="12"/>
    <x v="30"/>
    <m/>
    <x v="0"/>
    <x v="12"/>
    <x v="30"/>
    <x v="196"/>
    <m/>
    <s v="-"/>
  </r>
  <r>
    <s v="2000000"/>
    <s v="2020000"/>
    <s v="2020700"/>
    <s v="2020709"/>
    <s v="SAIDAS"/>
    <s v="DESPESAS ADMINISTRATIVAS"/>
    <s v="DESPESAS GERAIS"/>
    <s v="Pesquisas"/>
    <x v="0"/>
    <x v="12"/>
    <x v="30"/>
    <m/>
    <x v="0"/>
    <x v="12"/>
    <x v="30"/>
    <x v="197"/>
    <m/>
    <s v="-"/>
  </r>
  <r>
    <s v="2000000"/>
    <s v="2020000"/>
    <s v="2020700"/>
    <s v="2020713"/>
    <s v="SAIDAS"/>
    <s v="DESPESAS ADMINISTRATIVAS"/>
    <s v="DESPESAS GERAIS"/>
    <s v="Doações"/>
    <x v="0"/>
    <x v="12"/>
    <x v="30"/>
    <m/>
    <x v="0"/>
    <x v="12"/>
    <x v="30"/>
    <x v="198"/>
    <m/>
    <s v="-"/>
  </r>
  <r>
    <s v="2000000"/>
    <s v="2020000"/>
    <s v="2020700"/>
    <s v="2020719"/>
    <s v="SAIDAS"/>
    <s v="DESPESAS ADMINISTRATIVAS"/>
    <s v="DESPESAS GERAIS"/>
    <s v="Armazenamento de Bens"/>
    <x v="0"/>
    <x v="12"/>
    <x v="30"/>
    <m/>
    <x v="0"/>
    <x v="12"/>
    <x v="30"/>
    <x v="199"/>
    <m/>
    <s v="-"/>
  </r>
  <r>
    <s v="2000000"/>
    <s v="2020000"/>
    <s v="2020700"/>
    <s v="2020722"/>
    <s v="SAIDAS"/>
    <s v="DESPESAS ADMINISTRATIVAS"/>
    <s v="DESPESAS GERAIS"/>
    <s v="Despesas com Devoluções"/>
    <x v="0"/>
    <x v="12"/>
    <x v="30"/>
    <m/>
    <x v="0"/>
    <x v="12"/>
    <x v="30"/>
    <x v="200"/>
    <m/>
    <s v="-"/>
  </r>
  <r>
    <s v="2000000"/>
    <s v="2020000"/>
    <s v="2021000"/>
    <s v="2021002"/>
    <s v="SAIDAS"/>
    <s v="DESPESAS ADMINISTRATIVAS"/>
    <s v="IMPOSTOS/TAXAS"/>
    <s v="Junta Comercial"/>
    <x v="0"/>
    <x v="12"/>
    <x v="31"/>
    <m/>
    <x v="0"/>
    <x v="12"/>
    <x v="31"/>
    <x v="201"/>
    <m/>
    <s v="-"/>
  </r>
  <r>
    <s v="2000000"/>
    <s v="2020000"/>
    <s v="2020300"/>
    <s v="2020309"/>
    <s v="SAIDAS"/>
    <s v="DESPESAS ADMINISTRATIVAS"/>
    <s v="DESPESAS COM OCUPAÇAO/UTILIDADES"/>
    <s v="Licenças/ Alvarás - Ocupação"/>
    <x v="0"/>
    <x v="12"/>
    <x v="31"/>
    <m/>
    <x v="0"/>
    <x v="12"/>
    <x v="31"/>
    <x v="202"/>
    <m/>
    <s v="VALIDAR AJUSTE"/>
  </r>
  <r>
    <s v="2000000"/>
    <s v="2020000"/>
    <s v="2021000"/>
    <s v="2021005"/>
    <s v="SAIDAS"/>
    <s v="DESPESAS ADMINISTRATIVAS"/>
    <s v="IMPOSTOS/TAXAS"/>
    <s v="Taxas - Ocupação"/>
    <x v="0"/>
    <x v="12"/>
    <x v="31"/>
    <m/>
    <x v="0"/>
    <x v="12"/>
    <x v="31"/>
    <x v="203"/>
    <m/>
    <s v="-"/>
  </r>
  <r>
    <s v="2000000"/>
    <s v="2020000"/>
    <s v="2020600"/>
    <s v="2020602"/>
    <s v="SAIDAS"/>
    <s v="DESPESAS ADMINISTRATIVAS"/>
    <s v="MANUTENÇÕES DO IMOVEL"/>
    <s v="ITR - Imposto Territorial Rural"/>
    <x v="0"/>
    <x v="12"/>
    <x v="31"/>
    <m/>
    <x v="0"/>
    <x v="12"/>
    <x v="31"/>
    <x v="204"/>
    <m/>
    <s v="-"/>
  </r>
  <r>
    <s v="2000000"/>
    <s v="2020000"/>
    <s v="2021000"/>
    <s v="2021003"/>
    <s v="SAIDAS"/>
    <s v="DESPESAS ADMINISTRATIVAS"/>
    <s v="IMPOSTOS/TAXAS"/>
    <s v="SEFAZ"/>
    <x v="0"/>
    <x v="12"/>
    <x v="31"/>
    <m/>
    <x v="0"/>
    <x v="12"/>
    <x v="31"/>
    <x v="205"/>
    <m/>
    <s v="-"/>
  </r>
  <r>
    <s v="2000000"/>
    <s v="2030000"/>
    <s v="2030100"/>
    <s v="2030103"/>
    <s v="SAIDAS"/>
    <s v="SAÍDAS NAO OPERACIONAIS"/>
    <s v="DESPESAS FINANCEIRAS"/>
    <s v="Despesas Bancárias"/>
    <x v="0"/>
    <x v="12"/>
    <x v="32"/>
    <m/>
    <x v="0"/>
    <x v="12"/>
    <x v="32"/>
    <x v="206"/>
    <m/>
    <s v="-"/>
  </r>
  <r>
    <s v="1000000"/>
    <s v="1020000"/>
    <s v="1020100"/>
    <s v="1020102"/>
    <s v="ENTRADAS"/>
    <s v="OUTRAS RECEITAS"/>
    <s v="RECEITAS FINANCEIRAS"/>
    <s v="Recuperação de Despesas Bancárias"/>
    <x v="0"/>
    <x v="12"/>
    <x v="32"/>
    <m/>
    <x v="0"/>
    <x v="12"/>
    <x v="32"/>
    <x v="207"/>
    <m/>
    <s v="-"/>
  </r>
  <r>
    <s v="2000000"/>
    <s v="2030000"/>
    <s v="2030100"/>
    <s v="2030102"/>
    <s v="SAIDAS"/>
    <s v="SAÍDAS NAO OPERACIONAIS"/>
    <s v="DESPESAS FINANCEIRAS"/>
    <s v="TED/DOC"/>
    <x v="0"/>
    <x v="12"/>
    <x v="32"/>
    <m/>
    <x v="0"/>
    <x v="12"/>
    <x v="32"/>
    <x v="208"/>
    <m/>
    <s v="-"/>
  </r>
  <r>
    <s v="2000000"/>
    <s v="2030000"/>
    <s v="2030100"/>
    <s v="2030109"/>
    <s v="SAIDAS"/>
    <s v="SAÍDAS NAO OPERACIONAIS"/>
    <s v="DESPESAS FINANCEIRAS"/>
    <s v="Tarifa Cartão de Crédito/Débito"/>
    <x v="0"/>
    <x v="12"/>
    <x v="32"/>
    <m/>
    <x v="0"/>
    <x v="12"/>
    <x v="32"/>
    <x v="209"/>
    <m/>
    <s v="-"/>
  </r>
  <r>
    <s v="2000000"/>
    <s v="2030000"/>
    <s v="2030100"/>
    <s v="2030110"/>
    <s v="SAIDAS"/>
    <s v="SAÍDAS NAO OPERACIONAIS"/>
    <s v="DESPESAS FINANCEIRAS"/>
    <s v="Aluguel Máquina de Cartão"/>
    <x v="0"/>
    <x v="12"/>
    <x v="32"/>
    <m/>
    <x v="0"/>
    <x v="12"/>
    <x v="32"/>
    <x v="210"/>
    <m/>
    <s v="-"/>
  </r>
  <r>
    <s v="2000000"/>
    <s v="2020000"/>
    <s v="2020700"/>
    <s v="2020711"/>
    <s v="SAIDAS"/>
    <s v="DESPESAS ADMINISTRATIVAS"/>
    <s v="DESPESAS GERAIS"/>
    <s v="Custas Processuais"/>
    <x v="0"/>
    <x v="13"/>
    <x v="33"/>
    <m/>
    <x v="0"/>
    <x v="13"/>
    <x v="33"/>
    <x v="211"/>
    <m/>
    <s v="-"/>
  </r>
  <r>
    <s v="2000000"/>
    <s v="2020000"/>
    <s v="2020100"/>
    <s v="2020121"/>
    <s v="SAIDAS"/>
    <s v="DESPESAS ADMINISTRATIVAS"/>
    <s v="DESPESAS COM PESSOAL"/>
    <s v="Indenizaçao e Despesas Trabalhistas"/>
    <x v="0"/>
    <x v="13"/>
    <x v="33"/>
    <m/>
    <x v="0"/>
    <x v="13"/>
    <x v="33"/>
    <x v="212"/>
    <m/>
    <s v="VALIDAR AJUSTE"/>
  </r>
  <r>
    <s v="1000000"/>
    <s v="1020000"/>
    <s v="1020200"/>
    <s v="1020212"/>
    <s v="ENTRADAS"/>
    <s v="OUTRAS RECEITAS"/>
    <s v="RECEITAS DIVERSAS"/>
    <s v="Devolução Depósito Judicial"/>
    <x v="0"/>
    <x v="13"/>
    <x v="33"/>
    <m/>
    <x v="0"/>
    <x v="13"/>
    <x v="33"/>
    <x v="213"/>
    <m/>
    <s v="-"/>
  </r>
  <r>
    <s v="2000000"/>
    <s v="2020000"/>
    <s v="2020700"/>
    <s v="2020717"/>
    <s v="SAIDAS"/>
    <s v="DESPESAS ADMINISTRATIVAS"/>
    <s v="DESPESAS GERAIS"/>
    <s v="Bloqueio Judicial"/>
    <x v="0"/>
    <x v="13"/>
    <x v="33"/>
    <m/>
    <x v="0"/>
    <x v="13"/>
    <x v="33"/>
    <x v="214"/>
    <m/>
    <s v="-"/>
  </r>
  <r>
    <s v="2000000"/>
    <s v="2020000"/>
    <s v="2020700"/>
    <s v="2020718"/>
    <s v="SAIDAS"/>
    <s v="DESPESAS ADMINISTRATIVAS"/>
    <s v="DESPESAS GERAIS"/>
    <s v="Depósito Judicial"/>
    <x v="0"/>
    <x v="13"/>
    <x v="33"/>
    <m/>
    <x v="0"/>
    <x v="13"/>
    <x v="33"/>
    <x v="215"/>
    <m/>
    <s v="-"/>
  </r>
  <r>
    <s v="2000000"/>
    <s v="2020000"/>
    <s v="2020100"/>
    <s v="2020115"/>
    <s v="SAIDAS"/>
    <s v="DESPESAS ADMINISTRATIVAS"/>
    <s v="DESPESAS COM PESSOAL"/>
    <s v="Participaçao no Resultado"/>
    <x v="0"/>
    <x v="13"/>
    <x v="34"/>
    <m/>
    <x v="0"/>
    <x v="13"/>
    <x v="34"/>
    <x v="216"/>
    <m/>
    <s v="VALIDAR AJUSTE"/>
  </r>
  <r>
    <s v="1000000"/>
    <s v="1020000"/>
    <s v="1020200"/>
    <s v="1020210"/>
    <s v="ENTRADAS"/>
    <s v="OUTRAS RECEITAS"/>
    <s v="RECEITAS DIVERSAS"/>
    <s v="Venda Sucata/Residuos"/>
    <x v="0"/>
    <x v="13"/>
    <x v="35"/>
    <m/>
    <x v="0"/>
    <x v="13"/>
    <x v="35"/>
    <x v="217"/>
    <m/>
    <s v="VALIDAR AJUSTE"/>
  </r>
  <r>
    <s v="2000000"/>
    <s v="2020000"/>
    <s v="2020900"/>
    <s v="2020901"/>
    <s v="SAIDAS"/>
    <s v="DESPESAS ADMINISTRATIVAS"/>
    <s v="TRIBUTOS SOBRE LUCRO"/>
    <s v="IRPJ - Imposto Renda Pessoa Jurídica"/>
    <x v="0"/>
    <x v="14"/>
    <x v="36"/>
    <s v="1.70.01.01"/>
    <x v="0"/>
    <x v="14"/>
    <x v="36"/>
    <x v="218"/>
    <m/>
    <s v="-"/>
  </r>
  <r>
    <s v="2000000"/>
    <s v="2020000"/>
    <s v="2020900"/>
    <s v="2020902"/>
    <s v="SAIDAS"/>
    <s v="DESPESAS ADMINISTRATIVAS"/>
    <s v="TRIBUTOS SOBRE LUCRO"/>
    <s v="CSLL - Contrib. Social Lucro Liquido"/>
    <x v="0"/>
    <x v="14"/>
    <x v="36"/>
    <s v="1.70.01.02"/>
    <x v="0"/>
    <x v="14"/>
    <x v="36"/>
    <x v="219"/>
    <m/>
    <s v="VALIDAR AJUSTE"/>
  </r>
  <r>
    <m/>
    <m/>
    <m/>
    <m/>
    <m/>
    <m/>
    <m/>
    <m/>
    <x v="0"/>
    <x v="15"/>
    <x v="37"/>
    <s v="1.75.01.01"/>
    <x v="0"/>
    <x v="15"/>
    <x v="37"/>
    <x v="220"/>
    <m/>
    <s v="VALIDAR AJUSTE"/>
  </r>
  <r>
    <s v="2000000"/>
    <s v="2020000"/>
    <s v="2020200"/>
    <s v="2020206"/>
    <s v="SAIDAS"/>
    <s v="DESPESAS ADMINISTRATIVAS"/>
    <s v="DESPESAS COM PESSOAL TERCEIRIZADOS"/>
    <s v="Adiantamento a Fornecedor"/>
    <x v="0"/>
    <x v="15"/>
    <x v="37"/>
    <s v="1.75.01.02"/>
    <x v="0"/>
    <x v="15"/>
    <x v="37"/>
    <x v="221"/>
    <m/>
    <s v="-"/>
  </r>
  <r>
    <s v="1000000"/>
    <s v="1020000"/>
    <s v="1020200"/>
    <s v="1020204"/>
    <s v="ENTRADAS"/>
    <s v="OUTRAS RECEITAS"/>
    <s v="RECEITAS DIVERSAS"/>
    <s v="Adiantamento de Clientes"/>
    <x v="0"/>
    <x v="15"/>
    <x v="38"/>
    <s v="1.75.05.01"/>
    <x v="0"/>
    <x v="15"/>
    <x v="38"/>
    <x v="222"/>
    <m/>
    <s v="-"/>
  </r>
  <r>
    <m/>
    <m/>
    <m/>
    <m/>
    <m/>
    <m/>
    <m/>
    <m/>
    <x v="0"/>
    <x v="15"/>
    <x v="38"/>
    <s v="1.75.05.02"/>
    <x v="0"/>
    <x v="15"/>
    <x v="38"/>
    <x v="223"/>
    <m/>
    <s v="VALIDAR AJUSTE"/>
  </r>
  <r>
    <m/>
    <m/>
    <m/>
    <m/>
    <m/>
    <m/>
    <m/>
    <m/>
    <x v="1"/>
    <x v="16"/>
    <x v="39"/>
    <s v="2.01.01.01"/>
    <x v="1"/>
    <x v="16"/>
    <x v="39"/>
    <x v="224"/>
    <m/>
    <s v="VALIDAR AJUSTE"/>
  </r>
  <r>
    <m/>
    <m/>
    <m/>
    <m/>
    <m/>
    <m/>
    <m/>
    <m/>
    <x v="1"/>
    <x v="16"/>
    <x v="39"/>
    <s v="2.01.01.02"/>
    <x v="1"/>
    <x v="16"/>
    <x v="39"/>
    <x v="225"/>
    <m/>
    <s v="VALIDAR AJUSTE"/>
  </r>
  <r>
    <m/>
    <m/>
    <m/>
    <m/>
    <m/>
    <m/>
    <m/>
    <m/>
    <x v="1"/>
    <x v="16"/>
    <x v="39"/>
    <s v="2.01.01.03"/>
    <x v="1"/>
    <x v="16"/>
    <x v="39"/>
    <x v="226"/>
    <m/>
    <s v="VALIDAR AJUSTE"/>
  </r>
  <r>
    <s v="1000000"/>
    <s v="1020000"/>
    <s v="1020200"/>
    <s v="1020203"/>
    <s v="ENTRADAS"/>
    <s v="OUTRAS RECEITAS"/>
    <s v="RECEITAS DIVERSAS"/>
    <s v="Venda de Ativo"/>
    <x v="1"/>
    <x v="16"/>
    <x v="39"/>
    <s v="2.01.01.04"/>
    <x v="1"/>
    <x v="16"/>
    <x v="39"/>
    <x v="227"/>
    <m/>
    <s v="VALIDAR AJUSTE"/>
  </r>
  <r>
    <m/>
    <m/>
    <m/>
    <m/>
    <m/>
    <m/>
    <m/>
    <m/>
    <x v="1"/>
    <x v="16"/>
    <x v="39"/>
    <s v="2.01.01.05"/>
    <x v="1"/>
    <x v="16"/>
    <x v="39"/>
    <x v="228"/>
    <m/>
    <s v="VALIDAR AJUSTE"/>
  </r>
  <r>
    <s v="2000000"/>
    <s v="2030000"/>
    <s v="2030300"/>
    <s v="2030301"/>
    <s v="SAIDAS"/>
    <s v="SAÍDAS NAO OPERACIONAIS"/>
    <s v="AQUISIÇÕES"/>
    <s v="Aquisicao de Moveis e Utensilios"/>
    <x v="1"/>
    <x v="16"/>
    <x v="39"/>
    <s v="2.01.01.10"/>
    <x v="1"/>
    <x v="16"/>
    <x v="39"/>
    <x v="229"/>
    <m/>
    <s v="VALIDAR AJUSTE"/>
  </r>
  <r>
    <s v="2000000"/>
    <s v="2030000"/>
    <s v="2030300"/>
    <s v="2030303"/>
    <s v="SAIDAS"/>
    <s v="SAÍDAS NAO OPERACIONAIS"/>
    <s v="AQUISIÇÕES"/>
    <s v="Aquisicao de Veiculos"/>
    <x v="1"/>
    <x v="16"/>
    <x v="39"/>
    <s v="2.01.01.11"/>
    <x v="1"/>
    <x v="16"/>
    <x v="39"/>
    <x v="230"/>
    <m/>
    <s v="VALIDAR AJUSTE"/>
  </r>
  <r>
    <s v="2000000"/>
    <s v="2030000"/>
    <s v="2030300"/>
    <s v="2030309"/>
    <s v="SAIDAS"/>
    <s v="SAÍDAS NAO OPERACIONAIS"/>
    <s v="AQUISIÇÕES"/>
    <s v="Computadores e Periféricos"/>
    <x v="1"/>
    <x v="16"/>
    <x v="39"/>
    <s v="2.01.01.12"/>
    <x v="1"/>
    <x v="16"/>
    <x v="39"/>
    <x v="231"/>
    <m/>
    <s v="VALIDAR AJUSTE"/>
  </r>
  <r>
    <s v="2000000"/>
    <s v="2030000"/>
    <s v="2030300"/>
    <s v="2030302"/>
    <s v="SAIDAS"/>
    <s v="SAÍDAS NAO OPERACIONAIS"/>
    <s v="AQUISIÇÕES"/>
    <s v="Aquisicao de Maquinas e Equipamentos"/>
    <x v="1"/>
    <x v="16"/>
    <x v="39"/>
    <s v="2.01.01.13"/>
    <x v="1"/>
    <x v="16"/>
    <x v="39"/>
    <x v="232"/>
    <m/>
    <s v="VALIDAR AJUSTE"/>
  </r>
  <r>
    <s v="2000000"/>
    <s v="2030000"/>
    <s v="2030300"/>
    <s v="2030307"/>
    <s v="SAIDAS"/>
    <s v="SAÍDAS NAO OPERACIONAIS"/>
    <s v="AQUISIÇÕES"/>
    <s v="Imoveis  (terrenos, salas, lotes)"/>
    <x v="1"/>
    <x v="16"/>
    <x v="39"/>
    <s v="2.01.01.14"/>
    <x v="1"/>
    <x v="16"/>
    <x v="39"/>
    <x v="233"/>
    <m/>
    <s v="VALIDAR AJUSTE"/>
  </r>
  <r>
    <s v="2000000"/>
    <s v="2030000"/>
    <s v="2030300"/>
    <s v="2030308"/>
    <s v="SAIDAS"/>
    <s v="SAÍDAS NAO OPERACIONAIS"/>
    <s v="AQUISIÇÕES"/>
    <s v="Estruturas Comerciais (paineis, outdoor)"/>
    <x v="1"/>
    <x v="16"/>
    <x v="39"/>
    <s v="2.01.01.15"/>
    <x v="1"/>
    <x v="16"/>
    <x v="39"/>
    <x v="234"/>
    <m/>
    <s v="VALIDAR AJUSTE"/>
  </r>
  <r>
    <s v="2000000"/>
    <s v="2030000"/>
    <s v="2030300"/>
    <s v="2030305"/>
    <s v="SAIDAS"/>
    <s v="SAÍDAS NAO OPERACIONAIS"/>
    <s v="AQUISIÇÕES"/>
    <s v="Leasing"/>
    <x v="1"/>
    <x v="16"/>
    <x v="39"/>
    <s v="2.01.01.20"/>
    <x v="1"/>
    <x v="16"/>
    <x v="39"/>
    <x v="235"/>
    <m/>
    <s v="-"/>
  </r>
  <r>
    <s v="2000000"/>
    <s v="2030000"/>
    <s v="2030300"/>
    <s v="2030304"/>
    <s v="SAIDAS"/>
    <s v="SAÍDAS NAO OPERACIONAIS"/>
    <s v="AQUISIÇÕES"/>
    <s v="Consorcios"/>
    <x v="1"/>
    <x v="16"/>
    <x v="39"/>
    <s v="2.01.01.21"/>
    <x v="1"/>
    <x v="16"/>
    <x v="39"/>
    <x v="236"/>
    <m/>
    <s v="VALIDAR AJUSTE"/>
  </r>
  <r>
    <s v="2000000"/>
    <s v="2030000"/>
    <s v="2030300"/>
    <s v="2030310"/>
    <s v="SAIDAS"/>
    <s v="SAÍDAS NAO OPERACIONAIS"/>
    <s v="AQUISIÇÕES"/>
    <s v="Marcas e Patentes"/>
    <x v="1"/>
    <x v="17"/>
    <x v="40"/>
    <s v="2.05.01.01"/>
    <x v="1"/>
    <x v="17"/>
    <x v="40"/>
    <x v="237"/>
    <m/>
    <s v="-"/>
  </r>
  <r>
    <s v="2000000"/>
    <s v="2030000"/>
    <s v="2030300"/>
    <s v="2030306"/>
    <s v="SAIDAS"/>
    <s v="SAÍDAS NAO OPERACIONAIS"/>
    <s v="AQUISIÇÕES"/>
    <s v="Aquisicao de Software"/>
    <x v="1"/>
    <x v="17"/>
    <x v="40"/>
    <s v="2.05.01.02"/>
    <x v="1"/>
    <x v="17"/>
    <x v="40"/>
    <x v="238"/>
    <m/>
    <s v="VALIDAR AJUSTE"/>
  </r>
  <r>
    <m/>
    <m/>
    <m/>
    <m/>
    <m/>
    <m/>
    <m/>
    <m/>
    <x v="1"/>
    <x v="17"/>
    <x v="40"/>
    <s v="2.05.01.03"/>
    <x v="1"/>
    <x v="17"/>
    <x v="40"/>
    <x v="239"/>
    <m/>
    <s v="VALIDAR AJUSTE"/>
  </r>
  <r>
    <s v="2000000"/>
    <s v="2030000"/>
    <s v="2030400"/>
    <s v="2030402"/>
    <s v="SAIDAS"/>
    <s v="SAÍDAS NAO OPERACIONAIS"/>
    <s v="BENFEITORIAS"/>
    <s v="Benfeitorias em Imóveis Próprios"/>
    <x v="1"/>
    <x v="18"/>
    <x v="41"/>
    <s v="2.10.01.01"/>
    <x v="1"/>
    <x v="18"/>
    <x v="41"/>
    <x v="240"/>
    <m/>
    <s v="-"/>
  </r>
  <r>
    <s v="2000000"/>
    <s v="2030000"/>
    <s v="2030400"/>
    <s v="2030401"/>
    <s v="SAIDAS"/>
    <s v="SAÍDAS NAO OPERACIONAIS"/>
    <s v="BENFEITORIAS"/>
    <s v="Benfeitorias em Imóveis de Terceiros"/>
    <x v="1"/>
    <x v="18"/>
    <x v="41"/>
    <s v="2.10.01.02"/>
    <x v="1"/>
    <x v="18"/>
    <x v="41"/>
    <x v="241"/>
    <s v="Se for apenas benfeitorias, ok. Fluxo de investimentos. Despesas de manutenção, registrar em &quot;manutenção predial&quot;"/>
    <s v="-"/>
  </r>
  <r>
    <s v="2000000"/>
    <s v="2030000"/>
    <s v="2030500"/>
    <s v="2030501"/>
    <s v="SAIDAS"/>
    <s v="SAÍDAS NAO OPERACIONAIS"/>
    <s v="INVESTIMENTOS FINANCEIROS"/>
    <s v="Aplicacao Financeira"/>
    <x v="1"/>
    <x v="19"/>
    <x v="42"/>
    <s v="2.15.01.01"/>
    <x v="1"/>
    <x v="19"/>
    <x v="42"/>
    <x v="242"/>
    <m/>
    <s v="VALIDAR AJUSTE"/>
  </r>
  <r>
    <s v="2000000"/>
    <s v="2030000"/>
    <s v="2030500"/>
    <s v="2030502"/>
    <s v="SAIDAS"/>
    <s v="SAÍDAS NAO OPERACIONAIS"/>
    <s v="INVESTIMENTOS FINANCEIROS"/>
    <s v="Ações"/>
    <x v="1"/>
    <x v="19"/>
    <x v="42"/>
    <s v="2.15.01.02"/>
    <x v="1"/>
    <x v="19"/>
    <x v="42"/>
    <x v="243"/>
    <m/>
    <s v="-"/>
  </r>
  <r>
    <m/>
    <m/>
    <m/>
    <m/>
    <m/>
    <m/>
    <m/>
    <m/>
    <x v="2"/>
    <x v="20"/>
    <x v="43"/>
    <s v="3.01.01.01"/>
    <x v="2"/>
    <x v="20"/>
    <x v="43"/>
    <x v="244"/>
    <m/>
    <s v="VALIDAR AJUSTE"/>
  </r>
  <r>
    <s v="2000000"/>
    <s v="2030000"/>
    <s v="2030200"/>
    <s v="2030202"/>
    <s v="SAIDAS"/>
    <s v="SAÍDAS NAO OPERACIONAIS"/>
    <s v="EMPRESTIMO"/>
    <s v="Pagamento de Empréstimo Bancário"/>
    <x v="2"/>
    <x v="20"/>
    <x v="43"/>
    <s v="3.01.01.02"/>
    <x v="2"/>
    <x v="20"/>
    <x v="43"/>
    <x v="245"/>
    <m/>
    <s v="-"/>
  </r>
  <r>
    <s v="2000000"/>
    <s v="2030000"/>
    <s v="2030200"/>
    <s v="2030203"/>
    <s v="SAIDAS"/>
    <s v="SAÍDAS NAO OPERACIONAIS"/>
    <s v="EMPRESTIMO"/>
    <s v="Pagamento de Financiamento"/>
    <x v="2"/>
    <x v="20"/>
    <x v="44"/>
    <s v="3.01.05.01"/>
    <x v="2"/>
    <x v="20"/>
    <x v="44"/>
    <x v="246"/>
    <m/>
    <s v="-"/>
  </r>
  <r>
    <s v="1000000"/>
    <s v="1020000"/>
    <s v="1020200"/>
    <s v="1020209"/>
    <s v="ENTRADAS"/>
    <s v="OUTRAS RECEITAS"/>
    <s v="RECEITAS DIVERSAS"/>
    <s v="Receita de Empréstimo"/>
    <x v="2"/>
    <x v="20"/>
    <x v="45"/>
    <s v="3.01.10.01"/>
    <x v="2"/>
    <x v="20"/>
    <x v="45"/>
    <x v="247"/>
    <s v="Classificar lançamentos como &quot;empréstimo entre partes relacionadas&quot;, qd for entre as empresas"/>
    <s v="VALIDAR AJUSTE"/>
  </r>
  <r>
    <s v="2000000"/>
    <s v="2030000"/>
    <s v="2030200"/>
    <s v="2030205"/>
    <s v="SAIDAS"/>
    <s v="SAÍDAS NAO OPERACIONAIS"/>
    <s v="EMPRESTIMO"/>
    <s v="Pagamento Emprestimo"/>
    <x v="2"/>
    <x v="20"/>
    <x v="45"/>
    <s v="3.01.10.02"/>
    <x v="2"/>
    <x v="20"/>
    <x v="45"/>
    <x v="248"/>
    <s v="Classificar lançamentos como &quot;empréstimo entre partes relacionadas&quot;, qd for entre as empresas"/>
    <s v="VALIDAR AJUSTE"/>
  </r>
  <r>
    <s v="1000000"/>
    <s v="1020000"/>
    <s v="1020200"/>
    <s v="1020207"/>
    <s v="ENTRADAS"/>
    <s v="OUTRAS RECEITAS"/>
    <s v="RECEITAS DIVERSAS"/>
    <s v="Recebimento de Emprestimo a Terceiros"/>
    <x v="2"/>
    <x v="20"/>
    <x v="46"/>
    <s v="3.01.15.01"/>
    <x v="2"/>
    <x v="20"/>
    <x v="46"/>
    <x v="249"/>
    <m/>
    <s v="VALIDAR AJUSTE"/>
  </r>
  <r>
    <s v="2000000"/>
    <s v="2030000"/>
    <s v="2030200"/>
    <s v="2030204"/>
    <s v="SAIDAS"/>
    <s v="SAÍDAS NAO OPERACIONAIS"/>
    <s v="EMPRESTIMO"/>
    <s v="Emprestimo a Terceiros"/>
    <x v="2"/>
    <x v="20"/>
    <x v="46"/>
    <s v="3.01.15.02"/>
    <x v="2"/>
    <x v="20"/>
    <x v="46"/>
    <x v="250"/>
    <s v="Classificar lançamentos como &quot;empréstimo entre partes relacionadas&quot;, qd for entre as empresas"/>
    <s v="VALIDAR AJUSTE"/>
  </r>
  <r>
    <s v="2000000"/>
    <s v="2020000"/>
    <s v="2021000"/>
    <s v="2021004"/>
    <s v="SAIDAS"/>
    <s v="DESPESAS ADMINISTRATIVAS"/>
    <s v="IMPOSTOS/TAXAS"/>
    <s v="Parcelamentos"/>
    <x v="2"/>
    <x v="21"/>
    <x v="47"/>
    <s v="3.05.01.01"/>
    <x v="2"/>
    <x v="21"/>
    <x v="47"/>
    <x v="251"/>
    <m/>
    <s v="VALIDAR AJUSTE"/>
  </r>
  <r>
    <s v="1000000"/>
    <s v="1020000"/>
    <s v="1020100"/>
    <s v="1020101"/>
    <s v="ENTRADAS"/>
    <s v="OUTRAS RECEITAS"/>
    <s v="RECEITAS FINANCEIRAS"/>
    <s v="Rendimentos sobre Aplicação"/>
    <x v="2"/>
    <x v="22"/>
    <x v="48"/>
    <s v="3.10.01.01"/>
    <x v="2"/>
    <x v="22"/>
    <x v="48"/>
    <x v="252"/>
    <m/>
    <s v="-"/>
  </r>
  <r>
    <s v="1000000"/>
    <s v="1020000"/>
    <s v="1020100"/>
    <s v="1020103"/>
    <s v="ENTRADAS"/>
    <s v="OUTRAS RECEITAS"/>
    <s v="RECEITAS FINANCEIRAS"/>
    <s v="Outras Receitas Financeiras"/>
    <x v="2"/>
    <x v="22"/>
    <x v="48"/>
    <s v="3.10.01.02"/>
    <x v="2"/>
    <x v="22"/>
    <x v="48"/>
    <x v="253"/>
    <s v="Reclassificar lançamentos, pois os lançamentos que estão nessa conta não referem-se à receitas financeiras"/>
    <s v="-"/>
  </r>
  <r>
    <s v="2000000"/>
    <s v="2020000"/>
    <s v="2020800"/>
    <s v="2020804"/>
    <s v="SAIDAS"/>
    <s v="DESPESAS ADMINISTRATIVAS"/>
    <s v="TRIBUTOS SOBRE VENDAS"/>
    <s v="IRRF - Imposto Renda Retido na Fonte"/>
    <x v="2"/>
    <x v="22"/>
    <x v="48"/>
    <s v="3.10.01.03"/>
    <x v="2"/>
    <x v="22"/>
    <x v="48"/>
    <x v="254"/>
    <s v="Reclassificar lançamentos, pois refere-se a IR e IOF sobre aplicação"/>
    <s v="VALIDAR AJUSTE"/>
  </r>
  <r>
    <s v="2000000"/>
    <s v="2030000"/>
    <s v="2030100"/>
    <s v="2030104"/>
    <s v="SAIDAS"/>
    <s v="SAÍDAS NAO OPERACIONAIS"/>
    <s v="DESPESAS FINANCEIRAS"/>
    <s v="Juros sobre Emprestimos"/>
    <x v="2"/>
    <x v="22"/>
    <x v="49"/>
    <s v="3.10.05.01"/>
    <x v="2"/>
    <x v="22"/>
    <x v="49"/>
    <x v="255"/>
    <m/>
    <s v="VALIDAR AJUSTE"/>
  </r>
  <r>
    <s v="2000000"/>
    <s v="2030000"/>
    <s v="2030100"/>
    <s v="2030107"/>
    <s v="SAIDAS"/>
    <s v="SAÍDAS NAO OPERACIONAIS"/>
    <s v="DESPESAS FINANCEIRAS"/>
    <s v="Juros sobre Financiamentos"/>
    <x v="2"/>
    <x v="22"/>
    <x v="49"/>
    <s v="3.10.05.02"/>
    <x v="2"/>
    <x v="22"/>
    <x v="49"/>
    <x v="256"/>
    <m/>
    <s v="-"/>
  </r>
  <r>
    <s v="2000000"/>
    <s v="2030000"/>
    <s v="2030200"/>
    <s v="2030206"/>
    <s v="SAIDAS"/>
    <s v="SAÍDAS NAO OPERACIONAIS"/>
    <s v="EMPRESTIMO"/>
    <s v="Despesas Emprestimos e Financiamentos"/>
    <x v="2"/>
    <x v="22"/>
    <x v="49"/>
    <s v="3.10.05.03"/>
    <x v="2"/>
    <x v="22"/>
    <x v="49"/>
    <x v="257"/>
    <m/>
    <s v="VALIDAR AJUSTE"/>
  </r>
  <r>
    <s v="2000000"/>
    <s v="2030000"/>
    <s v="2030100"/>
    <s v="2030101"/>
    <s v="SAIDAS"/>
    <s v="SAÍDAS NAO OPERACIONAIS"/>
    <s v="DESPESAS FINANCEIRAS"/>
    <s v="IOF"/>
    <x v="2"/>
    <x v="22"/>
    <x v="49"/>
    <s v="3.10.05.04"/>
    <x v="2"/>
    <x v="22"/>
    <x v="49"/>
    <x v="258"/>
    <m/>
    <s v="-"/>
  </r>
  <r>
    <m/>
    <m/>
    <m/>
    <m/>
    <m/>
    <m/>
    <m/>
    <m/>
    <x v="2"/>
    <x v="22"/>
    <x v="50"/>
    <s v="3.10.10.01"/>
    <x v="2"/>
    <x v="22"/>
    <x v="50"/>
    <x v="259"/>
    <m/>
    <s v="VALIDAR AJUSTE"/>
  </r>
  <r>
    <s v="1000000"/>
    <s v="1020000"/>
    <s v="1020200"/>
    <s v="1020201"/>
    <s v="ENTRADAS"/>
    <s v="OUTRAS RECEITAS"/>
    <s v="RECEITAS DIVERSAS"/>
    <s v="Aporte/Integralização de Capital"/>
    <x v="3"/>
    <x v="23"/>
    <x v="51"/>
    <s v="4.01.01.01"/>
    <x v="3"/>
    <x v="23"/>
    <x v="51"/>
    <x v="260"/>
    <m/>
    <s v="-"/>
  </r>
  <r>
    <m/>
    <m/>
    <m/>
    <m/>
    <m/>
    <m/>
    <m/>
    <m/>
    <x v="3"/>
    <x v="23"/>
    <x v="51"/>
    <s v="4.01.01.02"/>
    <x v="3"/>
    <x v="23"/>
    <x v="51"/>
    <x v="261"/>
    <m/>
    <s v="VALIDAR AJUSTE"/>
  </r>
  <r>
    <s v="1000000"/>
    <s v="1020000"/>
    <s v="1020200"/>
    <s v="1020211"/>
    <s v="ENTRADAS"/>
    <s v="OUTRAS RECEITAS"/>
    <s v="RECEITAS DIVERSAS"/>
    <s v="Receb. Distribuição Lucros"/>
    <x v="3"/>
    <x v="24"/>
    <x v="52"/>
    <s v="4.05.01.01"/>
    <x v="3"/>
    <x v="24"/>
    <x v="52"/>
    <x v="262"/>
    <m/>
    <s v="-"/>
  </r>
  <r>
    <s v="2000000"/>
    <s v="2020000"/>
    <s v="2020100"/>
    <s v="2020125"/>
    <s v="SAIDAS"/>
    <s v="DESPESAS ADMINISTRATIVAS"/>
    <s v="DESPESAS COM PESSOAL"/>
    <s v="Pagt Distribuiçao de Lucros"/>
    <x v="3"/>
    <x v="24"/>
    <x v="52"/>
    <s v="4.05.01.02"/>
    <x v="3"/>
    <x v="24"/>
    <x v="52"/>
    <x v="263"/>
    <m/>
    <s v="VALIDAR AJUSTE"/>
  </r>
  <r>
    <s v="1000000"/>
    <s v="1020000"/>
    <s v="1020200"/>
    <s v="1020202"/>
    <s v="ENTRADAS"/>
    <s v="OUTRAS RECEITAS"/>
    <s v="RECEITAS DIVERSAS"/>
    <s v="Emprestimo de Sócios"/>
    <x v="3"/>
    <x v="25"/>
    <x v="53"/>
    <s v="4.10.01.01"/>
    <x v="3"/>
    <x v="25"/>
    <x v="53"/>
    <x v="264"/>
    <m/>
    <s v="VALIDAR AJUSTE"/>
  </r>
  <r>
    <m/>
    <m/>
    <m/>
    <m/>
    <m/>
    <m/>
    <m/>
    <m/>
    <x v="3"/>
    <x v="25"/>
    <x v="53"/>
    <s v="4.10.01.02"/>
    <x v="3"/>
    <x v="25"/>
    <x v="53"/>
    <x v="265"/>
    <m/>
    <s v="VALIDAR AJUSTE"/>
  </r>
  <r>
    <m/>
    <m/>
    <m/>
    <m/>
    <m/>
    <m/>
    <m/>
    <m/>
    <x v="3"/>
    <x v="26"/>
    <x v="54"/>
    <s v="4.15.01.01"/>
    <x v="3"/>
    <x v="26"/>
    <x v="54"/>
    <x v="266"/>
    <m/>
    <s v="VALIDAR AJUSTE"/>
  </r>
  <r>
    <s v="2000000"/>
    <s v="2030000"/>
    <s v="2030200"/>
    <s v="2030201"/>
    <s v="SAIDAS"/>
    <s v="SAÍDAS NAO OPERACIONAIS"/>
    <s v="EMPRESTIMO"/>
    <s v="Pagamento de Mútuo"/>
    <x v="3"/>
    <x v="26"/>
    <x v="54"/>
    <s v="4.15.01.02"/>
    <x v="3"/>
    <x v="26"/>
    <x v="54"/>
    <x v="267"/>
    <m/>
    <s v="VALIDAR AJUSTE"/>
  </r>
  <r>
    <m/>
    <m/>
    <m/>
    <m/>
    <m/>
    <m/>
    <m/>
    <m/>
    <x v="4"/>
    <x v="27"/>
    <x v="55"/>
    <s v="5.01.01.01"/>
    <x v="4"/>
    <x v="27"/>
    <x v="55"/>
    <x v="268"/>
    <m/>
    <s v="VALIDAR AJUSTE"/>
  </r>
  <r>
    <s v="2000000"/>
    <s v="2030000"/>
    <s v="2030100"/>
    <s v="2030106"/>
    <s v="SAIDAS"/>
    <s v="SAÍDAS NAO OPERACIONAIS"/>
    <s v="DESPESAS FINANCEIRAS"/>
    <s v="Debito por Recebimento indevido"/>
    <x v="4"/>
    <x v="27"/>
    <x v="55"/>
    <s v="5.01.01.02"/>
    <x v="4"/>
    <x v="27"/>
    <x v="55"/>
    <x v="269"/>
    <m/>
    <s v="VALIDAR AJUSTE"/>
  </r>
  <r>
    <s v="1000000"/>
    <s v="1020000"/>
    <s v="1020200"/>
    <s v="1020206"/>
    <s v="ENTRADAS"/>
    <s v="OUTRAS RECEITAS"/>
    <s v="RECEITAS DIVERSAS"/>
    <s v="Indevido"/>
    <x v="4"/>
    <x v="27"/>
    <x v="56"/>
    <s v="5.01.05.01"/>
    <x v="4"/>
    <x v="27"/>
    <x v="56"/>
    <x v="270"/>
    <m/>
    <s v="VALIDAR AJUSTE"/>
  </r>
  <r>
    <s v="2000000"/>
    <s v="2030000"/>
    <s v="2030100"/>
    <s v="2030108"/>
    <s v="SAIDAS"/>
    <s v="SAÍDAS NAO OPERACIONAIS"/>
    <s v="DESPESAS FINANCEIRAS"/>
    <s v="Debito Indevido"/>
    <x v="4"/>
    <x v="27"/>
    <x v="56"/>
    <s v="5.01.05.02"/>
    <x v="4"/>
    <x v="27"/>
    <x v="56"/>
    <x v="271"/>
    <m/>
    <s v="VALIDAR AJUSTE"/>
  </r>
  <r>
    <s v="2000000"/>
    <s v="2030000"/>
    <s v="2030600"/>
    <s v="2030600"/>
    <s v="SAIDAS"/>
    <s v="SAÍDAS NAO OPERACIONAIS"/>
    <s v="Controle Permuta Avulsa"/>
    <s v="Controle Permuta Avulsa"/>
    <x v="4"/>
    <x v="27"/>
    <x v="57"/>
    <s v="5.01.10.01"/>
    <x v="4"/>
    <x v="27"/>
    <x v="57"/>
    <x v="272"/>
    <m/>
    <s v="-"/>
  </r>
  <r>
    <s v="1000000"/>
    <s v="1020000"/>
    <s v="1020200"/>
    <s v="1020205"/>
    <s v="ENTRADAS"/>
    <s v="OUTRAS RECEITAS"/>
    <s v="RECEITAS DIVERSAS"/>
    <s v="Receita de Reembolso"/>
    <x v="4"/>
    <x v="27"/>
    <x v="58"/>
    <s v="5.01.15.01"/>
    <x v="4"/>
    <x v="27"/>
    <x v="58"/>
    <x v="273"/>
    <s v="Ajustar lançamentos, alocando no devido grupo do custo/ despesa"/>
    <s v="VALIDAR AJUSTE"/>
  </r>
  <r>
    <m/>
    <m/>
    <m/>
    <m/>
    <m/>
    <m/>
    <m/>
    <m/>
    <x v="4"/>
    <x v="27"/>
    <x v="58"/>
    <s v="5.01.15.02"/>
    <x v="4"/>
    <x v="27"/>
    <x v="58"/>
    <x v="274"/>
    <m/>
    <s v="VALIDAR AJUSTE"/>
  </r>
  <r>
    <s v="9000000"/>
    <s v="9000000"/>
    <s v="9000000"/>
    <s v="9000000"/>
    <s v="Importação de XML"/>
    <s v="Importação de XML"/>
    <s v="Importação de XML"/>
    <s v="Importação de XML"/>
    <x v="5"/>
    <x v="28"/>
    <x v="59"/>
    <m/>
    <x v="5"/>
    <x v="28"/>
    <x v="59"/>
    <x v="275"/>
    <s v="Desconsiderar lançamentos"/>
    <s v="VALIDAR AJUS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DF98D-C3F4-4640-922A-3E91EF286BD4}" name="Tabela dinâmica2" cacheId="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rowHeaderCaption="- ">
  <location ref="A3:A23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 sd="0"/>
      </items>
    </pivotField>
    <pivotField axis="axisRow" showAll="0">
      <items count="26">
        <item sd="0" x="1"/>
        <item sd="0" x="8"/>
        <item sd="0" x="3"/>
        <item sd="0" x="4"/>
        <item sd="0" x="0"/>
        <item sd="0" x="5"/>
        <item sd="0" x="6"/>
        <item sd="0" x="7"/>
        <item sd="0" m="1" x="19"/>
        <item sd="0" m="1" x="20"/>
        <item sd="0" m="1" x="21"/>
        <item sd="0" m="1" x="18"/>
        <item sd="0" x="9"/>
        <item sd="0" m="1" x="23"/>
        <item sd="0" x="10"/>
        <item sd="0" x="17"/>
        <item sd="0" x="11"/>
        <item sd="0" x="12"/>
        <item sd="0" x="2"/>
        <item sd="0" m="1" x="22"/>
        <item sd="0" x="13"/>
        <item sd="0" m="1" x="24"/>
        <item sd="0" x="14"/>
        <item sd="0" x="15"/>
        <item sd="0" x="16"/>
        <item t="default" sd="0"/>
      </items>
    </pivotField>
    <pivotField axis="axisRow" showAll="0">
      <items count="93">
        <item sd="0" x="2"/>
        <item sd="0" m="1" x="85"/>
        <item sd="0" x="49"/>
        <item sd="0" x="50"/>
        <item sd="0" x="11"/>
        <item sd="0" x="32"/>
        <item sd="0" x="33"/>
        <item sd="0" m="1" x="82"/>
        <item sd="0" m="1" x="83"/>
        <item sd="0" x="51"/>
        <item sd="0" m="1" x="75"/>
        <item sd="0" m="1" x="76"/>
        <item sd="0" x="52"/>
        <item sd="0" x="34"/>
        <item sd="0" x="1"/>
        <item sd="0" m="1" x="77"/>
        <item sd="0" m="1" x="78"/>
        <item sd="0" x="43"/>
        <item sd="0" x="3"/>
        <item sd="0" x="15"/>
        <item sd="0" x="6"/>
        <item sd="0" x="0"/>
        <item sd="0" x="53"/>
        <item sd="0" x="12"/>
        <item m="1" x="89"/>
        <item sd="0" x="16"/>
        <item sd="0" x="17"/>
        <item sd="0" m="1" x="84"/>
        <item sd="0" x="23"/>
        <item sd="0" x="24"/>
        <item sd="0" x="8"/>
        <item sd="0" x="35"/>
        <item sd="0" x="18"/>
        <item sd="0" x="4"/>
        <item sd="0" x="5"/>
        <item sd="0" x="42"/>
        <item sd="0" x="44"/>
        <item sd="0" x="36"/>
        <item sd="0" x="45"/>
        <item sd="0" m="1" x="86"/>
        <item sd="0" x="54"/>
        <item m="1" x="81"/>
        <item sd="0" x="46"/>
        <item sd="0" x="29"/>
        <item sd="0" x="30"/>
        <item sd="0" x="19"/>
        <item sd="0" x="20"/>
        <item sd="0" x="21"/>
        <item sd="0" x="37"/>
        <item sd="0" x="38"/>
        <item sd="0" x="25"/>
        <item sd="0" m="1" x="79"/>
        <item sd="0" x="39"/>
        <item sd="0" x="40"/>
        <item sd="0" x="47"/>
        <item sd="0" x="73"/>
        <item sd="0" x="41"/>
        <item sd="0" x="22"/>
        <item sd="0" m="1" x="80"/>
        <item sd="0" x="55"/>
        <item sd="0" m="1" x="87"/>
        <item sd="0" x="9"/>
        <item sd="0" x="71"/>
        <item sd="0" m="1" x="88"/>
        <item sd="0" x="10"/>
        <item sd="0" x="7"/>
        <item sd="0" m="1" x="90"/>
        <item sd="0" x="13"/>
        <item sd="0" x="14"/>
        <item m="1" x="91"/>
        <item x="31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26"/>
        <item x="70"/>
        <item x="72"/>
        <item x="27"/>
        <item x="48"/>
        <item x="74"/>
        <item x="28"/>
        <item t="default" sd="0"/>
      </items>
    </pivotField>
    <pivotField axis="axisRow" showAll="0">
      <items count="136">
        <item x="57"/>
        <item x="47"/>
        <item x="89"/>
        <item x="90"/>
        <item x="29"/>
        <item x="20"/>
        <item x="58"/>
        <item x="72"/>
        <item x="73"/>
        <item x="14"/>
        <item x="17"/>
        <item x="120"/>
        <item x="44"/>
        <item x="45"/>
        <item x="91"/>
        <item x="51"/>
        <item x="52"/>
        <item x="92"/>
        <item x="12"/>
        <item x="74"/>
        <item x="128"/>
        <item x="53"/>
        <item x="54"/>
        <item x="83"/>
        <item x="11"/>
        <item x="13"/>
        <item x="16"/>
        <item x="9"/>
        <item x="111"/>
        <item x="33"/>
        <item x="1"/>
        <item x="2"/>
        <item x="7"/>
        <item x="19"/>
        <item x="122"/>
        <item x="0"/>
        <item x="93"/>
        <item x="129"/>
        <item x="30"/>
        <item x="88"/>
        <item x="34"/>
        <item x="35"/>
        <item x="46"/>
        <item x="41"/>
        <item x="42"/>
        <item x="22"/>
        <item x="6"/>
        <item x="75"/>
        <item x="8"/>
        <item x="3"/>
        <item x="36"/>
        <item x="59"/>
        <item x="60"/>
        <item x="61"/>
        <item x="62"/>
        <item x="63"/>
        <item x="64"/>
        <item x="65"/>
        <item x="66"/>
        <item x="113"/>
        <item x="82"/>
        <item x="10"/>
        <item x="115"/>
        <item x="84"/>
        <item x="76"/>
        <item x="15"/>
        <item x="18"/>
        <item x="117"/>
        <item x="85"/>
        <item x="118"/>
        <item m="1" x="134"/>
        <item x="48"/>
        <item x="94"/>
        <item x="132"/>
        <item x="86"/>
        <item x="67"/>
        <item x="121"/>
        <item x="68"/>
        <item x="37"/>
        <item x="38"/>
        <item x="39"/>
        <item x="77"/>
        <item x="78"/>
        <item x="43"/>
        <item x="55"/>
        <item x="79"/>
        <item x="80"/>
        <item x="130"/>
        <item x="87"/>
        <item x="126"/>
        <item x="4"/>
        <item x="123"/>
        <item x="81"/>
        <item x="40"/>
        <item x="56"/>
        <item x="95"/>
        <item x="49"/>
        <item x="23"/>
        <item x="24"/>
        <item x="25"/>
        <item x="26"/>
        <item x="27"/>
        <item x="69"/>
        <item x="119"/>
        <item x="50"/>
        <item x="28"/>
        <item x="124"/>
        <item x="21"/>
        <item x="127"/>
        <item x="70"/>
        <item x="5"/>
        <item x="131"/>
        <item x="71"/>
        <item x="31"/>
        <item x="32"/>
        <item x="114"/>
        <item x="116"/>
        <item m="1" x="133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25"/>
        <item t="default"/>
      </items>
    </pivotField>
    <pivotField showAll="0"/>
    <pivotField showAll="0"/>
  </pivotFields>
  <rowFields count="4">
    <field x="8"/>
    <field x="9"/>
    <field x="10"/>
    <field x="11"/>
  </rowFields>
  <rowItems count="20">
    <i>
      <x/>
    </i>
    <i r="1">
      <x v="4"/>
    </i>
    <i>
      <x v="1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EB672-5659-476E-B0CD-2CDE8C5EA9B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6" firstHeaderRow="1" firstDataRow="1" firstDataCol="1"/>
  <pivotFields count="12">
    <pivotField showAll="0"/>
    <pivotField showAll="0"/>
    <pivotField showAll="0"/>
    <pivotField axis="axisRow" showAll="0">
      <items count="249">
        <item x="82"/>
        <item x="240"/>
        <item x="189"/>
        <item x="103"/>
        <item x="118"/>
        <item x="13"/>
        <item x="121"/>
        <item x="143"/>
        <item x="67"/>
        <item x="65"/>
        <item x="138"/>
        <item x="56"/>
        <item x="59"/>
        <item x="36"/>
        <item x="55"/>
        <item x="35"/>
        <item x="54"/>
        <item x="156"/>
        <item x="220"/>
        <item x="38"/>
        <item x="181"/>
        <item x="239"/>
        <item x="10"/>
        <item x="228"/>
        <item x="227"/>
        <item x="232"/>
        <item x="229"/>
        <item x="58"/>
        <item x="192"/>
        <item x="39"/>
        <item x="172"/>
        <item x="177"/>
        <item x="128"/>
        <item x="122"/>
        <item x="185"/>
        <item x="120"/>
        <item x="52"/>
        <item x="101"/>
        <item x="111"/>
        <item x="237"/>
        <item x="238"/>
        <item x="190"/>
        <item x="69"/>
        <item x="100"/>
        <item x="174"/>
        <item x="46"/>
        <item x="48"/>
        <item x="135"/>
        <item x="183"/>
        <item x="200"/>
        <item x="151"/>
        <item x="42"/>
        <item x="187"/>
        <item x="104"/>
        <item x="235"/>
        <item x="139"/>
        <item x="178"/>
        <item x="136"/>
        <item x="75"/>
        <item x="230"/>
        <item x="124"/>
        <item x="93"/>
        <item x="243"/>
        <item x="241"/>
        <item x="129"/>
        <item x="175"/>
        <item x="115"/>
        <item x="206"/>
        <item x="92"/>
        <item x="184"/>
        <item x="218"/>
        <item x="216"/>
        <item x="191"/>
        <item x="169"/>
        <item x="162"/>
        <item x="213"/>
        <item x="215"/>
        <item x="195"/>
        <item x="179"/>
        <item x="34"/>
        <item x="74"/>
        <item x="198"/>
        <item x="226"/>
        <item x="110"/>
        <item x="21"/>
        <item x="70"/>
        <item x="193"/>
        <item x="186"/>
        <item x="130"/>
        <item x="224"/>
        <item x="112"/>
        <item m="1" x="246"/>
        <item x="11"/>
        <item x="87"/>
        <item m="1" x="245"/>
        <item x="142"/>
        <item x="40"/>
        <item x="242"/>
        <item x="108"/>
        <item x="188"/>
        <item x="234"/>
        <item x="97"/>
        <item x="66"/>
        <item x="91"/>
        <item x="86"/>
        <item x="80"/>
        <item x="61"/>
        <item x="68"/>
        <item x="33"/>
        <item x="194"/>
        <item x="180"/>
        <item x="201"/>
        <item x="233"/>
        <item x="244"/>
        <item x="26"/>
        <item x="30"/>
        <item x="102"/>
        <item x="15"/>
        <item x="116"/>
        <item x="32"/>
        <item x="144"/>
        <item x="43"/>
        <item x="211"/>
        <item x="148"/>
        <item x="153"/>
        <item x="114"/>
        <item x="90"/>
        <item x="37"/>
        <item x="205"/>
        <item x="202"/>
        <item x="203"/>
        <item x="117"/>
        <item x="171"/>
        <item x="207"/>
        <item x="214"/>
        <item x="217"/>
        <item x="49"/>
        <item x="161"/>
        <item x="231"/>
        <item x="126"/>
        <item x="146"/>
        <item x="125"/>
        <item x="28"/>
        <item x="78"/>
        <item x="77"/>
        <item x="79"/>
        <item x="170"/>
        <item x="113"/>
        <item x="72"/>
        <item x="152"/>
        <item x="73"/>
        <item x="76"/>
        <item x="173"/>
        <item x="236"/>
        <item x="57"/>
        <item x="22"/>
        <item x="53"/>
        <item x="164"/>
        <item x="163"/>
        <item x="44"/>
        <item x="165"/>
        <item x="167"/>
        <item x="166"/>
        <item x="27"/>
        <item x="168"/>
        <item x="23"/>
        <item x="41"/>
        <item x="109"/>
        <item x="150"/>
        <item x="123"/>
        <item x="159"/>
        <item x="47"/>
        <item x="154"/>
        <item x="137"/>
        <item x="62"/>
        <item x="9"/>
        <item x="222"/>
        <item x="223"/>
        <item x="221"/>
        <item x="196"/>
        <item x="225"/>
        <item x="106"/>
        <item x="209"/>
        <item m="1" x="247"/>
        <item x="96"/>
        <item x="17"/>
        <item x="158"/>
        <item x="98"/>
        <item x="182"/>
        <item x="199"/>
        <item x="95"/>
        <item x="89"/>
        <item x="131"/>
        <item x="0"/>
        <item x="105"/>
        <item x="29"/>
        <item x="24"/>
        <item x="25"/>
        <item x="157"/>
        <item x="20"/>
        <item x="16"/>
        <item x="4"/>
        <item x="18"/>
        <item x="14"/>
        <item x="71"/>
        <item x="8"/>
        <item x="5"/>
        <item x="51"/>
        <item x="7"/>
        <item x="94"/>
        <item x="2"/>
        <item x="83"/>
        <item x="81"/>
        <item x="107"/>
        <item x="208"/>
        <item x="145"/>
        <item x="45"/>
        <item x="99"/>
        <item x="147"/>
        <item x="155"/>
        <item x="119"/>
        <item x="50"/>
        <item x="204"/>
        <item x="134"/>
        <item x="219"/>
        <item x="63"/>
        <item x="64"/>
        <item x="210"/>
        <item x="133"/>
        <item x="212"/>
        <item x="141"/>
        <item x="140"/>
        <item x="160"/>
        <item x="60"/>
        <item x="197"/>
        <item x="132"/>
        <item x="127"/>
        <item x="149"/>
        <item x="85"/>
        <item x="88"/>
        <item x="84"/>
        <item x="31"/>
        <item x="12"/>
        <item x="1"/>
        <item x="6"/>
        <item x="3"/>
        <item x="19"/>
        <item x="176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9">
        <item sd="0" x="6"/>
        <item sd="0" x="3"/>
        <item sd="0" x="7"/>
        <item sd="0" x="0"/>
        <item sd="0" x="1"/>
        <item sd="0" x="2"/>
        <item sd="0" x="5"/>
        <item sd="0" x="4"/>
        <item t="default" sd="0"/>
      </items>
    </pivotField>
    <pivotField axis="axisRow" showAll="0">
      <items count="32">
        <item sd="0" x="23"/>
        <item sd="0" x="24"/>
        <item sd="0" x="28"/>
        <item sd="0" x="26"/>
        <item sd="0" x="7"/>
        <item sd="0" x="6"/>
        <item sd="0" x="15"/>
        <item sd="0" x="13"/>
        <item sd="0" x="11"/>
        <item sd="0" x="12"/>
        <item sd="0" x="14"/>
        <item sd="0" x="21"/>
        <item sd="0" x="17"/>
        <item sd="0" x="5"/>
        <item sd="0" x="22"/>
        <item sd="0" x="9"/>
        <item sd="0" x="29"/>
        <item sd="0" x="20"/>
        <item sd="0" x="3"/>
        <item sd="0" x="25"/>
        <item sd="0" x="8"/>
        <item sd="0" x="16"/>
        <item sd="0" x="27"/>
        <item sd="0" x="10"/>
        <item sd="0" m="1" x="30"/>
        <item sd="0" x="0"/>
        <item sd="0" x="2"/>
        <item sd="0" x="1"/>
        <item sd="0" x="4"/>
        <item sd="0" x="19"/>
        <item sd="0" x="18"/>
        <item t="default" sd="0"/>
      </items>
    </pivotField>
    <pivotField showAll="0"/>
  </pivotFields>
  <rowFields count="4">
    <field x="8"/>
    <field x="9"/>
    <field x="10"/>
    <field x="3"/>
  </rowFields>
  <rowItems count="13">
    <i>
      <x/>
    </i>
    <i r="1">
      <x v="3"/>
    </i>
    <i r="1">
      <x v="4"/>
    </i>
    <i>
      <x v="1"/>
    </i>
    <i r="1">
      <x v="1"/>
    </i>
    <i r="1">
      <x v="5"/>
    </i>
    <i r="1">
      <x v="6"/>
    </i>
    <i r="1">
      <x v="7"/>
    </i>
    <i>
      <x v="2"/>
    </i>
    <i r="1">
      <x/>
    </i>
    <i>
      <x v="3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70B21-7459-46AA-ADD6-5ECE6DFFE539}" name="Tabela dinâmica1" cacheId="14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ontas">
  <location ref="A3:D26" firstHeaderRow="1" firstDataRow="1" firstDataCol="4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6">
        <item x="0"/>
        <item x="1"/>
        <item x="2"/>
        <item x="3"/>
        <item x="4"/>
        <item x="5"/>
      </items>
    </pivotField>
    <pivotField axis="axisRow" outline="0" showAll="0" defaultSubtota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Row" outline="0" showAll="0" defaultSubtota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</pivotField>
    <pivotField showAll="0"/>
    <pivotField axis="axisRow" showAll="0" defaultSubtotal="0">
      <items count="7">
        <item x="0"/>
        <item sd="0" x="1"/>
        <item sd="0" x="2"/>
        <item sd="0" m="1" x="6"/>
        <item sd="0" x="3"/>
        <item sd="0" x="4"/>
        <item sd="0" x="5"/>
      </items>
    </pivotField>
    <pivotField axis="axisRow" showAll="0">
      <items count="39">
        <item sd="0" m="1" x="37"/>
        <item sd="0" x="23"/>
        <item sd="0" m="1" x="36"/>
        <item sd="0" x="0"/>
        <item sd="0" x="1"/>
        <item sd="0" m="1" x="32"/>
        <item sd="0" m="1" x="33"/>
        <item sd="0" m="1" x="30"/>
        <item sd="0" x="2"/>
        <item sd="0" x="3"/>
        <item sd="0" m="1" x="34"/>
        <item sd="0" x="4"/>
        <item sd="0" m="1" x="31"/>
        <item sd="0" x="5"/>
        <item sd="0" x="6"/>
        <item sd="0" x="7"/>
        <item sd="0" x="8"/>
        <item sd="0" x="9"/>
        <item sd="0" x="10"/>
        <item sd="0" x="11"/>
        <item sd="0" x="12"/>
        <item sd="0" x="24"/>
        <item sd="0" x="20"/>
        <item sd="0" x="16"/>
        <item sd="0" x="13"/>
        <item sd="0" m="1" x="35"/>
        <item sd="0" x="14"/>
        <item sd="0" x="15"/>
        <item sd="0" x="21"/>
        <item sd="0" x="22"/>
        <item sd="0" x="27"/>
        <item sd="0" x="25"/>
        <item sd="0" x="17"/>
        <item sd="0" m="1" x="29"/>
        <item sd="0" x="28"/>
        <item sd="0" x="18"/>
        <item sd="0" x="19"/>
        <item sd="0" x="26"/>
        <item t="default" sd="0"/>
      </items>
    </pivotField>
    <pivotField axis="axisRow" showAll="0">
      <items count="93">
        <item sd="0" m="1" x="81"/>
        <item sd="0" x="6"/>
        <item sd="0" m="1" x="86"/>
        <item sd="0" x="37"/>
        <item sd="0" m="1" x="88"/>
        <item sd="0" x="51"/>
        <item sd="0" x="55"/>
        <item sd="0" x="17"/>
        <item sd="0" x="11"/>
        <item sd="0" x="12"/>
        <item sd="0" x="13"/>
        <item sd="0" m="1" x="91"/>
        <item sd="0" m="1" x="66"/>
        <item sd="0" x="14"/>
        <item sd="0" x="15"/>
        <item sd="0" m="1" x="90"/>
        <item sd="0" x="56"/>
        <item sd="0" m="1" x="87"/>
        <item sd="0" x="52"/>
        <item sd="0" x="43"/>
        <item sd="0" x="46"/>
        <item sd="0" x="45"/>
        <item sd="0" x="39"/>
        <item sd="0" x="40"/>
        <item sd="0" x="36"/>
        <item sd="0" m="1" x="89"/>
        <item sd="0" x="21"/>
        <item sd="0" x="22"/>
        <item sd="0" x="24"/>
        <item sd="0" x="25"/>
        <item sd="0" x="26"/>
        <item sd="0" x="27"/>
        <item sd="0" x="28"/>
        <item sd="0" x="29"/>
        <item m="1" x="62"/>
        <item sd="0" m="1" x="83"/>
        <item sd="0" x="30"/>
        <item sd="0" x="31"/>
        <item sd="0" x="33"/>
        <item sd="0" x="23"/>
        <item sd="0" x="48"/>
        <item sd="0" m="1" x="85"/>
        <item sd="0" x="53"/>
        <item sd="0" x="49"/>
        <item sd="0" x="50"/>
        <item m="1" x="60"/>
        <item x="59"/>
        <item sd="0" m="1" x="71"/>
        <item sd="0" x="0"/>
        <item sd="0" x="1"/>
        <item sd="0" x="2"/>
        <item sd="0" x="3"/>
        <item sd="0" x="4"/>
        <item sd="0" x="32"/>
        <item sd="0" m="1" x="73"/>
        <item sd="0" m="1" x="82"/>
        <item sd="0" x="9"/>
        <item sd="0" x="10"/>
        <item sd="0" m="1" x="80"/>
        <item sd="0" x="34"/>
        <item sd="0" x="19"/>
        <item sd="0" m="1" x="84"/>
        <item m="1" x="65"/>
        <item sd="0" x="47"/>
        <item sd="0" x="44"/>
        <item sd="0" x="41"/>
        <item sd="0" x="42"/>
        <item m="1" x="64"/>
        <item sd="0" m="1" x="74"/>
        <item sd="0" m="1" x="72"/>
        <item sd="0" x="35"/>
        <item sd="0" m="1" x="79"/>
        <item sd="0" m="1" x="76"/>
        <item sd="0" x="57"/>
        <item sd="0" m="1" x="69"/>
        <item sd="0" m="1" x="77"/>
        <item sd="0" m="1" x="78"/>
        <item m="1" x="68"/>
        <item sd="0" m="1" x="75"/>
        <item sd="0" m="1" x="70"/>
        <item sd="0" x="5"/>
        <item sd="0" m="1" x="67"/>
        <item sd="0" x="7"/>
        <item sd="0" x="8"/>
        <item sd="0" x="18"/>
        <item sd="0" x="16"/>
        <item sd="0" m="1" x="61"/>
        <item sd="0" m="1" x="63"/>
        <item sd="0" x="58"/>
        <item sd="0" x="38"/>
        <item sd="0" x="20"/>
        <item sd="0" x="54"/>
        <item t="default" sd="0"/>
      </items>
    </pivotField>
    <pivotField axis="axisRow" showAll="0">
      <items count="355">
        <item sd="0" x="84"/>
        <item sd="0" x="85"/>
        <item sd="0" x="221"/>
        <item sd="0" x="222"/>
        <item sd="0" x="158"/>
        <item sd="0" x="86"/>
        <item sd="0" x="47"/>
        <item sd="0" x="159"/>
        <item sd="0" x="78"/>
        <item sd="0" x="79"/>
        <item sd="0" x="137"/>
        <item sd="0" x="260"/>
        <item m="1" x="349"/>
        <item sd="0" x="224"/>
        <item sd="0" x="225"/>
        <item m="1" x="334"/>
        <item sd="0" x="16"/>
        <item sd="0" x="82"/>
        <item sd="0" x="226"/>
        <item m="1" x="313"/>
        <item sd="0" x="227"/>
        <item m="1" x="301"/>
        <item sd="0" x="228"/>
        <item sd="0" x="229"/>
        <item sd="0" x="238"/>
        <item sd="0" x="230"/>
        <item sd="0" x="138"/>
        <item sd="0" x="142"/>
        <item m="1" x="277"/>
        <item sd="0" x="49"/>
        <item sd="0" x="87"/>
        <item sd="0" x="88"/>
        <item sd="0" x="89"/>
        <item sd="0" x="190"/>
        <item sd="0" x="18"/>
        <item sd="0" x="19"/>
        <item sd="0" x="20"/>
        <item sd="0" x="80"/>
        <item sd="0" x="160"/>
        <item sd="0" x="191"/>
        <item sd="0" x="58"/>
        <item sd="0" x="192"/>
        <item m="1" x="333"/>
        <item sd="0" x="249"/>
        <item m="1" x="345"/>
        <item m="1" x="342"/>
        <item sd="0" x="268"/>
        <item sd="0" x="219"/>
        <item sd="0" x="90"/>
        <item sd="0" x="211"/>
        <item sd="0" x="271"/>
        <item sd="0" x="206"/>
        <item sd="0" x="23"/>
        <item sd="0" x="152"/>
        <item sd="0" x="91"/>
        <item sd="0" x="269"/>
        <item m="1" x="306"/>
        <item sd="0" x="48"/>
        <item sd="0" x="135"/>
        <item m="1" x="347"/>
        <item sd="0" x="153"/>
        <item sd="0" x="250"/>
        <item sd="0" x="92"/>
        <item sd="0" x="161"/>
        <item sd="0" x="179"/>
        <item m="1" x="278"/>
        <item sd="0" x="94"/>
        <item sd="0" x="95"/>
        <item sd="0" x="72"/>
        <item sd="0" x="62"/>
        <item sd="0" x="193"/>
        <item sd="0" x="141"/>
        <item sd="0" x="143"/>
        <item m="1" x="337"/>
        <item m="1" x="307"/>
        <item m="1" x="338"/>
        <item sd="0" x="163"/>
        <item sd="0" x="180"/>
        <item sd="0" x="252"/>
        <item sd="0" x="253"/>
        <item sd="0" x="254"/>
        <item sd="0" x="218"/>
        <item sd="0" x="201"/>
        <item m="1" x="309"/>
        <item sd="0" x="154"/>
        <item m="1" x="352"/>
        <item sd="0" x="261"/>
        <item sd="0" x="113"/>
        <item sd="0" x="73"/>
        <item sd="0" x="170"/>
        <item sd="0" x="171"/>
        <item sd="0" x="155"/>
        <item sd="0" x="181"/>
        <item sd="0" x="172"/>
        <item m="1" x="351"/>
        <item sd="0" x="239"/>
        <item sd="0" x="237"/>
        <item sd="0" x="63"/>
        <item sd="0" x="176"/>
        <item sd="0" x="177"/>
        <item sd="0" x="156"/>
        <item sd="0" x="173"/>
        <item sd="0" x="66"/>
        <item sd="0" x="164"/>
        <item sd="0" x="147"/>
        <item sd="0" x="182"/>
        <item sd="0" x="259"/>
        <item sd="0" x="64"/>
        <item m="1" x="353"/>
        <item m="1" x="341"/>
        <item m="1" x="344"/>
        <item sd="0" x="265"/>
        <item sd="0" x="15"/>
        <item sd="0" x="183"/>
        <item sd="0" x="96"/>
        <item sd="0" x="97"/>
        <item sd="0" x="98"/>
        <item m="1" x="332"/>
        <item sd="0" x="65"/>
        <item sd="0" x="0"/>
        <item sd="0" x="136"/>
        <item m="1" x="346"/>
        <item m="1" x="314"/>
        <item sd="0" x="99"/>
        <item sd="0" x="100"/>
        <item sd="0" x="101"/>
        <item sd="0" x="102"/>
        <item sd="0" x="165"/>
        <item sd="0" x="184"/>
        <item m="1" x="324"/>
        <item sd="0" x="169"/>
        <item m="1" x="315"/>
        <item m="1" x="343"/>
        <item sd="0" x="51"/>
        <item sd="0" x="203"/>
        <item m="1" x="339"/>
        <item sd="0" x="67"/>
        <item sd="0" x="81"/>
        <item sd="0" x="59"/>
        <item sd="0" x="168"/>
        <item sd="0" x="103"/>
        <item sd="0" x="104"/>
        <item sd="0" x="105"/>
        <item m="1" x="350"/>
        <item m="1" x="331"/>
        <item sd="0" x="231"/>
        <item m="1" x="348"/>
        <item sd="0" x="241"/>
        <item m="1" x="335"/>
        <item sd="0" x="202"/>
        <item m="1" x="319"/>
        <item sd="0" x="264"/>
        <item m="1" x="308"/>
        <item m="1" x="336"/>
        <item m="1" x="340"/>
        <item sd="0" x="266"/>
        <item sd="0" x="267"/>
        <item sd="0" x="220"/>
        <item sd="0" x="71"/>
        <item x="275"/>
        <item sd="0" x="212"/>
        <item sd="0" x="149"/>
        <item m="1" x="296"/>
        <item sd="0" x="61"/>
        <item sd="0" x="150"/>
        <item sd="0" x="185"/>
        <item sd="0" x="133"/>
        <item sd="0" x="186"/>
        <item m="1" x="316"/>
        <item sd="0" x="188"/>
        <item sd="0" x="130"/>
        <item sd="0" x="157"/>
        <item sd="0" x="204"/>
        <item sd="0" x="175"/>
        <item sd="0" x="194"/>
        <item sd="0" x="195"/>
        <item sd="0" x="196"/>
        <item sd="0" x="197"/>
        <item sd="0" x="198"/>
        <item m="1" x="323"/>
        <item sd="0" x="140"/>
        <item sd="0" x="214"/>
        <item sd="0" x="215"/>
        <item sd="0" x="199"/>
        <item sd="0" x="134"/>
        <item sd="0" x="200"/>
        <item sd="0" x="21"/>
        <item sd="0" x="22"/>
        <item sd="0" x="205"/>
        <item m="1" x="326"/>
        <item m="1" x="297"/>
        <item sd="0" x="131"/>
        <item m="1" x="327"/>
        <item sd="0" x="256"/>
        <item sd="0" x="258"/>
        <item sd="0" x="208"/>
        <item sd="0" x="209"/>
        <item sd="0" x="210"/>
        <item sd="0" x="245"/>
        <item sd="0" x="246"/>
        <item m="1" x="298"/>
        <item m="1" x="299"/>
        <item m="1" x="302"/>
        <item m="1" x="303"/>
        <item m="1" x="300"/>
        <item sd="0" x="232"/>
        <item sd="0" x="233"/>
        <item sd="0" x="234"/>
        <item sd="0" x="235"/>
        <item m="1" x="312"/>
        <item m="1" x="311"/>
        <item sd="0" x="240"/>
        <item m="1" x="304"/>
        <item sd="0" x="243"/>
        <item sd="0" x="272"/>
        <item sd="0" x="151"/>
        <item sd="0" x="114"/>
        <item sd="0" x="251"/>
        <item sd="0" x="13"/>
        <item sd="0" x="112"/>
        <item sd="0" x="55"/>
        <item sd="0" x="129"/>
        <item sd="0" x="125"/>
        <item sd="0" x="126"/>
        <item m="1" x="320"/>
        <item sd="0" x="145"/>
        <item sd="0" x="146"/>
        <item sd="0" x="144"/>
        <item sd="0" x="162"/>
        <item m="1" x="276"/>
        <item m="1" x="279"/>
        <item m="1" x="329"/>
        <item sd="0" x="166"/>
        <item sd="0" x="167"/>
        <item sd="0" x="52"/>
        <item m="1" x="328"/>
        <item sd="0" x="244"/>
        <item sd="0" x="5"/>
        <item m="1" x="330"/>
        <item sd="0" x="7"/>
        <item sd="0" x="10"/>
        <item m="1" x="281"/>
        <item sd="0" x="9"/>
        <item sd="0" x="17"/>
        <item sd="0" x="11"/>
        <item sd="0" x="12"/>
        <item m="1" x="325"/>
        <item sd="0" x="14"/>
        <item m="1" x="280"/>
        <item sd="0" x="6"/>
        <item sd="0" x="53"/>
        <item sd="0" x="54"/>
        <item m="1" x="321"/>
        <item sd="0" x="56"/>
        <item sd="0" x="68"/>
        <item sd="0" x="69"/>
        <item sd="0" x="76"/>
        <item sd="0" x="77"/>
        <item sd="0" x="139"/>
        <item m="1" x="317"/>
        <item m="1" x="318"/>
        <item sd="0" x="75"/>
        <item sd="0" x="74"/>
        <item sd="0" x="1"/>
        <item sd="0" x="2"/>
        <item sd="0" x="4"/>
        <item m="1" x="282"/>
        <item m="1" x="310"/>
        <item m="1" x="283"/>
        <item sd="0" x="262"/>
        <item sd="0" x="213"/>
        <item sd="0" x="41"/>
        <item sd="0" x="42"/>
        <item sd="0" x="43"/>
        <item sd="0" x="44"/>
        <item sd="0" x="45"/>
        <item sd="0" x="46"/>
        <item m="1" x="284"/>
        <item m="1" x="285"/>
        <item sd="0" x="26"/>
        <item sd="0" x="27"/>
        <item sd="0" x="115"/>
        <item sd="0" x="34"/>
        <item sd="0" x="35"/>
        <item sd="0" x="36"/>
        <item sd="0" x="28"/>
        <item sd="0" x="37"/>
        <item sd="0" x="29"/>
        <item sd="0" x="116"/>
        <item sd="0" x="127"/>
        <item sd="0" x="30"/>
        <item m="1" x="286"/>
        <item m="1" x="287"/>
        <item m="1" x="288"/>
        <item sd="0" x="117"/>
        <item sd="0" x="118"/>
        <item sd="0" x="119"/>
        <item m="1" x="289"/>
        <item sd="0" x="121"/>
        <item sd="0" x="38"/>
        <item sd="0" x="39"/>
        <item sd="0" x="83"/>
        <item sd="0" x="57"/>
        <item sd="0" x="40"/>
        <item sd="0" x="33"/>
        <item sd="0" x="122"/>
        <item sd="0" x="70"/>
        <item sd="0" x="123"/>
        <item sd="0" x="174"/>
        <item m="1" x="290"/>
        <item sd="0" x="124"/>
        <item sd="0" x="106"/>
        <item m="1" x="291"/>
        <item m="1" x="292"/>
        <item m="1" x="293"/>
        <item m="1" x="322"/>
        <item m="1" x="294"/>
        <item sd="0" x="109"/>
        <item sd="0" x="110"/>
        <item m="1" x="295"/>
        <item sd="0" x="148"/>
        <item sd="0" x="207"/>
        <item sd="0" x="132"/>
        <item sd="0" x="187"/>
        <item sd="0" x="273"/>
        <item m="1" x="305"/>
        <item sd="0" x="223"/>
        <item sd="0" x="270"/>
        <item sd="0" x="189"/>
        <item sd="0" x="93"/>
        <item sd="0" x="247"/>
        <item sd="0" x="50"/>
        <item sd="0" x="8"/>
        <item sd="0" x="3"/>
        <item sd="0" x="217"/>
        <item sd="0" x="24"/>
        <item sd="0" x="25"/>
        <item sd="0" x="31"/>
        <item sd="0" x="32"/>
        <item sd="0" x="128"/>
        <item sd="0" x="120"/>
        <item sd="0" x="178"/>
        <item sd="0" x="107"/>
        <item sd="0" x="216"/>
        <item sd="0" x="108"/>
        <item sd="0" x="263"/>
        <item sd="0" x="111"/>
        <item sd="0" x="60"/>
        <item sd="0" x="255"/>
        <item sd="0" x="257"/>
        <item sd="0" x="236"/>
        <item sd="0" x="242"/>
        <item sd="0" x="274"/>
        <item sd="0" x="248"/>
        <item t="default"/>
      </items>
    </pivotField>
    <pivotField showAll="0"/>
    <pivotField showAll="0"/>
  </pivotFields>
  <rowFields count="7">
    <field x="8"/>
    <field x="12"/>
    <field x="9"/>
    <field x="13"/>
    <field x="10"/>
    <field x="14"/>
    <field x="15"/>
  </rowFields>
  <rowItems count="23">
    <i>
      <x/>
      <x/>
    </i>
    <i r="2">
      <x/>
      <x v="3"/>
    </i>
    <i r="2">
      <x v="1"/>
      <x v="4"/>
    </i>
    <i r="2">
      <x v="2"/>
      <x v="8"/>
    </i>
    <i r="2">
      <x v="3"/>
      <x v="9"/>
    </i>
    <i r="2">
      <x v="4"/>
      <x v="11"/>
    </i>
    <i r="2">
      <x v="5"/>
      <x v="13"/>
    </i>
    <i r="2">
      <x v="6"/>
      <x v="14"/>
    </i>
    <i r="2">
      <x v="7"/>
      <x v="15"/>
    </i>
    <i r="2">
      <x v="8"/>
      <x v="16"/>
    </i>
    <i r="2">
      <x v="9"/>
      <x v="17"/>
    </i>
    <i r="2">
      <x v="10"/>
      <x v="18"/>
    </i>
    <i r="2">
      <x v="11"/>
      <x v="19"/>
    </i>
    <i r="2">
      <x v="12"/>
      <x v="20"/>
    </i>
    <i r="2">
      <x v="13"/>
      <x v="24"/>
    </i>
    <i r="2">
      <x v="14"/>
      <x v="26"/>
    </i>
    <i r="2">
      <x v="15"/>
      <x v="27"/>
    </i>
    <i>
      <x v="1"/>
      <x v="1"/>
    </i>
    <i>
      <x v="2"/>
      <x v="2"/>
    </i>
    <i>
      <x v="3"/>
      <x v="4"/>
    </i>
    <i>
      <x v="4"/>
      <x v="5"/>
    </i>
    <i>
      <x v="5"/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D5EDCB9-D72C-47F1-8530-49E2221CF213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Ativo" tableColumnId="1"/>
      <queryTableField id="2" name="Analítico" tableColumnId="2"/>
      <queryTableField id="3" name="Conta 4" tableColumnId="3"/>
      <queryTableField id="4" name="Cod Conta 1" tableColumnId="4"/>
      <queryTableField id="5" name="Cod Conta 2" tableColumnId="5"/>
      <queryTableField id="6" name="Cod Conta 3" tableColumnId="6"/>
      <queryTableField id="7" name="Cod Conta 4" tableColumnId="7"/>
      <queryTableField id="8" name="Conta 1" tableColumnId="8"/>
      <queryTableField id="9" name="Conta 2" tableColumnId="9"/>
      <queryTableField id="10" name="Conta 3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0CA422A-9CE1-46F1-878C-7CE508B288C1}" autoFormatId="16" applyNumberFormats="0" applyBorderFormats="0" applyFontFormats="0" applyPatternFormats="0" applyAlignmentFormats="0" applyWidthHeightFormats="0">
  <queryTableRefresh nextId="15" unboundColumnsRight="1">
    <queryTableFields count="12">
      <queryTableField id="1" name="Ativa" tableColumnId="1"/>
      <queryTableField id="2" name="Analítica" tableColumnId="2"/>
      <queryTableField id="3" name="Incide no resultado" tableColumnId="3"/>
      <queryTableField id="11" name="Conta 4" tableColumnId="11"/>
      <queryTableField id="4" name="Cod Conta 1" tableColumnId="4"/>
      <queryTableField id="5" name="Cod Conta 2" tableColumnId="5"/>
      <queryTableField id="6" name="Cod Conta 3" tableColumnId="6"/>
      <queryTableField id="7" name="Cod Conta 4" tableColumnId="7"/>
      <queryTableField id="8" name="Conta 1" tableColumnId="8"/>
      <queryTableField id="9" name="Conta 2" tableColumnId="9"/>
      <queryTableField id="10" name="Conta 3" tableColumnId="10"/>
      <queryTableField id="13" dataBound="0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CC39E-685D-43D8-BB07-0EFDEDDCBBE9}" name="Tab_CentroResultado" displayName="Tab_CentroResultado" ref="A4:E156" totalsRowShown="0" headerRowDxfId="51">
  <autoFilter ref="A4:E156" xr:uid="{178CC39E-685D-43D8-BB07-0EFDEDDCBBE9}"/>
  <tableColumns count="5">
    <tableColumn id="1" xr3:uid="{89BDF1EC-0012-4596-AE61-AABDF5BC3418}" name="Código"/>
    <tableColumn id="2" xr3:uid="{C728DD52-3663-46BC-AF0A-7F169C319148}" name="Descrição"/>
    <tableColumn id="3" xr3:uid="{1B68CE88-09F9-494F-B702-2B62782CDF04}" name="CR para calculo e-LALUR (Parte A)"/>
    <tableColumn id="4" xr3:uid="{0AE8E56F-C3AF-4A83-A38E-DB5903D639EE}" name="Ativo"/>
    <tableColumn id="5" xr3:uid="{74EEA4C7-0995-4F48-8918-AC16C6628749}" name="Analít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F112DC-15FC-4BAA-9099-1C11BCDF56FA}" name="Tab_CentroResultado_1" displayName="Tab_CentroResultado_1" ref="A1:K123" tableType="queryTable" totalsRowShown="0">
  <autoFilter ref="A1:K123" xr:uid="{49F112DC-15FC-4BAA-9099-1C11BCDF56FA}">
    <filterColumn colId="10">
      <filters>
        <filter val="#N/D"/>
      </filters>
    </filterColumn>
  </autoFilter>
  <tableColumns count="11">
    <tableColumn id="1" xr3:uid="{69F3897B-9487-46A0-8136-3F3744537085}" uniqueName="1" name="Ativo" queryTableFieldId="1" dataDxfId="50"/>
    <tableColumn id="2" xr3:uid="{D10BE88C-088C-42B2-B34D-CFF0BE82336F}" uniqueName="2" name="Analítico" queryTableFieldId="2" dataDxfId="49"/>
    <tableColumn id="3" xr3:uid="{0C3B22E1-567F-4A86-8F00-0222403D8989}" uniqueName="3" name="Conta 4" queryTableFieldId="3" dataDxfId="48"/>
    <tableColumn id="4" xr3:uid="{300E6962-920E-476B-9709-2F1F3969FF00}" uniqueName="4" name="Cod Conta 1" queryTableFieldId="4" dataDxfId="47"/>
    <tableColumn id="5" xr3:uid="{809677E4-5C90-4306-91DA-319ABD80801E}" uniqueName="5" name="Cod Conta 2" queryTableFieldId="5" dataDxfId="46"/>
    <tableColumn id="6" xr3:uid="{B178EBD2-36EC-4FA9-9E03-D464F9A56E52}" uniqueName="6" name="Cod Conta 3" queryTableFieldId="6" dataDxfId="45"/>
    <tableColumn id="7" xr3:uid="{F03E2D0B-BEF4-489F-BE02-974698CCF298}" uniqueName="7" name="Cod Conta 4" queryTableFieldId="7" dataDxfId="44"/>
    <tableColumn id="8" xr3:uid="{343617DA-E7B2-4D51-ADC9-29E93E8AE698}" uniqueName="8" name="Conta 1" queryTableFieldId="8" dataDxfId="43"/>
    <tableColumn id="9" xr3:uid="{73E47D18-97A7-4126-A305-866C5839E630}" uniqueName="9" name="Conta 2" queryTableFieldId="9" dataDxfId="42"/>
    <tableColumn id="10" xr3:uid="{1C21C2C5-8888-4549-84DF-A832F721DF93}" uniqueName="10" name="Conta 3" queryTableFieldId="10" dataDxfId="41"/>
    <tableColumn id="11" xr3:uid="{46E78AC3-DB68-4232-91E1-9CF03BB93454}" uniqueName="11" name="Conta 32" queryTableFieldId="11" dataDxfId="40">
      <calculatedColumnFormula>VLOOKUP(Tab_CentroResultado_1[[#This Row],[Conta 4]],D_CentroResultados[Conta 4],1,FALSE)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4A8C83-2810-4DE1-9A07-D32A045B1B36}" name="D_CentroResultados" displayName="D_CentroResultados" ref="A2:N135" totalsRowShown="0" headerRowDxfId="39" dataDxfId="38">
  <autoFilter ref="A2:N135" xr:uid="{974A8C83-2810-4DE1-9A07-D32A045B1B36}"/>
  <tableColumns count="14">
    <tableColumn id="6" xr3:uid="{61A2D751-6D91-4038-BF47-B171C6D4BFE1}" name="Cod Conta 1 (Atual)" dataDxfId="37"/>
    <tableColumn id="7" xr3:uid="{081850B1-A632-4A94-AC3F-D4B94110FD5E}" name="Cod Conta 2 (Atual)" dataDxfId="36"/>
    <tableColumn id="8" xr3:uid="{8F5F269E-1647-4DEB-A892-D34764B12ADC}" name="Cod Conta 3 (Atual)" dataDxfId="35"/>
    <tableColumn id="9" xr3:uid="{B3554C3C-E3BB-4036-9B61-A32EB50CC8D3}" name="Cod Conta 4 (Atual" dataDxfId="34"/>
    <tableColumn id="10" xr3:uid="{C33E7DF0-598F-46B0-8F68-378B1F91215A}" name="Conta 1 (Atual)" dataDxfId="33"/>
    <tableColumn id="11" xr3:uid="{1AFA302C-D659-469C-B4D2-715E3114CF4B}" name="Conta 2 (Atual)" dataDxfId="32"/>
    <tableColumn id="12" xr3:uid="{6E9573CF-3E92-44AC-8823-15419780C133}" name="Conta 3 (Atual)" dataDxfId="31"/>
    <tableColumn id="13" xr3:uid="{41E938DD-2F06-48A9-9C2F-7CE8CB948DAD}" name="Conta 4 (Atual" dataDxfId="30"/>
    <tableColumn id="14" xr3:uid="{305F0A95-9047-4C27-971E-960B1B6DA74F}" name="Conta 1" dataDxfId="29"/>
    <tableColumn id="1" xr3:uid="{828E37E4-208A-4377-9324-2D3B71597F24}" name="Conta 2" dataDxfId="28"/>
    <tableColumn id="2" xr3:uid="{7B5B9AB8-5E28-42DB-B74F-0DB9766E66EA}" name="Conta 3" dataDxfId="27"/>
    <tableColumn id="3" xr3:uid="{5FEA7499-7B09-41D0-BD5E-2D182F98A865}" name="Conta 4" dataDxfId="26"/>
    <tableColumn id="4" xr3:uid="{173BA2D8-FD2E-470B-952A-1028FA04925C}" name="CUSTOS/DESPESAS" dataDxfId="25"/>
    <tableColumn id="5" xr3:uid="{3A4DC7FE-B01E-4817-BA58-C38E640B0F97}" name="CUSTOS PESSOAL/DESPESAS PESSOAL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879E6B-D2F6-4D26-9E0D-AB4AFAFC9AE8}" name="Tab_Naturezas" displayName="Tab_Naturezas" ref="A3:E294" totalsRowShown="0" headerRowDxfId="23">
  <autoFilter ref="A3:E294" xr:uid="{E6879E6B-D2F6-4D26-9E0D-AB4AFAFC9AE8}"/>
  <tableColumns count="5">
    <tableColumn id="1" xr3:uid="{18E79A44-6A7B-4E0C-9A53-36AF842DAA90}" name="Cód. Natureza"/>
    <tableColumn id="2" xr3:uid="{43E473A5-C39E-44EA-9E2E-CFE05ED84CB9}" name="Descrição"/>
    <tableColumn id="3" xr3:uid="{BAF91B70-E917-4D99-90A5-9FE5EF1633D8}" name="Ativa"/>
    <tableColumn id="4" xr3:uid="{3B8475EB-19A1-4A83-9DD0-31189BECD5DA}" name="Analítica"/>
    <tableColumn id="5" xr3:uid="{CA597682-B5E7-4658-96CE-24D1C1B683BF}" name="Incide no 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BAD6B6-B5FF-4889-8239-E3376869C157}" name="Tab_Naturezas_2" displayName="Tab_Naturezas_2" ref="A1:L250" tableType="queryTable" totalsRowShown="0">
  <autoFilter ref="A1:L250" xr:uid="{E8BAD6B6-B5FF-4889-8239-E3376869C157}">
    <filterColumn colId="11">
      <filters>
        <filter val="#CLASSIFICAR"/>
      </filters>
    </filterColumn>
  </autoFilter>
  <tableColumns count="12">
    <tableColumn id="1" xr3:uid="{53DDF3CB-1B26-40C1-927D-22B93E279B2F}" uniqueName="1" name="Ativa" queryTableFieldId="1" dataDxfId="22"/>
    <tableColumn id="2" xr3:uid="{D62BCF78-92CC-4145-9779-31052D1A26A4}" uniqueName="2" name="Analítica" queryTableFieldId="2" dataDxfId="21"/>
    <tableColumn id="3" xr3:uid="{48328DB8-0A4F-4E76-9E28-D38F5A3AF954}" uniqueName="3" name="Incide no resultado" queryTableFieldId="3" dataDxfId="20"/>
    <tableColumn id="11" xr3:uid="{9951E3BF-0024-45F7-8BF5-ADE4A668C818}" uniqueName="11" name="Conta 4" queryTableFieldId="11" dataDxfId="19"/>
    <tableColumn id="4" xr3:uid="{90A909C7-C669-4683-8A21-BABDF6E45A60}" uniqueName="4" name="Cod Conta 1" queryTableFieldId="4" dataDxfId="18"/>
    <tableColumn id="5" xr3:uid="{CF15C158-6A70-4A82-90CA-D3DA06FCCE22}" uniqueName="5" name="Cod Conta 2" queryTableFieldId="5" dataDxfId="17"/>
    <tableColumn id="6" xr3:uid="{37CDDBC3-E1B0-4DAA-8C31-75744F435708}" uniqueName="6" name="Cod Conta 3" queryTableFieldId="6" dataDxfId="16"/>
    <tableColumn id="7" xr3:uid="{497FF3B8-2E3A-48B3-9696-47B8CFB79DCF}" uniqueName="7" name="Cod Conta 4" queryTableFieldId="7" dataDxfId="15"/>
    <tableColumn id="8" xr3:uid="{98B97039-4A28-462E-829B-CBA4961BC5E3}" uniqueName="8" name="Conta 1" queryTableFieldId="8" dataDxfId="14"/>
    <tableColumn id="9" xr3:uid="{5F43DC71-FD72-4C81-8405-537A0815A350}" uniqueName="9" name="Conta 2" queryTableFieldId="9" dataDxfId="13"/>
    <tableColumn id="10" xr3:uid="{985394E2-ABAF-472F-A913-BF3548C35EB0}" uniqueName="10" name="Conta 3" queryTableFieldId="10" dataDxfId="12"/>
    <tableColumn id="12" xr3:uid="{0D30D759-9B09-4647-99CB-38E3AFB2D638}" uniqueName="12" name="CLASSIFICAR?" queryTableFieldId="13" dataDxfId="11">
      <calculatedColumnFormula>IFERROR(VLOOKUP(Tab_Naturezas_2[[#This Row],[Conta 4]],D_PlanoFinanceiro[Conta 4 (Atual],1,FALSE),"#CLASSIFICAR")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00CDC7-4232-4DF1-8E4A-541D4A470EFC}" name="D_PlanoFinanceiro" displayName="D_PlanoFinanceiro" ref="A1:R278" totalsRowShown="0">
  <autoFilter ref="A1:R278" xr:uid="{8600CDC7-4232-4DF1-8E4A-541D4A470EFC}"/>
  <sortState xmlns:xlrd2="http://schemas.microsoft.com/office/spreadsheetml/2017/richdata2" ref="A2:R278">
    <sortCondition ref="I2:I278"/>
    <sortCondition ref="J2:J278"/>
    <sortCondition ref="K2:K278"/>
    <sortCondition ref="L2:L278"/>
  </sortState>
  <tableColumns count="18">
    <tableColumn id="11" xr3:uid="{13318CEF-9288-437F-B1C1-F1B1FB7F0E0D}" name="Cod Conta 1 (Atual)" dataDxfId="10"/>
    <tableColumn id="12" xr3:uid="{5B50C0E7-6475-4E34-80B5-1E01FAB58158}" name="Cod Conta 2 (Atual)" dataDxfId="9"/>
    <tableColumn id="13" xr3:uid="{C7AB79AB-2AFD-4C68-965A-2F28EC04FE80}" name="Cod Conta 3 (Atual)" dataDxfId="8"/>
    <tableColumn id="14" xr3:uid="{17EAF956-473D-4FFC-9BFD-2A414B894820}" name="Cod Conta 4 (Atual" dataDxfId="7"/>
    <tableColumn id="8" xr3:uid="{B0539CEF-C8AD-4BC3-A62A-502C82A68935}" name="Conta 1 (Atual)" dataDxfId="6"/>
    <tableColumn id="9" xr3:uid="{47BF9693-4139-43E7-BDCC-523391B48C95}" name="Conta 2 (Atual)" dataDxfId="5"/>
    <tableColumn id="10" xr3:uid="{ED9A6306-6511-48EE-97F8-037ED03B4A93}" name="Conta 3 (Atual)" dataDxfId="4"/>
    <tableColumn id="5" xr3:uid="{433D9ED2-49DE-491F-A135-3A8F5B6AEDF9}" name="Conta 4 (Atual"/>
    <tableColumn id="15" xr3:uid="{5384BEA5-E248-4C80-BC76-A76FE9940C4F}" name="Cod Conta 1" dataDxfId="2"/>
    <tableColumn id="16" xr3:uid="{2FC831A1-6D02-4A06-81EC-87F4211024AD}" name="Cod Conta 2" dataDxfId="1"/>
    <tableColumn id="17" xr3:uid="{1380E5A1-442F-4B04-B3BF-071D49377D80}" name="Cod Conta 3" dataDxfId="0"/>
    <tableColumn id="18" xr3:uid="{98BE87FB-70D4-44CD-9398-3472E53E35AB}" name="Cod Conta 4"/>
    <tableColumn id="1" xr3:uid="{D287D71A-5984-40B0-8E04-6ECC880FD7DA}" name="Conta 1"/>
    <tableColumn id="2" xr3:uid="{8CA8E83C-0E18-49A0-9C56-4BC92DE6E89C}" name="Conta 2"/>
    <tableColumn id="3" xr3:uid="{F35DCF1C-B59A-4F05-BB6C-CBED63A7AE96}" name="Conta 3"/>
    <tableColumn id="4" xr3:uid="{D781853E-CDC2-4BE8-A734-27EECBE1B35A}" name="Conta 4"/>
    <tableColumn id="6" xr3:uid="{0E255107-F30B-464E-A439-54F825D73ADE}" name="OBS"/>
    <tableColumn id="7" xr3:uid="{C441F846-5B35-4B95-B13E-CA9ED79EA8E3}" name="Ajuste na natureza analítica?" dataDxfId="3">
      <calculatedColumnFormula>IF(D_PlanoFinanceiro[[#This Row],[Conta 4]]=D_PlanoFinanceiro[[#This Row],[Conta 4 (Atual]],"-","VALIDAR AJUSTE")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7211-D923-4736-9F10-12B94A6B7B77}">
  <dimension ref="A2:F156"/>
  <sheetViews>
    <sheetView topLeftCell="A4" workbookViewId="0">
      <selection activeCell="C14" sqref="C14"/>
    </sheetView>
  </sheetViews>
  <sheetFormatPr defaultRowHeight="15" x14ac:dyDescent="0.25"/>
  <cols>
    <col min="1" max="1" width="26.7109375" bestFit="1" customWidth="1"/>
    <col min="2" max="2" width="13.28515625" customWidth="1"/>
    <col min="3" max="3" width="37.85546875" customWidth="1"/>
    <col min="5" max="5" width="11.7109375" customWidth="1"/>
  </cols>
  <sheetData>
    <row r="2" spans="1:6" ht="18" x14ac:dyDescent="0.25">
      <c r="A2" s="22" t="s">
        <v>923</v>
      </c>
      <c r="B2" s="23"/>
      <c r="C2" s="23"/>
      <c r="D2" s="23"/>
      <c r="E2" s="23"/>
      <c r="F2" s="23"/>
    </row>
    <row r="3" spans="1:6" x14ac:dyDescent="0.25">
      <c r="A3" t="s">
        <v>924</v>
      </c>
      <c r="B3" t="s">
        <v>925</v>
      </c>
      <c r="C3" t="s">
        <v>926</v>
      </c>
    </row>
    <row r="4" spans="1:6" x14ac:dyDescent="0.25">
      <c r="A4" s="7" t="s">
        <v>927</v>
      </c>
      <c r="B4" s="7" t="s">
        <v>269</v>
      </c>
      <c r="C4" s="7" t="s">
        <v>928</v>
      </c>
      <c r="D4" s="7" t="s">
        <v>929</v>
      </c>
      <c r="E4" s="7" t="s">
        <v>930</v>
      </c>
      <c r="F4" s="7" t="s">
        <v>931</v>
      </c>
    </row>
    <row r="5" spans="1:6" x14ac:dyDescent="0.25">
      <c r="A5">
        <v>1000000</v>
      </c>
      <c r="B5" t="s">
        <v>932</v>
      </c>
      <c r="D5" t="s">
        <v>163</v>
      </c>
      <c r="E5" t="s">
        <v>4</v>
      </c>
      <c r="F5">
        <v>0</v>
      </c>
    </row>
    <row r="6" spans="1:6" x14ac:dyDescent="0.25">
      <c r="A6">
        <v>2000000</v>
      </c>
      <c r="B6" t="s">
        <v>933</v>
      </c>
      <c r="D6" t="s">
        <v>163</v>
      </c>
      <c r="E6" t="s">
        <v>4</v>
      </c>
      <c r="F6">
        <v>0</v>
      </c>
    </row>
    <row r="7" spans="1:6" x14ac:dyDescent="0.25">
      <c r="A7">
        <v>96000000</v>
      </c>
      <c r="B7" t="s">
        <v>5</v>
      </c>
      <c r="D7" t="s">
        <v>163</v>
      </c>
      <c r="E7" t="s">
        <v>163</v>
      </c>
      <c r="F7">
        <v>0</v>
      </c>
    </row>
    <row r="8" spans="1:6" x14ac:dyDescent="0.25">
      <c r="A8">
        <v>97000000</v>
      </c>
      <c r="B8" t="s">
        <v>934</v>
      </c>
      <c r="D8" t="s">
        <v>163</v>
      </c>
      <c r="E8" t="s">
        <v>163</v>
      </c>
      <c r="F8">
        <v>0</v>
      </c>
    </row>
    <row r="9" spans="1:6" x14ac:dyDescent="0.25">
      <c r="A9">
        <v>98000000</v>
      </c>
      <c r="B9" t="s">
        <v>935</v>
      </c>
      <c r="D9" t="s">
        <v>163</v>
      </c>
      <c r="E9" t="s">
        <v>163</v>
      </c>
      <c r="F9">
        <v>0</v>
      </c>
    </row>
    <row r="10" spans="1:6" x14ac:dyDescent="0.25">
      <c r="A10">
        <v>99000000</v>
      </c>
      <c r="B10" t="s">
        <v>117</v>
      </c>
      <c r="D10" t="s">
        <v>163</v>
      </c>
      <c r="E10" t="s">
        <v>163</v>
      </c>
      <c r="F10">
        <v>0</v>
      </c>
    </row>
    <row r="11" spans="1:6" x14ac:dyDescent="0.25">
      <c r="A11">
        <v>1010000</v>
      </c>
      <c r="B11" t="s">
        <v>8</v>
      </c>
      <c r="D11" t="s">
        <v>163</v>
      </c>
      <c r="E11" t="s">
        <v>163</v>
      </c>
      <c r="F11">
        <v>0</v>
      </c>
    </row>
    <row r="12" spans="1:6" x14ac:dyDescent="0.25">
      <c r="A12">
        <v>1020000</v>
      </c>
      <c r="B12" t="s">
        <v>160</v>
      </c>
      <c r="D12" t="s">
        <v>163</v>
      </c>
      <c r="E12" t="s">
        <v>163</v>
      </c>
      <c r="F12">
        <v>0</v>
      </c>
    </row>
    <row r="13" spans="1:6" x14ac:dyDescent="0.25">
      <c r="A13">
        <v>1030000</v>
      </c>
      <c r="B13" t="s">
        <v>14</v>
      </c>
      <c r="D13" t="s">
        <v>163</v>
      </c>
      <c r="E13" t="s">
        <v>163</v>
      </c>
      <c r="F13">
        <v>0</v>
      </c>
    </row>
    <row r="14" spans="1:6" x14ac:dyDescent="0.25">
      <c r="A14">
        <v>1040000</v>
      </c>
      <c r="B14" t="s">
        <v>43</v>
      </c>
      <c r="D14" t="s">
        <v>163</v>
      </c>
      <c r="E14" t="s">
        <v>163</v>
      </c>
      <c r="F14">
        <v>0</v>
      </c>
    </row>
    <row r="15" spans="1:6" x14ac:dyDescent="0.25">
      <c r="A15">
        <v>1050000</v>
      </c>
      <c r="B15" t="s">
        <v>936</v>
      </c>
      <c r="D15" t="s">
        <v>163</v>
      </c>
      <c r="E15" t="s">
        <v>4</v>
      </c>
      <c r="F15">
        <v>0</v>
      </c>
    </row>
    <row r="16" spans="1:6" x14ac:dyDescent="0.25">
      <c r="A16">
        <v>1060000</v>
      </c>
      <c r="B16" t="s">
        <v>130</v>
      </c>
      <c r="D16" t="s">
        <v>163</v>
      </c>
      <c r="E16" t="s">
        <v>163</v>
      </c>
      <c r="F16">
        <v>0</v>
      </c>
    </row>
    <row r="17" spans="1:6" x14ac:dyDescent="0.25">
      <c r="A17">
        <v>1070000</v>
      </c>
      <c r="B17" t="s">
        <v>937</v>
      </c>
      <c r="D17" t="s">
        <v>163</v>
      </c>
      <c r="E17" t="s">
        <v>163</v>
      </c>
      <c r="F17">
        <v>0</v>
      </c>
    </row>
    <row r="18" spans="1:6" x14ac:dyDescent="0.25">
      <c r="A18">
        <v>1080000</v>
      </c>
      <c r="B18" t="s">
        <v>61</v>
      </c>
      <c r="D18" t="s">
        <v>163</v>
      </c>
      <c r="E18" t="s">
        <v>163</v>
      </c>
      <c r="F18">
        <v>0</v>
      </c>
    </row>
    <row r="19" spans="1:6" x14ac:dyDescent="0.25">
      <c r="A19">
        <v>1090000</v>
      </c>
      <c r="B19" t="s">
        <v>52</v>
      </c>
      <c r="D19" t="s">
        <v>163</v>
      </c>
      <c r="E19" t="s">
        <v>163</v>
      </c>
      <c r="F19">
        <v>0</v>
      </c>
    </row>
    <row r="20" spans="1:6" x14ac:dyDescent="0.25">
      <c r="A20">
        <v>1100000</v>
      </c>
      <c r="B20" t="s">
        <v>938</v>
      </c>
      <c r="D20" t="s">
        <v>163</v>
      </c>
      <c r="E20" t="s">
        <v>4</v>
      </c>
      <c r="F20">
        <v>0</v>
      </c>
    </row>
    <row r="21" spans="1:6" x14ac:dyDescent="0.25">
      <c r="A21">
        <v>1110000</v>
      </c>
      <c r="B21" t="s">
        <v>939</v>
      </c>
      <c r="D21" t="s">
        <v>4</v>
      </c>
      <c r="E21" t="s">
        <v>163</v>
      </c>
      <c r="F21">
        <v>0</v>
      </c>
    </row>
    <row r="22" spans="1:6" x14ac:dyDescent="0.25">
      <c r="A22">
        <v>1120000</v>
      </c>
      <c r="B22" t="s">
        <v>10</v>
      </c>
      <c r="D22" t="s">
        <v>163</v>
      </c>
      <c r="E22" t="s">
        <v>163</v>
      </c>
      <c r="F22">
        <v>0</v>
      </c>
    </row>
    <row r="23" spans="1:6" x14ac:dyDescent="0.25">
      <c r="A23">
        <v>1130000</v>
      </c>
      <c r="B23" t="s">
        <v>940</v>
      </c>
      <c r="D23" t="s">
        <v>163</v>
      </c>
      <c r="E23" t="s">
        <v>163</v>
      </c>
      <c r="F23">
        <v>0</v>
      </c>
    </row>
    <row r="24" spans="1:6" x14ac:dyDescent="0.25">
      <c r="A24">
        <v>1140000</v>
      </c>
      <c r="B24" t="s">
        <v>22</v>
      </c>
      <c r="D24" t="s">
        <v>163</v>
      </c>
      <c r="E24" t="s">
        <v>163</v>
      </c>
      <c r="F24">
        <v>0</v>
      </c>
    </row>
    <row r="25" spans="1:6" x14ac:dyDescent="0.25">
      <c r="A25">
        <v>1150000</v>
      </c>
      <c r="B25" t="s">
        <v>24</v>
      </c>
      <c r="D25" t="s">
        <v>163</v>
      </c>
      <c r="E25" t="s">
        <v>163</v>
      </c>
      <c r="F25">
        <v>0</v>
      </c>
    </row>
    <row r="26" spans="1:6" x14ac:dyDescent="0.25">
      <c r="A26">
        <v>1160000</v>
      </c>
      <c r="B26" t="s">
        <v>17</v>
      </c>
      <c r="D26" t="s">
        <v>163</v>
      </c>
      <c r="E26" t="s">
        <v>163</v>
      </c>
      <c r="F26">
        <v>0</v>
      </c>
    </row>
    <row r="27" spans="1:6" x14ac:dyDescent="0.25">
      <c r="A27">
        <v>1170000</v>
      </c>
      <c r="B27" t="s">
        <v>941</v>
      </c>
      <c r="D27" t="s">
        <v>163</v>
      </c>
      <c r="E27" t="s">
        <v>163</v>
      </c>
      <c r="F27">
        <v>0</v>
      </c>
    </row>
    <row r="28" spans="1:6" x14ac:dyDescent="0.25">
      <c r="A28">
        <v>1180000</v>
      </c>
      <c r="B28" t="s">
        <v>942</v>
      </c>
      <c r="D28" t="s">
        <v>163</v>
      </c>
      <c r="E28" t="s">
        <v>163</v>
      </c>
      <c r="F28">
        <v>0</v>
      </c>
    </row>
    <row r="29" spans="1:6" x14ac:dyDescent="0.25">
      <c r="A29">
        <v>1190000</v>
      </c>
      <c r="B29" t="s">
        <v>943</v>
      </c>
      <c r="D29" t="s">
        <v>163</v>
      </c>
      <c r="E29" t="s">
        <v>163</v>
      </c>
      <c r="F29">
        <v>0</v>
      </c>
    </row>
    <row r="30" spans="1:6" x14ac:dyDescent="0.25">
      <c r="A30">
        <v>1200000</v>
      </c>
      <c r="B30" t="s">
        <v>944</v>
      </c>
      <c r="D30" t="s">
        <v>163</v>
      </c>
      <c r="E30" t="s">
        <v>163</v>
      </c>
      <c r="F30">
        <v>0</v>
      </c>
    </row>
    <row r="31" spans="1:6" x14ac:dyDescent="0.25">
      <c r="A31">
        <v>1210000</v>
      </c>
      <c r="B31" t="s">
        <v>945</v>
      </c>
      <c r="D31" t="s">
        <v>4</v>
      </c>
      <c r="E31" t="s">
        <v>163</v>
      </c>
      <c r="F31">
        <v>0</v>
      </c>
    </row>
    <row r="32" spans="1:6" x14ac:dyDescent="0.25">
      <c r="A32">
        <v>1220000</v>
      </c>
      <c r="B32" t="s">
        <v>946</v>
      </c>
      <c r="D32" t="s">
        <v>163</v>
      </c>
      <c r="E32" t="s">
        <v>163</v>
      </c>
      <c r="F32">
        <v>0</v>
      </c>
    </row>
    <row r="33" spans="1:6" x14ac:dyDescent="0.25">
      <c r="A33">
        <v>1230000</v>
      </c>
      <c r="B33" t="s">
        <v>947</v>
      </c>
      <c r="D33" t="s">
        <v>163</v>
      </c>
      <c r="E33" t="s">
        <v>163</v>
      </c>
      <c r="F33">
        <v>0</v>
      </c>
    </row>
    <row r="34" spans="1:6" x14ac:dyDescent="0.25">
      <c r="A34">
        <v>1240000</v>
      </c>
      <c r="B34" t="s">
        <v>73</v>
      </c>
      <c r="D34" t="s">
        <v>163</v>
      </c>
      <c r="E34" t="s">
        <v>163</v>
      </c>
      <c r="F34">
        <v>0</v>
      </c>
    </row>
    <row r="35" spans="1:6" x14ac:dyDescent="0.25">
      <c r="A35">
        <v>1250000</v>
      </c>
      <c r="B35" t="s">
        <v>948</v>
      </c>
      <c r="D35" t="s">
        <v>163</v>
      </c>
      <c r="E35" t="s">
        <v>163</v>
      </c>
      <c r="F35">
        <v>0</v>
      </c>
    </row>
    <row r="36" spans="1:6" x14ac:dyDescent="0.25">
      <c r="A36">
        <v>1260000</v>
      </c>
      <c r="B36" t="s">
        <v>112</v>
      </c>
      <c r="D36" t="s">
        <v>163</v>
      </c>
      <c r="E36" t="s">
        <v>163</v>
      </c>
      <c r="F36">
        <v>0</v>
      </c>
    </row>
    <row r="37" spans="1:6" x14ac:dyDescent="0.25">
      <c r="A37">
        <v>1270000</v>
      </c>
      <c r="B37" t="s">
        <v>949</v>
      </c>
      <c r="D37" t="s">
        <v>163</v>
      </c>
      <c r="E37" t="s">
        <v>163</v>
      </c>
      <c r="F37">
        <v>0</v>
      </c>
    </row>
    <row r="38" spans="1:6" x14ac:dyDescent="0.25">
      <c r="A38">
        <v>1280000</v>
      </c>
      <c r="B38" t="s">
        <v>950</v>
      </c>
      <c r="D38" t="s">
        <v>163</v>
      </c>
      <c r="E38" t="s">
        <v>163</v>
      </c>
      <c r="F38">
        <v>0</v>
      </c>
    </row>
    <row r="39" spans="1:6" x14ac:dyDescent="0.25">
      <c r="A39">
        <v>1050100</v>
      </c>
      <c r="B39" t="s">
        <v>951</v>
      </c>
      <c r="D39" t="s">
        <v>163</v>
      </c>
      <c r="E39" t="s">
        <v>163</v>
      </c>
      <c r="F39">
        <v>0</v>
      </c>
    </row>
    <row r="40" spans="1:6" x14ac:dyDescent="0.25">
      <c r="A40">
        <v>1050200</v>
      </c>
      <c r="B40" t="s">
        <v>952</v>
      </c>
      <c r="D40" t="s">
        <v>163</v>
      </c>
      <c r="E40" t="s">
        <v>163</v>
      </c>
      <c r="F40">
        <v>0</v>
      </c>
    </row>
    <row r="41" spans="1:6" x14ac:dyDescent="0.25">
      <c r="A41">
        <v>1050300</v>
      </c>
      <c r="B41" t="s">
        <v>953</v>
      </c>
      <c r="D41" t="s">
        <v>163</v>
      </c>
      <c r="E41" t="s">
        <v>163</v>
      </c>
      <c r="F41">
        <v>0</v>
      </c>
    </row>
    <row r="42" spans="1:6" x14ac:dyDescent="0.25">
      <c r="A42">
        <v>1050400</v>
      </c>
      <c r="B42" t="s">
        <v>954</v>
      </c>
      <c r="D42" t="s">
        <v>163</v>
      </c>
      <c r="E42" t="s">
        <v>163</v>
      </c>
      <c r="F42">
        <v>0</v>
      </c>
    </row>
    <row r="43" spans="1:6" x14ac:dyDescent="0.25">
      <c r="A43">
        <v>1050500</v>
      </c>
      <c r="B43" t="s">
        <v>125</v>
      </c>
      <c r="D43" t="s">
        <v>163</v>
      </c>
      <c r="E43" t="s">
        <v>163</v>
      </c>
      <c r="F43">
        <v>0</v>
      </c>
    </row>
    <row r="44" spans="1:6" x14ac:dyDescent="0.25">
      <c r="A44">
        <v>1050600</v>
      </c>
      <c r="B44" t="s">
        <v>114</v>
      </c>
      <c r="D44" t="s">
        <v>163</v>
      </c>
      <c r="E44" t="s">
        <v>163</v>
      </c>
      <c r="F44">
        <v>0</v>
      </c>
    </row>
    <row r="45" spans="1:6" x14ac:dyDescent="0.25">
      <c r="A45">
        <v>1050700</v>
      </c>
      <c r="B45" t="s">
        <v>955</v>
      </c>
      <c r="D45" t="s">
        <v>163</v>
      </c>
      <c r="E45" t="s">
        <v>163</v>
      </c>
      <c r="F45">
        <v>0</v>
      </c>
    </row>
    <row r="46" spans="1:6" x14ac:dyDescent="0.25">
      <c r="A46">
        <v>1050800</v>
      </c>
      <c r="B46" t="s">
        <v>956</v>
      </c>
      <c r="D46" t="s">
        <v>163</v>
      </c>
      <c r="E46" t="s">
        <v>163</v>
      </c>
      <c r="F46">
        <v>0</v>
      </c>
    </row>
    <row r="47" spans="1:6" x14ac:dyDescent="0.25">
      <c r="A47">
        <v>1050900</v>
      </c>
      <c r="B47" t="s">
        <v>957</v>
      </c>
      <c r="D47" t="s">
        <v>163</v>
      </c>
      <c r="E47" t="s">
        <v>163</v>
      </c>
      <c r="F47">
        <v>0</v>
      </c>
    </row>
    <row r="48" spans="1:6" x14ac:dyDescent="0.25">
      <c r="A48">
        <v>1051000</v>
      </c>
      <c r="B48" t="s">
        <v>153</v>
      </c>
      <c r="D48" t="s">
        <v>163</v>
      </c>
      <c r="E48" t="s">
        <v>163</v>
      </c>
      <c r="F48">
        <v>0</v>
      </c>
    </row>
    <row r="49" spans="1:6" x14ac:dyDescent="0.25">
      <c r="A49">
        <v>1051100</v>
      </c>
      <c r="B49" t="s">
        <v>28</v>
      </c>
      <c r="D49" t="s">
        <v>163</v>
      </c>
      <c r="E49" t="s">
        <v>163</v>
      </c>
      <c r="F49">
        <v>0</v>
      </c>
    </row>
    <row r="50" spans="1:6" x14ac:dyDescent="0.25">
      <c r="A50">
        <v>1051200</v>
      </c>
      <c r="B50" t="s">
        <v>958</v>
      </c>
      <c r="D50" t="s">
        <v>163</v>
      </c>
      <c r="E50" t="s">
        <v>163</v>
      </c>
      <c r="F50">
        <v>0</v>
      </c>
    </row>
    <row r="51" spans="1:6" x14ac:dyDescent="0.25">
      <c r="A51">
        <v>1051300</v>
      </c>
      <c r="B51" t="s">
        <v>959</v>
      </c>
      <c r="D51" t="s">
        <v>163</v>
      </c>
      <c r="E51" t="s">
        <v>163</v>
      </c>
      <c r="F51">
        <v>0</v>
      </c>
    </row>
    <row r="52" spans="1:6" x14ac:dyDescent="0.25">
      <c r="A52">
        <v>1051400</v>
      </c>
      <c r="B52" t="s">
        <v>960</v>
      </c>
      <c r="D52" t="s">
        <v>163</v>
      </c>
      <c r="E52" t="s">
        <v>163</v>
      </c>
      <c r="F52">
        <v>0</v>
      </c>
    </row>
    <row r="53" spans="1:6" x14ac:dyDescent="0.25">
      <c r="A53">
        <v>1051500</v>
      </c>
      <c r="B53" t="s">
        <v>961</v>
      </c>
      <c r="D53" t="s">
        <v>163</v>
      </c>
      <c r="E53" t="s">
        <v>163</v>
      </c>
      <c r="F53">
        <v>0</v>
      </c>
    </row>
    <row r="54" spans="1:6" x14ac:dyDescent="0.25">
      <c r="A54">
        <v>1100100</v>
      </c>
      <c r="B54" t="s">
        <v>962</v>
      </c>
      <c r="D54" t="s">
        <v>163</v>
      </c>
      <c r="E54" t="s">
        <v>163</v>
      </c>
      <c r="F54">
        <v>0</v>
      </c>
    </row>
    <row r="55" spans="1:6" x14ac:dyDescent="0.25">
      <c r="A55">
        <v>1100200</v>
      </c>
      <c r="B55" t="s">
        <v>145</v>
      </c>
      <c r="D55" t="s">
        <v>163</v>
      </c>
      <c r="E55" t="s">
        <v>163</v>
      </c>
      <c r="F55">
        <v>0</v>
      </c>
    </row>
    <row r="56" spans="1:6" x14ac:dyDescent="0.25">
      <c r="A56">
        <v>1100300</v>
      </c>
      <c r="B56" t="s">
        <v>963</v>
      </c>
      <c r="D56" t="s">
        <v>163</v>
      </c>
      <c r="E56" t="s">
        <v>163</v>
      </c>
      <c r="F56">
        <v>0</v>
      </c>
    </row>
    <row r="57" spans="1:6" x14ac:dyDescent="0.25">
      <c r="A57">
        <v>1100400</v>
      </c>
      <c r="B57" t="s">
        <v>964</v>
      </c>
      <c r="D57" t="s">
        <v>163</v>
      </c>
      <c r="E57" t="s">
        <v>163</v>
      </c>
      <c r="F57">
        <v>0</v>
      </c>
    </row>
    <row r="58" spans="1:6" x14ac:dyDescent="0.25">
      <c r="A58">
        <v>1100500</v>
      </c>
      <c r="B58" t="s">
        <v>965</v>
      </c>
      <c r="D58" t="s">
        <v>163</v>
      </c>
      <c r="E58" t="s">
        <v>163</v>
      </c>
      <c r="F58">
        <v>0</v>
      </c>
    </row>
    <row r="59" spans="1:6" x14ac:dyDescent="0.25">
      <c r="A59">
        <v>1100600</v>
      </c>
      <c r="B59" t="s">
        <v>966</v>
      </c>
      <c r="D59" t="s">
        <v>163</v>
      </c>
      <c r="E59" t="s">
        <v>163</v>
      </c>
      <c r="F59">
        <v>0</v>
      </c>
    </row>
    <row r="60" spans="1:6" x14ac:dyDescent="0.25">
      <c r="A60">
        <v>1100700</v>
      </c>
      <c r="B60" t="s">
        <v>967</v>
      </c>
      <c r="D60" t="s">
        <v>163</v>
      </c>
      <c r="E60" t="s">
        <v>163</v>
      </c>
      <c r="F60">
        <v>0</v>
      </c>
    </row>
    <row r="61" spans="1:6" x14ac:dyDescent="0.25">
      <c r="A61">
        <v>2010000</v>
      </c>
      <c r="B61" t="s">
        <v>791</v>
      </c>
      <c r="D61" t="s">
        <v>163</v>
      </c>
      <c r="E61" t="s">
        <v>4</v>
      </c>
      <c r="F61">
        <v>0</v>
      </c>
    </row>
    <row r="62" spans="1:6" x14ac:dyDescent="0.25">
      <c r="A62">
        <v>2020000</v>
      </c>
      <c r="B62" t="s">
        <v>813</v>
      </c>
      <c r="D62" t="s">
        <v>163</v>
      </c>
      <c r="E62" t="s">
        <v>4</v>
      </c>
      <c r="F62">
        <v>0</v>
      </c>
    </row>
    <row r="63" spans="1:6" x14ac:dyDescent="0.25">
      <c r="A63">
        <v>2030000</v>
      </c>
      <c r="B63" t="s">
        <v>843</v>
      </c>
      <c r="D63" t="s">
        <v>163</v>
      </c>
      <c r="E63" t="s">
        <v>4</v>
      </c>
      <c r="F63">
        <v>0</v>
      </c>
    </row>
    <row r="64" spans="1:6" x14ac:dyDescent="0.25">
      <c r="A64">
        <v>2040000</v>
      </c>
      <c r="B64" t="s">
        <v>783</v>
      </c>
      <c r="D64" t="s">
        <v>163</v>
      </c>
      <c r="E64" t="s">
        <v>4</v>
      </c>
      <c r="F64">
        <v>0</v>
      </c>
    </row>
    <row r="65" spans="1:6" x14ac:dyDescent="0.25">
      <c r="A65">
        <v>2050000</v>
      </c>
      <c r="B65" t="s">
        <v>808</v>
      </c>
      <c r="D65" t="s">
        <v>163</v>
      </c>
      <c r="E65" t="s">
        <v>4</v>
      </c>
      <c r="F65">
        <v>0</v>
      </c>
    </row>
    <row r="66" spans="1:6" x14ac:dyDescent="0.25">
      <c r="A66">
        <v>2060000</v>
      </c>
      <c r="B66" t="s">
        <v>402</v>
      </c>
      <c r="D66" t="s">
        <v>163</v>
      </c>
      <c r="E66" t="s">
        <v>4</v>
      </c>
      <c r="F66">
        <v>0</v>
      </c>
    </row>
    <row r="67" spans="1:6" x14ac:dyDescent="0.25">
      <c r="A67">
        <v>2070000</v>
      </c>
      <c r="B67" t="s">
        <v>800</v>
      </c>
      <c r="D67" t="s">
        <v>163</v>
      </c>
      <c r="E67" t="s">
        <v>4</v>
      </c>
      <c r="F67">
        <v>0</v>
      </c>
    </row>
    <row r="68" spans="1:6" x14ac:dyDescent="0.25">
      <c r="A68">
        <v>2080000</v>
      </c>
      <c r="B68" t="s">
        <v>835</v>
      </c>
      <c r="D68" t="s">
        <v>163</v>
      </c>
      <c r="E68" t="s">
        <v>4</v>
      </c>
      <c r="F68">
        <v>0</v>
      </c>
    </row>
    <row r="69" spans="1:6" x14ac:dyDescent="0.25">
      <c r="A69">
        <v>2090000</v>
      </c>
      <c r="B69" t="s">
        <v>786</v>
      </c>
      <c r="D69" t="s">
        <v>163</v>
      </c>
      <c r="E69" t="s">
        <v>4</v>
      </c>
      <c r="F69">
        <v>0</v>
      </c>
    </row>
    <row r="70" spans="1:6" x14ac:dyDescent="0.25">
      <c r="A70">
        <v>2100000</v>
      </c>
      <c r="B70" t="s">
        <v>820</v>
      </c>
      <c r="D70" t="s">
        <v>163</v>
      </c>
      <c r="E70" t="s">
        <v>4</v>
      </c>
      <c r="F70">
        <v>0</v>
      </c>
    </row>
    <row r="71" spans="1:6" x14ac:dyDescent="0.25">
      <c r="A71">
        <v>2110000</v>
      </c>
      <c r="B71" t="s">
        <v>113</v>
      </c>
      <c r="D71" t="s">
        <v>163</v>
      </c>
      <c r="E71" t="s">
        <v>4</v>
      </c>
      <c r="F71">
        <v>0</v>
      </c>
    </row>
    <row r="72" spans="1:6" x14ac:dyDescent="0.25">
      <c r="A72">
        <v>2120000</v>
      </c>
      <c r="B72" t="s">
        <v>64</v>
      </c>
      <c r="D72" t="s">
        <v>163</v>
      </c>
      <c r="E72" t="s">
        <v>4</v>
      </c>
      <c r="F72">
        <v>0</v>
      </c>
    </row>
    <row r="73" spans="1:6" x14ac:dyDescent="0.25">
      <c r="A73">
        <v>2130000</v>
      </c>
      <c r="B73" t="s">
        <v>841</v>
      </c>
      <c r="D73" t="s">
        <v>163</v>
      </c>
      <c r="E73" t="s">
        <v>4</v>
      </c>
      <c r="F73">
        <v>0</v>
      </c>
    </row>
    <row r="74" spans="1:6" x14ac:dyDescent="0.25">
      <c r="A74">
        <v>2140000</v>
      </c>
      <c r="B74" t="s">
        <v>823</v>
      </c>
      <c r="D74" t="s">
        <v>163</v>
      </c>
      <c r="E74" t="s">
        <v>4</v>
      </c>
      <c r="F74">
        <v>0</v>
      </c>
    </row>
    <row r="75" spans="1:6" x14ac:dyDescent="0.25">
      <c r="A75">
        <v>2150000</v>
      </c>
      <c r="B75" t="s">
        <v>804</v>
      </c>
      <c r="D75" t="s">
        <v>163</v>
      </c>
      <c r="E75" t="s">
        <v>4</v>
      </c>
      <c r="F75">
        <v>0</v>
      </c>
    </row>
    <row r="76" spans="1:6" x14ac:dyDescent="0.25">
      <c r="A76">
        <v>2160000</v>
      </c>
      <c r="B76" t="s">
        <v>968</v>
      </c>
      <c r="D76" t="s">
        <v>163</v>
      </c>
      <c r="E76" t="s">
        <v>4</v>
      </c>
      <c r="F76">
        <v>0</v>
      </c>
    </row>
    <row r="77" spans="1:6" x14ac:dyDescent="0.25">
      <c r="A77">
        <v>2010100</v>
      </c>
      <c r="B77" t="s">
        <v>796</v>
      </c>
      <c r="D77" t="s">
        <v>163</v>
      </c>
      <c r="E77" t="s">
        <v>163</v>
      </c>
      <c r="F77">
        <v>0</v>
      </c>
    </row>
    <row r="78" spans="1:6" x14ac:dyDescent="0.25">
      <c r="A78">
        <v>2010200</v>
      </c>
      <c r="B78" t="s">
        <v>795</v>
      </c>
      <c r="D78" t="s">
        <v>163</v>
      </c>
      <c r="E78" t="s">
        <v>163</v>
      </c>
      <c r="F78">
        <v>0</v>
      </c>
    </row>
    <row r="79" spans="1:6" x14ac:dyDescent="0.25">
      <c r="A79">
        <v>2010300</v>
      </c>
      <c r="B79" t="s">
        <v>793</v>
      </c>
      <c r="D79" t="s">
        <v>163</v>
      </c>
      <c r="E79" t="s">
        <v>163</v>
      </c>
      <c r="F79">
        <v>0</v>
      </c>
    </row>
    <row r="80" spans="1:6" x14ac:dyDescent="0.25">
      <c r="A80">
        <v>2010400</v>
      </c>
      <c r="B80" t="s">
        <v>799</v>
      </c>
      <c r="D80" t="s">
        <v>163</v>
      </c>
      <c r="E80" t="s">
        <v>163</v>
      </c>
      <c r="F80">
        <v>0</v>
      </c>
    </row>
    <row r="81" spans="1:6" x14ac:dyDescent="0.25">
      <c r="A81">
        <v>2010500</v>
      </c>
      <c r="B81" t="s">
        <v>798</v>
      </c>
      <c r="D81" t="s">
        <v>163</v>
      </c>
      <c r="E81" t="s">
        <v>163</v>
      </c>
      <c r="F81">
        <v>0</v>
      </c>
    </row>
    <row r="82" spans="1:6" x14ac:dyDescent="0.25">
      <c r="A82">
        <v>2010600</v>
      </c>
      <c r="B82" t="s">
        <v>792</v>
      </c>
      <c r="D82" t="s">
        <v>163</v>
      </c>
      <c r="E82" t="s">
        <v>163</v>
      </c>
      <c r="F82">
        <v>0</v>
      </c>
    </row>
    <row r="83" spans="1:6" x14ac:dyDescent="0.25">
      <c r="A83">
        <v>2010700</v>
      </c>
      <c r="B83" t="s">
        <v>797</v>
      </c>
      <c r="D83" t="s">
        <v>163</v>
      </c>
      <c r="E83" t="s">
        <v>163</v>
      </c>
      <c r="F83">
        <v>0</v>
      </c>
    </row>
    <row r="84" spans="1:6" x14ac:dyDescent="0.25">
      <c r="A84">
        <v>2010800</v>
      </c>
      <c r="B84" t="s">
        <v>794</v>
      </c>
      <c r="D84" t="s">
        <v>163</v>
      </c>
      <c r="E84" t="s">
        <v>163</v>
      </c>
      <c r="F84">
        <v>0</v>
      </c>
    </row>
    <row r="85" spans="1:6" x14ac:dyDescent="0.25">
      <c r="A85">
        <v>2020100</v>
      </c>
      <c r="B85" t="s">
        <v>816</v>
      </c>
      <c r="D85" t="s">
        <v>163</v>
      </c>
      <c r="E85" t="s">
        <v>163</v>
      </c>
      <c r="F85">
        <v>0</v>
      </c>
    </row>
    <row r="86" spans="1:6" x14ac:dyDescent="0.25">
      <c r="A86">
        <v>2020200</v>
      </c>
      <c r="B86" t="s">
        <v>817</v>
      </c>
      <c r="D86" t="s">
        <v>163</v>
      </c>
      <c r="E86" t="s">
        <v>163</v>
      </c>
      <c r="F86">
        <v>0</v>
      </c>
    </row>
    <row r="87" spans="1:6" x14ac:dyDescent="0.25">
      <c r="A87">
        <v>2020300</v>
      </c>
      <c r="B87" t="s">
        <v>815</v>
      </c>
      <c r="D87" t="s">
        <v>163</v>
      </c>
      <c r="E87" t="s">
        <v>163</v>
      </c>
      <c r="F87">
        <v>0</v>
      </c>
    </row>
    <row r="88" spans="1:6" x14ac:dyDescent="0.25">
      <c r="A88">
        <v>2020400</v>
      </c>
      <c r="B88" t="s">
        <v>819</v>
      </c>
      <c r="D88" t="s">
        <v>163</v>
      </c>
      <c r="E88" t="s">
        <v>163</v>
      </c>
      <c r="F88">
        <v>0</v>
      </c>
    </row>
    <row r="89" spans="1:6" x14ac:dyDescent="0.25">
      <c r="A89">
        <v>2020500</v>
      </c>
      <c r="B89" t="s">
        <v>818</v>
      </c>
      <c r="D89" t="s">
        <v>163</v>
      </c>
      <c r="E89" t="s">
        <v>163</v>
      </c>
      <c r="F89">
        <v>0</v>
      </c>
    </row>
    <row r="90" spans="1:6" x14ac:dyDescent="0.25">
      <c r="A90">
        <v>2020600</v>
      </c>
      <c r="B90" t="s">
        <v>814</v>
      </c>
      <c r="D90" t="s">
        <v>163</v>
      </c>
      <c r="E90" t="s">
        <v>163</v>
      </c>
      <c r="F90">
        <v>0</v>
      </c>
    </row>
    <row r="91" spans="1:6" x14ac:dyDescent="0.25">
      <c r="A91">
        <v>2030100</v>
      </c>
      <c r="B91" t="s">
        <v>845</v>
      </c>
      <c r="D91" t="s">
        <v>163</v>
      </c>
      <c r="E91" t="s">
        <v>163</v>
      </c>
      <c r="F91">
        <v>0</v>
      </c>
    </row>
    <row r="92" spans="1:6" x14ac:dyDescent="0.25">
      <c r="A92">
        <v>2030200</v>
      </c>
      <c r="B92" t="s">
        <v>844</v>
      </c>
      <c r="D92" t="s">
        <v>163</v>
      </c>
      <c r="E92" t="s">
        <v>163</v>
      </c>
      <c r="F92">
        <v>0</v>
      </c>
    </row>
    <row r="93" spans="1:6" x14ac:dyDescent="0.25">
      <c r="A93">
        <v>2030300</v>
      </c>
      <c r="B93" t="s">
        <v>850</v>
      </c>
      <c r="D93" t="s">
        <v>163</v>
      </c>
      <c r="E93" t="s">
        <v>163</v>
      </c>
      <c r="F93">
        <v>0</v>
      </c>
    </row>
    <row r="94" spans="1:6" x14ac:dyDescent="0.25">
      <c r="A94">
        <v>2030400</v>
      </c>
      <c r="B94" t="s">
        <v>849</v>
      </c>
      <c r="D94" t="s">
        <v>163</v>
      </c>
      <c r="E94" t="s">
        <v>163</v>
      </c>
      <c r="F94">
        <v>0</v>
      </c>
    </row>
    <row r="95" spans="1:6" x14ac:dyDescent="0.25">
      <c r="A95">
        <v>2030500</v>
      </c>
      <c r="B95" t="s">
        <v>847</v>
      </c>
      <c r="D95" t="s">
        <v>163</v>
      </c>
      <c r="E95" t="s">
        <v>163</v>
      </c>
      <c r="F95">
        <v>0</v>
      </c>
    </row>
    <row r="96" spans="1:6" x14ac:dyDescent="0.25">
      <c r="A96">
        <v>2030600</v>
      </c>
      <c r="B96" t="s">
        <v>848</v>
      </c>
      <c r="D96" t="s">
        <v>163</v>
      </c>
      <c r="E96" t="s">
        <v>163</v>
      </c>
      <c r="F96">
        <v>0</v>
      </c>
    </row>
    <row r="97" spans="1:6" x14ac:dyDescent="0.25">
      <c r="A97">
        <v>2030700</v>
      </c>
      <c r="B97" t="s">
        <v>846</v>
      </c>
      <c r="D97" t="s">
        <v>163</v>
      </c>
      <c r="E97" t="s">
        <v>163</v>
      </c>
      <c r="F97">
        <v>0</v>
      </c>
    </row>
    <row r="98" spans="1:6" x14ac:dyDescent="0.25">
      <c r="A98">
        <v>2040100</v>
      </c>
      <c r="B98" t="s">
        <v>784</v>
      </c>
      <c r="D98" t="s">
        <v>163</v>
      </c>
      <c r="E98" t="s">
        <v>4</v>
      </c>
      <c r="F98">
        <v>0</v>
      </c>
    </row>
    <row r="99" spans="1:6" x14ac:dyDescent="0.25">
      <c r="A99">
        <v>2040200</v>
      </c>
      <c r="B99" t="s">
        <v>785</v>
      </c>
      <c r="D99" t="s">
        <v>163</v>
      </c>
      <c r="E99" t="s">
        <v>163</v>
      </c>
      <c r="F99">
        <v>0</v>
      </c>
    </row>
    <row r="100" spans="1:6" x14ac:dyDescent="0.25">
      <c r="A100">
        <v>2040300</v>
      </c>
      <c r="B100" t="s">
        <v>66</v>
      </c>
      <c r="D100" t="s">
        <v>163</v>
      </c>
      <c r="E100" t="s">
        <v>163</v>
      </c>
      <c r="F100">
        <v>0</v>
      </c>
    </row>
    <row r="101" spans="1:6" x14ac:dyDescent="0.25">
      <c r="A101">
        <v>2040101</v>
      </c>
      <c r="B101" t="s">
        <v>855</v>
      </c>
      <c r="D101" t="s">
        <v>163</v>
      </c>
      <c r="E101" t="s">
        <v>163</v>
      </c>
      <c r="F101">
        <v>0</v>
      </c>
    </row>
    <row r="102" spans="1:6" x14ac:dyDescent="0.25">
      <c r="A102">
        <v>2040102</v>
      </c>
      <c r="B102" t="s">
        <v>854</v>
      </c>
      <c r="D102" t="s">
        <v>163</v>
      </c>
      <c r="E102" t="s">
        <v>163</v>
      </c>
      <c r="F102">
        <v>0</v>
      </c>
    </row>
    <row r="103" spans="1:6" x14ac:dyDescent="0.25">
      <c r="A103">
        <v>2040103</v>
      </c>
      <c r="B103" t="s">
        <v>851</v>
      </c>
      <c r="D103" t="s">
        <v>163</v>
      </c>
      <c r="E103" t="s">
        <v>163</v>
      </c>
      <c r="F103">
        <v>0</v>
      </c>
    </row>
    <row r="104" spans="1:6" x14ac:dyDescent="0.25">
      <c r="A104">
        <v>2040104</v>
      </c>
      <c r="B104" t="s">
        <v>853</v>
      </c>
      <c r="D104" t="s">
        <v>163</v>
      </c>
      <c r="E104" t="s">
        <v>163</v>
      </c>
      <c r="F104">
        <v>0</v>
      </c>
    </row>
    <row r="105" spans="1:6" x14ac:dyDescent="0.25">
      <c r="A105">
        <v>2040105</v>
      </c>
      <c r="B105" t="s">
        <v>852</v>
      </c>
      <c r="D105" t="s">
        <v>163</v>
      </c>
      <c r="E105" t="s">
        <v>163</v>
      </c>
      <c r="F105">
        <v>0</v>
      </c>
    </row>
    <row r="106" spans="1:6" x14ac:dyDescent="0.25">
      <c r="A106">
        <v>2050100</v>
      </c>
      <c r="B106" t="s">
        <v>812</v>
      </c>
      <c r="D106" t="s">
        <v>163</v>
      </c>
      <c r="E106" t="s">
        <v>163</v>
      </c>
      <c r="F106">
        <v>0</v>
      </c>
    </row>
    <row r="107" spans="1:6" x14ac:dyDescent="0.25">
      <c r="A107">
        <v>2050200</v>
      </c>
      <c r="B107" t="s">
        <v>811</v>
      </c>
      <c r="D107" t="s">
        <v>163</v>
      </c>
      <c r="E107" t="s">
        <v>163</v>
      </c>
      <c r="F107">
        <v>0</v>
      </c>
    </row>
    <row r="108" spans="1:6" x14ac:dyDescent="0.25">
      <c r="A108">
        <v>2050300</v>
      </c>
      <c r="B108" t="s">
        <v>809</v>
      </c>
      <c r="D108" t="s">
        <v>163</v>
      </c>
      <c r="E108" t="s">
        <v>163</v>
      </c>
      <c r="F108">
        <v>0</v>
      </c>
    </row>
    <row r="109" spans="1:6" x14ac:dyDescent="0.25">
      <c r="A109">
        <v>2050400</v>
      </c>
      <c r="B109" t="s">
        <v>810</v>
      </c>
      <c r="D109" t="s">
        <v>163</v>
      </c>
      <c r="E109" t="s">
        <v>163</v>
      </c>
      <c r="F109">
        <v>0</v>
      </c>
    </row>
    <row r="110" spans="1:6" x14ac:dyDescent="0.25">
      <c r="A110">
        <v>2060100</v>
      </c>
      <c r="B110" t="s">
        <v>834</v>
      </c>
      <c r="D110" t="s">
        <v>163</v>
      </c>
      <c r="E110" t="s">
        <v>163</v>
      </c>
      <c r="F110">
        <v>0</v>
      </c>
    </row>
    <row r="111" spans="1:6" x14ac:dyDescent="0.25">
      <c r="A111">
        <v>2070100</v>
      </c>
      <c r="B111" t="s">
        <v>802</v>
      </c>
      <c r="D111" t="s">
        <v>163</v>
      </c>
      <c r="E111" t="s">
        <v>163</v>
      </c>
      <c r="F111">
        <v>0</v>
      </c>
    </row>
    <row r="112" spans="1:6" x14ac:dyDescent="0.25">
      <c r="A112">
        <v>2070200</v>
      </c>
      <c r="B112" t="s">
        <v>803</v>
      </c>
      <c r="D112" t="s">
        <v>163</v>
      </c>
      <c r="E112" t="s">
        <v>163</v>
      </c>
      <c r="F112">
        <v>0</v>
      </c>
    </row>
    <row r="113" spans="1:6" x14ac:dyDescent="0.25">
      <c r="A113">
        <v>2070300</v>
      </c>
      <c r="B113" t="s">
        <v>801</v>
      </c>
      <c r="D113" t="s">
        <v>163</v>
      </c>
      <c r="E113" t="s">
        <v>163</v>
      </c>
      <c r="F113">
        <v>0</v>
      </c>
    </row>
    <row r="114" spans="1:6" x14ac:dyDescent="0.25">
      <c r="A114">
        <v>2070400</v>
      </c>
      <c r="B114" t="s">
        <v>969</v>
      </c>
      <c r="D114" t="s">
        <v>4</v>
      </c>
      <c r="E114" t="s">
        <v>163</v>
      </c>
      <c r="F114">
        <v>0</v>
      </c>
    </row>
    <row r="115" spans="1:6" x14ac:dyDescent="0.25">
      <c r="A115">
        <v>2080100</v>
      </c>
      <c r="B115" t="s">
        <v>836</v>
      </c>
      <c r="D115" t="s">
        <v>163</v>
      </c>
      <c r="E115" t="s">
        <v>163</v>
      </c>
      <c r="F115">
        <v>0</v>
      </c>
    </row>
    <row r="116" spans="1:6" x14ac:dyDescent="0.25">
      <c r="A116">
        <v>2080200</v>
      </c>
      <c r="B116" t="s">
        <v>838</v>
      </c>
      <c r="D116" t="s">
        <v>163</v>
      </c>
      <c r="E116" t="s">
        <v>163</v>
      </c>
      <c r="F116">
        <v>0</v>
      </c>
    </row>
    <row r="117" spans="1:6" x14ac:dyDescent="0.25">
      <c r="A117">
        <v>2080300</v>
      </c>
      <c r="B117" t="s">
        <v>839</v>
      </c>
      <c r="D117" t="s">
        <v>163</v>
      </c>
      <c r="E117" t="s">
        <v>163</v>
      </c>
      <c r="F117">
        <v>0</v>
      </c>
    </row>
    <row r="118" spans="1:6" x14ac:dyDescent="0.25">
      <c r="A118">
        <v>2080400</v>
      </c>
      <c r="B118" t="s">
        <v>837</v>
      </c>
      <c r="D118" t="s">
        <v>163</v>
      </c>
      <c r="E118" t="s">
        <v>163</v>
      </c>
      <c r="F118">
        <v>0</v>
      </c>
    </row>
    <row r="119" spans="1:6" x14ac:dyDescent="0.25">
      <c r="A119">
        <v>2080500</v>
      </c>
      <c r="B119" t="s">
        <v>840</v>
      </c>
      <c r="D119" t="s">
        <v>163</v>
      </c>
      <c r="E119" t="s">
        <v>163</v>
      </c>
      <c r="F119">
        <v>0</v>
      </c>
    </row>
    <row r="120" spans="1:6" x14ac:dyDescent="0.25">
      <c r="A120">
        <v>2090100</v>
      </c>
      <c r="B120" t="s">
        <v>787</v>
      </c>
      <c r="D120" t="s">
        <v>163</v>
      </c>
      <c r="E120" t="s">
        <v>163</v>
      </c>
      <c r="F120">
        <v>0</v>
      </c>
    </row>
    <row r="121" spans="1:6" x14ac:dyDescent="0.25">
      <c r="A121">
        <v>2100100</v>
      </c>
      <c r="B121" t="s">
        <v>821</v>
      </c>
      <c r="D121" t="s">
        <v>163</v>
      </c>
      <c r="E121" t="s">
        <v>4</v>
      </c>
      <c r="F121">
        <v>0</v>
      </c>
    </row>
    <row r="122" spans="1:6" x14ac:dyDescent="0.25">
      <c r="A122">
        <v>2100200</v>
      </c>
      <c r="B122" t="s">
        <v>822</v>
      </c>
      <c r="D122" t="s">
        <v>163</v>
      </c>
      <c r="E122" t="s">
        <v>4</v>
      </c>
      <c r="F122">
        <v>0</v>
      </c>
    </row>
    <row r="123" spans="1:6" x14ac:dyDescent="0.25">
      <c r="A123">
        <v>2100101</v>
      </c>
      <c r="B123" t="s">
        <v>861</v>
      </c>
      <c r="D123" t="s">
        <v>163</v>
      </c>
      <c r="E123" t="s">
        <v>163</v>
      </c>
      <c r="F123">
        <v>0</v>
      </c>
    </row>
    <row r="124" spans="1:6" x14ac:dyDescent="0.25">
      <c r="A124">
        <v>2100102</v>
      </c>
      <c r="B124" t="s">
        <v>862</v>
      </c>
      <c r="D124" t="s">
        <v>163</v>
      </c>
      <c r="E124" t="s">
        <v>163</v>
      </c>
      <c r="F124">
        <v>0</v>
      </c>
    </row>
    <row r="125" spans="1:6" x14ac:dyDescent="0.25">
      <c r="A125">
        <v>2100103</v>
      </c>
      <c r="B125" t="s">
        <v>863</v>
      </c>
      <c r="D125" t="s">
        <v>163</v>
      </c>
      <c r="E125" t="s">
        <v>163</v>
      </c>
      <c r="F125">
        <v>0</v>
      </c>
    </row>
    <row r="126" spans="1:6" x14ac:dyDescent="0.25">
      <c r="A126">
        <v>2100104</v>
      </c>
      <c r="B126" t="s">
        <v>860</v>
      </c>
      <c r="D126" t="s">
        <v>163</v>
      </c>
      <c r="E126" t="s">
        <v>163</v>
      </c>
      <c r="F126">
        <v>0</v>
      </c>
    </row>
    <row r="127" spans="1:6" x14ac:dyDescent="0.25">
      <c r="A127">
        <v>2100105</v>
      </c>
      <c r="B127" t="s">
        <v>857</v>
      </c>
      <c r="D127" t="s">
        <v>163</v>
      </c>
      <c r="E127" t="s">
        <v>163</v>
      </c>
      <c r="F127">
        <v>0</v>
      </c>
    </row>
    <row r="128" spans="1:6" x14ac:dyDescent="0.25">
      <c r="A128">
        <v>2100106</v>
      </c>
      <c r="B128" t="s">
        <v>856</v>
      </c>
      <c r="D128" t="s">
        <v>163</v>
      </c>
      <c r="E128" t="s">
        <v>163</v>
      </c>
      <c r="F128">
        <v>0</v>
      </c>
    </row>
    <row r="129" spans="1:6" x14ac:dyDescent="0.25">
      <c r="A129">
        <v>2100107</v>
      </c>
      <c r="B129" t="s">
        <v>864</v>
      </c>
      <c r="D129" t="s">
        <v>163</v>
      </c>
      <c r="E129" t="s">
        <v>163</v>
      </c>
      <c r="F129">
        <v>0</v>
      </c>
    </row>
    <row r="130" spans="1:6" x14ac:dyDescent="0.25">
      <c r="A130">
        <v>2100108</v>
      </c>
      <c r="B130" t="s">
        <v>865</v>
      </c>
      <c r="D130" t="s">
        <v>163</v>
      </c>
      <c r="E130" t="s">
        <v>163</v>
      </c>
      <c r="F130">
        <v>0</v>
      </c>
    </row>
    <row r="131" spans="1:6" x14ac:dyDescent="0.25">
      <c r="A131">
        <v>2100109</v>
      </c>
      <c r="B131" t="s">
        <v>867</v>
      </c>
      <c r="D131" t="s">
        <v>163</v>
      </c>
      <c r="E131" t="s">
        <v>163</v>
      </c>
      <c r="F131">
        <v>0</v>
      </c>
    </row>
    <row r="132" spans="1:6" x14ac:dyDescent="0.25">
      <c r="A132">
        <v>2100110</v>
      </c>
      <c r="B132" t="s">
        <v>866</v>
      </c>
      <c r="D132" t="s">
        <v>163</v>
      </c>
      <c r="E132" t="s">
        <v>163</v>
      </c>
      <c r="F132">
        <v>0</v>
      </c>
    </row>
    <row r="133" spans="1:6" x14ac:dyDescent="0.25">
      <c r="A133">
        <v>2100111</v>
      </c>
      <c r="B133" t="s">
        <v>858</v>
      </c>
      <c r="D133" t="s">
        <v>163</v>
      </c>
      <c r="E133" t="s">
        <v>163</v>
      </c>
      <c r="F133">
        <v>0</v>
      </c>
    </row>
    <row r="134" spans="1:6" x14ac:dyDescent="0.25">
      <c r="A134">
        <v>2100112</v>
      </c>
      <c r="B134" t="s">
        <v>859</v>
      </c>
      <c r="D134" t="s">
        <v>163</v>
      </c>
      <c r="E134" t="s">
        <v>163</v>
      </c>
      <c r="F134">
        <v>0</v>
      </c>
    </row>
    <row r="135" spans="1:6" x14ac:dyDescent="0.25">
      <c r="A135">
        <v>2100113</v>
      </c>
      <c r="B135" t="s">
        <v>970</v>
      </c>
      <c r="D135" t="s">
        <v>163</v>
      </c>
      <c r="E135" t="s">
        <v>163</v>
      </c>
      <c r="F135">
        <v>0</v>
      </c>
    </row>
    <row r="136" spans="1:6" x14ac:dyDescent="0.25">
      <c r="A136">
        <v>2100201</v>
      </c>
      <c r="B136" t="s">
        <v>868</v>
      </c>
      <c r="D136" t="s">
        <v>163</v>
      </c>
      <c r="E136" t="s">
        <v>163</v>
      </c>
      <c r="F136">
        <v>0</v>
      </c>
    </row>
    <row r="137" spans="1:6" x14ac:dyDescent="0.25">
      <c r="A137">
        <v>2100202</v>
      </c>
      <c r="B137" t="s">
        <v>869</v>
      </c>
      <c r="D137" t="s">
        <v>163</v>
      </c>
      <c r="E137" t="s">
        <v>163</v>
      </c>
      <c r="F137">
        <v>0</v>
      </c>
    </row>
    <row r="138" spans="1:6" x14ac:dyDescent="0.25">
      <c r="A138">
        <v>2110100</v>
      </c>
      <c r="B138" t="s">
        <v>824</v>
      </c>
      <c r="D138" t="s">
        <v>163</v>
      </c>
      <c r="E138" t="s">
        <v>163</v>
      </c>
      <c r="F138">
        <v>0</v>
      </c>
    </row>
    <row r="139" spans="1:6" x14ac:dyDescent="0.25">
      <c r="A139">
        <v>2110200</v>
      </c>
      <c r="B139" t="s">
        <v>825</v>
      </c>
      <c r="D139" t="s">
        <v>163</v>
      </c>
      <c r="E139" t="s">
        <v>163</v>
      </c>
      <c r="F139">
        <v>0</v>
      </c>
    </row>
    <row r="140" spans="1:6" x14ac:dyDescent="0.25">
      <c r="A140">
        <v>2110300</v>
      </c>
      <c r="B140" t="s">
        <v>827</v>
      </c>
      <c r="D140" t="s">
        <v>163</v>
      </c>
      <c r="E140" t="s">
        <v>163</v>
      </c>
      <c r="F140">
        <v>0</v>
      </c>
    </row>
    <row r="141" spans="1:6" x14ac:dyDescent="0.25">
      <c r="A141">
        <v>2110400</v>
      </c>
      <c r="B141" t="s">
        <v>828</v>
      </c>
      <c r="D141" t="s">
        <v>163</v>
      </c>
      <c r="E141" t="s">
        <v>163</v>
      </c>
      <c r="F141">
        <v>0</v>
      </c>
    </row>
    <row r="142" spans="1:6" x14ac:dyDescent="0.25">
      <c r="A142">
        <v>2110500</v>
      </c>
      <c r="B142" t="s">
        <v>829</v>
      </c>
      <c r="D142" t="s">
        <v>163</v>
      </c>
      <c r="E142" t="s">
        <v>163</v>
      </c>
      <c r="F142">
        <v>0</v>
      </c>
    </row>
    <row r="143" spans="1:6" x14ac:dyDescent="0.25">
      <c r="A143">
        <v>2110600</v>
      </c>
      <c r="B143" t="s">
        <v>830</v>
      </c>
      <c r="D143" t="s">
        <v>163</v>
      </c>
      <c r="E143" t="s">
        <v>163</v>
      </c>
      <c r="F143">
        <v>0</v>
      </c>
    </row>
    <row r="144" spans="1:6" x14ac:dyDescent="0.25">
      <c r="A144">
        <v>2110700</v>
      </c>
      <c r="B144" t="s">
        <v>831</v>
      </c>
      <c r="D144" t="s">
        <v>163</v>
      </c>
      <c r="E144" t="s">
        <v>163</v>
      </c>
      <c r="F144">
        <v>0</v>
      </c>
    </row>
    <row r="145" spans="1:6" x14ac:dyDescent="0.25">
      <c r="A145">
        <v>2110800</v>
      </c>
      <c r="B145" t="s">
        <v>832</v>
      </c>
      <c r="D145" t="s">
        <v>163</v>
      </c>
      <c r="E145" t="s">
        <v>163</v>
      </c>
      <c r="F145">
        <v>0</v>
      </c>
    </row>
    <row r="146" spans="1:6" x14ac:dyDescent="0.25">
      <c r="A146">
        <v>2110900</v>
      </c>
      <c r="B146" t="s">
        <v>833</v>
      </c>
      <c r="D146" t="s">
        <v>163</v>
      </c>
      <c r="E146" t="s">
        <v>163</v>
      </c>
      <c r="F146">
        <v>0</v>
      </c>
    </row>
    <row r="147" spans="1:6" x14ac:dyDescent="0.25">
      <c r="A147">
        <v>2111000</v>
      </c>
      <c r="B147" t="s">
        <v>826</v>
      </c>
      <c r="D147" t="s">
        <v>163</v>
      </c>
      <c r="E147" t="s">
        <v>163</v>
      </c>
      <c r="F147">
        <v>0</v>
      </c>
    </row>
    <row r="148" spans="1:6" x14ac:dyDescent="0.25">
      <c r="A148">
        <v>2120100</v>
      </c>
      <c r="B148" t="s">
        <v>790</v>
      </c>
      <c r="D148" t="s">
        <v>163</v>
      </c>
      <c r="E148" t="s">
        <v>163</v>
      </c>
      <c r="F148">
        <v>0</v>
      </c>
    </row>
    <row r="149" spans="1:6" x14ac:dyDescent="0.25">
      <c r="A149">
        <v>2120200</v>
      </c>
      <c r="B149" t="s">
        <v>789</v>
      </c>
      <c r="D149" t="s">
        <v>163</v>
      </c>
      <c r="E149" t="s">
        <v>163</v>
      </c>
      <c r="F149">
        <v>0</v>
      </c>
    </row>
    <row r="150" spans="1:6" x14ac:dyDescent="0.25">
      <c r="A150">
        <v>2120300</v>
      </c>
      <c r="B150" t="s">
        <v>788</v>
      </c>
      <c r="D150" t="s">
        <v>163</v>
      </c>
      <c r="E150" t="s">
        <v>163</v>
      </c>
      <c r="F150">
        <v>0</v>
      </c>
    </row>
    <row r="151" spans="1:6" x14ac:dyDescent="0.25">
      <c r="A151">
        <v>2131000</v>
      </c>
      <c r="B151" t="s">
        <v>842</v>
      </c>
      <c r="D151" t="s">
        <v>163</v>
      </c>
      <c r="E151" t="s">
        <v>163</v>
      </c>
      <c r="F151">
        <v>0</v>
      </c>
    </row>
    <row r="152" spans="1:6" x14ac:dyDescent="0.25">
      <c r="A152">
        <v>2141000</v>
      </c>
      <c r="B152" t="s">
        <v>150</v>
      </c>
      <c r="D152" t="s">
        <v>163</v>
      </c>
      <c r="E152" t="s">
        <v>163</v>
      </c>
      <c r="F152">
        <v>0</v>
      </c>
    </row>
    <row r="153" spans="1:6" x14ac:dyDescent="0.25">
      <c r="A153">
        <v>2151000</v>
      </c>
      <c r="B153" t="s">
        <v>806</v>
      </c>
      <c r="D153" t="s">
        <v>163</v>
      </c>
      <c r="E153" t="s">
        <v>163</v>
      </c>
      <c r="F153">
        <v>0</v>
      </c>
    </row>
    <row r="154" spans="1:6" x14ac:dyDescent="0.25">
      <c r="A154">
        <v>2151100</v>
      </c>
      <c r="B154" t="s">
        <v>805</v>
      </c>
      <c r="D154" t="s">
        <v>163</v>
      </c>
      <c r="E154" t="s">
        <v>163</v>
      </c>
      <c r="F154">
        <v>0</v>
      </c>
    </row>
    <row r="155" spans="1:6" x14ac:dyDescent="0.25">
      <c r="A155">
        <v>2151200</v>
      </c>
      <c r="B155" t="s">
        <v>807</v>
      </c>
      <c r="D155" t="s">
        <v>163</v>
      </c>
      <c r="E155" t="s">
        <v>163</v>
      </c>
      <c r="F155">
        <v>0</v>
      </c>
    </row>
    <row r="156" spans="1:6" x14ac:dyDescent="0.25">
      <c r="A156">
        <v>2161000</v>
      </c>
      <c r="B156" t="s">
        <v>971</v>
      </c>
      <c r="D156" t="s">
        <v>163</v>
      </c>
      <c r="E156" t="s">
        <v>163</v>
      </c>
      <c r="F156">
        <v>0</v>
      </c>
    </row>
  </sheetData>
  <mergeCells count="1">
    <mergeCell ref="A2:F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9379-82AE-4DA3-888A-850E651BD6A0}">
  <dimension ref="A1:K123"/>
  <sheetViews>
    <sheetView topLeftCell="A43" workbookViewId="0">
      <selection activeCell="C6" sqref="C6:C123"/>
    </sheetView>
  </sheetViews>
  <sheetFormatPr defaultRowHeight="15" x14ac:dyDescent="0.25"/>
  <cols>
    <col min="1" max="1" width="7.85546875" bestFit="1" customWidth="1"/>
    <col min="2" max="2" width="11.140625" bestFit="1" customWidth="1"/>
    <col min="3" max="3" width="39.140625" bestFit="1" customWidth="1"/>
    <col min="4" max="7" width="14.28515625" bestFit="1" customWidth="1"/>
    <col min="8" max="8" width="21.85546875" bestFit="1" customWidth="1"/>
    <col min="9" max="9" width="32.7109375" bestFit="1" customWidth="1"/>
    <col min="10" max="11" width="39.140625" bestFit="1" customWidth="1"/>
  </cols>
  <sheetData>
    <row r="1" spans="1:11" x14ac:dyDescent="0.25">
      <c r="A1" t="s">
        <v>929</v>
      </c>
      <c r="B1" t="s">
        <v>930</v>
      </c>
      <c r="C1" t="s">
        <v>3</v>
      </c>
      <c r="D1" t="s">
        <v>470</v>
      </c>
      <c r="E1" t="s">
        <v>471</v>
      </c>
      <c r="F1" t="s">
        <v>472</v>
      </c>
      <c r="G1" t="s">
        <v>473</v>
      </c>
      <c r="H1" t="s">
        <v>0</v>
      </c>
      <c r="I1" t="s">
        <v>1</v>
      </c>
      <c r="J1" t="s">
        <v>2</v>
      </c>
      <c r="K1" t="s">
        <v>1090</v>
      </c>
    </row>
    <row r="2" spans="1:11" hidden="1" x14ac:dyDescent="0.25">
      <c r="A2" t="s">
        <v>163</v>
      </c>
      <c r="B2" t="s">
        <v>163</v>
      </c>
      <c r="C2" t="s">
        <v>8</v>
      </c>
      <c r="D2" t="s">
        <v>474</v>
      </c>
      <c r="E2" t="s">
        <v>475</v>
      </c>
      <c r="F2" t="s">
        <v>475</v>
      </c>
      <c r="G2" t="s">
        <v>475</v>
      </c>
      <c r="H2" t="s">
        <v>932</v>
      </c>
      <c r="I2" t="s">
        <v>8</v>
      </c>
      <c r="J2" t="s">
        <v>8</v>
      </c>
      <c r="K2" t="str">
        <f>VLOOKUP(Tab_CentroResultado_1[[#This Row],[Conta 4]],D_CentroResultados[Conta 4],1,FALSE)</f>
        <v>Corporativo</v>
      </c>
    </row>
    <row r="3" spans="1:11" hidden="1" x14ac:dyDescent="0.25">
      <c r="A3" t="s">
        <v>163</v>
      </c>
      <c r="B3" t="s">
        <v>163</v>
      </c>
      <c r="C3" t="s">
        <v>160</v>
      </c>
      <c r="D3" t="s">
        <v>474</v>
      </c>
      <c r="E3" t="s">
        <v>484</v>
      </c>
      <c r="F3" t="s">
        <v>484</v>
      </c>
      <c r="G3" t="s">
        <v>484</v>
      </c>
      <c r="H3" t="s">
        <v>932</v>
      </c>
      <c r="I3" t="s">
        <v>160</v>
      </c>
      <c r="J3" t="s">
        <v>160</v>
      </c>
      <c r="K3" t="str">
        <f>VLOOKUP(Tab_CentroResultado_1[[#This Row],[Conta 4]],D_CentroResultados[Conta 4],1,FALSE)</f>
        <v>Comercial</v>
      </c>
    </row>
    <row r="4" spans="1:11" hidden="1" x14ac:dyDescent="0.25">
      <c r="A4" t="s">
        <v>163</v>
      </c>
      <c r="B4" t="s">
        <v>163</v>
      </c>
      <c r="C4" t="s">
        <v>14</v>
      </c>
      <c r="D4" t="s">
        <v>474</v>
      </c>
      <c r="E4" t="s">
        <v>972</v>
      </c>
      <c r="F4" t="s">
        <v>972</v>
      </c>
      <c r="G4" t="s">
        <v>972</v>
      </c>
      <c r="H4" t="s">
        <v>932</v>
      </c>
      <c r="I4" t="s">
        <v>14</v>
      </c>
      <c r="J4" t="s">
        <v>14</v>
      </c>
      <c r="K4" t="str">
        <f>VLOOKUP(Tab_CentroResultado_1[[#This Row],[Conta 4]],D_CentroResultados[Conta 4],1,FALSE)</f>
        <v>Diretoria</v>
      </c>
    </row>
    <row r="5" spans="1:11" hidden="1" x14ac:dyDescent="0.25">
      <c r="A5" t="s">
        <v>163</v>
      </c>
      <c r="B5" t="s">
        <v>163</v>
      </c>
      <c r="C5" t="s">
        <v>43</v>
      </c>
      <c r="D5" t="s">
        <v>474</v>
      </c>
      <c r="E5" t="s">
        <v>973</v>
      </c>
      <c r="F5" t="s">
        <v>973</v>
      </c>
      <c r="G5" t="s">
        <v>973</v>
      </c>
      <c r="H5" t="s">
        <v>932</v>
      </c>
      <c r="I5" t="s">
        <v>43</v>
      </c>
      <c r="J5" t="s">
        <v>43</v>
      </c>
      <c r="K5" t="str">
        <f>VLOOKUP(Tab_CentroResultado_1[[#This Row],[Conta 4]],D_CentroResultados[Conta 4],1,FALSE)</f>
        <v>Financeiro Administrativo</v>
      </c>
    </row>
    <row r="6" spans="1:11" hidden="1" x14ac:dyDescent="0.25">
      <c r="A6" t="s">
        <v>163</v>
      </c>
      <c r="B6" t="s">
        <v>163</v>
      </c>
      <c r="C6" t="s">
        <v>951</v>
      </c>
      <c r="D6" t="s">
        <v>474</v>
      </c>
      <c r="E6" t="s">
        <v>974</v>
      </c>
      <c r="F6" t="s">
        <v>975</v>
      </c>
      <c r="G6" t="s">
        <v>975</v>
      </c>
      <c r="H6" t="s">
        <v>932</v>
      </c>
      <c r="I6" t="s">
        <v>936</v>
      </c>
      <c r="J6" t="s">
        <v>951</v>
      </c>
      <c r="K6" t="str">
        <f>VLOOKUP(Tab_CentroResultado_1[[#This Row],[Conta 4]],D_CentroResultados[Conta 4],1,FALSE)</f>
        <v>Visao Midia</v>
      </c>
    </row>
    <row r="7" spans="1:11" hidden="1" x14ac:dyDescent="0.25">
      <c r="A7" t="s">
        <v>163</v>
      </c>
      <c r="B7" t="s">
        <v>163</v>
      </c>
      <c r="C7" t="s">
        <v>952</v>
      </c>
      <c r="D7" t="s">
        <v>474</v>
      </c>
      <c r="E7" t="s">
        <v>974</v>
      </c>
      <c r="F7" t="s">
        <v>976</v>
      </c>
      <c r="G7" t="s">
        <v>976</v>
      </c>
      <c r="H7" t="s">
        <v>932</v>
      </c>
      <c r="I7" t="s">
        <v>936</v>
      </c>
      <c r="J7" t="s">
        <v>952</v>
      </c>
      <c r="K7" t="str">
        <f>VLOOKUP(Tab_CentroResultado_1[[#This Row],[Conta 4]],D_CentroResultados[Conta 4],1,FALSE)</f>
        <v>Porto Vitória</v>
      </c>
    </row>
    <row r="8" spans="1:11" hidden="1" x14ac:dyDescent="0.25">
      <c r="A8" t="s">
        <v>163</v>
      </c>
      <c r="B8" t="s">
        <v>163</v>
      </c>
      <c r="C8" t="s">
        <v>953</v>
      </c>
      <c r="D8" t="s">
        <v>474</v>
      </c>
      <c r="E8" t="s">
        <v>974</v>
      </c>
      <c r="F8" t="s">
        <v>977</v>
      </c>
      <c r="G8" t="s">
        <v>977</v>
      </c>
      <c r="H8" t="s">
        <v>932</v>
      </c>
      <c r="I8" t="s">
        <v>936</v>
      </c>
      <c r="J8" t="s">
        <v>953</v>
      </c>
      <c r="K8" t="str">
        <f>VLOOKUP(Tab_CentroResultado_1[[#This Row],[Conta 4]],D_CentroResultados[Conta 4],1,FALSE)</f>
        <v>WB Schultz</v>
      </c>
    </row>
    <row r="9" spans="1:11" hidden="1" x14ac:dyDescent="0.25">
      <c r="A9" t="s">
        <v>163</v>
      </c>
      <c r="B9" t="s">
        <v>163</v>
      </c>
      <c r="C9" t="s">
        <v>954</v>
      </c>
      <c r="D9" t="s">
        <v>474</v>
      </c>
      <c r="E9" t="s">
        <v>974</v>
      </c>
      <c r="F9" t="s">
        <v>978</v>
      </c>
      <c r="G9" t="s">
        <v>978</v>
      </c>
      <c r="H9" t="s">
        <v>932</v>
      </c>
      <c r="I9" t="s">
        <v>936</v>
      </c>
      <c r="J9" t="s">
        <v>954</v>
      </c>
      <c r="K9" t="str">
        <f>VLOOKUP(Tab_CentroResultado_1[[#This Row],[Conta 4]],D_CentroResultados[Conta 4],1,FALSE)</f>
        <v>Maely Arte</v>
      </c>
    </row>
    <row r="10" spans="1:11" hidden="1" x14ac:dyDescent="0.25">
      <c r="A10" t="s">
        <v>163</v>
      </c>
      <c r="B10" t="s">
        <v>163</v>
      </c>
      <c r="C10" t="s">
        <v>125</v>
      </c>
      <c r="D10" t="s">
        <v>474</v>
      </c>
      <c r="E10" t="s">
        <v>974</v>
      </c>
      <c r="F10" t="s">
        <v>979</v>
      </c>
      <c r="G10" t="s">
        <v>979</v>
      </c>
      <c r="H10" t="s">
        <v>932</v>
      </c>
      <c r="I10" t="s">
        <v>936</v>
      </c>
      <c r="J10" t="s">
        <v>125</v>
      </c>
      <c r="K10" t="str">
        <f>VLOOKUP(Tab_CentroResultado_1[[#This Row],[Conta 4]],D_CentroResultados[Conta 4],1,FALSE)</f>
        <v>MMP &amp; Tres</v>
      </c>
    </row>
    <row r="11" spans="1:11" hidden="1" x14ac:dyDescent="0.25">
      <c r="A11" t="s">
        <v>163</v>
      </c>
      <c r="B11" t="s">
        <v>163</v>
      </c>
      <c r="C11" t="s">
        <v>114</v>
      </c>
      <c r="D11" t="s">
        <v>474</v>
      </c>
      <c r="E11" t="s">
        <v>974</v>
      </c>
      <c r="F11" t="s">
        <v>980</v>
      </c>
      <c r="G11" t="s">
        <v>980</v>
      </c>
      <c r="H11" t="s">
        <v>932</v>
      </c>
      <c r="I11" t="s">
        <v>936</v>
      </c>
      <c r="J11" t="s">
        <v>114</v>
      </c>
      <c r="K11" t="str">
        <f>VLOOKUP(Tab_CentroResultado_1[[#This Row],[Conta 4]],D_CentroResultados[Conta 4],1,FALSE)</f>
        <v>Primer Vida</v>
      </c>
    </row>
    <row r="12" spans="1:11" hidden="1" x14ac:dyDescent="0.25">
      <c r="A12" t="s">
        <v>163</v>
      </c>
      <c r="B12" t="s">
        <v>163</v>
      </c>
      <c r="C12" t="s">
        <v>955</v>
      </c>
      <c r="D12" t="s">
        <v>474</v>
      </c>
      <c r="E12" t="s">
        <v>974</v>
      </c>
      <c r="F12" t="s">
        <v>981</v>
      </c>
      <c r="G12" t="s">
        <v>981</v>
      </c>
      <c r="H12" t="s">
        <v>932</v>
      </c>
      <c r="I12" t="s">
        <v>936</v>
      </c>
      <c r="J12" t="s">
        <v>955</v>
      </c>
      <c r="K12" t="str">
        <f>VLOOKUP(Tab_CentroResultado_1[[#This Row],[Conta 4]],D_CentroResultados[Conta 4],1,FALSE)</f>
        <v>MedSenior</v>
      </c>
    </row>
    <row r="13" spans="1:11" hidden="1" x14ac:dyDescent="0.25">
      <c r="A13" t="s">
        <v>163</v>
      </c>
      <c r="B13" t="s">
        <v>163</v>
      </c>
      <c r="C13" t="s">
        <v>956</v>
      </c>
      <c r="D13" t="s">
        <v>474</v>
      </c>
      <c r="E13" t="s">
        <v>974</v>
      </c>
      <c r="F13" t="s">
        <v>982</v>
      </c>
      <c r="G13" t="s">
        <v>982</v>
      </c>
      <c r="H13" t="s">
        <v>932</v>
      </c>
      <c r="I13" t="s">
        <v>936</v>
      </c>
      <c r="J13" t="s">
        <v>956</v>
      </c>
      <c r="K13" t="str">
        <f>VLOOKUP(Tab_CentroResultado_1[[#This Row],[Conta 4]],D_CentroResultados[Conta 4],1,FALSE)</f>
        <v>MMP&amp;3 Inc</v>
      </c>
    </row>
    <row r="14" spans="1:11" hidden="1" x14ac:dyDescent="0.25">
      <c r="A14" t="s">
        <v>163</v>
      </c>
      <c r="B14" t="s">
        <v>163</v>
      </c>
      <c r="C14" t="s">
        <v>957</v>
      </c>
      <c r="D14" t="s">
        <v>474</v>
      </c>
      <c r="E14" t="s">
        <v>974</v>
      </c>
      <c r="F14" t="s">
        <v>983</v>
      </c>
      <c r="G14" t="s">
        <v>983</v>
      </c>
      <c r="H14" t="s">
        <v>932</v>
      </c>
      <c r="I14" t="s">
        <v>936</v>
      </c>
      <c r="J14" t="s">
        <v>957</v>
      </c>
      <c r="K14" t="str">
        <f>VLOOKUP(Tab_CentroResultado_1[[#This Row],[Conta 4]],D_CentroResultados[Conta 4],1,FALSE)</f>
        <v>AirPower S.A</v>
      </c>
    </row>
    <row r="15" spans="1:11" hidden="1" x14ac:dyDescent="0.25">
      <c r="A15" t="s">
        <v>163</v>
      </c>
      <c r="B15" t="s">
        <v>163</v>
      </c>
      <c r="C15" t="s">
        <v>153</v>
      </c>
      <c r="D15" t="s">
        <v>474</v>
      </c>
      <c r="E15" t="s">
        <v>974</v>
      </c>
      <c r="F15" t="s">
        <v>984</v>
      </c>
      <c r="G15" t="s">
        <v>984</v>
      </c>
      <c r="H15" t="s">
        <v>932</v>
      </c>
      <c r="I15" t="s">
        <v>936</v>
      </c>
      <c r="J15" t="s">
        <v>153</v>
      </c>
      <c r="K15" t="str">
        <f>VLOOKUP(Tab_CentroResultado_1[[#This Row],[Conta 4]],D_CentroResultados[Conta 4],1,FALSE)</f>
        <v>EConto</v>
      </c>
    </row>
    <row r="16" spans="1:11" hidden="1" x14ac:dyDescent="0.25">
      <c r="A16" t="s">
        <v>163</v>
      </c>
      <c r="B16" t="s">
        <v>163</v>
      </c>
      <c r="C16" t="s">
        <v>28</v>
      </c>
      <c r="D16" t="s">
        <v>474</v>
      </c>
      <c r="E16" t="s">
        <v>974</v>
      </c>
      <c r="F16" t="s">
        <v>985</v>
      </c>
      <c r="G16" t="s">
        <v>985</v>
      </c>
      <c r="H16" t="s">
        <v>932</v>
      </c>
      <c r="I16" t="s">
        <v>936</v>
      </c>
      <c r="J16" t="s">
        <v>28</v>
      </c>
      <c r="K16" t="str">
        <f>VLOOKUP(Tab_CentroResultado_1[[#This Row],[Conta 4]],D_CentroResultados[Conta 4],1,FALSE)</f>
        <v>PVEC</v>
      </c>
    </row>
    <row r="17" spans="1:11" hidden="1" x14ac:dyDescent="0.25">
      <c r="A17" t="s">
        <v>163</v>
      </c>
      <c r="B17" t="s">
        <v>163</v>
      </c>
      <c r="C17" t="s">
        <v>958</v>
      </c>
      <c r="D17" t="s">
        <v>474</v>
      </c>
      <c r="E17" t="s">
        <v>974</v>
      </c>
      <c r="F17" t="s">
        <v>986</v>
      </c>
      <c r="G17" t="s">
        <v>986</v>
      </c>
      <c r="H17" t="s">
        <v>932</v>
      </c>
      <c r="I17" t="s">
        <v>936</v>
      </c>
      <c r="J17" t="s">
        <v>958</v>
      </c>
      <c r="K17" t="str">
        <f>VLOOKUP(Tab_CentroResultado_1[[#This Row],[Conta 4]],D_CentroResultados[Conta 4],1,FALSE)</f>
        <v>Mouty Tecnologia</v>
      </c>
    </row>
    <row r="18" spans="1:11" hidden="1" x14ac:dyDescent="0.25">
      <c r="A18" t="s">
        <v>163</v>
      </c>
      <c r="B18" t="s">
        <v>163</v>
      </c>
      <c r="C18" t="s">
        <v>959</v>
      </c>
      <c r="D18" t="s">
        <v>474</v>
      </c>
      <c r="E18" t="s">
        <v>974</v>
      </c>
      <c r="F18" t="s">
        <v>987</v>
      </c>
      <c r="G18" t="s">
        <v>987</v>
      </c>
      <c r="H18" t="s">
        <v>932</v>
      </c>
      <c r="I18" t="s">
        <v>936</v>
      </c>
      <c r="J18" t="s">
        <v>959</v>
      </c>
      <c r="K18" t="str">
        <f>VLOOKUP(Tab_CentroResultado_1[[#This Row],[Conta 4]],D_CentroResultados[Conta 4],1,FALSE)</f>
        <v>Hotel Porto do Sol</v>
      </c>
    </row>
    <row r="19" spans="1:11" hidden="1" x14ac:dyDescent="0.25">
      <c r="A19" t="s">
        <v>163</v>
      </c>
      <c r="B19" t="s">
        <v>163</v>
      </c>
      <c r="C19" t="s">
        <v>960</v>
      </c>
      <c r="D19" t="s">
        <v>474</v>
      </c>
      <c r="E19" t="s">
        <v>974</v>
      </c>
      <c r="F19" t="s">
        <v>988</v>
      </c>
      <c r="G19" t="s">
        <v>988</v>
      </c>
      <c r="H19" t="s">
        <v>932</v>
      </c>
      <c r="I19" t="s">
        <v>936</v>
      </c>
      <c r="J19" t="s">
        <v>960</v>
      </c>
      <c r="K19" t="str">
        <f>VLOOKUP(Tab_CentroResultado_1[[#This Row],[Conta 4]],D_CentroResultados[Conta 4],1,FALSE)</f>
        <v>Contobank</v>
      </c>
    </row>
    <row r="20" spans="1:11" hidden="1" x14ac:dyDescent="0.25">
      <c r="A20" t="s">
        <v>163</v>
      </c>
      <c r="B20" t="s">
        <v>163</v>
      </c>
      <c r="C20" t="s">
        <v>961</v>
      </c>
      <c r="D20" t="s">
        <v>474</v>
      </c>
      <c r="E20" t="s">
        <v>974</v>
      </c>
      <c r="F20" t="s">
        <v>989</v>
      </c>
      <c r="G20" t="s">
        <v>989</v>
      </c>
      <c r="H20" t="s">
        <v>932</v>
      </c>
      <c r="I20" t="s">
        <v>936</v>
      </c>
      <c r="J20" t="s">
        <v>961</v>
      </c>
      <c r="K20" t="str">
        <f>VLOOKUP(Tab_CentroResultado_1[[#This Row],[Conta 4]],D_CentroResultados[Conta 4],1,FALSE)</f>
        <v>Maely SP</v>
      </c>
    </row>
    <row r="21" spans="1:11" x14ac:dyDescent="0.25">
      <c r="A21" t="s">
        <v>163</v>
      </c>
      <c r="B21" t="s">
        <v>163</v>
      </c>
      <c r="C21" t="s">
        <v>130</v>
      </c>
      <c r="D21" t="s">
        <v>474</v>
      </c>
      <c r="E21" t="s">
        <v>990</v>
      </c>
      <c r="F21" t="s">
        <v>990</v>
      </c>
      <c r="G21" t="s">
        <v>990</v>
      </c>
      <c r="H21" t="s">
        <v>932</v>
      </c>
      <c r="I21" t="s">
        <v>130</v>
      </c>
      <c r="J21" t="s">
        <v>130</v>
      </c>
      <c r="K21" t="e">
        <f>VLOOKUP(Tab_CentroResultado_1[[#This Row],[Conta 4]],D_CentroResultados[Conta 4],1,FALSE)</f>
        <v>#N/A</v>
      </c>
    </row>
    <row r="22" spans="1:11" hidden="1" x14ac:dyDescent="0.25">
      <c r="A22" t="s">
        <v>163</v>
      </c>
      <c r="B22" t="s">
        <v>163</v>
      </c>
      <c r="C22" t="s">
        <v>937</v>
      </c>
      <c r="D22" t="s">
        <v>474</v>
      </c>
      <c r="E22" t="s">
        <v>991</v>
      </c>
      <c r="F22" t="s">
        <v>991</v>
      </c>
      <c r="G22" t="s">
        <v>991</v>
      </c>
      <c r="H22" t="s">
        <v>932</v>
      </c>
      <c r="I22" t="s">
        <v>937</v>
      </c>
      <c r="J22" t="s">
        <v>937</v>
      </c>
      <c r="K22" t="str">
        <f>VLOOKUP(Tab_CentroResultado_1[[#This Row],[Conta 4]],D_CentroResultados[Conta 4],1,FALSE)</f>
        <v>Operacional</v>
      </c>
    </row>
    <row r="23" spans="1:11" hidden="1" x14ac:dyDescent="0.25">
      <c r="A23" t="s">
        <v>163</v>
      </c>
      <c r="B23" t="s">
        <v>163</v>
      </c>
      <c r="C23" t="s">
        <v>61</v>
      </c>
      <c r="D23" t="s">
        <v>474</v>
      </c>
      <c r="E23" t="s">
        <v>992</v>
      </c>
      <c r="F23" t="s">
        <v>992</v>
      </c>
      <c r="G23" t="s">
        <v>992</v>
      </c>
      <c r="H23" t="s">
        <v>932</v>
      </c>
      <c r="I23" t="s">
        <v>61</v>
      </c>
      <c r="J23" t="s">
        <v>61</v>
      </c>
      <c r="K23" t="str">
        <f>VLOOKUP(Tab_CentroResultado_1[[#This Row],[Conta 4]],D_CentroResultados[Conta 4],1,FALSE)</f>
        <v>Recursos Humanos</v>
      </c>
    </row>
    <row r="24" spans="1:11" hidden="1" x14ac:dyDescent="0.25">
      <c r="A24" t="s">
        <v>163</v>
      </c>
      <c r="B24" t="s">
        <v>163</v>
      </c>
      <c r="C24" t="s">
        <v>52</v>
      </c>
      <c r="D24" t="s">
        <v>474</v>
      </c>
      <c r="E24" t="s">
        <v>993</v>
      </c>
      <c r="F24" t="s">
        <v>993</v>
      </c>
      <c r="G24" t="s">
        <v>993</v>
      </c>
      <c r="H24" t="s">
        <v>932</v>
      </c>
      <c r="I24" t="s">
        <v>52</v>
      </c>
      <c r="J24" t="s">
        <v>52</v>
      </c>
      <c r="K24" t="str">
        <f>VLOOKUP(Tab_CentroResultado_1[[#This Row],[Conta 4]],D_CentroResultados[Conta 4],1,FALSE)</f>
        <v>Infraestrutura de Tecnologia</v>
      </c>
    </row>
    <row r="25" spans="1:11" hidden="1" x14ac:dyDescent="0.25">
      <c r="A25" t="s">
        <v>163</v>
      </c>
      <c r="B25" t="s">
        <v>163</v>
      </c>
      <c r="C25" t="s">
        <v>962</v>
      </c>
      <c r="D25" t="s">
        <v>474</v>
      </c>
      <c r="E25" t="s">
        <v>994</v>
      </c>
      <c r="F25" t="s">
        <v>995</v>
      </c>
      <c r="G25" t="s">
        <v>995</v>
      </c>
      <c r="H25" t="s">
        <v>932</v>
      </c>
      <c r="I25" t="s">
        <v>938</v>
      </c>
      <c r="J25" t="s">
        <v>962</v>
      </c>
      <c r="K25" t="str">
        <f>VLOOKUP(Tab_CentroResultado_1[[#This Row],[Conta 4]],D_CentroResultados[Conta 4],1,FALSE)</f>
        <v>Helber</v>
      </c>
    </row>
    <row r="26" spans="1:11" hidden="1" x14ac:dyDescent="0.25">
      <c r="A26" t="s">
        <v>163</v>
      </c>
      <c r="B26" t="s">
        <v>163</v>
      </c>
      <c r="C26" t="s">
        <v>145</v>
      </c>
      <c r="D26" t="s">
        <v>474</v>
      </c>
      <c r="E26" t="s">
        <v>994</v>
      </c>
      <c r="F26" t="s">
        <v>996</v>
      </c>
      <c r="G26" t="s">
        <v>996</v>
      </c>
      <c r="H26" t="s">
        <v>932</v>
      </c>
      <c r="I26" t="s">
        <v>938</v>
      </c>
      <c r="J26" t="s">
        <v>145</v>
      </c>
      <c r="K26" t="str">
        <f>VLOOKUP(Tab_CentroResultado_1[[#This Row],[Conta 4]],D_CentroResultados[Conta 4],1,FALSE)</f>
        <v>Vinicius</v>
      </c>
    </row>
    <row r="27" spans="1:11" hidden="1" x14ac:dyDescent="0.25">
      <c r="A27" t="s">
        <v>163</v>
      </c>
      <c r="B27" t="s">
        <v>163</v>
      </c>
      <c r="C27" t="s">
        <v>963</v>
      </c>
      <c r="D27" t="s">
        <v>474</v>
      </c>
      <c r="E27" t="s">
        <v>994</v>
      </c>
      <c r="F27" t="s">
        <v>997</v>
      </c>
      <c r="G27" t="s">
        <v>997</v>
      </c>
      <c r="H27" t="s">
        <v>932</v>
      </c>
      <c r="I27" t="s">
        <v>938</v>
      </c>
      <c r="J27" t="s">
        <v>963</v>
      </c>
      <c r="K27" t="str">
        <f>VLOOKUP(Tab_CentroResultado_1[[#This Row],[Conta 4]],D_CentroResultados[Conta 4],1,FALSE)</f>
        <v>Junior</v>
      </c>
    </row>
    <row r="28" spans="1:11" hidden="1" x14ac:dyDescent="0.25">
      <c r="A28" t="s">
        <v>163</v>
      </c>
      <c r="B28" t="s">
        <v>163</v>
      </c>
      <c r="C28" t="s">
        <v>964</v>
      </c>
      <c r="D28" t="s">
        <v>474</v>
      </c>
      <c r="E28" t="s">
        <v>994</v>
      </c>
      <c r="F28" t="s">
        <v>998</v>
      </c>
      <c r="G28" t="s">
        <v>998</v>
      </c>
      <c r="H28" t="s">
        <v>932</v>
      </c>
      <c r="I28" t="s">
        <v>938</v>
      </c>
      <c r="J28" t="s">
        <v>964</v>
      </c>
      <c r="K28" t="str">
        <f>VLOOKUP(Tab_CentroResultado_1[[#This Row],[Conta 4]],D_CentroResultados[Conta 4],1,FALSE)</f>
        <v>Wacilka</v>
      </c>
    </row>
    <row r="29" spans="1:11" hidden="1" x14ac:dyDescent="0.25">
      <c r="A29" t="s">
        <v>163</v>
      </c>
      <c r="B29" t="s">
        <v>163</v>
      </c>
      <c r="C29" t="s">
        <v>965</v>
      </c>
      <c r="D29" t="s">
        <v>474</v>
      </c>
      <c r="E29" t="s">
        <v>994</v>
      </c>
      <c r="F29" t="s">
        <v>999</v>
      </c>
      <c r="G29" t="s">
        <v>999</v>
      </c>
      <c r="H29" t="s">
        <v>932</v>
      </c>
      <c r="I29" t="s">
        <v>938</v>
      </c>
      <c r="J29" t="s">
        <v>965</v>
      </c>
      <c r="K29" t="str">
        <f>VLOOKUP(Tab_CentroResultado_1[[#This Row],[Conta 4]],D_CentroResultados[Conta 4],1,FALSE)</f>
        <v>Maely Coelho</v>
      </c>
    </row>
    <row r="30" spans="1:11" hidden="1" x14ac:dyDescent="0.25">
      <c r="A30" t="s">
        <v>163</v>
      </c>
      <c r="B30" t="s">
        <v>163</v>
      </c>
      <c r="C30" t="s">
        <v>966</v>
      </c>
      <c r="D30" t="s">
        <v>474</v>
      </c>
      <c r="E30" t="s">
        <v>994</v>
      </c>
      <c r="F30" t="s">
        <v>1000</v>
      </c>
      <c r="G30" t="s">
        <v>1000</v>
      </c>
      <c r="H30" t="s">
        <v>932</v>
      </c>
      <c r="I30" t="s">
        <v>938</v>
      </c>
      <c r="J30" t="s">
        <v>966</v>
      </c>
      <c r="K30" t="str">
        <f>VLOOKUP(Tab_CentroResultado_1[[#This Row],[Conta 4]],D_CentroResultados[Conta 4],1,FALSE)</f>
        <v>Maria da Penha</v>
      </c>
    </row>
    <row r="31" spans="1:11" hidden="1" x14ac:dyDescent="0.25">
      <c r="A31" t="s">
        <v>163</v>
      </c>
      <c r="B31" t="s">
        <v>163</v>
      </c>
      <c r="C31" t="s">
        <v>967</v>
      </c>
      <c r="D31" t="s">
        <v>474</v>
      </c>
      <c r="E31" t="s">
        <v>994</v>
      </c>
      <c r="F31" t="s">
        <v>1001</v>
      </c>
      <c r="G31" t="s">
        <v>1001</v>
      </c>
      <c r="H31" t="s">
        <v>932</v>
      </c>
      <c r="I31" t="s">
        <v>938</v>
      </c>
      <c r="J31" t="s">
        <v>967</v>
      </c>
      <c r="K31" t="str">
        <f>VLOOKUP(Tab_CentroResultado_1[[#This Row],[Conta 4]],D_CentroResultados[Conta 4],1,FALSE)</f>
        <v>Sócios</v>
      </c>
    </row>
    <row r="32" spans="1:11" hidden="1" x14ac:dyDescent="0.25">
      <c r="A32" t="s">
        <v>163</v>
      </c>
      <c r="B32" t="s">
        <v>163</v>
      </c>
      <c r="C32" t="s">
        <v>10</v>
      </c>
      <c r="D32" t="s">
        <v>474</v>
      </c>
      <c r="E32" t="s">
        <v>1002</v>
      </c>
      <c r="F32" t="s">
        <v>1002</v>
      </c>
      <c r="G32" t="s">
        <v>1002</v>
      </c>
      <c r="H32" t="s">
        <v>932</v>
      </c>
      <c r="I32" t="s">
        <v>10</v>
      </c>
      <c r="J32" t="s">
        <v>10</v>
      </c>
      <c r="K32" t="str">
        <f>VLOOKUP(Tab_CentroResultado_1[[#This Row],[Conta 4]],D_CentroResultados[Conta 4],1,FALSE)</f>
        <v>Alojamento</v>
      </c>
    </row>
    <row r="33" spans="1:11" hidden="1" x14ac:dyDescent="0.25">
      <c r="A33" t="s">
        <v>163</v>
      </c>
      <c r="B33" t="s">
        <v>163</v>
      </c>
      <c r="C33" t="s">
        <v>940</v>
      </c>
      <c r="D33" t="s">
        <v>474</v>
      </c>
      <c r="E33" t="s">
        <v>1003</v>
      </c>
      <c r="F33" t="s">
        <v>1003</v>
      </c>
      <c r="G33" t="s">
        <v>1003</v>
      </c>
      <c r="H33" t="s">
        <v>932</v>
      </c>
      <c r="I33" t="s">
        <v>940</v>
      </c>
      <c r="J33" t="s">
        <v>940</v>
      </c>
      <c r="K33" t="str">
        <f>VLOOKUP(Tab_CentroResultado_1[[#This Row],[Conta 4]],D_CentroResultados[Conta 4],1,FALSE)</f>
        <v>Estoque</v>
      </c>
    </row>
    <row r="34" spans="1:11" hidden="1" x14ac:dyDescent="0.25">
      <c r="A34" t="s">
        <v>163</v>
      </c>
      <c r="B34" t="s">
        <v>163</v>
      </c>
      <c r="C34" t="s">
        <v>22</v>
      </c>
      <c r="D34" t="s">
        <v>474</v>
      </c>
      <c r="E34" t="s">
        <v>1004</v>
      </c>
      <c r="F34" t="s">
        <v>1004</v>
      </c>
      <c r="G34" t="s">
        <v>1004</v>
      </c>
      <c r="H34" t="s">
        <v>932</v>
      </c>
      <c r="I34" t="s">
        <v>22</v>
      </c>
      <c r="J34" t="s">
        <v>22</v>
      </c>
      <c r="K34" t="str">
        <f>VLOOKUP(Tab_CentroResultado_1[[#This Row],[Conta 4]],D_CentroResultados[Conta 4],1,FALSE)</f>
        <v>Atleta Amador</v>
      </c>
    </row>
    <row r="35" spans="1:11" hidden="1" x14ac:dyDescent="0.25">
      <c r="A35" t="s">
        <v>163</v>
      </c>
      <c r="B35" t="s">
        <v>163</v>
      </c>
      <c r="C35" t="s">
        <v>24</v>
      </c>
      <c r="D35" t="s">
        <v>474</v>
      </c>
      <c r="E35" t="s">
        <v>1005</v>
      </c>
      <c r="F35" t="s">
        <v>1005</v>
      </c>
      <c r="G35" t="s">
        <v>1005</v>
      </c>
      <c r="H35" t="s">
        <v>932</v>
      </c>
      <c r="I35" t="s">
        <v>24</v>
      </c>
      <c r="J35" t="s">
        <v>24</v>
      </c>
      <c r="K35" t="str">
        <f>VLOOKUP(Tab_CentroResultado_1[[#This Row],[Conta 4]],D_CentroResultados[Conta 4],1,FALSE)</f>
        <v>Atleta Profissional</v>
      </c>
    </row>
    <row r="36" spans="1:11" hidden="1" x14ac:dyDescent="0.25">
      <c r="A36" t="s">
        <v>163</v>
      </c>
      <c r="B36" t="s">
        <v>163</v>
      </c>
      <c r="C36" t="s">
        <v>17</v>
      </c>
      <c r="D36" t="s">
        <v>474</v>
      </c>
      <c r="E36" t="s">
        <v>1006</v>
      </c>
      <c r="F36" t="s">
        <v>1006</v>
      </c>
      <c r="G36" t="s">
        <v>1006</v>
      </c>
      <c r="H36" t="s">
        <v>932</v>
      </c>
      <c r="I36" t="s">
        <v>17</v>
      </c>
      <c r="J36" t="s">
        <v>17</v>
      </c>
      <c r="K36" t="str">
        <f>VLOOKUP(Tab_CentroResultado_1[[#This Row],[Conta 4]],D_CentroResultados[Conta 4],1,FALSE)</f>
        <v>Target</v>
      </c>
    </row>
    <row r="37" spans="1:11" hidden="1" x14ac:dyDescent="0.25">
      <c r="A37" t="s">
        <v>163</v>
      </c>
      <c r="B37" t="s">
        <v>163</v>
      </c>
      <c r="C37" t="s">
        <v>941</v>
      </c>
      <c r="D37" t="s">
        <v>474</v>
      </c>
      <c r="E37" t="s">
        <v>1007</v>
      </c>
      <c r="F37" t="s">
        <v>1007</v>
      </c>
      <c r="G37" t="s">
        <v>1007</v>
      </c>
      <c r="H37" t="s">
        <v>932</v>
      </c>
      <c r="I37" t="s">
        <v>941</v>
      </c>
      <c r="J37" t="s">
        <v>941</v>
      </c>
      <c r="K37" t="str">
        <f>VLOOKUP(Tab_CentroResultado_1[[#This Row],[Conta 4]],D_CentroResultados[Conta 4],1,FALSE)</f>
        <v>Atletas Emprestados</v>
      </c>
    </row>
    <row r="38" spans="1:11" hidden="1" x14ac:dyDescent="0.25">
      <c r="A38" t="s">
        <v>163</v>
      </c>
      <c r="B38" t="s">
        <v>163</v>
      </c>
      <c r="C38" t="s">
        <v>942</v>
      </c>
      <c r="D38" t="s">
        <v>474</v>
      </c>
      <c r="E38" t="s">
        <v>1008</v>
      </c>
      <c r="F38" t="s">
        <v>1008</v>
      </c>
      <c r="G38" t="s">
        <v>1008</v>
      </c>
      <c r="H38" t="s">
        <v>932</v>
      </c>
      <c r="I38" t="s">
        <v>942</v>
      </c>
      <c r="J38" t="s">
        <v>942</v>
      </c>
      <c r="K38" t="str">
        <f>VLOOKUP(Tab_CentroResultado_1[[#This Row],[Conta 4]],D_CentroResultados[Conta 4],1,FALSE)</f>
        <v>Obra Colaboradores</v>
      </c>
    </row>
    <row r="39" spans="1:11" hidden="1" x14ac:dyDescent="0.25">
      <c r="A39" t="s">
        <v>163</v>
      </c>
      <c r="B39" t="s">
        <v>163</v>
      </c>
      <c r="C39" t="s">
        <v>943</v>
      </c>
      <c r="D39" t="s">
        <v>474</v>
      </c>
      <c r="E39" t="s">
        <v>1009</v>
      </c>
      <c r="F39" t="s">
        <v>1009</v>
      </c>
      <c r="G39" t="s">
        <v>1009</v>
      </c>
      <c r="H39" t="s">
        <v>932</v>
      </c>
      <c r="I39" t="s">
        <v>943</v>
      </c>
      <c r="J39" t="s">
        <v>943</v>
      </c>
      <c r="K39" t="str">
        <f>VLOOKUP(Tab_CentroResultado_1[[#This Row],[Conta 4]],D_CentroResultados[Conta 4],1,FALSE)</f>
        <v>Desenvolvimento Projetos</v>
      </c>
    </row>
    <row r="40" spans="1:11" hidden="1" x14ac:dyDescent="0.25">
      <c r="A40" t="s">
        <v>163</v>
      </c>
      <c r="B40" t="s">
        <v>163</v>
      </c>
      <c r="C40" t="s">
        <v>944</v>
      </c>
      <c r="D40" t="s">
        <v>474</v>
      </c>
      <c r="E40" t="s">
        <v>1010</v>
      </c>
      <c r="F40" t="s">
        <v>1010</v>
      </c>
      <c r="G40" t="s">
        <v>1010</v>
      </c>
      <c r="H40" t="s">
        <v>932</v>
      </c>
      <c r="I40" t="s">
        <v>944</v>
      </c>
      <c r="J40" t="s">
        <v>944</v>
      </c>
      <c r="K40" t="str">
        <f>VLOOKUP(Tab_CentroResultado_1[[#This Row],[Conta 4]],D_CentroResultados[Conta 4],1,FALSE)</f>
        <v>Regulação</v>
      </c>
    </row>
    <row r="41" spans="1:11" hidden="1" x14ac:dyDescent="0.25">
      <c r="A41" t="s">
        <v>163</v>
      </c>
      <c r="B41" t="s">
        <v>163</v>
      </c>
      <c r="C41" t="s">
        <v>946</v>
      </c>
      <c r="D41" t="s">
        <v>474</v>
      </c>
      <c r="E41" t="s">
        <v>1011</v>
      </c>
      <c r="F41" t="s">
        <v>1011</v>
      </c>
      <c r="G41" t="s">
        <v>1011</v>
      </c>
      <c r="H41" t="s">
        <v>932</v>
      </c>
      <c r="I41" t="s">
        <v>946</v>
      </c>
      <c r="J41" t="s">
        <v>946</v>
      </c>
      <c r="K41" t="str">
        <f>VLOOKUP(Tab_CentroResultado_1[[#This Row],[Conta 4]],D_CentroResultados[Conta 4],1,FALSE)</f>
        <v>Suprimentos</v>
      </c>
    </row>
    <row r="42" spans="1:11" hidden="1" x14ac:dyDescent="0.25">
      <c r="A42" t="s">
        <v>163</v>
      </c>
      <c r="B42" t="s">
        <v>163</v>
      </c>
      <c r="C42" t="s">
        <v>947</v>
      </c>
      <c r="D42" t="s">
        <v>474</v>
      </c>
      <c r="E42" t="s">
        <v>1012</v>
      </c>
      <c r="F42" t="s">
        <v>1012</v>
      </c>
      <c r="G42" t="s">
        <v>1012</v>
      </c>
      <c r="H42" t="s">
        <v>932</v>
      </c>
      <c r="I42" t="s">
        <v>947</v>
      </c>
      <c r="J42" t="s">
        <v>947</v>
      </c>
      <c r="K42" t="str">
        <f>VLOOKUP(Tab_CentroResultado_1[[#This Row],[Conta 4]],D_CentroResultados[Conta 4],1,FALSE)</f>
        <v>Permuta Não Operacional</v>
      </c>
    </row>
    <row r="43" spans="1:11" x14ac:dyDescent="0.25">
      <c r="A43" t="s">
        <v>163</v>
      </c>
      <c r="B43" t="s">
        <v>163</v>
      </c>
      <c r="C43" t="s">
        <v>73</v>
      </c>
      <c r="D43" t="s">
        <v>474</v>
      </c>
      <c r="E43" t="s">
        <v>1013</v>
      </c>
      <c r="F43" t="s">
        <v>1013</v>
      </c>
      <c r="G43" t="s">
        <v>1013</v>
      </c>
      <c r="H43" t="s">
        <v>932</v>
      </c>
      <c r="I43" t="s">
        <v>73</v>
      </c>
      <c r="J43" t="s">
        <v>73</v>
      </c>
      <c r="K43" t="e">
        <f>VLOOKUP(Tab_CentroResultado_1[[#This Row],[Conta 4]],D_CentroResultados[Conta 4],1,FALSE)</f>
        <v>#N/A</v>
      </c>
    </row>
    <row r="44" spans="1:11" hidden="1" x14ac:dyDescent="0.25">
      <c r="A44" t="s">
        <v>163</v>
      </c>
      <c r="B44" t="s">
        <v>163</v>
      </c>
      <c r="C44" t="s">
        <v>948</v>
      </c>
      <c r="D44" t="s">
        <v>474</v>
      </c>
      <c r="E44" t="s">
        <v>1014</v>
      </c>
      <c r="F44" t="s">
        <v>1014</v>
      </c>
      <c r="G44" t="s">
        <v>1014</v>
      </c>
      <c r="H44" t="s">
        <v>932</v>
      </c>
      <c r="I44" t="s">
        <v>948</v>
      </c>
      <c r="J44" t="s">
        <v>948</v>
      </c>
      <c r="K44" t="str">
        <f>VLOOKUP(Tab_CentroResultado_1[[#This Row],[Conta 4]],D_CentroResultados[Conta 4],1,FALSE)</f>
        <v>Tecnologia e Inovação</v>
      </c>
    </row>
    <row r="45" spans="1:11" hidden="1" x14ac:dyDescent="0.25">
      <c r="A45" t="s">
        <v>163</v>
      </c>
      <c r="B45" t="s">
        <v>163</v>
      </c>
      <c r="C45" t="s">
        <v>112</v>
      </c>
      <c r="D45" t="s">
        <v>474</v>
      </c>
      <c r="E45" t="s">
        <v>1015</v>
      </c>
      <c r="F45" t="s">
        <v>1015</v>
      </c>
      <c r="G45" t="s">
        <v>1015</v>
      </c>
      <c r="H45" t="s">
        <v>932</v>
      </c>
      <c r="I45" t="s">
        <v>112</v>
      </c>
      <c r="J45" t="s">
        <v>112</v>
      </c>
      <c r="K45" t="str">
        <f>VLOOKUP(Tab_CentroResultado_1[[#This Row],[Conta 4]],D_CentroResultados[Conta 4],1,FALSE)</f>
        <v>Centro Serviço Compartilhado - CSC</v>
      </c>
    </row>
    <row r="46" spans="1:11" hidden="1" x14ac:dyDescent="0.25">
      <c r="A46" t="s">
        <v>163</v>
      </c>
      <c r="B46" t="s">
        <v>163</v>
      </c>
      <c r="C46" t="s">
        <v>949</v>
      </c>
      <c r="D46" t="s">
        <v>474</v>
      </c>
      <c r="E46" t="s">
        <v>1016</v>
      </c>
      <c r="F46" t="s">
        <v>1016</v>
      </c>
      <c r="G46" t="s">
        <v>1016</v>
      </c>
      <c r="H46" t="s">
        <v>932</v>
      </c>
      <c r="I46" t="s">
        <v>949</v>
      </c>
      <c r="J46" t="s">
        <v>949</v>
      </c>
      <c r="K46" t="str">
        <f>VLOOKUP(Tab_CentroResultado_1[[#This Row],[Conta 4]],D_CentroResultados[Conta 4],1,FALSE)</f>
        <v>Ecommerce Porto Vitória</v>
      </c>
    </row>
    <row r="47" spans="1:11" hidden="1" x14ac:dyDescent="0.25">
      <c r="A47" t="s">
        <v>163</v>
      </c>
      <c r="B47" t="s">
        <v>163</v>
      </c>
      <c r="C47" t="s">
        <v>950</v>
      </c>
      <c r="D47" t="s">
        <v>474</v>
      </c>
      <c r="E47" t="s">
        <v>1017</v>
      </c>
      <c r="F47" t="s">
        <v>1017</v>
      </c>
      <c r="G47" t="s">
        <v>1017</v>
      </c>
      <c r="H47" t="s">
        <v>932</v>
      </c>
      <c r="I47" t="s">
        <v>950</v>
      </c>
      <c r="J47" t="s">
        <v>950</v>
      </c>
      <c r="K47" t="str">
        <f>VLOOKUP(Tab_CentroResultado_1[[#This Row],[Conta 4]],D_CentroResultados[Conta 4],1,FALSE)</f>
        <v>Porto Academy</v>
      </c>
    </row>
    <row r="48" spans="1:11" hidden="1" x14ac:dyDescent="0.25">
      <c r="A48" t="s">
        <v>163</v>
      </c>
      <c r="B48" t="s">
        <v>163</v>
      </c>
      <c r="C48" t="s">
        <v>796</v>
      </c>
      <c r="D48" t="s">
        <v>502</v>
      </c>
      <c r="E48" t="s">
        <v>503</v>
      </c>
      <c r="F48" t="s">
        <v>504</v>
      </c>
      <c r="G48" t="s">
        <v>504</v>
      </c>
      <c r="H48" t="s">
        <v>933</v>
      </c>
      <c r="I48" t="s">
        <v>791</v>
      </c>
      <c r="J48" t="s">
        <v>796</v>
      </c>
      <c r="K48" t="str">
        <f>VLOOKUP(Tab_CentroResultado_1[[#This Row],[Conta 4]],D_CentroResultados[Conta 4],1,FALSE)</f>
        <v>Outdoor</v>
      </c>
    </row>
    <row r="49" spans="1:11" hidden="1" x14ac:dyDescent="0.25">
      <c r="A49" t="s">
        <v>163</v>
      </c>
      <c r="B49" t="s">
        <v>163</v>
      </c>
      <c r="C49" t="s">
        <v>795</v>
      </c>
      <c r="D49" t="s">
        <v>502</v>
      </c>
      <c r="E49" t="s">
        <v>503</v>
      </c>
      <c r="F49" t="s">
        <v>509</v>
      </c>
      <c r="G49" t="s">
        <v>509</v>
      </c>
      <c r="H49" t="s">
        <v>933</v>
      </c>
      <c r="I49" t="s">
        <v>791</v>
      </c>
      <c r="J49" t="s">
        <v>795</v>
      </c>
      <c r="K49" t="str">
        <f>VLOOKUP(Tab_CentroResultado_1[[#This Row],[Conta 4]],D_CentroResultados[Conta 4],1,FALSE)</f>
        <v>Front</v>
      </c>
    </row>
    <row r="50" spans="1:11" hidden="1" x14ac:dyDescent="0.25">
      <c r="A50" t="s">
        <v>163</v>
      </c>
      <c r="B50" t="s">
        <v>163</v>
      </c>
      <c r="C50" t="s">
        <v>793</v>
      </c>
      <c r="D50" t="s">
        <v>502</v>
      </c>
      <c r="E50" t="s">
        <v>503</v>
      </c>
      <c r="F50" t="s">
        <v>512</v>
      </c>
      <c r="G50" t="s">
        <v>512</v>
      </c>
      <c r="H50" t="s">
        <v>933</v>
      </c>
      <c r="I50" t="s">
        <v>791</v>
      </c>
      <c r="J50" t="s">
        <v>793</v>
      </c>
      <c r="K50" t="str">
        <f>VLOOKUP(Tab_CentroResultado_1[[#This Row],[Conta 4]],D_CentroResultados[Conta 4],1,FALSE)</f>
        <v>Empena</v>
      </c>
    </row>
    <row r="51" spans="1:11" hidden="1" x14ac:dyDescent="0.25">
      <c r="A51" t="s">
        <v>163</v>
      </c>
      <c r="B51" t="s">
        <v>163</v>
      </c>
      <c r="C51" t="s">
        <v>799</v>
      </c>
      <c r="D51" t="s">
        <v>502</v>
      </c>
      <c r="E51" t="s">
        <v>503</v>
      </c>
      <c r="F51" t="s">
        <v>541</v>
      </c>
      <c r="G51" t="s">
        <v>541</v>
      </c>
      <c r="H51" t="s">
        <v>933</v>
      </c>
      <c r="I51" t="s">
        <v>791</v>
      </c>
      <c r="J51" t="s">
        <v>799</v>
      </c>
      <c r="K51" t="str">
        <f>VLOOKUP(Tab_CentroResultado_1[[#This Row],[Conta 4]],D_CentroResultados[Conta 4],1,FALSE)</f>
        <v>Rodosol - Paineis e Inflaveis</v>
      </c>
    </row>
    <row r="52" spans="1:11" hidden="1" x14ac:dyDescent="0.25">
      <c r="A52" t="s">
        <v>163</v>
      </c>
      <c r="B52" t="s">
        <v>163</v>
      </c>
      <c r="C52" t="s">
        <v>798</v>
      </c>
      <c r="D52" t="s">
        <v>502</v>
      </c>
      <c r="E52" t="s">
        <v>503</v>
      </c>
      <c r="F52" t="s">
        <v>549</v>
      </c>
      <c r="G52" t="s">
        <v>549</v>
      </c>
      <c r="H52" t="s">
        <v>933</v>
      </c>
      <c r="I52" t="s">
        <v>791</v>
      </c>
      <c r="J52" t="s">
        <v>798</v>
      </c>
      <c r="K52" t="str">
        <f>VLOOKUP(Tab_CentroResultado_1[[#This Row],[Conta 4]],D_CentroResultados[Conta 4],1,FALSE)</f>
        <v>Paineis Rodoviarios</v>
      </c>
    </row>
    <row r="53" spans="1:11" hidden="1" x14ac:dyDescent="0.25">
      <c r="A53" t="s">
        <v>163</v>
      </c>
      <c r="B53" t="s">
        <v>163</v>
      </c>
      <c r="C53" t="s">
        <v>792</v>
      </c>
      <c r="D53" t="s">
        <v>502</v>
      </c>
      <c r="E53" t="s">
        <v>503</v>
      </c>
      <c r="F53" t="s">
        <v>559</v>
      </c>
      <c r="G53" t="s">
        <v>559</v>
      </c>
      <c r="H53" t="s">
        <v>933</v>
      </c>
      <c r="I53" t="s">
        <v>791</v>
      </c>
      <c r="J53" t="s">
        <v>792</v>
      </c>
      <c r="K53" t="str">
        <f>VLOOKUP(Tab_CentroResultado_1[[#This Row],[Conta 4]],D_CentroResultados[Conta 4],1,FALSE)</f>
        <v>Comunidade Outdoor</v>
      </c>
    </row>
    <row r="54" spans="1:11" hidden="1" x14ac:dyDescent="0.25">
      <c r="A54" t="s">
        <v>163</v>
      </c>
      <c r="B54" t="s">
        <v>163</v>
      </c>
      <c r="C54" t="s">
        <v>797</v>
      </c>
      <c r="D54" t="s">
        <v>502</v>
      </c>
      <c r="E54" t="s">
        <v>503</v>
      </c>
      <c r="F54" t="s">
        <v>568</v>
      </c>
      <c r="G54" t="s">
        <v>568</v>
      </c>
      <c r="H54" t="s">
        <v>933</v>
      </c>
      <c r="I54" t="s">
        <v>791</v>
      </c>
      <c r="J54" t="s">
        <v>797</v>
      </c>
      <c r="K54" t="str">
        <f>VLOOKUP(Tab_CentroResultado_1[[#This Row],[Conta 4]],D_CentroResultados[Conta 4],1,FALSE)</f>
        <v>Paineis de Led</v>
      </c>
    </row>
    <row r="55" spans="1:11" hidden="1" x14ac:dyDescent="0.25">
      <c r="A55" t="s">
        <v>163</v>
      </c>
      <c r="B55" t="s">
        <v>163</v>
      </c>
      <c r="C55" t="s">
        <v>794</v>
      </c>
      <c r="D55" t="s">
        <v>502</v>
      </c>
      <c r="E55" t="s">
        <v>503</v>
      </c>
      <c r="F55" t="s">
        <v>570</v>
      </c>
      <c r="G55" t="s">
        <v>570</v>
      </c>
      <c r="H55" t="s">
        <v>933</v>
      </c>
      <c r="I55" t="s">
        <v>791</v>
      </c>
      <c r="J55" t="s">
        <v>794</v>
      </c>
      <c r="K55" t="str">
        <f>VLOOKUP(Tab_CentroResultado_1[[#This Row],[Conta 4]],D_CentroResultados[Conta 4],1,FALSE)</f>
        <v>Empena de Led</v>
      </c>
    </row>
    <row r="56" spans="1:11" hidden="1" x14ac:dyDescent="0.25">
      <c r="A56" t="s">
        <v>163</v>
      </c>
      <c r="B56" t="s">
        <v>163</v>
      </c>
      <c r="C56" t="s">
        <v>816</v>
      </c>
      <c r="D56" t="s">
        <v>502</v>
      </c>
      <c r="E56" t="s">
        <v>572</v>
      </c>
      <c r="F56" t="s">
        <v>573</v>
      </c>
      <c r="G56" t="s">
        <v>573</v>
      </c>
      <c r="H56" t="s">
        <v>933</v>
      </c>
      <c r="I56" t="s">
        <v>813</v>
      </c>
      <c r="J56" t="s">
        <v>816</v>
      </c>
      <c r="K56" t="str">
        <f>VLOOKUP(Tab_CentroResultado_1[[#This Row],[Conta 4]],D_CentroResultados[Conta 4],1,FALSE)</f>
        <v>Circuito Abrigos e Relogios</v>
      </c>
    </row>
    <row r="57" spans="1:11" hidden="1" x14ac:dyDescent="0.25">
      <c r="A57" t="s">
        <v>163</v>
      </c>
      <c r="B57" t="s">
        <v>163</v>
      </c>
      <c r="C57" t="s">
        <v>817</v>
      </c>
      <c r="D57" t="s">
        <v>502</v>
      </c>
      <c r="E57" t="s">
        <v>572</v>
      </c>
      <c r="F57" t="s">
        <v>605</v>
      </c>
      <c r="G57" t="s">
        <v>605</v>
      </c>
      <c r="H57" t="s">
        <v>933</v>
      </c>
      <c r="I57" t="s">
        <v>813</v>
      </c>
      <c r="J57" t="s">
        <v>817</v>
      </c>
      <c r="K57" t="str">
        <f>VLOOKUP(Tab_CentroResultado_1[[#This Row],[Conta 4]],D_CentroResultados[Conta 4],1,FALSE)</f>
        <v>Circuito Mub Banca</v>
      </c>
    </row>
    <row r="58" spans="1:11" hidden="1" x14ac:dyDescent="0.25">
      <c r="A58" t="s">
        <v>163</v>
      </c>
      <c r="B58" t="s">
        <v>163</v>
      </c>
      <c r="C58" t="s">
        <v>815</v>
      </c>
      <c r="D58" t="s">
        <v>502</v>
      </c>
      <c r="E58" t="s">
        <v>572</v>
      </c>
      <c r="F58" t="s">
        <v>631</v>
      </c>
      <c r="G58" t="s">
        <v>631</v>
      </c>
      <c r="H58" t="s">
        <v>933</v>
      </c>
      <c r="I58" t="s">
        <v>813</v>
      </c>
      <c r="J58" t="s">
        <v>815</v>
      </c>
      <c r="K58" t="str">
        <f>VLOOKUP(Tab_CentroResultado_1[[#This Row],[Conta 4]],D_CentroResultados[Conta 4],1,FALSE)</f>
        <v>Bancas Traseiras</v>
      </c>
    </row>
    <row r="59" spans="1:11" hidden="1" x14ac:dyDescent="0.25">
      <c r="A59" t="s">
        <v>163</v>
      </c>
      <c r="B59" t="s">
        <v>163</v>
      </c>
      <c r="C59" t="s">
        <v>819</v>
      </c>
      <c r="D59" t="s">
        <v>502</v>
      </c>
      <c r="E59" t="s">
        <v>572</v>
      </c>
      <c r="F59" t="s">
        <v>645</v>
      </c>
      <c r="G59" t="s">
        <v>645</v>
      </c>
      <c r="H59" t="s">
        <v>933</v>
      </c>
      <c r="I59" t="s">
        <v>813</v>
      </c>
      <c r="J59" t="s">
        <v>819</v>
      </c>
      <c r="K59" t="str">
        <f>VLOOKUP(Tab_CentroResultado_1[[#This Row],[Conta 4]],D_CentroResultados[Conta 4],1,FALSE)</f>
        <v>Rodosol Cabines e Totens</v>
      </c>
    </row>
    <row r="60" spans="1:11" hidden="1" x14ac:dyDescent="0.25">
      <c r="A60" t="s">
        <v>163</v>
      </c>
      <c r="B60" t="s">
        <v>163</v>
      </c>
      <c r="C60" t="s">
        <v>818</v>
      </c>
      <c r="D60" t="s">
        <v>502</v>
      </c>
      <c r="E60" t="s">
        <v>572</v>
      </c>
      <c r="F60" t="s">
        <v>658</v>
      </c>
      <c r="G60" t="s">
        <v>658</v>
      </c>
      <c r="H60" t="s">
        <v>933</v>
      </c>
      <c r="I60" t="s">
        <v>813</v>
      </c>
      <c r="J60" t="s">
        <v>818</v>
      </c>
      <c r="K60" t="str">
        <f>VLOOKUP(Tab_CentroResultado_1[[#This Row],[Conta 4]],D_CentroResultados[Conta 4],1,FALSE)</f>
        <v>Placas Toponimicas</v>
      </c>
    </row>
    <row r="61" spans="1:11" hidden="1" x14ac:dyDescent="0.25">
      <c r="A61" t="s">
        <v>163</v>
      </c>
      <c r="B61" t="s">
        <v>163</v>
      </c>
      <c r="C61" t="s">
        <v>814</v>
      </c>
      <c r="D61" t="s">
        <v>502</v>
      </c>
      <c r="E61" t="s">
        <v>572</v>
      </c>
      <c r="F61" t="s">
        <v>666</v>
      </c>
      <c r="G61" t="s">
        <v>666</v>
      </c>
      <c r="H61" t="s">
        <v>933</v>
      </c>
      <c r="I61" t="s">
        <v>813</v>
      </c>
      <c r="J61" t="s">
        <v>814</v>
      </c>
      <c r="K61" t="str">
        <f>VLOOKUP(Tab_CentroResultado_1[[#This Row],[Conta 4]],D_CentroResultados[Conta 4],1,FALSE)</f>
        <v>Banca Led</v>
      </c>
    </row>
    <row r="62" spans="1:11" hidden="1" x14ac:dyDescent="0.25">
      <c r="A62" t="s">
        <v>163</v>
      </c>
      <c r="B62" t="s">
        <v>163</v>
      </c>
      <c r="C62" t="s">
        <v>845</v>
      </c>
      <c r="D62" t="s">
        <v>502</v>
      </c>
      <c r="E62" t="s">
        <v>712</v>
      </c>
      <c r="F62" t="s">
        <v>713</v>
      </c>
      <c r="G62" t="s">
        <v>713</v>
      </c>
      <c r="H62" t="s">
        <v>933</v>
      </c>
      <c r="I62" t="s">
        <v>843</v>
      </c>
      <c r="J62" t="s">
        <v>845</v>
      </c>
      <c r="K62" t="str">
        <f>VLOOKUP(Tab_CentroResultado_1[[#This Row],[Conta 4]],D_CentroResultados[Conta 4],1,FALSE)</f>
        <v>Aeroporto Vitoria</v>
      </c>
    </row>
    <row r="63" spans="1:11" hidden="1" x14ac:dyDescent="0.25">
      <c r="A63" t="s">
        <v>163</v>
      </c>
      <c r="B63" t="s">
        <v>163</v>
      </c>
      <c r="C63" t="s">
        <v>844</v>
      </c>
      <c r="D63" t="s">
        <v>502</v>
      </c>
      <c r="E63" t="s">
        <v>712</v>
      </c>
      <c r="F63" t="s">
        <v>724</v>
      </c>
      <c r="G63" t="s">
        <v>724</v>
      </c>
      <c r="H63" t="s">
        <v>933</v>
      </c>
      <c r="I63" t="s">
        <v>843</v>
      </c>
      <c r="J63" t="s">
        <v>844</v>
      </c>
      <c r="K63" t="str">
        <f>VLOOKUP(Tab_CentroResultado_1[[#This Row],[Conta 4]],D_CentroResultados[Conta 4],1,FALSE)</f>
        <v>Aeroporto Florianopólis</v>
      </c>
    </row>
    <row r="64" spans="1:11" hidden="1" x14ac:dyDescent="0.25">
      <c r="A64" t="s">
        <v>163</v>
      </c>
      <c r="B64" t="s">
        <v>163</v>
      </c>
      <c r="C64" t="s">
        <v>850</v>
      </c>
      <c r="D64" t="s">
        <v>502</v>
      </c>
      <c r="E64" t="s">
        <v>712</v>
      </c>
      <c r="F64" t="s">
        <v>731</v>
      </c>
      <c r="G64" t="s">
        <v>731</v>
      </c>
      <c r="H64" t="s">
        <v>933</v>
      </c>
      <c r="I64" t="s">
        <v>843</v>
      </c>
      <c r="J64" t="s">
        <v>850</v>
      </c>
      <c r="K64" t="str">
        <f>VLOOKUP(Tab_CentroResultado_1[[#This Row],[Conta 4]],D_CentroResultados[Conta 4],1,FALSE)</f>
        <v>Rodoviarias</v>
      </c>
    </row>
    <row r="65" spans="1:11" hidden="1" x14ac:dyDescent="0.25">
      <c r="A65" t="s">
        <v>163</v>
      </c>
      <c r="B65" t="s">
        <v>163</v>
      </c>
      <c r="C65" t="s">
        <v>849</v>
      </c>
      <c r="D65" t="s">
        <v>502</v>
      </c>
      <c r="E65" t="s">
        <v>712</v>
      </c>
      <c r="F65" t="s">
        <v>742</v>
      </c>
      <c r="G65" t="s">
        <v>742</v>
      </c>
      <c r="H65" t="s">
        <v>933</v>
      </c>
      <c r="I65" t="s">
        <v>843</v>
      </c>
      <c r="J65" t="s">
        <v>849</v>
      </c>
      <c r="K65" t="str">
        <f>VLOOKUP(Tab_CentroResultado_1[[#This Row],[Conta 4]],D_CentroResultados[Conta 4],1,FALSE)</f>
        <v>Midia Viacao Aguia Branca</v>
      </c>
    </row>
    <row r="66" spans="1:11" hidden="1" x14ac:dyDescent="0.25">
      <c r="A66" t="s">
        <v>163</v>
      </c>
      <c r="B66" t="s">
        <v>163</v>
      </c>
      <c r="C66" t="s">
        <v>847</v>
      </c>
      <c r="D66" t="s">
        <v>502</v>
      </c>
      <c r="E66" t="s">
        <v>712</v>
      </c>
      <c r="F66" t="s">
        <v>745</v>
      </c>
      <c r="G66" t="s">
        <v>745</v>
      </c>
      <c r="H66" t="s">
        <v>933</v>
      </c>
      <c r="I66" t="s">
        <v>843</v>
      </c>
      <c r="J66" t="s">
        <v>847</v>
      </c>
      <c r="K66" t="str">
        <f>VLOOKUP(Tab_CentroResultado_1[[#This Row],[Conta 4]],D_CentroResultados[Conta 4],1,FALSE)</f>
        <v>busdoor/van/taxi/vi</v>
      </c>
    </row>
    <row r="67" spans="1:11" hidden="1" x14ac:dyDescent="0.25">
      <c r="A67" t="s">
        <v>163</v>
      </c>
      <c r="B67" t="s">
        <v>163</v>
      </c>
      <c r="C67" t="s">
        <v>848</v>
      </c>
      <c r="D67" t="s">
        <v>502</v>
      </c>
      <c r="E67" t="s">
        <v>712</v>
      </c>
      <c r="F67" t="s">
        <v>748</v>
      </c>
      <c r="G67" t="s">
        <v>748</v>
      </c>
      <c r="H67" t="s">
        <v>933</v>
      </c>
      <c r="I67" t="s">
        <v>843</v>
      </c>
      <c r="J67" t="s">
        <v>848</v>
      </c>
      <c r="K67" t="str">
        <f>VLOOKUP(Tab_CentroResultado_1[[#This Row],[Conta 4]],D_CentroResultados[Conta 4],1,FALSE)</f>
        <v>Eco 101</v>
      </c>
    </row>
    <row r="68" spans="1:11" hidden="1" x14ac:dyDescent="0.25">
      <c r="A68" t="s">
        <v>163</v>
      </c>
      <c r="B68" t="s">
        <v>163</v>
      </c>
      <c r="C68" t="s">
        <v>846</v>
      </c>
      <c r="D68" t="s">
        <v>502</v>
      </c>
      <c r="E68" t="s">
        <v>712</v>
      </c>
      <c r="F68" t="s">
        <v>1018</v>
      </c>
      <c r="G68" t="s">
        <v>1018</v>
      </c>
      <c r="H68" t="s">
        <v>933</v>
      </c>
      <c r="I68" t="s">
        <v>843</v>
      </c>
      <c r="J68" t="s">
        <v>846</v>
      </c>
      <c r="K68" t="str">
        <f>VLOOKUP(Tab_CentroResultado_1[[#This Row],[Conta 4]],D_CentroResultados[Conta 4],1,FALSE)</f>
        <v>Balsas</v>
      </c>
    </row>
    <row r="69" spans="1:11" hidden="1" x14ac:dyDescent="0.25">
      <c r="A69" t="s">
        <v>163</v>
      </c>
      <c r="B69" t="s">
        <v>163</v>
      </c>
      <c r="C69" t="s">
        <v>855</v>
      </c>
      <c r="D69" t="s">
        <v>502</v>
      </c>
      <c r="E69" t="s">
        <v>749</v>
      </c>
      <c r="F69" t="s">
        <v>1019</v>
      </c>
      <c r="G69" t="s">
        <v>1020</v>
      </c>
      <c r="H69" t="s">
        <v>933</v>
      </c>
      <c r="I69" t="s">
        <v>783</v>
      </c>
      <c r="J69" t="s">
        <v>784</v>
      </c>
      <c r="K69" t="str">
        <f>VLOOKUP(Tab_CentroResultado_1[[#This Row],[Conta 4]],D_CentroResultados[Conta 4],1,FALSE)</f>
        <v>Shopping Vitoria</v>
      </c>
    </row>
    <row r="70" spans="1:11" hidden="1" x14ac:dyDescent="0.25">
      <c r="A70" t="s">
        <v>163</v>
      </c>
      <c r="B70" t="s">
        <v>163</v>
      </c>
      <c r="C70" t="s">
        <v>854</v>
      </c>
      <c r="D70" t="s">
        <v>502</v>
      </c>
      <c r="E70" t="s">
        <v>749</v>
      </c>
      <c r="F70" t="s">
        <v>1019</v>
      </c>
      <c r="G70" t="s">
        <v>1021</v>
      </c>
      <c r="H70" t="s">
        <v>933</v>
      </c>
      <c r="I70" t="s">
        <v>783</v>
      </c>
      <c r="J70" t="s">
        <v>784</v>
      </c>
      <c r="K70" t="str">
        <f>VLOOKUP(Tab_CentroResultado_1[[#This Row],[Conta 4]],D_CentroResultados[Conta 4],1,FALSE)</f>
        <v>Shopping Norte Sul</v>
      </c>
    </row>
    <row r="71" spans="1:11" hidden="1" x14ac:dyDescent="0.25">
      <c r="A71" t="s">
        <v>163</v>
      </c>
      <c r="B71" t="s">
        <v>163</v>
      </c>
      <c r="C71" t="s">
        <v>851</v>
      </c>
      <c r="D71" t="s">
        <v>502</v>
      </c>
      <c r="E71" t="s">
        <v>749</v>
      </c>
      <c r="F71" t="s">
        <v>1019</v>
      </c>
      <c r="G71" t="s">
        <v>1022</v>
      </c>
      <c r="H71" t="s">
        <v>933</v>
      </c>
      <c r="I71" t="s">
        <v>783</v>
      </c>
      <c r="J71" t="s">
        <v>784</v>
      </c>
      <c r="K71" t="str">
        <f>VLOOKUP(Tab_CentroResultado_1[[#This Row],[Conta 4]],D_CentroResultados[Conta 4],1,FALSE)</f>
        <v>Shopping Mestre Alvaro</v>
      </c>
    </row>
    <row r="72" spans="1:11" hidden="1" x14ac:dyDescent="0.25">
      <c r="A72" t="s">
        <v>163</v>
      </c>
      <c r="B72" t="s">
        <v>163</v>
      </c>
      <c r="C72" t="s">
        <v>853</v>
      </c>
      <c r="D72" t="s">
        <v>502</v>
      </c>
      <c r="E72" t="s">
        <v>749</v>
      </c>
      <c r="F72" t="s">
        <v>1019</v>
      </c>
      <c r="G72" t="s">
        <v>1023</v>
      </c>
      <c r="H72" t="s">
        <v>933</v>
      </c>
      <c r="I72" t="s">
        <v>783</v>
      </c>
      <c r="J72" t="s">
        <v>784</v>
      </c>
      <c r="K72" t="str">
        <f>VLOOKUP(Tab_CentroResultado_1[[#This Row],[Conta 4]],D_CentroResultados[Conta 4],1,FALSE)</f>
        <v>Shopping Moxuara</v>
      </c>
    </row>
    <row r="73" spans="1:11" hidden="1" x14ac:dyDescent="0.25">
      <c r="A73" t="s">
        <v>163</v>
      </c>
      <c r="B73" t="s">
        <v>163</v>
      </c>
      <c r="C73" t="s">
        <v>852</v>
      </c>
      <c r="D73" t="s">
        <v>502</v>
      </c>
      <c r="E73" t="s">
        <v>749</v>
      </c>
      <c r="F73" t="s">
        <v>1019</v>
      </c>
      <c r="G73" t="s">
        <v>1024</v>
      </c>
      <c r="H73" t="s">
        <v>933</v>
      </c>
      <c r="I73" t="s">
        <v>783</v>
      </c>
      <c r="J73" t="s">
        <v>784</v>
      </c>
      <c r="K73" t="str">
        <f>VLOOKUP(Tab_CentroResultado_1[[#This Row],[Conta 4]],D_CentroResultados[Conta 4],1,FALSE)</f>
        <v>Shopping Montserrat</v>
      </c>
    </row>
    <row r="74" spans="1:11" hidden="1" x14ac:dyDescent="0.25">
      <c r="A74" t="s">
        <v>163</v>
      </c>
      <c r="B74" t="s">
        <v>163</v>
      </c>
      <c r="C74" t="s">
        <v>785</v>
      </c>
      <c r="D74" t="s">
        <v>502</v>
      </c>
      <c r="E74" t="s">
        <v>749</v>
      </c>
      <c r="F74" t="s">
        <v>1025</v>
      </c>
      <c r="G74" t="s">
        <v>1025</v>
      </c>
      <c r="H74" t="s">
        <v>933</v>
      </c>
      <c r="I74" t="s">
        <v>783</v>
      </c>
      <c r="J74" t="s">
        <v>785</v>
      </c>
      <c r="K74" t="str">
        <f>VLOOKUP(Tab_CentroResultado_1[[#This Row],[Conta 4]],D_CentroResultados[Conta 4],1,FALSE)</f>
        <v>Supermercado</v>
      </c>
    </row>
    <row r="75" spans="1:11" hidden="1" x14ac:dyDescent="0.25">
      <c r="A75" t="s">
        <v>163</v>
      </c>
      <c r="B75" t="s">
        <v>163</v>
      </c>
      <c r="C75" t="s">
        <v>66</v>
      </c>
      <c r="D75" t="s">
        <v>502</v>
      </c>
      <c r="E75" t="s">
        <v>749</v>
      </c>
      <c r="F75" t="s">
        <v>1026</v>
      </c>
      <c r="G75" t="s">
        <v>1026</v>
      </c>
      <c r="H75" t="s">
        <v>933</v>
      </c>
      <c r="I75" t="s">
        <v>783</v>
      </c>
      <c r="J75" t="s">
        <v>66</v>
      </c>
      <c r="K75" t="str">
        <f>VLOOKUP(Tab_CentroResultado_1[[#This Row],[Conta 4]],D_CentroResultados[Conta 4],1,FALSE)</f>
        <v>Farmacia</v>
      </c>
    </row>
    <row r="76" spans="1:11" hidden="1" x14ac:dyDescent="0.25">
      <c r="A76" t="s">
        <v>163</v>
      </c>
      <c r="B76" t="s">
        <v>163</v>
      </c>
      <c r="C76" t="s">
        <v>812</v>
      </c>
      <c r="D76" t="s">
        <v>502</v>
      </c>
      <c r="E76" t="s">
        <v>1027</v>
      </c>
      <c r="F76" t="s">
        <v>1028</v>
      </c>
      <c r="G76" t="s">
        <v>1028</v>
      </c>
      <c r="H76" t="s">
        <v>933</v>
      </c>
      <c r="I76" t="s">
        <v>808</v>
      </c>
      <c r="J76" t="s">
        <v>812</v>
      </c>
      <c r="K76" t="str">
        <f>VLOOKUP(Tab_CentroResultado_1[[#This Row],[Conta 4]],D_CentroResultados[Conta 4],1,FALSE)</f>
        <v>SouES</v>
      </c>
    </row>
    <row r="77" spans="1:11" hidden="1" x14ac:dyDescent="0.25">
      <c r="A77" t="s">
        <v>163</v>
      </c>
      <c r="B77" t="s">
        <v>163</v>
      </c>
      <c r="C77" t="s">
        <v>811</v>
      </c>
      <c r="D77" t="s">
        <v>502</v>
      </c>
      <c r="E77" t="s">
        <v>1027</v>
      </c>
      <c r="F77" t="s">
        <v>1029</v>
      </c>
      <c r="G77" t="s">
        <v>1029</v>
      </c>
      <c r="H77" t="s">
        <v>933</v>
      </c>
      <c r="I77" t="s">
        <v>808</v>
      </c>
      <c r="J77" t="s">
        <v>811</v>
      </c>
      <c r="K77" t="str">
        <f>VLOOKUP(Tab_CentroResultado_1[[#This Row],[Conta 4]],D_CentroResultados[Conta 4],1,FALSE)</f>
        <v>Sempre On</v>
      </c>
    </row>
    <row r="78" spans="1:11" hidden="1" x14ac:dyDescent="0.25">
      <c r="A78" t="s">
        <v>163</v>
      </c>
      <c r="B78" t="s">
        <v>163</v>
      </c>
      <c r="C78" t="s">
        <v>809</v>
      </c>
      <c r="D78" t="s">
        <v>502</v>
      </c>
      <c r="E78" t="s">
        <v>1027</v>
      </c>
      <c r="F78" t="s">
        <v>1030</v>
      </c>
      <c r="G78" t="s">
        <v>1030</v>
      </c>
      <c r="H78" t="s">
        <v>933</v>
      </c>
      <c r="I78" t="s">
        <v>808</v>
      </c>
      <c r="J78" t="s">
        <v>809</v>
      </c>
      <c r="K78" t="str">
        <f>VLOOKUP(Tab_CentroResultado_1[[#This Row],[Conta 4]],D_CentroResultados[Conta 4],1,FALSE)</f>
        <v>Ads</v>
      </c>
    </row>
    <row r="79" spans="1:11" hidden="1" x14ac:dyDescent="0.25">
      <c r="A79" t="s">
        <v>163</v>
      </c>
      <c r="B79" t="s">
        <v>163</v>
      </c>
      <c r="C79" t="s">
        <v>810</v>
      </c>
      <c r="D79" t="s">
        <v>502</v>
      </c>
      <c r="E79" t="s">
        <v>1027</v>
      </c>
      <c r="F79" t="s">
        <v>1031</v>
      </c>
      <c r="G79" t="s">
        <v>1031</v>
      </c>
      <c r="H79" t="s">
        <v>933</v>
      </c>
      <c r="I79" t="s">
        <v>808</v>
      </c>
      <c r="J79" t="s">
        <v>810</v>
      </c>
      <c r="K79" t="str">
        <f>VLOOKUP(Tab_CentroResultado_1[[#This Row],[Conta 4]],D_CentroResultados[Conta 4],1,FALSE)</f>
        <v>Metrópolis</v>
      </c>
    </row>
    <row r="80" spans="1:11" hidden="1" x14ac:dyDescent="0.25">
      <c r="A80" t="s">
        <v>163</v>
      </c>
      <c r="B80" t="s">
        <v>163</v>
      </c>
      <c r="C80" t="s">
        <v>834</v>
      </c>
      <c r="D80" t="s">
        <v>502</v>
      </c>
      <c r="E80" t="s">
        <v>1032</v>
      </c>
      <c r="F80" t="s">
        <v>1033</v>
      </c>
      <c r="G80" t="s">
        <v>1033</v>
      </c>
      <c r="H80" t="s">
        <v>933</v>
      </c>
      <c r="I80" t="s">
        <v>402</v>
      </c>
      <c r="J80" t="s">
        <v>834</v>
      </c>
      <c r="K80" t="str">
        <f>VLOOKUP(Tab_CentroResultado_1[[#This Row],[Conta 4]],D_CentroResultados[Conta 4],1,FALSE)</f>
        <v>Impressao Revenda</v>
      </c>
    </row>
    <row r="81" spans="1:11" hidden="1" x14ac:dyDescent="0.25">
      <c r="A81" t="s">
        <v>163</v>
      </c>
      <c r="B81" t="s">
        <v>163</v>
      </c>
      <c r="C81" t="s">
        <v>802</v>
      </c>
      <c r="D81" t="s">
        <v>502</v>
      </c>
      <c r="E81" t="s">
        <v>1034</v>
      </c>
      <c r="F81" t="s">
        <v>1035</v>
      </c>
      <c r="G81" t="s">
        <v>1035</v>
      </c>
      <c r="H81" t="s">
        <v>933</v>
      </c>
      <c r="I81" t="s">
        <v>800</v>
      </c>
      <c r="J81" t="s">
        <v>802</v>
      </c>
      <c r="K81" t="str">
        <f>VLOOKUP(Tab_CentroResultado_1[[#This Row],[Conta 4]],D_CentroResultados[Conta 4],1,FALSE)</f>
        <v>Estrutura</v>
      </c>
    </row>
    <row r="82" spans="1:11" hidden="1" x14ac:dyDescent="0.25">
      <c r="A82" t="s">
        <v>163</v>
      </c>
      <c r="B82" t="s">
        <v>163</v>
      </c>
      <c r="C82" t="s">
        <v>803</v>
      </c>
      <c r="D82" t="s">
        <v>502</v>
      </c>
      <c r="E82" t="s">
        <v>1034</v>
      </c>
      <c r="F82" t="s">
        <v>1036</v>
      </c>
      <c r="G82" t="s">
        <v>1036</v>
      </c>
      <c r="H82" t="s">
        <v>933</v>
      </c>
      <c r="I82" t="s">
        <v>800</v>
      </c>
      <c r="J82" t="s">
        <v>803</v>
      </c>
      <c r="K82" t="str">
        <f>VLOOKUP(Tab_CentroResultado_1[[#This Row],[Conta 4]],D_CentroResultados[Conta 4],1,FALSE)</f>
        <v>Placa</v>
      </c>
    </row>
    <row r="83" spans="1:11" hidden="1" x14ac:dyDescent="0.25">
      <c r="A83" t="s">
        <v>163</v>
      </c>
      <c r="B83" t="s">
        <v>163</v>
      </c>
      <c r="C83" t="s">
        <v>801</v>
      </c>
      <c r="D83" t="s">
        <v>502</v>
      </c>
      <c r="E83" t="s">
        <v>1034</v>
      </c>
      <c r="F83" t="s">
        <v>1037</v>
      </c>
      <c r="G83" t="s">
        <v>1037</v>
      </c>
      <c r="H83" t="s">
        <v>933</v>
      </c>
      <c r="I83" t="s">
        <v>800</v>
      </c>
      <c r="J83" t="s">
        <v>801</v>
      </c>
      <c r="K83" t="str">
        <f>VLOOKUP(Tab_CentroResultado_1[[#This Row],[Conta 4]],D_CentroResultados[Conta 4],1,FALSE)</f>
        <v>Estoque</v>
      </c>
    </row>
    <row r="84" spans="1:11" hidden="1" x14ac:dyDescent="0.25">
      <c r="A84" t="s">
        <v>163</v>
      </c>
      <c r="B84" t="s">
        <v>163</v>
      </c>
      <c r="C84" t="s">
        <v>836</v>
      </c>
      <c r="D84" t="s">
        <v>502</v>
      </c>
      <c r="E84" t="s">
        <v>1038</v>
      </c>
      <c r="F84" t="s">
        <v>1039</v>
      </c>
      <c r="G84" t="s">
        <v>1039</v>
      </c>
      <c r="H84" t="s">
        <v>933</v>
      </c>
      <c r="I84" t="s">
        <v>835</v>
      </c>
      <c r="J84" t="s">
        <v>836</v>
      </c>
      <c r="K84" t="str">
        <f>VLOOKUP(Tab_CentroResultado_1[[#This Row],[Conta 4]],D_CentroResultados[Conta 4],1,FALSE)</f>
        <v>Colagem</v>
      </c>
    </row>
    <row r="85" spans="1:11" hidden="1" x14ac:dyDescent="0.25">
      <c r="A85" t="s">
        <v>163</v>
      </c>
      <c r="B85" t="s">
        <v>163</v>
      </c>
      <c r="C85" t="s">
        <v>838</v>
      </c>
      <c r="D85" t="s">
        <v>502</v>
      </c>
      <c r="E85" t="s">
        <v>1038</v>
      </c>
      <c r="F85" t="s">
        <v>1040</v>
      </c>
      <c r="G85" t="s">
        <v>1040</v>
      </c>
      <c r="H85" t="s">
        <v>933</v>
      </c>
      <c r="I85" t="s">
        <v>835</v>
      </c>
      <c r="J85" t="s">
        <v>838</v>
      </c>
      <c r="K85" t="str">
        <f>VLOOKUP(Tab_CentroResultado_1[[#This Row],[Conta 4]],D_CentroResultados[Conta 4],1,FALSE)</f>
        <v>Manutenção</v>
      </c>
    </row>
    <row r="86" spans="1:11" hidden="1" x14ac:dyDescent="0.25">
      <c r="A86" t="s">
        <v>163</v>
      </c>
      <c r="B86" t="s">
        <v>163</v>
      </c>
      <c r="C86" t="s">
        <v>839</v>
      </c>
      <c r="D86" t="s">
        <v>502</v>
      </c>
      <c r="E86" t="s">
        <v>1038</v>
      </c>
      <c r="F86" t="s">
        <v>1041</v>
      </c>
      <c r="G86" t="s">
        <v>1041</v>
      </c>
      <c r="H86" t="s">
        <v>933</v>
      </c>
      <c r="I86" t="s">
        <v>835</v>
      </c>
      <c r="J86" t="s">
        <v>839</v>
      </c>
      <c r="K86" t="str">
        <f>VLOOKUP(Tab_CentroResultado_1[[#This Row],[Conta 4]],D_CentroResultados[Conta 4],1,FALSE)</f>
        <v>Montagem e Instalacao</v>
      </c>
    </row>
    <row r="87" spans="1:11" hidden="1" x14ac:dyDescent="0.25">
      <c r="A87" t="s">
        <v>163</v>
      </c>
      <c r="B87" t="s">
        <v>163</v>
      </c>
      <c r="C87" t="s">
        <v>837</v>
      </c>
      <c r="D87" t="s">
        <v>502</v>
      </c>
      <c r="E87" t="s">
        <v>1038</v>
      </c>
      <c r="F87" t="s">
        <v>1042</v>
      </c>
      <c r="G87" t="s">
        <v>1042</v>
      </c>
      <c r="H87" t="s">
        <v>933</v>
      </c>
      <c r="I87" t="s">
        <v>835</v>
      </c>
      <c r="J87" t="s">
        <v>837</v>
      </c>
      <c r="K87" t="str">
        <f>VLOOKUP(Tab_CentroResultado_1[[#This Row],[Conta 4]],D_CentroResultados[Conta 4],1,FALSE)</f>
        <v>Limpeza de Terreno</v>
      </c>
    </row>
    <row r="88" spans="1:11" hidden="1" x14ac:dyDescent="0.25">
      <c r="A88" t="s">
        <v>163</v>
      </c>
      <c r="B88" t="s">
        <v>163</v>
      </c>
      <c r="C88" t="s">
        <v>840</v>
      </c>
      <c r="D88" t="s">
        <v>502</v>
      </c>
      <c r="E88" t="s">
        <v>1038</v>
      </c>
      <c r="F88" t="s">
        <v>1043</v>
      </c>
      <c r="G88" t="s">
        <v>1043</v>
      </c>
      <c r="H88" t="s">
        <v>933</v>
      </c>
      <c r="I88" t="s">
        <v>835</v>
      </c>
      <c r="J88" t="s">
        <v>840</v>
      </c>
      <c r="K88" t="str">
        <f>VLOOKUP(Tab_CentroResultado_1[[#This Row],[Conta 4]],D_CentroResultados[Conta 4],1,FALSE)</f>
        <v>Projeto Especial</v>
      </c>
    </row>
    <row r="89" spans="1:11" hidden="1" x14ac:dyDescent="0.25">
      <c r="A89" t="s">
        <v>163</v>
      </c>
      <c r="B89" t="s">
        <v>163</v>
      </c>
      <c r="C89" t="s">
        <v>787</v>
      </c>
      <c r="D89" t="s">
        <v>502</v>
      </c>
      <c r="E89" t="s">
        <v>1044</v>
      </c>
      <c r="F89" t="s">
        <v>1045</v>
      </c>
      <c r="G89" t="s">
        <v>1045</v>
      </c>
      <c r="H89" t="s">
        <v>933</v>
      </c>
      <c r="I89" t="s">
        <v>786</v>
      </c>
      <c r="J89" t="s">
        <v>787</v>
      </c>
      <c r="K89" t="str">
        <f>VLOOKUP(Tab_CentroResultado_1[[#This Row],[Conta 4]],D_CentroResultados[Conta 4],1,FALSE)</f>
        <v>All Space Visao</v>
      </c>
    </row>
    <row r="90" spans="1:11" hidden="1" x14ac:dyDescent="0.25">
      <c r="A90" t="s">
        <v>163</v>
      </c>
      <c r="B90" t="s">
        <v>163</v>
      </c>
      <c r="C90" t="s">
        <v>861</v>
      </c>
      <c r="D90" t="s">
        <v>502</v>
      </c>
      <c r="E90" t="s">
        <v>1046</v>
      </c>
      <c r="F90" t="s">
        <v>1047</v>
      </c>
      <c r="G90" t="s">
        <v>1048</v>
      </c>
      <c r="H90" t="s">
        <v>933</v>
      </c>
      <c r="I90" t="s">
        <v>820</v>
      </c>
      <c r="J90" t="s">
        <v>821</v>
      </c>
      <c r="K90" t="str">
        <f>VLOOKUP(Tab_CentroResultado_1[[#This Row],[Conta 4]],D_CentroResultados[Conta 4],1,FALSE)</f>
        <v>Galpão nº001</v>
      </c>
    </row>
    <row r="91" spans="1:11" hidden="1" x14ac:dyDescent="0.25">
      <c r="A91" t="s">
        <v>163</v>
      </c>
      <c r="B91" t="s">
        <v>163</v>
      </c>
      <c r="C91" t="s">
        <v>862</v>
      </c>
      <c r="D91" t="s">
        <v>502</v>
      </c>
      <c r="E91" t="s">
        <v>1046</v>
      </c>
      <c r="F91" t="s">
        <v>1047</v>
      </c>
      <c r="G91" t="s">
        <v>1049</v>
      </c>
      <c r="H91" t="s">
        <v>933</v>
      </c>
      <c r="I91" t="s">
        <v>820</v>
      </c>
      <c r="J91" t="s">
        <v>821</v>
      </c>
      <c r="K91" t="str">
        <f>VLOOKUP(Tab_CentroResultado_1[[#This Row],[Conta 4]],D_CentroResultados[Conta 4],1,FALSE)</f>
        <v>Galpão nº002</v>
      </c>
    </row>
    <row r="92" spans="1:11" hidden="1" x14ac:dyDescent="0.25">
      <c r="A92" t="s">
        <v>163</v>
      </c>
      <c r="B92" t="s">
        <v>163</v>
      </c>
      <c r="C92" t="s">
        <v>863</v>
      </c>
      <c r="D92" t="s">
        <v>502</v>
      </c>
      <c r="E92" t="s">
        <v>1046</v>
      </c>
      <c r="F92" t="s">
        <v>1047</v>
      </c>
      <c r="G92" t="s">
        <v>1050</v>
      </c>
      <c r="H92" t="s">
        <v>933</v>
      </c>
      <c r="I92" t="s">
        <v>820</v>
      </c>
      <c r="J92" t="s">
        <v>821</v>
      </c>
      <c r="K92" t="str">
        <f>VLOOKUP(Tab_CentroResultado_1[[#This Row],[Conta 4]],D_CentroResultados[Conta 4],1,FALSE)</f>
        <v>Galpão nº003</v>
      </c>
    </row>
    <row r="93" spans="1:11" hidden="1" x14ac:dyDescent="0.25">
      <c r="A93" t="s">
        <v>163</v>
      </c>
      <c r="B93" t="s">
        <v>163</v>
      </c>
      <c r="C93" t="s">
        <v>860</v>
      </c>
      <c r="D93" t="s">
        <v>502</v>
      </c>
      <c r="E93" t="s">
        <v>1046</v>
      </c>
      <c r="F93" t="s">
        <v>1047</v>
      </c>
      <c r="G93" t="s">
        <v>1051</v>
      </c>
      <c r="H93" t="s">
        <v>933</v>
      </c>
      <c r="I93" t="s">
        <v>820</v>
      </c>
      <c r="J93" t="s">
        <v>821</v>
      </c>
      <c r="K93" t="str">
        <f>VLOOKUP(Tab_CentroResultado_1[[#This Row],[Conta 4]],D_CentroResultados[Conta 4],1,FALSE)</f>
        <v>Galpão n°006</v>
      </c>
    </row>
    <row r="94" spans="1:11" hidden="1" x14ac:dyDescent="0.25">
      <c r="A94" t="s">
        <v>163</v>
      </c>
      <c r="B94" t="s">
        <v>163</v>
      </c>
      <c r="C94" t="s">
        <v>857</v>
      </c>
      <c r="D94" t="s">
        <v>502</v>
      </c>
      <c r="E94" t="s">
        <v>1046</v>
      </c>
      <c r="F94" t="s">
        <v>1047</v>
      </c>
      <c r="G94" t="s">
        <v>1052</v>
      </c>
      <c r="H94" t="s">
        <v>933</v>
      </c>
      <c r="I94" t="s">
        <v>820</v>
      </c>
      <c r="J94" t="s">
        <v>821</v>
      </c>
      <c r="K94" t="str">
        <f>VLOOKUP(Tab_CentroResultado_1[[#This Row],[Conta 4]],D_CentroResultados[Conta 4],1,FALSE)</f>
        <v>Area comum</v>
      </c>
    </row>
    <row r="95" spans="1:11" hidden="1" x14ac:dyDescent="0.25">
      <c r="A95" t="s">
        <v>163</v>
      </c>
      <c r="B95" t="s">
        <v>163</v>
      </c>
      <c r="C95" t="s">
        <v>856</v>
      </c>
      <c r="D95" t="s">
        <v>502</v>
      </c>
      <c r="E95" t="s">
        <v>1046</v>
      </c>
      <c r="F95" t="s">
        <v>1047</v>
      </c>
      <c r="G95" t="s">
        <v>1053</v>
      </c>
      <c r="H95" t="s">
        <v>933</v>
      </c>
      <c r="I95" t="s">
        <v>820</v>
      </c>
      <c r="J95" t="s">
        <v>821</v>
      </c>
      <c r="K95" t="str">
        <f>VLOOKUP(Tab_CentroResultado_1[[#This Row],[Conta 4]],D_CentroResultados[Conta 4],1,FALSE)</f>
        <v>Administrativo Movlog</v>
      </c>
    </row>
    <row r="96" spans="1:11" hidden="1" x14ac:dyDescent="0.25">
      <c r="A96" t="s">
        <v>163</v>
      </c>
      <c r="B96" t="s">
        <v>163</v>
      </c>
      <c r="C96" t="s">
        <v>864</v>
      </c>
      <c r="D96" t="s">
        <v>502</v>
      </c>
      <c r="E96" t="s">
        <v>1046</v>
      </c>
      <c r="F96" t="s">
        <v>1047</v>
      </c>
      <c r="G96" t="s">
        <v>1054</v>
      </c>
      <c r="H96" t="s">
        <v>933</v>
      </c>
      <c r="I96" t="s">
        <v>820</v>
      </c>
      <c r="J96" t="s">
        <v>821</v>
      </c>
      <c r="K96" t="str">
        <f>VLOOKUP(Tab_CentroResultado_1[[#This Row],[Conta 4]],D_CentroResultados[Conta 4],1,FALSE)</f>
        <v>Galpão 04 D</v>
      </c>
    </row>
    <row r="97" spans="1:11" hidden="1" x14ac:dyDescent="0.25">
      <c r="A97" t="s">
        <v>163</v>
      </c>
      <c r="B97" t="s">
        <v>163</v>
      </c>
      <c r="C97" t="s">
        <v>865</v>
      </c>
      <c r="D97" t="s">
        <v>502</v>
      </c>
      <c r="E97" t="s">
        <v>1046</v>
      </c>
      <c r="F97" t="s">
        <v>1047</v>
      </c>
      <c r="G97" t="s">
        <v>1055</v>
      </c>
      <c r="H97" t="s">
        <v>933</v>
      </c>
      <c r="I97" t="s">
        <v>820</v>
      </c>
      <c r="J97" t="s">
        <v>821</v>
      </c>
      <c r="K97" t="str">
        <f>VLOOKUP(Tab_CentroResultado_1[[#This Row],[Conta 4]],D_CentroResultados[Conta 4],1,FALSE)</f>
        <v>Galpão 04 E</v>
      </c>
    </row>
    <row r="98" spans="1:11" hidden="1" x14ac:dyDescent="0.25">
      <c r="A98" t="s">
        <v>163</v>
      </c>
      <c r="B98" t="s">
        <v>163</v>
      </c>
      <c r="C98" t="s">
        <v>867</v>
      </c>
      <c r="D98" t="s">
        <v>502</v>
      </c>
      <c r="E98" t="s">
        <v>1046</v>
      </c>
      <c r="F98" t="s">
        <v>1047</v>
      </c>
      <c r="G98" t="s">
        <v>1056</v>
      </c>
      <c r="H98" t="s">
        <v>933</v>
      </c>
      <c r="I98" t="s">
        <v>820</v>
      </c>
      <c r="J98" t="s">
        <v>821</v>
      </c>
      <c r="K98" t="str">
        <f>VLOOKUP(Tab_CentroResultado_1[[#This Row],[Conta 4]],D_CentroResultados[Conta 4],1,FALSE)</f>
        <v>Obra Movlog</v>
      </c>
    </row>
    <row r="99" spans="1:11" hidden="1" x14ac:dyDescent="0.25">
      <c r="A99" t="s">
        <v>163</v>
      </c>
      <c r="B99" t="s">
        <v>163</v>
      </c>
      <c r="C99" t="s">
        <v>866</v>
      </c>
      <c r="D99" t="s">
        <v>502</v>
      </c>
      <c r="E99" t="s">
        <v>1046</v>
      </c>
      <c r="F99" t="s">
        <v>1047</v>
      </c>
      <c r="G99" t="s">
        <v>1057</v>
      </c>
      <c r="H99" t="s">
        <v>933</v>
      </c>
      <c r="I99" t="s">
        <v>820</v>
      </c>
      <c r="J99" t="s">
        <v>821</v>
      </c>
      <c r="K99" t="str">
        <f>VLOOKUP(Tab_CentroResultado_1[[#This Row],[Conta 4]],D_CentroResultados[Conta 4],1,FALSE)</f>
        <v>Nescher</v>
      </c>
    </row>
    <row r="100" spans="1:11" hidden="1" x14ac:dyDescent="0.25">
      <c r="A100" t="s">
        <v>163</v>
      </c>
      <c r="B100" t="s">
        <v>163</v>
      </c>
      <c r="C100" t="s">
        <v>858</v>
      </c>
      <c r="D100" t="s">
        <v>502</v>
      </c>
      <c r="E100" t="s">
        <v>1046</v>
      </c>
      <c r="F100" t="s">
        <v>1047</v>
      </c>
      <c r="G100" t="s">
        <v>1058</v>
      </c>
      <c r="H100" t="s">
        <v>933</v>
      </c>
      <c r="I100" t="s">
        <v>820</v>
      </c>
      <c r="J100" t="s">
        <v>821</v>
      </c>
      <c r="K100" t="str">
        <f>VLOOKUP(Tab_CentroResultado_1[[#This Row],[Conta 4]],D_CentroResultados[Conta 4],1,FALSE)</f>
        <v>Galpão 11</v>
      </c>
    </row>
    <row r="101" spans="1:11" hidden="1" x14ac:dyDescent="0.25">
      <c r="A101" t="s">
        <v>163</v>
      </c>
      <c r="B101" t="s">
        <v>163</v>
      </c>
      <c r="C101" t="s">
        <v>859</v>
      </c>
      <c r="D101" t="s">
        <v>502</v>
      </c>
      <c r="E101" t="s">
        <v>1046</v>
      </c>
      <c r="F101" t="s">
        <v>1047</v>
      </c>
      <c r="G101" t="s">
        <v>1059</v>
      </c>
      <c r="H101" t="s">
        <v>933</v>
      </c>
      <c r="I101" t="s">
        <v>820</v>
      </c>
      <c r="J101" t="s">
        <v>821</v>
      </c>
      <c r="K101" t="str">
        <f>VLOOKUP(Tab_CentroResultado_1[[#This Row],[Conta 4]],D_CentroResultados[Conta 4],1,FALSE)</f>
        <v>Galpão n°005</v>
      </c>
    </row>
    <row r="102" spans="1:11" hidden="1" x14ac:dyDescent="0.25">
      <c r="A102" t="s">
        <v>163</v>
      </c>
      <c r="B102" t="s">
        <v>163</v>
      </c>
      <c r="C102" t="s">
        <v>970</v>
      </c>
      <c r="D102" t="s">
        <v>502</v>
      </c>
      <c r="E102" t="s">
        <v>1046</v>
      </c>
      <c r="F102" t="s">
        <v>1047</v>
      </c>
      <c r="G102" t="s">
        <v>1060</v>
      </c>
      <c r="H102" t="s">
        <v>933</v>
      </c>
      <c r="I102" t="s">
        <v>820</v>
      </c>
      <c r="J102" t="s">
        <v>821</v>
      </c>
      <c r="K102" t="str">
        <f>VLOOKUP(Tab_CentroResultado_1[[#This Row],[Conta 4]],D_CentroResultados[Conta 4],1,FALSE)</f>
        <v>Transcherrer</v>
      </c>
    </row>
    <row r="103" spans="1:11" hidden="1" x14ac:dyDescent="0.25">
      <c r="A103" t="s">
        <v>163</v>
      </c>
      <c r="B103" t="s">
        <v>163</v>
      </c>
      <c r="C103" t="s">
        <v>868</v>
      </c>
      <c r="D103" t="s">
        <v>502</v>
      </c>
      <c r="E103" t="s">
        <v>1046</v>
      </c>
      <c r="F103" t="s">
        <v>1061</v>
      </c>
      <c r="G103" t="s">
        <v>1062</v>
      </c>
      <c r="H103" t="s">
        <v>933</v>
      </c>
      <c r="I103" t="s">
        <v>820</v>
      </c>
      <c r="J103" t="s">
        <v>822</v>
      </c>
      <c r="K103" t="str">
        <f>VLOOKUP(Tab_CentroResultado_1[[#This Row],[Conta 4]],D_CentroResultados[Conta 4],1,FALSE)</f>
        <v>Siribeira</v>
      </c>
    </row>
    <row r="104" spans="1:11" hidden="1" x14ac:dyDescent="0.25">
      <c r="A104" t="s">
        <v>163</v>
      </c>
      <c r="B104" t="s">
        <v>163</v>
      </c>
      <c r="C104" t="s">
        <v>869</v>
      </c>
      <c r="D104" t="s">
        <v>502</v>
      </c>
      <c r="E104" t="s">
        <v>1046</v>
      </c>
      <c r="F104" t="s">
        <v>1061</v>
      </c>
      <c r="G104" t="s">
        <v>1063</v>
      </c>
      <c r="H104" t="s">
        <v>933</v>
      </c>
      <c r="I104" t="s">
        <v>820</v>
      </c>
      <c r="J104" t="s">
        <v>822</v>
      </c>
      <c r="K104" t="str">
        <f>VLOOKUP(Tab_CentroResultado_1[[#This Row],[Conta 4]],D_CentroResultados[Conta 4],1,FALSE)</f>
        <v>Terreno Praia do Morro</v>
      </c>
    </row>
    <row r="105" spans="1:11" hidden="1" x14ac:dyDescent="0.25">
      <c r="A105" t="s">
        <v>163</v>
      </c>
      <c r="B105" t="s">
        <v>163</v>
      </c>
      <c r="C105" t="s">
        <v>824</v>
      </c>
      <c r="D105" t="s">
        <v>502</v>
      </c>
      <c r="E105" t="s">
        <v>1064</v>
      </c>
      <c r="F105" t="s">
        <v>1065</v>
      </c>
      <c r="G105" t="s">
        <v>1065</v>
      </c>
      <c r="H105" t="s">
        <v>933</v>
      </c>
      <c r="I105" t="s">
        <v>113</v>
      </c>
      <c r="J105" t="s">
        <v>824</v>
      </c>
      <c r="K105" t="str">
        <f>VLOOKUP(Tab_CentroResultado_1[[#This Row],[Conta 4]],D_CentroResultados[Conta 4],1,FALSE)</f>
        <v>Area Protegida</v>
      </c>
    </row>
    <row r="106" spans="1:11" hidden="1" x14ac:dyDescent="0.25">
      <c r="A106" t="s">
        <v>163</v>
      </c>
      <c r="B106" t="s">
        <v>163</v>
      </c>
      <c r="C106" t="s">
        <v>825</v>
      </c>
      <c r="D106" t="s">
        <v>502</v>
      </c>
      <c r="E106" t="s">
        <v>1064</v>
      </c>
      <c r="F106" t="s">
        <v>1066</v>
      </c>
      <c r="G106" t="s">
        <v>1066</v>
      </c>
      <c r="H106" t="s">
        <v>933</v>
      </c>
      <c r="I106" t="s">
        <v>113</v>
      </c>
      <c r="J106" t="s">
        <v>825</v>
      </c>
      <c r="K106" t="str">
        <f>VLOOKUP(Tab_CentroResultado_1[[#This Row],[Conta 4]],D_CentroResultados[Conta 4],1,FALSE)</f>
        <v>Assistencia Domiciliar</v>
      </c>
    </row>
    <row r="107" spans="1:11" hidden="1" x14ac:dyDescent="0.25">
      <c r="A107" t="s">
        <v>163</v>
      </c>
      <c r="B107" t="s">
        <v>163</v>
      </c>
      <c r="C107" t="s">
        <v>827</v>
      </c>
      <c r="D107" t="s">
        <v>502</v>
      </c>
      <c r="E107" t="s">
        <v>1064</v>
      </c>
      <c r="F107" t="s">
        <v>1067</v>
      </c>
      <c r="G107" t="s">
        <v>1067</v>
      </c>
      <c r="H107" t="s">
        <v>933</v>
      </c>
      <c r="I107" t="s">
        <v>113</v>
      </c>
      <c r="J107" t="s">
        <v>827</v>
      </c>
      <c r="K107" t="str">
        <f>VLOOKUP(Tab_CentroResultado_1[[#This Row],[Conta 4]],D_CentroResultados[Conta 4],1,FALSE)</f>
        <v>Filial Linhares</v>
      </c>
    </row>
    <row r="108" spans="1:11" hidden="1" x14ac:dyDescent="0.25">
      <c r="A108" t="s">
        <v>163</v>
      </c>
      <c r="B108" t="s">
        <v>163</v>
      </c>
      <c r="C108" t="s">
        <v>828</v>
      </c>
      <c r="D108" t="s">
        <v>502</v>
      </c>
      <c r="E108" t="s">
        <v>1064</v>
      </c>
      <c r="F108" t="s">
        <v>1068</v>
      </c>
      <c r="G108" t="s">
        <v>1068</v>
      </c>
      <c r="H108" t="s">
        <v>933</v>
      </c>
      <c r="I108" t="s">
        <v>113</v>
      </c>
      <c r="J108" t="s">
        <v>828</v>
      </c>
      <c r="K108" t="str">
        <f>VLOOKUP(Tab_CentroResultado_1[[#This Row],[Conta 4]],D_CentroResultados[Conta 4],1,FALSE)</f>
        <v>Locação de Ambulância com Mão de Obra</v>
      </c>
    </row>
    <row r="109" spans="1:11" hidden="1" x14ac:dyDescent="0.25">
      <c r="A109" t="s">
        <v>163</v>
      </c>
      <c r="B109" t="s">
        <v>163</v>
      </c>
      <c r="C109" t="s">
        <v>829</v>
      </c>
      <c r="D109" t="s">
        <v>502</v>
      </c>
      <c r="E109" t="s">
        <v>1064</v>
      </c>
      <c r="F109" t="s">
        <v>1069</v>
      </c>
      <c r="G109" t="s">
        <v>1069</v>
      </c>
      <c r="H109" t="s">
        <v>933</v>
      </c>
      <c r="I109" t="s">
        <v>113</v>
      </c>
      <c r="J109" t="s">
        <v>829</v>
      </c>
      <c r="K109" t="str">
        <f>VLOOKUP(Tab_CentroResultado_1[[#This Row],[Conta 4]],D_CentroResultados[Conta 4],1,FALSE)</f>
        <v>Particular PF</v>
      </c>
    </row>
    <row r="110" spans="1:11" hidden="1" x14ac:dyDescent="0.25">
      <c r="A110" t="s">
        <v>163</v>
      </c>
      <c r="B110" t="s">
        <v>163</v>
      </c>
      <c r="C110" t="s">
        <v>830</v>
      </c>
      <c r="D110" t="s">
        <v>502</v>
      </c>
      <c r="E110" t="s">
        <v>1064</v>
      </c>
      <c r="F110" t="s">
        <v>1070</v>
      </c>
      <c r="G110" t="s">
        <v>1070</v>
      </c>
      <c r="H110" t="s">
        <v>933</v>
      </c>
      <c r="I110" t="s">
        <v>113</v>
      </c>
      <c r="J110" t="s">
        <v>830</v>
      </c>
      <c r="K110" t="str">
        <f>VLOOKUP(Tab_CentroResultado_1[[#This Row],[Conta 4]],D_CentroResultados[Conta 4],1,FALSE)</f>
        <v>Particular PJ</v>
      </c>
    </row>
    <row r="111" spans="1:11" hidden="1" x14ac:dyDescent="0.25">
      <c r="A111" t="s">
        <v>163</v>
      </c>
      <c r="B111" t="s">
        <v>163</v>
      </c>
      <c r="C111" t="s">
        <v>831</v>
      </c>
      <c r="D111" t="s">
        <v>502</v>
      </c>
      <c r="E111" t="s">
        <v>1064</v>
      </c>
      <c r="F111" t="s">
        <v>1071</v>
      </c>
      <c r="G111" t="s">
        <v>1071</v>
      </c>
      <c r="H111" t="s">
        <v>933</v>
      </c>
      <c r="I111" t="s">
        <v>113</v>
      </c>
      <c r="J111" t="s">
        <v>831</v>
      </c>
      <c r="K111" t="str">
        <f>VLOOKUP(Tab_CentroResultado_1[[#This Row],[Conta 4]],D_CentroResultados[Conta 4],1,FALSE)</f>
        <v>Plano Primer PF</v>
      </c>
    </row>
    <row r="112" spans="1:11" hidden="1" x14ac:dyDescent="0.25">
      <c r="A112" t="s">
        <v>163</v>
      </c>
      <c r="B112" t="s">
        <v>163</v>
      </c>
      <c r="C112" t="s">
        <v>832</v>
      </c>
      <c r="D112" t="s">
        <v>502</v>
      </c>
      <c r="E112" t="s">
        <v>1064</v>
      </c>
      <c r="F112" t="s">
        <v>1072</v>
      </c>
      <c r="G112" t="s">
        <v>1072</v>
      </c>
      <c r="H112" t="s">
        <v>933</v>
      </c>
      <c r="I112" t="s">
        <v>113</v>
      </c>
      <c r="J112" t="s">
        <v>832</v>
      </c>
      <c r="K112" t="str">
        <f>VLOOKUP(Tab_CentroResultado_1[[#This Row],[Conta 4]],D_CentroResultados[Conta 4],1,FALSE)</f>
        <v>Plano Primer PJ</v>
      </c>
    </row>
    <row r="113" spans="1:11" hidden="1" x14ac:dyDescent="0.25">
      <c r="A113" t="s">
        <v>163</v>
      </c>
      <c r="B113" t="s">
        <v>163</v>
      </c>
      <c r="C113" t="s">
        <v>833</v>
      </c>
      <c r="D113" t="s">
        <v>502</v>
      </c>
      <c r="E113" t="s">
        <v>1064</v>
      </c>
      <c r="F113" t="s">
        <v>1073</v>
      </c>
      <c r="G113" t="s">
        <v>1073</v>
      </c>
      <c r="H113" t="s">
        <v>933</v>
      </c>
      <c r="I113" t="s">
        <v>113</v>
      </c>
      <c r="J113" t="s">
        <v>833</v>
      </c>
      <c r="K113" t="str">
        <f>VLOOKUP(Tab_CentroResultado_1[[#This Row],[Conta 4]],D_CentroResultados[Conta 4],1,FALSE)</f>
        <v>Remoção</v>
      </c>
    </row>
    <row r="114" spans="1:11" hidden="1" x14ac:dyDescent="0.25">
      <c r="A114" t="s">
        <v>163</v>
      </c>
      <c r="B114" t="s">
        <v>163</v>
      </c>
      <c r="C114" t="s">
        <v>826</v>
      </c>
      <c r="D114" t="s">
        <v>502</v>
      </c>
      <c r="E114" t="s">
        <v>1064</v>
      </c>
      <c r="F114" t="s">
        <v>1074</v>
      </c>
      <c r="G114" t="s">
        <v>1074</v>
      </c>
      <c r="H114" t="s">
        <v>933</v>
      </c>
      <c r="I114" t="s">
        <v>113</v>
      </c>
      <c r="J114" t="s">
        <v>826</v>
      </c>
      <c r="K114" t="str">
        <f>VLOOKUP(Tab_CentroResultado_1[[#This Row],[Conta 4]],D_CentroResultados[Conta 4],1,FALSE)</f>
        <v>Central Atendimento</v>
      </c>
    </row>
    <row r="115" spans="1:11" hidden="1" x14ac:dyDescent="0.25">
      <c r="A115" t="s">
        <v>163</v>
      </c>
      <c r="B115" t="s">
        <v>163</v>
      </c>
      <c r="C115" t="s">
        <v>790</v>
      </c>
      <c r="D115" t="s">
        <v>502</v>
      </c>
      <c r="E115" t="s">
        <v>1075</v>
      </c>
      <c r="F115" t="s">
        <v>1076</v>
      </c>
      <c r="G115" t="s">
        <v>1076</v>
      </c>
      <c r="H115" t="s">
        <v>933</v>
      </c>
      <c r="I115" t="s">
        <v>64</v>
      </c>
      <c r="J115" t="s">
        <v>790</v>
      </c>
      <c r="K115" t="str">
        <f>VLOOKUP(Tab_CentroResultado_1[[#This Row],[Conta 4]],D_CentroResultados[Conta 4],1,FALSE)</f>
        <v>Venda Plano Primer</v>
      </c>
    </row>
    <row r="116" spans="1:11" hidden="1" x14ac:dyDescent="0.25">
      <c r="A116" t="s">
        <v>163</v>
      </c>
      <c r="B116" t="s">
        <v>163</v>
      </c>
      <c r="C116" t="s">
        <v>789</v>
      </c>
      <c r="D116" t="s">
        <v>502</v>
      </c>
      <c r="E116" t="s">
        <v>1075</v>
      </c>
      <c r="F116" t="s">
        <v>1077</v>
      </c>
      <c r="G116" t="s">
        <v>1077</v>
      </c>
      <c r="H116" t="s">
        <v>933</v>
      </c>
      <c r="I116" t="s">
        <v>64</v>
      </c>
      <c r="J116" t="s">
        <v>789</v>
      </c>
      <c r="K116" t="str">
        <f>VLOOKUP(Tab_CentroResultado_1[[#This Row],[Conta 4]],D_CentroResultados[Conta 4],1,FALSE)</f>
        <v>Venda Material Esportivo</v>
      </c>
    </row>
    <row r="117" spans="1:11" hidden="1" x14ac:dyDescent="0.25">
      <c r="A117" t="s">
        <v>163</v>
      </c>
      <c r="B117" t="s">
        <v>163</v>
      </c>
      <c r="C117" t="s">
        <v>788</v>
      </c>
      <c r="D117" t="s">
        <v>502</v>
      </c>
      <c r="E117" t="s">
        <v>1075</v>
      </c>
      <c r="F117" t="s">
        <v>1078</v>
      </c>
      <c r="G117" t="s">
        <v>1078</v>
      </c>
      <c r="H117" t="s">
        <v>933</v>
      </c>
      <c r="I117" t="s">
        <v>64</v>
      </c>
      <c r="J117" t="s">
        <v>788</v>
      </c>
      <c r="K117" t="str">
        <f>VLOOKUP(Tab_CentroResultado_1[[#This Row],[Conta 4]],D_CentroResultados[Conta 4],1,FALSE)</f>
        <v>Econto Filial Guarapari</v>
      </c>
    </row>
    <row r="118" spans="1:11" hidden="1" x14ac:dyDescent="0.25">
      <c r="A118" t="s">
        <v>163</v>
      </c>
      <c r="B118" t="s">
        <v>163</v>
      </c>
      <c r="C118" t="s">
        <v>842</v>
      </c>
      <c r="D118" t="s">
        <v>502</v>
      </c>
      <c r="E118" t="s">
        <v>1079</v>
      </c>
      <c r="F118" t="s">
        <v>1080</v>
      </c>
      <c r="G118" t="s">
        <v>1080</v>
      </c>
      <c r="H118" t="s">
        <v>933</v>
      </c>
      <c r="I118" t="s">
        <v>841</v>
      </c>
      <c r="J118" t="s">
        <v>842</v>
      </c>
      <c r="K118" t="str">
        <f>VLOOKUP(Tab_CentroResultado_1[[#This Row],[Conta 4]],D_CentroResultados[Conta 4],1,FALSE)</f>
        <v>Eletromidia Elevador</v>
      </c>
    </row>
    <row r="119" spans="1:11" hidden="1" x14ac:dyDescent="0.25">
      <c r="A119" t="s">
        <v>163</v>
      </c>
      <c r="B119" t="s">
        <v>163</v>
      </c>
      <c r="C119" t="s">
        <v>150</v>
      </c>
      <c r="D119" t="s">
        <v>502</v>
      </c>
      <c r="E119" t="s">
        <v>1081</v>
      </c>
      <c r="F119" t="s">
        <v>1082</v>
      </c>
      <c r="G119" t="s">
        <v>1082</v>
      </c>
      <c r="H119" t="s">
        <v>933</v>
      </c>
      <c r="I119" t="s">
        <v>823</v>
      </c>
      <c r="J119" t="s">
        <v>150</v>
      </c>
      <c r="K119" t="str">
        <f>VLOOKUP(Tab_CentroResultado_1[[#This Row],[Conta 4]],D_CentroResultados[Conta 4],1,FALSE)</f>
        <v>Venda de ingressos</v>
      </c>
    </row>
    <row r="120" spans="1:11" hidden="1" x14ac:dyDescent="0.25">
      <c r="A120" t="s">
        <v>163</v>
      </c>
      <c r="B120" t="s">
        <v>163</v>
      </c>
      <c r="C120" t="s">
        <v>806</v>
      </c>
      <c r="D120" t="s">
        <v>502</v>
      </c>
      <c r="E120" t="s">
        <v>1083</v>
      </c>
      <c r="F120" t="s">
        <v>1084</v>
      </c>
      <c r="G120" t="s">
        <v>1084</v>
      </c>
      <c r="H120" t="s">
        <v>933</v>
      </c>
      <c r="I120" t="s">
        <v>804</v>
      </c>
      <c r="J120" t="s">
        <v>806</v>
      </c>
      <c r="K120" t="str">
        <f>VLOOKUP(Tab_CentroResultado_1[[#This Row],[Conta 4]],D_CentroResultados[Conta 4],1,FALSE)</f>
        <v>B-Air Estatico Onibus</v>
      </c>
    </row>
    <row r="121" spans="1:11" hidden="1" x14ac:dyDescent="0.25">
      <c r="A121" t="s">
        <v>163</v>
      </c>
      <c r="B121" t="s">
        <v>163</v>
      </c>
      <c r="C121" t="s">
        <v>805</v>
      </c>
      <c r="D121" t="s">
        <v>502</v>
      </c>
      <c r="E121" t="s">
        <v>1083</v>
      </c>
      <c r="F121" t="s">
        <v>1085</v>
      </c>
      <c r="G121" t="s">
        <v>1085</v>
      </c>
      <c r="H121" t="s">
        <v>933</v>
      </c>
      <c r="I121" t="s">
        <v>804</v>
      </c>
      <c r="J121" t="s">
        <v>805</v>
      </c>
      <c r="K121" t="str">
        <f>VLOOKUP(Tab_CentroResultado_1[[#This Row],[Conta 4]],D_CentroResultados[Conta 4],1,FALSE)</f>
        <v>B-Air Digital Onibus</v>
      </c>
    </row>
    <row r="122" spans="1:11" hidden="1" x14ac:dyDescent="0.25">
      <c r="A122" t="s">
        <v>163</v>
      </c>
      <c r="B122" t="s">
        <v>163</v>
      </c>
      <c r="C122" t="s">
        <v>807</v>
      </c>
      <c r="D122" t="s">
        <v>502</v>
      </c>
      <c r="E122" t="s">
        <v>1083</v>
      </c>
      <c r="F122" t="s">
        <v>1086</v>
      </c>
      <c r="G122" t="s">
        <v>1086</v>
      </c>
      <c r="H122" t="s">
        <v>933</v>
      </c>
      <c r="I122" t="s">
        <v>804</v>
      </c>
      <c r="J122" t="s">
        <v>807</v>
      </c>
      <c r="K122" t="str">
        <f>VLOOKUP(Tab_CentroResultado_1[[#This Row],[Conta 4]],D_CentroResultados[Conta 4],1,FALSE)</f>
        <v>Estação de Metrô - Estatico</v>
      </c>
    </row>
    <row r="123" spans="1:11" hidden="1" x14ac:dyDescent="0.25">
      <c r="A123" t="s">
        <v>163</v>
      </c>
      <c r="B123" t="s">
        <v>163</v>
      </c>
      <c r="C123" t="s">
        <v>971</v>
      </c>
      <c r="D123" t="s">
        <v>502</v>
      </c>
      <c r="E123" t="s">
        <v>1087</v>
      </c>
      <c r="F123" t="s">
        <v>1088</v>
      </c>
      <c r="G123" t="s">
        <v>1088</v>
      </c>
      <c r="H123" t="s">
        <v>933</v>
      </c>
      <c r="I123" t="s">
        <v>968</v>
      </c>
      <c r="J123" t="s">
        <v>971</v>
      </c>
      <c r="K123" t="str">
        <f>VLOOKUP(Tab_CentroResultado_1[[#This Row],[Conta 4]],D_CentroResultados[Conta 4],1,FALSE)</f>
        <v>Mídias Diversas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E9A0-70BB-47A1-A7BF-E79D0F068E72}">
  <dimension ref="A1:R135"/>
  <sheetViews>
    <sheetView showGridLines="0" topLeftCell="E1" zoomScale="115" zoomScaleNormal="115" workbookViewId="0">
      <pane ySplit="2" topLeftCell="A17" activePane="bottomLeft" state="frozen"/>
      <selection pane="bottomLeft" activeCell="H11" sqref="H11"/>
    </sheetView>
  </sheetViews>
  <sheetFormatPr defaultColWidth="9.140625" defaultRowHeight="15" x14ac:dyDescent="0.25"/>
  <cols>
    <col min="1" max="3" width="18.7109375" bestFit="1" customWidth="1"/>
    <col min="4" max="4" width="18" bestFit="1" customWidth="1"/>
    <col min="5" max="5" width="29.140625" customWidth="1"/>
    <col min="6" max="6" width="28.85546875" customWidth="1"/>
    <col min="7" max="7" width="20.140625" customWidth="1"/>
    <col min="8" max="8" width="20" customWidth="1"/>
    <col min="9" max="9" width="26.140625" customWidth="1"/>
    <col min="10" max="10" width="37.140625" bestFit="1" customWidth="1"/>
    <col min="11" max="11" width="46.42578125" customWidth="1"/>
    <col min="12" max="12" width="51.85546875" bestFit="1" customWidth="1"/>
    <col min="13" max="13" width="39.5703125" bestFit="1" customWidth="1"/>
    <col min="14" max="14" width="44.42578125" bestFit="1" customWidth="1"/>
  </cols>
  <sheetData>
    <row r="1" spans="1:18" x14ac:dyDescent="0.25">
      <c r="M1" s="24" t="s">
        <v>890</v>
      </c>
      <c r="N1" s="24"/>
    </row>
    <row r="2" spans="1:18" x14ac:dyDescent="0.25">
      <c r="A2" s="17" t="s">
        <v>904</v>
      </c>
      <c r="B2" s="18" t="s">
        <v>905</v>
      </c>
      <c r="C2" s="18" t="s">
        <v>906</v>
      </c>
      <c r="D2" s="18" t="s">
        <v>907</v>
      </c>
      <c r="E2" s="18" t="s">
        <v>753</v>
      </c>
      <c r="F2" s="18" t="s">
        <v>754</v>
      </c>
      <c r="G2" s="18" t="s">
        <v>755</v>
      </c>
      <c r="H2" s="19" t="s">
        <v>756</v>
      </c>
      <c r="I2" t="s">
        <v>0</v>
      </c>
      <c r="J2" t="s">
        <v>1</v>
      </c>
      <c r="K2" t="s">
        <v>2</v>
      </c>
      <c r="L2" t="s">
        <v>3</v>
      </c>
      <c r="M2" s="20" t="s">
        <v>1091</v>
      </c>
      <c r="N2" s="20" t="s">
        <v>1092</v>
      </c>
    </row>
    <row r="3" spans="1:18" x14ac:dyDescent="0.25">
      <c r="A3" t="s">
        <v>474</v>
      </c>
      <c r="B3" t="s">
        <v>972</v>
      </c>
      <c r="C3" t="s">
        <v>972</v>
      </c>
      <c r="D3" t="s">
        <v>972</v>
      </c>
      <c r="E3" t="s">
        <v>932</v>
      </c>
      <c r="F3" t="s">
        <v>14</v>
      </c>
      <c r="G3" t="s">
        <v>14</v>
      </c>
      <c r="H3" t="s">
        <v>14</v>
      </c>
      <c r="I3" s="11" t="s">
        <v>776</v>
      </c>
      <c r="J3" s="11" t="s">
        <v>776</v>
      </c>
      <c r="K3" s="11" t="s">
        <v>767</v>
      </c>
      <c r="L3" s="11" t="s">
        <v>14</v>
      </c>
      <c r="M3" t="s">
        <v>175</v>
      </c>
      <c r="N3" t="s">
        <v>355</v>
      </c>
    </row>
    <row r="4" spans="1:18" x14ac:dyDescent="0.25">
      <c r="I4" s="11" t="s">
        <v>776</v>
      </c>
      <c r="J4" s="11" t="s">
        <v>776</v>
      </c>
      <c r="K4" s="11" t="s">
        <v>767</v>
      </c>
      <c r="L4" s="11" t="s">
        <v>768</v>
      </c>
      <c r="M4" t="s">
        <v>175</v>
      </c>
      <c r="N4" t="s">
        <v>355</v>
      </c>
    </row>
    <row r="5" spans="1:18" x14ac:dyDescent="0.25">
      <c r="I5" s="11" t="s">
        <v>776</v>
      </c>
      <c r="J5" s="11" t="s">
        <v>776</v>
      </c>
      <c r="K5" s="11" t="s">
        <v>758</v>
      </c>
      <c r="L5" s="11" t="s">
        <v>759</v>
      </c>
      <c r="M5" t="s">
        <v>175</v>
      </c>
      <c r="N5" t="s">
        <v>355</v>
      </c>
    </row>
    <row r="6" spans="1:18" x14ac:dyDescent="0.25">
      <c r="I6" s="11" t="s">
        <v>776</v>
      </c>
      <c r="J6" s="11" t="s">
        <v>776</v>
      </c>
      <c r="K6" s="11" t="s">
        <v>758</v>
      </c>
      <c r="L6" s="11" t="s">
        <v>760</v>
      </c>
      <c r="M6" t="s">
        <v>175</v>
      </c>
      <c r="N6" t="s">
        <v>355</v>
      </c>
      <c r="R6" s="2"/>
    </row>
    <row r="7" spans="1:18" x14ac:dyDescent="0.25">
      <c r="A7" t="s">
        <v>474</v>
      </c>
      <c r="B7" t="s">
        <v>992</v>
      </c>
      <c r="C7" t="s">
        <v>992</v>
      </c>
      <c r="D7" t="s">
        <v>992</v>
      </c>
      <c r="E7" t="s">
        <v>932</v>
      </c>
      <c r="F7" t="s">
        <v>61</v>
      </c>
      <c r="G7" t="s">
        <v>61</v>
      </c>
      <c r="H7" t="s">
        <v>61</v>
      </c>
      <c r="I7" s="11" t="s">
        <v>776</v>
      </c>
      <c r="J7" s="11" t="s">
        <v>776</v>
      </c>
      <c r="K7" s="11" t="s">
        <v>758</v>
      </c>
      <c r="L7" s="11" t="s">
        <v>61</v>
      </c>
      <c r="M7" t="s">
        <v>175</v>
      </c>
      <c r="N7" t="s">
        <v>355</v>
      </c>
      <c r="R7" s="2"/>
    </row>
    <row r="8" spans="1:18" x14ac:dyDescent="0.25">
      <c r="I8" s="11" t="s">
        <v>776</v>
      </c>
      <c r="J8" s="11" t="s">
        <v>776</v>
      </c>
      <c r="K8" s="11" t="s">
        <v>758</v>
      </c>
      <c r="L8" s="11" t="s">
        <v>761</v>
      </c>
      <c r="M8" t="s">
        <v>175</v>
      </c>
      <c r="N8" t="s">
        <v>355</v>
      </c>
      <c r="R8" s="2"/>
    </row>
    <row r="9" spans="1:18" x14ac:dyDescent="0.25">
      <c r="I9" s="11" t="s">
        <v>776</v>
      </c>
      <c r="J9" s="11" t="s">
        <v>776</v>
      </c>
      <c r="K9" s="11" t="s">
        <v>758</v>
      </c>
      <c r="L9" s="11" t="s">
        <v>762</v>
      </c>
      <c r="M9" t="s">
        <v>175</v>
      </c>
      <c r="N9" t="s">
        <v>355</v>
      </c>
      <c r="R9" s="2"/>
    </row>
    <row r="10" spans="1:18" x14ac:dyDescent="0.25">
      <c r="A10" t="s">
        <v>474</v>
      </c>
      <c r="B10" t="s">
        <v>475</v>
      </c>
      <c r="C10" t="s">
        <v>475</v>
      </c>
      <c r="D10" t="s">
        <v>475</v>
      </c>
      <c r="E10" t="s">
        <v>932</v>
      </c>
      <c r="F10" t="s">
        <v>8</v>
      </c>
      <c r="G10" t="s">
        <v>8</v>
      </c>
      <c r="H10" t="s">
        <v>8</v>
      </c>
      <c r="I10" s="11" t="s">
        <v>776</v>
      </c>
      <c r="J10" s="11" t="s">
        <v>776</v>
      </c>
      <c r="K10" s="11" t="s">
        <v>758</v>
      </c>
      <c r="L10" s="11" t="s">
        <v>8</v>
      </c>
      <c r="M10" t="s">
        <v>175</v>
      </c>
      <c r="N10" t="s">
        <v>355</v>
      </c>
      <c r="O10" s="6" t="s">
        <v>891</v>
      </c>
      <c r="R10" s="2"/>
    </row>
    <row r="11" spans="1:18" x14ac:dyDescent="0.25">
      <c r="A11" t="s">
        <v>474</v>
      </c>
      <c r="B11" t="s">
        <v>973</v>
      </c>
      <c r="C11" t="s">
        <v>973</v>
      </c>
      <c r="D11" t="s">
        <v>973</v>
      </c>
      <c r="E11" t="s">
        <v>932</v>
      </c>
      <c r="F11" t="s">
        <v>43</v>
      </c>
      <c r="G11" t="s">
        <v>43</v>
      </c>
      <c r="H11" t="s">
        <v>43</v>
      </c>
      <c r="I11" s="11" t="s">
        <v>776</v>
      </c>
      <c r="J11" s="11" t="s">
        <v>776</v>
      </c>
      <c r="K11" s="11" t="s">
        <v>763</v>
      </c>
      <c r="L11" s="11" t="s">
        <v>43</v>
      </c>
      <c r="M11" t="s">
        <v>175</v>
      </c>
      <c r="N11" t="s">
        <v>355</v>
      </c>
      <c r="R11" s="2"/>
    </row>
    <row r="12" spans="1:18" x14ac:dyDescent="0.25">
      <c r="I12" s="11" t="s">
        <v>776</v>
      </c>
      <c r="J12" s="11" t="s">
        <v>776</v>
      </c>
      <c r="K12" s="11" t="s">
        <v>763</v>
      </c>
      <c r="L12" s="11" t="s">
        <v>764</v>
      </c>
      <c r="M12" t="s">
        <v>175</v>
      </c>
      <c r="N12" t="s">
        <v>355</v>
      </c>
      <c r="R12" s="2"/>
    </row>
    <row r="13" spans="1:18" x14ac:dyDescent="0.25">
      <c r="A13" t="s">
        <v>474</v>
      </c>
      <c r="B13" t="s">
        <v>993</v>
      </c>
      <c r="C13" t="s">
        <v>993</v>
      </c>
      <c r="D13" t="s">
        <v>993</v>
      </c>
      <c r="E13" t="s">
        <v>932</v>
      </c>
      <c r="F13" t="s">
        <v>52</v>
      </c>
      <c r="G13" t="s">
        <v>52</v>
      </c>
      <c r="H13" t="s">
        <v>52</v>
      </c>
      <c r="I13" s="11" t="s">
        <v>776</v>
      </c>
      <c r="J13" s="11" t="s">
        <v>776</v>
      </c>
      <c r="K13" s="11" t="s">
        <v>763</v>
      </c>
      <c r="L13" s="21" t="s">
        <v>52</v>
      </c>
      <c r="M13" t="s">
        <v>175</v>
      </c>
      <c r="N13" t="s">
        <v>355</v>
      </c>
      <c r="R13" s="2"/>
    </row>
    <row r="14" spans="1:18" x14ac:dyDescent="0.25">
      <c r="A14" t="s">
        <v>474</v>
      </c>
      <c r="B14" t="s">
        <v>484</v>
      </c>
      <c r="C14" t="s">
        <v>484</v>
      </c>
      <c r="D14" t="s">
        <v>484</v>
      </c>
      <c r="E14" t="s">
        <v>932</v>
      </c>
      <c r="F14" t="s">
        <v>160</v>
      </c>
      <c r="G14" t="s">
        <v>160</v>
      </c>
      <c r="H14" t="s">
        <v>160</v>
      </c>
      <c r="I14" s="11" t="s">
        <v>776</v>
      </c>
      <c r="J14" s="11" t="s">
        <v>776</v>
      </c>
      <c r="K14" s="11" t="s">
        <v>769</v>
      </c>
      <c r="L14" s="11" t="s">
        <v>160</v>
      </c>
      <c r="M14" t="s">
        <v>175</v>
      </c>
      <c r="N14" t="s">
        <v>355</v>
      </c>
      <c r="R14" s="2"/>
    </row>
    <row r="15" spans="1:18" x14ac:dyDescent="0.25">
      <c r="I15" s="11" t="s">
        <v>776</v>
      </c>
      <c r="J15" s="11" t="s">
        <v>776</v>
      </c>
      <c r="K15" s="11" t="s">
        <v>769</v>
      </c>
      <c r="L15" s="11" t="s">
        <v>766</v>
      </c>
      <c r="M15" t="s">
        <v>175</v>
      </c>
      <c r="N15" t="s">
        <v>355</v>
      </c>
    </row>
    <row r="16" spans="1:18" x14ac:dyDescent="0.25">
      <c r="I16" t="s">
        <v>1093</v>
      </c>
      <c r="J16" s="11" t="s">
        <v>770</v>
      </c>
      <c r="K16" t="s">
        <v>771</v>
      </c>
      <c r="L16" t="s">
        <v>773</v>
      </c>
      <c r="M16" t="s">
        <v>169</v>
      </c>
      <c r="N16" t="s">
        <v>170</v>
      </c>
    </row>
    <row r="17" spans="1:14" x14ac:dyDescent="0.25">
      <c r="A17" t="s">
        <v>474</v>
      </c>
      <c r="B17" t="s">
        <v>1004</v>
      </c>
      <c r="C17" t="s">
        <v>1004</v>
      </c>
      <c r="D17" t="s">
        <v>1004</v>
      </c>
      <c r="E17" t="s">
        <v>932</v>
      </c>
      <c r="F17" t="s">
        <v>22</v>
      </c>
      <c r="G17" t="s">
        <v>22</v>
      </c>
      <c r="H17" t="s">
        <v>22</v>
      </c>
      <c r="I17" t="s">
        <v>1093</v>
      </c>
      <c r="J17" s="11" t="s">
        <v>770</v>
      </c>
      <c r="K17" t="s">
        <v>771</v>
      </c>
      <c r="L17" t="s">
        <v>22</v>
      </c>
      <c r="M17" t="s">
        <v>169</v>
      </c>
      <c r="N17" t="s">
        <v>170</v>
      </c>
    </row>
    <row r="18" spans="1:14" x14ac:dyDescent="0.25">
      <c r="I18" t="s">
        <v>1093</v>
      </c>
      <c r="J18" s="11" t="s">
        <v>770</v>
      </c>
      <c r="K18" t="s">
        <v>771</v>
      </c>
      <c r="L18" t="s">
        <v>780</v>
      </c>
      <c r="M18" t="s">
        <v>169</v>
      </c>
      <c r="N18" t="s">
        <v>170</v>
      </c>
    </row>
    <row r="19" spans="1:14" x14ac:dyDescent="0.25">
      <c r="I19" t="s">
        <v>1093</v>
      </c>
      <c r="J19" s="11" t="s">
        <v>770</v>
      </c>
      <c r="K19" s="12" t="s">
        <v>772</v>
      </c>
      <c r="L19" t="s">
        <v>774</v>
      </c>
      <c r="M19" t="s">
        <v>169</v>
      </c>
      <c r="N19" t="s">
        <v>170</v>
      </c>
    </row>
    <row r="20" spans="1:14" x14ac:dyDescent="0.25">
      <c r="A20" t="s">
        <v>474</v>
      </c>
      <c r="B20" t="s">
        <v>1005</v>
      </c>
      <c r="C20" t="s">
        <v>1005</v>
      </c>
      <c r="D20" t="s">
        <v>1005</v>
      </c>
      <c r="E20" t="s">
        <v>932</v>
      </c>
      <c r="F20" t="s">
        <v>24</v>
      </c>
      <c r="G20" t="s">
        <v>24</v>
      </c>
      <c r="H20" t="s">
        <v>24</v>
      </c>
      <c r="I20" t="s">
        <v>1093</v>
      </c>
      <c r="J20" s="11" t="s">
        <v>770</v>
      </c>
      <c r="K20" s="12" t="s">
        <v>772</v>
      </c>
      <c r="L20" t="s">
        <v>24</v>
      </c>
      <c r="M20" t="s">
        <v>169</v>
      </c>
      <c r="N20" t="s">
        <v>170</v>
      </c>
    </row>
    <row r="21" spans="1:14" x14ac:dyDescent="0.25">
      <c r="I21" t="s">
        <v>1093</v>
      </c>
      <c r="J21" s="11" t="s">
        <v>770</v>
      </c>
      <c r="K21" s="12" t="s">
        <v>772</v>
      </c>
      <c r="L21" t="s">
        <v>779</v>
      </c>
      <c r="M21" t="s">
        <v>169</v>
      </c>
      <c r="N21" t="s">
        <v>170</v>
      </c>
    </row>
    <row r="22" spans="1:14" x14ac:dyDescent="0.25">
      <c r="I22" t="s">
        <v>1093</v>
      </c>
      <c r="J22" s="11" t="s">
        <v>770</v>
      </c>
      <c r="K22" s="11" t="s">
        <v>775</v>
      </c>
      <c r="L22" t="s">
        <v>778</v>
      </c>
      <c r="M22" t="s">
        <v>169</v>
      </c>
      <c r="N22" t="s">
        <v>170</v>
      </c>
    </row>
    <row r="23" spans="1:14" x14ac:dyDescent="0.25">
      <c r="A23" t="s">
        <v>474</v>
      </c>
      <c r="B23" t="s">
        <v>1002</v>
      </c>
      <c r="C23" t="s">
        <v>1002</v>
      </c>
      <c r="D23" t="s">
        <v>1002</v>
      </c>
      <c r="E23" t="s">
        <v>932</v>
      </c>
      <c r="F23" t="s">
        <v>10</v>
      </c>
      <c r="G23" t="s">
        <v>10</v>
      </c>
      <c r="H23" t="s">
        <v>10</v>
      </c>
      <c r="I23" t="s">
        <v>1093</v>
      </c>
      <c r="J23" s="11" t="s">
        <v>770</v>
      </c>
      <c r="K23" s="11" t="s">
        <v>775</v>
      </c>
      <c r="L23" t="s">
        <v>10</v>
      </c>
      <c r="M23" t="s">
        <v>169</v>
      </c>
      <c r="N23" t="s">
        <v>170</v>
      </c>
    </row>
    <row r="24" spans="1:14" x14ac:dyDescent="0.25">
      <c r="A24" t="s">
        <v>474</v>
      </c>
      <c r="B24" t="s">
        <v>1006</v>
      </c>
      <c r="C24" t="s">
        <v>1006</v>
      </c>
      <c r="D24" t="s">
        <v>1006</v>
      </c>
      <c r="E24" t="s">
        <v>932</v>
      </c>
      <c r="F24" t="s">
        <v>17</v>
      </c>
      <c r="G24" t="s">
        <v>17</v>
      </c>
      <c r="H24" t="s">
        <v>17</v>
      </c>
      <c r="I24" t="s">
        <v>1093</v>
      </c>
      <c r="J24" s="13" t="s">
        <v>889</v>
      </c>
      <c r="K24" s="11" t="s">
        <v>889</v>
      </c>
      <c r="L24" t="s">
        <v>17</v>
      </c>
      <c r="M24" t="s">
        <v>169</v>
      </c>
      <c r="N24" t="s">
        <v>170</v>
      </c>
    </row>
    <row r="25" spans="1:14" x14ac:dyDescent="0.25">
      <c r="A25" t="s">
        <v>502</v>
      </c>
      <c r="B25" t="s">
        <v>749</v>
      </c>
      <c r="C25" t="s">
        <v>1026</v>
      </c>
      <c r="D25" t="s">
        <v>1026</v>
      </c>
      <c r="E25" t="s">
        <v>933</v>
      </c>
      <c r="F25" t="s">
        <v>783</v>
      </c>
      <c r="G25" t="s">
        <v>66</v>
      </c>
      <c r="H25" t="s">
        <v>66</v>
      </c>
      <c r="I25" t="s">
        <v>1093</v>
      </c>
      <c r="J25" s="6" t="s">
        <v>783</v>
      </c>
      <c r="K25" t="s">
        <v>66</v>
      </c>
      <c r="L25" t="s">
        <v>66</v>
      </c>
    </row>
    <row r="26" spans="1:14" x14ac:dyDescent="0.25">
      <c r="A26" t="s">
        <v>502</v>
      </c>
      <c r="B26" t="s">
        <v>749</v>
      </c>
      <c r="C26" t="s">
        <v>1019</v>
      </c>
      <c r="D26" t="s">
        <v>1022</v>
      </c>
      <c r="E26" t="s">
        <v>933</v>
      </c>
      <c r="F26" t="s">
        <v>783</v>
      </c>
      <c r="G26" t="s">
        <v>784</v>
      </c>
      <c r="H26" t="s">
        <v>851</v>
      </c>
      <c r="I26" t="s">
        <v>1093</v>
      </c>
      <c r="J26" s="6" t="s">
        <v>783</v>
      </c>
      <c r="K26" t="s">
        <v>784</v>
      </c>
      <c r="L26" t="s">
        <v>851</v>
      </c>
    </row>
    <row r="27" spans="1:14" x14ac:dyDescent="0.25">
      <c r="A27" t="s">
        <v>502</v>
      </c>
      <c r="B27" t="s">
        <v>749</v>
      </c>
      <c r="C27" t="s">
        <v>1019</v>
      </c>
      <c r="D27" t="s">
        <v>1024</v>
      </c>
      <c r="E27" t="s">
        <v>933</v>
      </c>
      <c r="F27" t="s">
        <v>783</v>
      </c>
      <c r="G27" t="s">
        <v>784</v>
      </c>
      <c r="H27" t="s">
        <v>852</v>
      </c>
      <c r="I27" t="s">
        <v>1093</v>
      </c>
      <c r="J27" s="6" t="s">
        <v>783</v>
      </c>
      <c r="K27" t="s">
        <v>784</v>
      </c>
      <c r="L27" t="s">
        <v>852</v>
      </c>
    </row>
    <row r="28" spans="1:14" x14ac:dyDescent="0.25">
      <c r="A28" t="s">
        <v>502</v>
      </c>
      <c r="B28" t="s">
        <v>749</v>
      </c>
      <c r="C28" t="s">
        <v>1019</v>
      </c>
      <c r="D28" t="s">
        <v>1023</v>
      </c>
      <c r="E28" t="s">
        <v>933</v>
      </c>
      <c r="F28" t="s">
        <v>783</v>
      </c>
      <c r="G28" t="s">
        <v>784</v>
      </c>
      <c r="H28" t="s">
        <v>853</v>
      </c>
      <c r="I28" t="s">
        <v>1093</v>
      </c>
      <c r="J28" s="6" t="s">
        <v>783</v>
      </c>
      <c r="K28" t="s">
        <v>784</v>
      </c>
      <c r="L28" t="s">
        <v>853</v>
      </c>
    </row>
    <row r="29" spans="1:14" x14ac:dyDescent="0.25">
      <c r="A29" t="s">
        <v>502</v>
      </c>
      <c r="B29" t="s">
        <v>749</v>
      </c>
      <c r="C29" t="s">
        <v>1019</v>
      </c>
      <c r="D29" t="s">
        <v>1021</v>
      </c>
      <c r="E29" t="s">
        <v>933</v>
      </c>
      <c r="F29" t="s">
        <v>783</v>
      </c>
      <c r="G29" t="s">
        <v>784</v>
      </c>
      <c r="H29" t="s">
        <v>854</v>
      </c>
      <c r="I29" t="s">
        <v>1093</v>
      </c>
      <c r="J29" s="6" t="s">
        <v>783</v>
      </c>
      <c r="K29" t="s">
        <v>784</v>
      </c>
      <c r="L29" t="s">
        <v>854</v>
      </c>
    </row>
    <row r="30" spans="1:14" x14ac:dyDescent="0.25">
      <c r="A30" t="s">
        <v>502</v>
      </c>
      <c r="B30" t="s">
        <v>749</v>
      </c>
      <c r="C30" t="s">
        <v>1019</v>
      </c>
      <c r="D30" t="s">
        <v>1020</v>
      </c>
      <c r="E30" t="s">
        <v>933</v>
      </c>
      <c r="F30" t="s">
        <v>783</v>
      </c>
      <c r="G30" t="s">
        <v>784</v>
      </c>
      <c r="H30" t="s">
        <v>855</v>
      </c>
      <c r="I30" t="s">
        <v>1093</v>
      </c>
      <c r="J30" s="6" t="s">
        <v>783</v>
      </c>
      <c r="K30" t="s">
        <v>784</v>
      </c>
      <c r="L30" t="s">
        <v>855</v>
      </c>
    </row>
    <row r="31" spans="1:14" x14ac:dyDescent="0.25">
      <c r="A31" t="s">
        <v>502</v>
      </c>
      <c r="B31" t="s">
        <v>749</v>
      </c>
      <c r="C31" t="s">
        <v>1025</v>
      </c>
      <c r="D31" t="s">
        <v>1025</v>
      </c>
      <c r="E31" t="s">
        <v>933</v>
      </c>
      <c r="F31" t="s">
        <v>783</v>
      </c>
      <c r="G31" t="s">
        <v>785</v>
      </c>
      <c r="H31" t="s">
        <v>785</v>
      </c>
      <c r="I31" t="s">
        <v>1093</v>
      </c>
      <c r="J31" s="6" t="s">
        <v>783</v>
      </c>
      <c r="K31" t="s">
        <v>785</v>
      </c>
      <c r="L31" t="s">
        <v>785</v>
      </c>
    </row>
    <row r="32" spans="1:14" x14ac:dyDescent="0.25">
      <c r="A32" t="s">
        <v>502</v>
      </c>
      <c r="B32" t="s">
        <v>1044</v>
      </c>
      <c r="C32" t="s">
        <v>1045</v>
      </c>
      <c r="D32" t="s">
        <v>1045</v>
      </c>
      <c r="E32" t="s">
        <v>933</v>
      </c>
      <c r="F32" t="s">
        <v>786</v>
      </c>
      <c r="G32" t="s">
        <v>787</v>
      </c>
      <c r="H32" t="s">
        <v>787</v>
      </c>
      <c r="I32" t="s">
        <v>1093</v>
      </c>
      <c r="J32" s="6" t="s">
        <v>786</v>
      </c>
      <c r="K32" t="s">
        <v>787</v>
      </c>
      <c r="L32" t="s">
        <v>787</v>
      </c>
    </row>
    <row r="33" spans="1:12" x14ac:dyDescent="0.25">
      <c r="A33" t="s">
        <v>502</v>
      </c>
      <c r="B33" t="s">
        <v>1075</v>
      </c>
      <c r="C33" t="s">
        <v>1078</v>
      </c>
      <c r="D33" t="s">
        <v>1078</v>
      </c>
      <c r="E33" t="s">
        <v>933</v>
      </c>
      <c r="F33" t="s">
        <v>64</v>
      </c>
      <c r="G33" t="s">
        <v>788</v>
      </c>
      <c r="H33" t="s">
        <v>788</v>
      </c>
      <c r="I33" t="s">
        <v>1093</v>
      </c>
      <c r="J33" s="6" t="s">
        <v>64</v>
      </c>
      <c r="K33" t="s">
        <v>788</v>
      </c>
      <c r="L33" t="s">
        <v>788</v>
      </c>
    </row>
    <row r="34" spans="1:12" x14ac:dyDescent="0.25">
      <c r="A34" t="s">
        <v>502</v>
      </c>
      <c r="B34" t="s">
        <v>1075</v>
      </c>
      <c r="C34" t="s">
        <v>1077</v>
      </c>
      <c r="D34" t="s">
        <v>1077</v>
      </c>
      <c r="E34" t="s">
        <v>933</v>
      </c>
      <c r="F34" t="s">
        <v>64</v>
      </c>
      <c r="G34" t="s">
        <v>789</v>
      </c>
      <c r="H34" t="s">
        <v>789</v>
      </c>
      <c r="I34" t="s">
        <v>1093</v>
      </c>
      <c r="J34" s="6" t="s">
        <v>64</v>
      </c>
      <c r="K34" t="s">
        <v>789</v>
      </c>
      <c r="L34" t="s">
        <v>789</v>
      </c>
    </row>
    <row r="35" spans="1:12" x14ac:dyDescent="0.25">
      <c r="A35" t="s">
        <v>502</v>
      </c>
      <c r="B35" t="s">
        <v>1075</v>
      </c>
      <c r="C35" t="s">
        <v>1076</v>
      </c>
      <c r="D35" t="s">
        <v>1076</v>
      </c>
      <c r="E35" t="s">
        <v>933</v>
      </c>
      <c r="F35" t="s">
        <v>64</v>
      </c>
      <c r="G35" t="s">
        <v>790</v>
      </c>
      <c r="H35" t="s">
        <v>790</v>
      </c>
      <c r="I35" t="s">
        <v>1093</v>
      </c>
      <c r="J35" s="6" t="s">
        <v>64</v>
      </c>
      <c r="K35" t="s">
        <v>790</v>
      </c>
      <c r="L35" t="s">
        <v>790</v>
      </c>
    </row>
    <row r="36" spans="1:12" x14ac:dyDescent="0.25">
      <c r="A36" t="s">
        <v>502</v>
      </c>
      <c r="B36" t="s">
        <v>503</v>
      </c>
      <c r="C36" t="s">
        <v>559</v>
      </c>
      <c r="D36" t="s">
        <v>559</v>
      </c>
      <c r="E36" t="s">
        <v>933</v>
      </c>
      <c r="F36" t="s">
        <v>791</v>
      </c>
      <c r="G36" t="s">
        <v>792</v>
      </c>
      <c r="H36" t="s">
        <v>792</v>
      </c>
      <c r="I36" t="s">
        <v>1093</v>
      </c>
      <c r="J36" s="6" t="s">
        <v>791</v>
      </c>
      <c r="K36" t="s">
        <v>792</v>
      </c>
      <c r="L36" t="s">
        <v>792</v>
      </c>
    </row>
    <row r="37" spans="1:12" x14ac:dyDescent="0.25">
      <c r="A37" t="s">
        <v>502</v>
      </c>
      <c r="B37" t="s">
        <v>503</v>
      </c>
      <c r="C37" t="s">
        <v>512</v>
      </c>
      <c r="D37" t="s">
        <v>512</v>
      </c>
      <c r="E37" t="s">
        <v>933</v>
      </c>
      <c r="F37" t="s">
        <v>791</v>
      </c>
      <c r="G37" t="s">
        <v>793</v>
      </c>
      <c r="H37" t="s">
        <v>793</v>
      </c>
      <c r="I37" t="s">
        <v>1093</v>
      </c>
      <c r="J37" s="6" t="s">
        <v>791</v>
      </c>
      <c r="K37" t="s">
        <v>793</v>
      </c>
      <c r="L37" t="s">
        <v>793</v>
      </c>
    </row>
    <row r="38" spans="1:12" x14ac:dyDescent="0.25">
      <c r="A38" t="s">
        <v>502</v>
      </c>
      <c r="B38" t="s">
        <v>503</v>
      </c>
      <c r="C38" t="s">
        <v>570</v>
      </c>
      <c r="D38" t="s">
        <v>570</v>
      </c>
      <c r="E38" t="s">
        <v>933</v>
      </c>
      <c r="F38" t="s">
        <v>791</v>
      </c>
      <c r="G38" t="s">
        <v>794</v>
      </c>
      <c r="H38" t="s">
        <v>794</v>
      </c>
      <c r="I38" t="s">
        <v>1093</v>
      </c>
      <c r="J38" s="6" t="s">
        <v>791</v>
      </c>
      <c r="K38" t="s">
        <v>794</v>
      </c>
      <c r="L38" t="s">
        <v>794</v>
      </c>
    </row>
    <row r="39" spans="1:12" x14ac:dyDescent="0.25">
      <c r="A39" t="s">
        <v>502</v>
      </c>
      <c r="B39" t="s">
        <v>503</v>
      </c>
      <c r="C39" t="s">
        <v>509</v>
      </c>
      <c r="D39" t="s">
        <v>509</v>
      </c>
      <c r="E39" t="s">
        <v>933</v>
      </c>
      <c r="F39" t="s">
        <v>791</v>
      </c>
      <c r="G39" t="s">
        <v>795</v>
      </c>
      <c r="H39" t="s">
        <v>795</v>
      </c>
      <c r="I39" t="s">
        <v>1093</v>
      </c>
      <c r="J39" s="6" t="s">
        <v>791</v>
      </c>
      <c r="K39" t="s">
        <v>795</v>
      </c>
      <c r="L39" t="s">
        <v>795</v>
      </c>
    </row>
    <row r="40" spans="1:12" x14ac:dyDescent="0.25">
      <c r="A40" t="s">
        <v>502</v>
      </c>
      <c r="B40" t="s">
        <v>503</v>
      </c>
      <c r="C40" t="s">
        <v>504</v>
      </c>
      <c r="D40" t="s">
        <v>504</v>
      </c>
      <c r="E40" t="s">
        <v>933</v>
      </c>
      <c r="F40" t="s">
        <v>791</v>
      </c>
      <c r="G40" t="s">
        <v>796</v>
      </c>
      <c r="H40" t="s">
        <v>796</v>
      </c>
      <c r="I40" t="s">
        <v>1093</v>
      </c>
      <c r="J40" s="6" t="s">
        <v>791</v>
      </c>
      <c r="K40" t="s">
        <v>796</v>
      </c>
      <c r="L40" t="s">
        <v>796</v>
      </c>
    </row>
    <row r="41" spans="1:12" x14ac:dyDescent="0.25">
      <c r="A41" t="s">
        <v>502</v>
      </c>
      <c r="B41" t="s">
        <v>503</v>
      </c>
      <c r="C41" t="s">
        <v>568</v>
      </c>
      <c r="D41" t="s">
        <v>568</v>
      </c>
      <c r="E41" t="s">
        <v>933</v>
      </c>
      <c r="F41" t="s">
        <v>791</v>
      </c>
      <c r="G41" t="s">
        <v>797</v>
      </c>
      <c r="H41" t="s">
        <v>797</v>
      </c>
      <c r="I41" t="s">
        <v>1093</v>
      </c>
      <c r="J41" s="6" t="s">
        <v>791</v>
      </c>
      <c r="K41" t="s">
        <v>797</v>
      </c>
      <c r="L41" t="s">
        <v>797</v>
      </c>
    </row>
    <row r="42" spans="1:12" x14ac:dyDescent="0.25">
      <c r="A42" t="s">
        <v>502</v>
      </c>
      <c r="B42" t="s">
        <v>503</v>
      </c>
      <c r="C42" t="s">
        <v>549</v>
      </c>
      <c r="D42" t="s">
        <v>549</v>
      </c>
      <c r="E42" t="s">
        <v>933</v>
      </c>
      <c r="F42" t="s">
        <v>791</v>
      </c>
      <c r="G42" t="s">
        <v>798</v>
      </c>
      <c r="H42" t="s">
        <v>798</v>
      </c>
      <c r="I42" t="s">
        <v>1093</v>
      </c>
      <c r="J42" s="6" t="s">
        <v>791</v>
      </c>
      <c r="K42" t="s">
        <v>798</v>
      </c>
      <c r="L42" t="s">
        <v>798</v>
      </c>
    </row>
    <row r="43" spans="1:12" x14ac:dyDescent="0.25">
      <c r="A43" t="s">
        <v>502</v>
      </c>
      <c r="B43" t="s">
        <v>503</v>
      </c>
      <c r="C43" t="s">
        <v>541</v>
      </c>
      <c r="D43" t="s">
        <v>541</v>
      </c>
      <c r="E43" t="s">
        <v>933</v>
      </c>
      <c r="F43" t="s">
        <v>791</v>
      </c>
      <c r="G43" t="s">
        <v>799</v>
      </c>
      <c r="H43" t="s">
        <v>799</v>
      </c>
      <c r="I43" t="s">
        <v>1093</v>
      </c>
      <c r="J43" s="6" t="s">
        <v>791</v>
      </c>
      <c r="K43" t="s">
        <v>799</v>
      </c>
      <c r="L43" t="s">
        <v>799</v>
      </c>
    </row>
    <row r="44" spans="1:12" x14ac:dyDescent="0.25">
      <c r="A44" t="s">
        <v>502</v>
      </c>
      <c r="B44" t="s">
        <v>1034</v>
      </c>
      <c r="C44" t="s">
        <v>1037</v>
      </c>
      <c r="D44" t="s">
        <v>1037</v>
      </c>
      <c r="E44" t="s">
        <v>933</v>
      </c>
      <c r="F44" t="s">
        <v>800</v>
      </c>
      <c r="G44" t="s">
        <v>801</v>
      </c>
      <c r="H44" t="s">
        <v>801</v>
      </c>
      <c r="I44" t="s">
        <v>1093</v>
      </c>
      <c r="J44" s="6" t="s">
        <v>800</v>
      </c>
      <c r="K44" t="s">
        <v>801</v>
      </c>
      <c r="L44" t="s">
        <v>801</v>
      </c>
    </row>
    <row r="45" spans="1:12" x14ac:dyDescent="0.25">
      <c r="A45" t="s">
        <v>502</v>
      </c>
      <c r="B45" t="s">
        <v>1034</v>
      </c>
      <c r="C45" t="s">
        <v>1035</v>
      </c>
      <c r="D45" t="s">
        <v>1035</v>
      </c>
      <c r="E45" t="s">
        <v>933</v>
      </c>
      <c r="F45" t="s">
        <v>800</v>
      </c>
      <c r="G45" t="s">
        <v>802</v>
      </c>
      <c r="H45" t="s">
        <v>802</v>
      </c>
      <c r="I45" t="s">
        <v>1093</v>
      </c>
      <c r="J45" s="6" t="s">
        <v>800</v>
      </c>
      <c r="K45" t="s">
        <v>802</v>
      </c>
      <c r="L45" t="s">
        <v>802</v>
      </c>
    </row>
    <row r="46" spans="1:12" x14ac:dyDescent="0.25">
      <c r="A46" t="s">
        <v>502</v>
      </c>
      <c r="B46" t="s">
        <v>1034</v>
      </c>
      <c r="C46" t="s">
        <v>1036</v>
      </c>
      <c r="D46" t="s">
        <v>1036</v>
      </c>
      <c r="E46" t="s">
        <v>933</v>
      </c>
      <c r="F46" t="s">
        <v>800</v>
      </c>
      <c r="G46" t="s">
        <v>803</v>
      </c>
      <c r="H46" t="s">
        <v>803</v>
      </c>
      <c r="I46" t="s">
        <v>1093</v>
      </c>
      <c r="J46" s="6" t="s">
        <v>800</v>
      </c>
      <c r="K46" t="s">
        <v>803</v>
      </c>
      <c r="L46" t="s">
        <v>803</v>
      </c>
    </row>
    <row r="47" spans="1:12" x14ac:dyDescent="0.25">
      <c r="A47" t="s">
        <v>502</v>
      </c>
      <c r="B47" t="s">
        <v>1083</v>
      </c>
      <c r="C47" t="s">
        <v>1085</v>
      </c>
      <c r="D47" t="s">
        <v>1085</v>
      </c>
      <c r="E47" t="s">
        <v>933</v>
      </c>
      <c r="F47" t="s">
        <v>804</v>
      </c>
      <c r="G47" t="s">
        <v>805</v>
      </c>
      <c r="H47" t="s">
        <v>805</v>
      </c>
      <c r="I47" t="s">
        <v>1093</v>
      </c>
      <c r="J47" s="6" t="s">
        <v>1095</v>
      </c>
      <c r="K47" s="6" t="s">
        <v>804</v>
      </c>
      <c r="L47" t="s">
        <v>805</v>
      </c>
    </row>
    <row r="48" spans="1:12" x14ac:dyDescent="0.25">
      <c r="A48" t="s">
        <v>502</v>
      </c>
      <c r="B48" t="s">
        <v>1083</v>
      </c>
      <c r="C48" t="s">
        <v>1084</v>
      </c>
      <c r="D48" t="s">
        <v>1084</v>
      </c>
      <c r="E48" t="s">
        <v>933</v>
      </c>
      <c r="F48" t="s">
        <v>804</v>
      </c>
      <c r="G48" t="s">
        <v>806</v>
      </c>
      <c r="H48" t="s">
        <v>806</v>
      </c>
      <c r="I48" t="s">
        <v>1093</v>
      </c>
      <c r="J48" s="6" t="s">
        <v>1095</v>
      </c>
      <c r="K48" s="6" t="s">
        <v>804</v>
      </c>
      <c r="L48" t="s">
        <v>806</v>
      </c>
    </row>
    <row r="49" spans="1:12" x14ac:dyDescent="0.25">
      <c r="A49" t="s">
        <v>502</v>
      </c>
      <c r="B49" t="s">
        <v>1083</v>
      </c>
      <c r="C49" t="s">
        <v>1086</v>
      </c>
      <c r="D49" t="s">
        <v>1086</v>
      </c>
      <c r="E49" t="s">
        <v>933</v>
      </c>
      <c r="F49" t="s">
        <v>804</v>
      </c>
      <c r="G49" t="s">
        <v>807</v>
      </c>
      <c r="H49" t="s">
        <v>807</v>
      </c>
      <c r="I49" t="s">
        <v>1093</v>
      </c>
      <c r="J49" s="6" t="s">
        <v>1095</v>
      </c>
      <c r="K49" s="6" t="s">
        <v>804</v>
      </c>
      <c r="L49" t="s">
        <v>807</v>
      </c>
    </row>
    <row r="50" spans="1:12" x14ac:dyDescent="0.25">
      <c r="A50" t="s">
        <v>502</v>
      </c>
      <c r="B50" t="s">
        <v>1027</v>
      </c>
      <c r="C50" t="s">
        <v>1030</v>
      </c>
      <c r="D50" t="s">
        <v>1030</v>
      </c>
      <c r="E50" t="s">
        <v>933</v>
      </c>
      <c r="F50" t="s">
        <v>808</v>
      </c>
      <c r="G50" t="s">
        <v>809</v>
      </c>
      <c r="H50" t="s">
        <v>809</v>
      </c>
      <c r="I50" t="s">
        <v>1093</v>
      </c>
      <c r="J50" s="6" t="s">
        <v>1095</v>
      </c>
      <c r="K50" s="6" t="s">
        <v>808</v>
      </c>
      <c r="L50" t="s">
        <v>809</v>
      </c>
    </row>
    <row r="51" spans="1:12" x14ac:dyDescent="0.25">
      <c r="A51" t="s">
        <v>502</v>
      </c>
      <c r="B51" t="s">
        <v>1027</v>
      </c>
      <c r="C51" t="s">
        <v>1031</v>
      </c>
      <c r="D51" t="s">
        <v>1031</v>
      </c>
      <c r="E51" t="s">
        <v>933</v>
      </c>
      <c r="F51" t="s">
        <v>808</v>
      </c>
      <c r="G51" t="s">
        <v>810</v>
      </c>
      <c r="H51" t="s">
        <v>810</v>
      </c>
      <c r="I51" t="s">
        <v>1093</v>
      </c>
      <c r="J51" s="6" t="s">
        <v>1095</v>
      </c>
      <c r="K51" s="6" t="s">
        <v>808</v>
      </c>
      <c r="L51" t="s">
        <v>810</v>
      </c>
    </row>
    <row r="52" spans="1:12" x14ac:dyDescent="0.25">
      <c r="A52" t="s">
        <v>502</v>
      </c>
      <c r="B52" t="s">
        <v>1027</v>
      </c>
      <c r="C52" t="s">
        <v>1029</v>
      </c>
      <c r="D52" t="s">
        <v>1029</v>
      </c>
      <c r="E52" t="s">
        <v>933</v>
      </c>
      <c r="F52" t="s">
        <v>808</v>
      </c>
      <c r="G52" t="s">
        <v>811</v>
      </c>
      <c r="H52" t="s">
        <v>811</v>
      </c>
      <c r="I52" t="s">
        <v>1093</v>
      </c>
      <c r="J52" s="6" t="s">
        <v>1095</v>
      </c>
      <c r="K52" s="6" t="s">
        <v>808</v>
      </c>
      <c r="L52" t="s">
        <v>811</v>
      </c>
    </row>
    <row r="53" spans="1:12" x14ac:dyDescent="0.25">
      <c r="A53" t="s">
        <v>502</v>
      </c>
      <c r="B53" t="s">
        <v>1027</v>
      </c>
      <c r="C53" t="s">
        <v>1028</v>
      </c>
      <c r="D53" t="s">
        <v>1028</v>
      </c>
      <c r="E53" t="s">
        <v>933</v>
      </c>
      <c r="F53" t="s">
        <v>808</v>
      </c>
      <c r="G53" t="s">
        <v>812</v>
      </c>
      <c r="H53" t="s">
        <v>812</v>
      </c>
      <c r="I53" t="s">
        <v>1093</v>
      </c>
      <c r="J53" s="6" t="s">
        <v>1095</v>
      </c>
      <c r="K53" s="6" t="s">
        <v>808</v>
      </c>
      <c r="L53" t="s">
        <v>812</v>
      </c>
    </row>
    <row r="54" spans="1:12" x14ac:dyDescent="0.25">
      <c r="A54" t="s">
        <v>502</v>
      </c>
      <c r="B54" t="s">
        <v>572</v>
      </c>
      <c r="C54" t="s">
        <v>666</v>
      </c>
      <c r="D54" t="s">
        <v>666</v>
      </c>
      <c r="E54" t="s">
        <v>933</v>
      </c>
      <c r="F54" t="s">
        <v>813</v>
      </c>
      <c r="G54" t="s">
        <v>814</v>
      </c>
      <c r="H54" t="s">
        <v>814</v>
      </c>
      <c r="I54" t="s">
        <v>1093</v>
      </c>
      <c r="J54" s="6" t="s">
        <v>1095</v>
      </c>
      <c r="K54" s="6" t="s">
        <v>813</v>
      </c>
      <c r="L54" t="s">
        <v>814</v>
      </c>
    </row>
    <row r="55" spans="1:12" x14ac:dyDescent="0.25">
      <c r="A55" t="s">
        <v>502</v>
      </c>
      <c r="B55" t="s">
        <v>572</v>
      </c>
      <c r="C55" t="s">
        <v>631</v>
      </c>
      <c r="D55" t="s">
        <v>631</v>
      </c>
      <c r="E55" t="s">
        <v>933</v>
      </c>
      <c r="F55" t="s">
        <v>813</v>
      </c>
      <c r="G55" t="s">
        <v>815</v>
      </c>
      <c r="H55" t="s">
        <v>815</v>
      </c>
      <c r="I55" t="s">
        <v>1093</v>
      </c>
      <c r="J55" s="6" t="s">
        <v>1095</v>
      </c>
      <c r="K55" s="6" t="s">
        <v>813</v>
      </c>
      <c r="L55" t="s">
        <v>815</v>
      </c>
    </row>
    <row r="56" spans="1:12" x14ac:dyDescent="0.25">
      <c r="A56" t="s">
        <v>502</v>
      </c>
      <c r="B56" t="s">
        <v>572</v>
      </c>
      <c r="C56" t="s">
        <v>573</v>
      </c>
      <c r="D56" t="s">
        <v>573</v>
      </c>
      <c r="E56" t="s">
        <v>933</v>
      </c>
      <c r="F56" t="s">
        <v>813</v>
      </c>
      <c r="G56" t="s">
        <v>816</v>
      </c>
      <c r="H56" t="s">
        <v>816</v>
      </c>
      <c r="I56" t="s">
        <v>1093</v>
      </c>
      <c r="J56" s="6" t="s">
        <v>1095</v>
      </c>
      <c r="K56" s="6" t="s">
        <v>813</v>
      </c>
      <c r="L56" t="s">
        <v>816</v>
      </c>
    </row>
    <row r="57" spans="1:12" x14ac:dyDescent="0.25">
      <c r="A57" t="s">
        <v>502</v>
      </c>
      <c r="B57" t="s">
        <v>572</v>
      </c>
      <c r="C57" t="s">
        <v>605</v>
      </c>
      <c r="D57" t="s">
        <v>605</v>
      </c>
      <c r="E57" t="s">
        <v>933</v>
      </c>
      <c r="F57" t="s">
        <v>813</v>
      </c>
      <c r="G57" t="s">
        <v>817</v>
      </c>
      <c r="H57" t="s">
        <v>817</v>
      </c>
      <c r="I57" t="s">
        <v>1093</v>
      </c>
      <c r="J57" s="6" t="s">
        <v>1095</v>
      </c>
      <c r="K57" s="6" t="s">
        <v>813</v>
      </c>
      <c r="L57" t="s">
        <v>817</v>
      </c>
    </row>
    <row r="58" spans="1:12" x14ac:dyDescent="0.25">
      <c r="A58" t="s">
        <v>502</v>
      </c>
      <c r="B58" t="s">
        <v>572</v>
      </c>
      <c r="C58" t="s">
        <v>658</v>
      </c>
      <c r="D58" t="s">
        <v>658</v>
      </c>
      <c r="E58" t="s">
        <v>933</v>
      </c>
      <c r="F58" t="s">
        <v>813</v>
      </c>
      <c r="G58" t="s">
        <v>818</v>
      </c>
      <c r="H58" t="s">
        <v>818</v>
      </c>
      <c r="I58" t="s">
        <v>1093</v>
      </c>
      <c r="J58" s="6" t="s">
        <v>1095</v>
      </c>
      <c r="K58" s="6" t="s">
        <v>813</v>
      </c>
      <c r="L58" t="s">
        <v>818</v>
      </c>
    </row>
    <row r="59" spans="1:12" x14ac:dyDescent="0.25">
      <c r="A59" t="s">
        <v>502</v>
      </c>
      <c r="B59" t="s">
        <v>572</v>
      </c>
      <c r="C59" t="s">
        <v>645</v>
      </c>
      <c r="D59" t="s">
        <v>645</v>
      </c>
      <c r="E59" t="s">
        <v>933</v>
      </c>
      <c r="F59" t="s">
        <v>813</v>
      </c>
      <c r="G59" t="s">
        <v>819</v>
      </c>
      <c r="H59" t="s">
        <v>819</v>
      </c>
      <c r="I59" t="s">
        <v>1093</v>
      </c>
      <c r="J59" s="6" t="s">
        <v>1095</v>
      </c>
      <c r="K59" s="6" t="s">
        <v>813</v>
      </c>
      <c r="L59" t="s">
        <v>819</v>
      </c>
    </row>
    <row r="60" spans="1:12" x14ac:dyDescent="0.25">
      <c r="A60" t="s">
        <v>502</v>
      </c>
      <c r="B60" t="s">
        <v>1046</v>
      </c>
      <c r="C60" t="s">
        <v>1047</v>
      </c>
      <c r="D60" t="s">
        <v>1053</v>
      </c>
      <c r="E60" t="s">
        <v>933</v>
      </c>
      <c r="F60" t="s">
        <v>820</v>
      </c>
      <c r="G60" t="s">
        <v>821</v>
      </c>
      <c r="H60" t="s">
        <v>856</v>
      </c>
      <c r="I60" t="s">
        <v>1093</v>
      </c>
      <c r="J60" s="6" t="s">
        <v>820</v>
      </c>
      <c r="K60" t="s">
        <v>821</v>
      </c>
      <c r="L60" t="s">
        <v>856</v>
      </c>
    </row>
    <row r="61" spans="1:12" x14ac:dyDescent="0.25">
      <c r="A61" t="s">
        <v>502</v>
      </c>
      <c r="B61" t="s">
        <v>1046</v>
      </c>
      <c r="C61" t="s">
        <v>1047</v>
      </c>
      <c r="D61" t="s">
        <v>1052</v>
      </c>
      <c r="E61" t="s">
        <v>933</v>
      </c>
      <c r="F61" t="s">
        <v>820</v>
      </c>
      <c r="G61" t="s">
        <v>821</v>
      </c>
      <c r="H61" t="s">
        <v>857</v>
      </c>
      <c r="I61" t="s">
        <v>1093</v>
      </c>
      <c r="J61" s="6" t="s">
        <v>820</v>
      </c>
      <c r="K61" t="s">
        <v>821</v>
      </c>
      <c r="L61" t="s">
        <v>857</v>
      </c>
    </row>
    <row r="62" spans="1:12" x14ac:dyDescent="0.25">
      <c r="A62" t="s">
        <v>502</v>
      </c>
      <c r="B62" t="s">
        <v>1046</v>
      </c>
      <c r="C62" t="s">
        <v>1047</v>
      </c>
      <c r="D62" t="s">
        <v>1058</v>
      </c>
      <c r="E62" t="s">
        <v>933</v>
      </c>
      <c r="F62" t="s">
        <v>820</v>
      </c>
      <c r="G62" t="s">
        <v>821</v>
      </c>
      <c r="H62" t="s">
        <v>858</v>
      </c>
      <c r="I62" t="s">
        <v>1093</v>
      </c>
      <c r="J62" s="6" t="s">
        <v>820</v>
      </c>
      <c r="K62" t="s">
        <v>821</v>
      </c>
      <c r="L62" t="s">
        <v>858</v>
      </c>
    </row>
    <row r="63" spans="1:12" x14ac:dyDescent="0.25">
      <c r="A63" t="s">
        <v>502</v>
      </c>
      <c r="B63" t="s">
        <v>1046</v>
      </c>
      <c r="C63" t="s">
        <v>1047</v>
      </c>
      <c r="D63" t="s">
        <v>1059</v>
      </c>
      <c r="E63" t="s">
        <v>933</v>
      </c>
      <c r="F63" t="s">
        <v>820</v>
      </c>
      <c r="G63" t="s">
        <v>821</v>
      </c>
      <c r="H63" t="s">
        <v>859</v>
      </c>
      <c r="I63" t="s">
        <v>1093</v>
      </c>
      <c r="J63" s="6" t="s">
        <v>820</v>
      </c>
      <c r="K63" t="s">
        <v>821</v>
      </c>
      <c r="L63" t="s">
        <v>859</v>
      </c>
    </row>
    <row r="64" spans="1:12" x14ac:dyDescent="0.25">
      <c r="A64" t="s">
        <v>502</v>
      </c>
      <c r="B64" t="s">
        <v>1046</v>
      </c>
      <c r="C64" t="s">
        <v>1047</v>
      </c>
      <c r="D64" t="s">
        <v>1051</v>
      </c>
      <c r="E64" t="s">
        <v>933</v>
      </c>
      <c r="F64" t="s">
        <v>820</v>
      </c>
      <c r="G64" t="s">
        <v>821</v>
      </c>
      <c r="H64" t="s">
        <v>860</v>
      </c>
      <c r="I64" t="s">
        <v>1093</v>
      </c>
      <c r="J64" s="6" t="s">
        <v>820</v>
      </c>
      <c r="K64" t="s">
        <v>821</v>
      </c>
      <c r="L64" t="s">
        <v>860</v>
      </c>
    </row>
    <row r="65" spans="1:12" x14ac:dyDescent="0.25">
      <c r="A65" t="s">
        <v>502</v>
      </c>
      <c r="B65" t="s">
        <v>1046</v>
      </c>
      <c r="C65" t="s">
        <v>1047</v>
      </c>
      <c r="D65" t="s">
        <v>1048</v>
      </c>
      <c r="E65" t="s">
        <v>933</v>
      </c>
      <c r="F65" t="s">
        <v>820</v>
      </c>
      <c r="G65" t="s">
        <v>821</v>
      </c>
      <c r="H65" t="s">
        <v>861</v>
      </c>
      <c r="I65" t="s">
        <v>1093</v>
      </c>
      <c r="J65" s="6" t="s">
        <v>820</v>
      </c>
      <c r="K65" t="s">
        <v>821</v>
      </c>
      <c r="L65" t="s">
        <v>861</v>
      </c>
    </row>
    <row r="66" spans="1:12" x14ac:dyDescent="0.25">
      <c r="A66" t="s">
        <v>502</v>
      </c>
      <c r="B66" t="s">
        <v>1046</v>
      </c>
      <c r="C66" t="s">
        <v>1047</v>
      </c>
      <c r="D66" t="s">
        <v>1049</v>
      </c>
      <c r="E66" t="s">
        <v>933</v>
      </c>
      <c r="F66" t="s">
        <v>820</v>
      </c>
      <c r="G66" t="s">
        <v>821</v>
      </c>
      <c r="H66" t="s">
        <v>862</v>
      </c>
      <c r="I66" t="s">
        <v>1093</v>
      </c>
      <c r="J66" s="6" t="s">
        <v>820</v>
      </c>
      <c r="K66" t="s">
        <v>821</v>
      </c>
      <c r="L66" t="s">
        <v>862</v>
      </c>
    </row>
    <row r="67" spans="1:12" x14ac:dyDescent="0.25">
      <c r="A67" t="s">
        <v>502</v>
      </c>
      <c r="B67" t="s">
        <v>1046</v>
      </c>
      <c r="C67" t="s">
        <v>1047</v>
      </c>
      <c r="D67" t="s">
        <v>1050</v>
      </c>
      <c r="E67" t="s">
        <v>933</v>
      </c>
      <c r="F67" t="s">
        <v>820</v>
      </c>
      <c r="G67" t="s">
        <v>821</v>
      </c>
      <c r="H67" t="s">
        <v>863</v>
      </c>
      <c r="I67" t="s">
        <v>1093</v>
      </c>
      <c r="J67" s="6" t="s">
        <v>820</v>
      </c>
      <c r="K67" t="s">
        <v>821</v>
      </c>
      <c r="L67" t="s">
        <v>863</v>
      </c>
    </row>
    <row r="68" spans="1:12" x14ac:dyDescent="0.25">
      <c r="A68" t="s">
        <v>502</v>
      </c>
      <c r="B68" t="s">
        <v>1046</v>
      </c>
      <c r="C68" t="s">
        <v>1047</v>
      </c>
      <c r="D68" t="s">
        <v>1054</v>
      </c>
      <c r="E68" t="s">
        <v>933</v>
      </c>
      <c r="F68" t="s">
        <v>820</v>
      </c>
      <c r="G68" t="s">
        <v>821</v>
      </c>
      <c r="H68" t="s">
        <v>864</v>
      </c>
      <c r="I68" t="s">
        <v>1093</v>
      </c>
      <c r="J68" s="6" t="s">
        <v>820</v>
      </c>
      <c r="K68" t="s">
        <v>821</v>
      </c>
      <c r="L68" t="s">
        <v>864</v>
      </c>
    </row>
    <row r="69" spans="1:12" x14ac:dyDescent="0.25">
      <c r="A69" t="s">
        <v>502</v>
      </c>
      <c r="B69" t="s">
        <v>1046</v>
      </c>
      <c r="C69" t="s">
        <v>1047</v>
      </c>
      <c r="D69" t="s">
        <v>1055</v>
      </c>
      <c r="E69" t="s">
        <v>933</v>
      </c>
      <c r="F69" t="s">
        <v>820</v>
      </c>
      <c r="G69" t="s">
        <v>821</v>
      </c>
      <c r="H69" t="s">
        <v>865</v>
      </c>
      <c r="I69" t="s">
        <v>1093</v>
      </c>
      <c r="J69" s="6" t="s">
        <v>820</v>
      </c>
      <c r="K69" t="s">
        <v>821</v>
      </c>
      <c r="L69" t="s">
        <v>865</v>
      </c>
    </row>
    <row r="70" spans="1:12" x14ac:dyDescent="0.25">
      <c r="A70" t="s">
        <v>502</v>
      </c>
      <c r="B70" t="s">
        <v>1046</v>
      </c>
      <c r="C70" t="s">
        <v>1047</v>
      </c>
      <c r="D70" t="s">
        <v>1057</v>
      </c>
      <c r="E70" t="s">
        <v>933</v>
      </c>
      <c r="F70" t="s">
        <v>820</v>
      </c>
      <c r="G70" t="s">
        <v>821</v>
      </c>
      <c r="H70" t="s">
        <v>866</v>
      </c>
      <c r="I70" t="s">
        <v>1093</v>
      </c>
      <c r="J70" s="6" t="s">
        <v>820</v>
      </c>
      <c r="K70" t="s">
        <v>821</v>
      </c>
      <c r="L70" t="s">
        <v>866</v>
      </c>
    </row>
    <row r="71" spans="1:12" x14ac:dyDescent="0.25">
      <c r="A71" t="s">
        <v>502</v>
      </c>
      <c r="B71" t="s">
        <v>1046</v>
      </c>
      <c r="C71" t="s">
        <v>1047</v>
      </c>
      <c r="D71" t="s">
        <v>1056</v>
      </c>
      <c r="E71" t="s">
        <v>933</v>
      </c>
      <c r="F71" t="s">
        <v>820</v>
      </c>
      <c r="G71" t="s">
        <v>821</v>
      </c>
      <c r="H71" t="s">
        <v>867</v>
      </c>
      <c r="I71" t="s">
        <v>1093</v>
      </c>
      <c r="J71" s="6" t="s">
        <v>820</v>
      </c>
      <c r="K71" t="s">
        <v>821</v>
      </c>
      <c r="L71" t="s">
        <v>867</v>
      </c>
    </row>
    <row r="72" spans="1:12" x14ac:dyDescent="0.25">
      <c r="A72" t="s">
        <v>502</v>
      </c>
      <c r="B72" t="s">
        <v>1046</v>
      </c>
      <c r="C72" t="s">
        <v>1061</v>
      </c>
      <c r="D72" t="s">
        <v>1062</v>
      </c>
      <c r="E72" t="s">
        <v>933</v>
      </c>
      <c r="F72" t="s">
        <v>820</v>
      </c>
      <c r="G72" t="s">
        <v>822</v>
      </c>
      <c r="H72" t="s">
        <v>868</v>
      </c>
      <c r="I72" t="s">
        <v>1093</v>
      </c>
      <c r="J72" s="6" t="s">
        <v>820</v>
      </c>
      <c r="K72" t="s">
        <v>822</v>
      </c>
      <c r="L72" t="s">
        <v>868</v>
      </c>
    </row>
    <row r="73" spans="1:12" x14ac:dyDescent="0.25">
      <c r="A73" t="s">
        <v>502</v>
      </c>
      <c r="B73" t="s">
        <v>1046</v>
      </c>
      <c r="C73" t="s">
        <v>1061</v>
      </c>
      <c r="D73" t="s">
        <v>1063</v>
      </c>
      <c r="E73" t="s">
        <v>933</v>
      </c>
      <c r="F73" t="s">
        <v>820</v>
      </c>
      <c r="G73" t="s">
        <v>822</v>
      </c>
      <c r="H73" t="s">
        <v>869</v>
      </c>
      <c r="I73" t="s">
        <v>1093</v>
      </c>
      <c r="J73" s="6" t="s">
        <v>820</v>
      </c>
      <c r="K73" t="s">
        <v>822</v>
      </c>
      <c r="L73" t="s">
        <v>869</v>
      </c>
    </row>
    <row r="74" spans="1:12" x14ac:dyDescent="0.25">
      <c r="A74" t="s">
        <v>502</v>
      </c>
      <c r="B74" t="s">
        <v>1081</v>
      </c>
      <c r="C74" t="s">
        <v>1082</v>
      </c>
      <c r="D74" t="s">
        <v>1082</v>
      </c>
      <c r="E74" t="s">
        <v>933</v>
      </c>
      <c r="F74" t="s">
        <v>823</v>
      </c>
      <c r="G74" t="s">
        <v>150</v>
      </c>
      <c r="H74" t="s">
        <v>150</v>
      </c>
      <c r="I74" t="s">
        <v>1093</v>
      </c>
      <c r="J74" s="11" t="s">
        <v>770</v>
      </c>
      <c r="K74" s="11" t="s">
        <v>1094</v>
      </c>
      <c r="L74" t="s">
        <v>150</v>
      </c>
    </row>
    <row r="75" spans="1:12" x14ac:dyDescent="0.25">
      <c r="A75" t="s">
        <v>502</v>
      </c>
      <c r="B75" t="s">
        <v>1064</v>
      </c>
      <c r="C75" t="s">
        <v>1065</v>
      </c>
      <c r="D75" t="s">
        <v>1065</v>
      </c>
      <c r="E75" t="s">
        <v>933</v>
      </c>
      <c r="F75" t="s">
        <v>113</v>
      </c>
      <c r="G75" t="s">
        <v>824</v>
      </c>
      <c r="H75" t="s">
        <v>824</v>
      </c>
      <c r="I75" t="s">
        <v>1093</v>
      </c>
      <c r="J75" s="6" t="s">
        <v>113</v>
      </c>
      <c r="K75" t="s">
        <v>824</v>
      </c>
      <c r="L75" t="s">
        <v>824</v>
      </c>
    </row>
    <row r="76" spans="1:12" x14ac:dyDescent="0.25">
      <c r="A76" t="s">
        <v>502</v>
      </c>
      <c r="B76" t="s">
        <v>1064</v>
      </c>
      <c r="C76" t="s">
        <v>1066</v>
      </c>
      <c r="D76" t="s">
        <v>1066</v>
      </c>
      <c r="E76" t="s">
        <v>933</v>
      </c>
      <c r="F76" t="s">
        <v>113</v>
      </c>
      <c r="G76" t="s">
        <v>825</v>
      </c>
      <c r="H76" t="s">
        <v>825</v>
      </c>
      <c r="I76" t="s">
        <v>1093</v>
      </c>
      <c r="J76" s="6" t="s">
        <v>113</v>
      </c>
      <c r="K76" t="s">
        <v>825</v>
      </c>
      <c r="L76" t="s">
        <v>825</v>
      </c>
    </row>
    <row r="77" spans="1:12" x14ac:dyDescent="0.25">
      <c r="A77" t="s">
        <v>502</v>
      </c>
      <c r="B77" t="s">
        <v>1064</v>
      </c>
      <c r="C77" t="s">
        <v>1074</v>
      </c>
      <c r="D77" t="s">
        <v>1074</v>
      </c>
      <c r="E77" t="s">
        <v>933</v>
      </c>
      <c r="F77" t="s">
        <v>113</v>
      </c>
      <c r="G77" t="s">
        <v>826</v>
      </c>
      <c r="H77" t="s">
        <v>826</v>
      </c>
      <c r="I77" t="s">
        <v>1093</v>
      </c>
      <c r="J77" s="6" t="s">
        <v>113</v>
      </c>
      <c r="K77" t="s">
        <v>826</v>
      </c>
      <c r="L77" t="s">
        <v>826</v>
      </c>
    </row>
    <row r="78" spans="1:12" x14ac:dyDescent="0.25">
      <c r="A78" t="s">
        <v>502</v>
      </c>
      <c r="B78" t="s">
        <v>1064</v>
      </c>
      <c r="C78" t="s">
        <v>1067</v>
      </c>
      <c r="D78" t="s">
        <v>1067</v>
      </c>
      <c r="E78" t="s">
        <v>933</v>
      </c>
      <c r="F78" t="s">
        <v>113</v>
      </c>
      <c r="G78" t="s">
        <v>827</v>
      </c>
      <c r="H78" t="s">
        <v>827</v>
      </c>
      <c r="I78" t="s">
        <v>1093</v>
      </c>
      <c r="J78" s="6" t="s">
        <v>113</v>
      </c>
      <c r="K78" t="s">
        <v>827</v>
      </c>
      <c r="L78" t="s">
        <v>827</v>
      </c>
    </row>
    <row r="79" spans="1:12" x14ac:dyDescent="0.25">
      <c r="A79" t="s">
        <v>502</v>
      </c>
      <c r="B79" t="s">
        <v>1064</v>
      </c>
      <c r="C79" t="s">
        <v>1068</v>
      </c>
      <c r="D79" t="s">
        <v>1068</v>
      </c>
      <c r="E79" t="s">
        <v>933</v>
      </c>
      <c r="F79" t="s">
        <v>113</v>
      </c>
      <c r="G79" t="s">
        <v>828</v>
      </c>
      <c r="H79" t="s">
        <v>828</v>
      </c>
      <c r="I79" t="s">
        <v>1093</v>
      </c>
      <c r="J79" s="6" t="s">
        <v>113</v>
      </c>
      <c r="K79" t="s">
        <v>828</v>
      </c>
      <c r="L79" t="s">
        <v>828</v>
      </c>
    </row>
    <row r="80" spans="1:12" x14ac:dyDescent="0.25">
      <c r="A80" t="s">
        <v>502</v>
      </c>
      <c r="B80" t="s">
        <v>1064</v>
      </c>
      <c r="C80" t="s">
        <v>1069</v>
      </c>
      <c r="D80" t="s">
        <v>1069</v>
      </c>
      <c r="E80" t="s">
        <v>933</v>
      </c>
      <c r="F80" t="s">
        <v>113</v>
      </c>
      <c r="G80" t="s">
        <v>829</v>
      </c>
      <c r="H80" t="s">
        <v>829</v>
      </c>
      <c r="I80" t="s">
        <v>1093</v>
      </c>
      <c r="J80" s="6" t="s">
        <v>113</v>
      </c>
      <c r="K80" t="s">
        <v>829</v>
      </c>
      <c r="L80" t="s">
        <v>829</v>
      </c>
    </row>
    <row r="81" spans="1:12" x14ac:dyDescent="0.25">
      <c r="A81" t="s">
        <v>502</v>
      </c>
      <c r="B81" t="s">
        <v>1064</v>
      </c>
      <c r="C81" t="s">
        <v>1070</v>
      </c>
      <c r="D81" t="s">
        <v>1070</v>
      </c>
      <c r="E81" t="s">
        <v>933</v>
      </c>
      <c r="F81" t="s">
        <v>113</v>
      </c>
      <c r="G81" t="s">
        <v>830</v>
      </c>
      <c r="H81" t="s">
        <v>830</v>
      </c>
      <c r="I81" t="s">
        <v>1093</v>
      </c>
      <c r="J81" s="6" t="s">
        <v>113</v>
      </c>
      <c r="K81" t="s">
        <v>830</v>
      </c>
      <c r="L81" t="s">
        <v>830</v>
      </c>
    </row>
    <row r="82" spans="1:12" x14ac:dyDescent="0.25">
      <c r="A82" t="s">
        <v>502</v>
      </c>
      <c r="B82" t="s">
        <v>1064</v>
      </c>
      <c r="C82" t="s">
        <v>1071</v>
      </c>
      <c r="D82" t="s">
        <v>1071</v>
      </c>
      <c r="E82" t="s">
        <v>933</v>
      </c>
      <c r="F82" t="s">
        <v>113</v>
      </c>
      <c r="G82" t="s">
        <v>831</v>
      </c>
      <c r="H82" t="s">
        <v>831</v>
      </c>
      <c r="I82" t="s">
        <v>1093</v>
      </c>
      <c r="J82" s="6" t="s">
        <v>113</v>
      </c>
      <c r="K82" t="s">
        <v>831</v>
      </c>
      <c r="L82" t="s">
        <v>831</v>
      </c>
    </row>
    <row r="83" spans="1:12" x14ac:dyDescent="0.25">
      <c r="A83" t="s">
        <v>502</v>
      </c>
      <c r="B83" t="s">
        <v>1064</v>
      </c>
      <c r="C83" t="s">
        <v>1072</v>
      </c>
      <c r="D83" t="s">
        <v>1072</v>
      </c>
      <c r="E83" t="s">
        <v>933</v>
      </c>
      <c r="F83" t="s">
        <v>113</v>
      </c>
      <c r="G83" t="s">
        <v>832</v>
      </c>
      <c r="H83" t="s">
        <v>832</v>
      </c>
      <c r="I83" t="s">
        <v>1093</v>
      </c>
      <c r="J83" s="6" t="s">
        <v>113</v>
      </c>
      <c r="K83" t="s">
        <v>832</v>
      </c>
      <c r="L83" t="s">
        <v>832</v>
      </c>
    </row>
    <row r="84" spans="1:12" x14ac:dyDescent="0.25">
      <c r="A84" t="s">
        <v>502</v>
      </c>
      <c r="B84" t="s">
        <v>1064</v>
      </c>
      <c r="C84" t="s">
        <v>1073</v>
      </c>
      <c r="D84" t="s">
        <v>1073</v>
      </c>
      <c r="E84" t="s">
        <v>933</v>
      </c>
      <c r="F84" t="s">
        <v>113</v>
      </c>
      <c r="G84" t="s">
        <v>833</v>
      </c>
      <c r="H84" t="s">
        <v>833</v>
      </c>
      <c r="I84" t="s">
        <v>1093</v>
      </c>
      <c r="J84" s="6" t="s">
        <v>113</v>
      </c>
      <c r="K84" t="s">
        <v>833</v>
      </c>
      <c r="L84" t="s">
        <v>833</v>
      </c>
    </row>
    <row r="85" spans="1:12" x14ac:dyDescent="0.25">
      <c r="A85" t="s">
        <v>502</v>
      </c>
      <c r="B85" t="s">
        <v>1032</v>
      </c>
      <c r="C85" t="s">
        <v>1033</v>
      </c>
      <c r="D85" t="s">
        <v>1033</v>
      </c>
      <c r="E85" t="s">
        <v>933</v>
      </c>
      <c r="F85" t="s">
        <v>402</v>
      </c>
      <c r="G85" t="s">
        <v>834</v>
      </c>
      <c r="H85" t="s">
        <v>834</v>
      </c>
      <c r="I85" t="s">
        <v>1093</v>
      </c>
      <c r="J85" s="6" t="s">
        <v>402</v>
      </c>
      <c r="K85" t="s">
        <v>834</v>
      </c>
      <c r="L85" t="s">
        <v>834</v>
      </c>
    </row>
    <row r="86" spans="1:12" x14ac:dyDescent="0.25">
      <c r="A86" t="s">
        <v>502</v>
      </c>
      <c r="B86" t="s">
        <v>1038</v>
      </c>
      <c r="C86" t="s">
        <v>1039</v>
      </c>
      <c r="D86" t="s">
        <v>1039</v>
      </c>
      <c r="E86" t="s">
        <v>933</v>
      </c>
      <c r="F86" t="s">
        <v>835</v>
      </c>
      <c r="G86" t="s">
        <v>836</v>
      </c>
      <c r="H86" t="s">
        <v>836</v>
      </c>
      <c r="I86" t="s">
        <v>1093</v>
      </c>
      <c r="J86" s="6" t="s">
        <v>835</v>
      </c>
      <c r="K86" t="s">
        <v>836</v>
      </c>
      <c r="L86" t="s">
        <v>836</v>
      </c>
    </row>
    <row r="87" spans="1:12" x14ac:dyDescent="0.25">
      <c r="A87" t="s">
        <v>502</v>
      </c>
      <c r="B87" t="s">
        <v>1038</v>
      </c>
      <c r="C87" t="s">
        <v>1042</v>
      </c>
      <c r="D87" t="s">
        <v>1042</v>
      </c>
      <c r="E87" t="s">
        <v>933</v>
      </c>
      <c r="F87" t="s">
        <v>835</v>
      </c>
      <c r="G87" t="s">
        <v>837</v>
      </c>
      <c r="H87" t="s">
        <v>837</v>
      </c>
      <c r="I87" t="s">
        <v>1093</v>
      </c>
      <c r="J87" s="6" t="s">
        <v>835</v>
      </c>
      <c r="K87" t="s">
        <v>837</v>
      </c>
      <c r="L87" t="s">
        <v>837</v>
      </c>
    </row>
    <row r="88" spans="1:12" x14ac:dyDescent="0.25">
      <c r="A88" t="s">
        <v>502</v>
      </c>
      <c r="B88" t="s">
        <v>1038</v>
      </c>
      <c r="C88" t="s">
        <v>1040</v>
      </c>
      <c r="D88" t="s">
        <v>1040</v>
      </c>
      <c r="E88" t="s">
        <v>933</v>
      </c>
      <c r="F88" t="s">
        <v>835</v>
      </c>
      <c r="G88" t="s">
        <v>838</v>
      </c>
      <c r="H88" t="s">
        <v>838</v>
      </c>
      <c r="I88" t="s">
        <v>1093</v>
      </c>
      <c r="J88" s="6" t="s">
        <v>835</v>
      </c>
      <c r="K88" t="s">
        <v>838</v>
      </c>
      <c r="L88" t="s">
        <v>838</v>
      </c>
    </row>
    <row r="89" spans="1:12" x14ac:dyDescent="0.25">
      <c r="A89" t="s">
        <v>502</v>
      </c>
      <c r="B89" t="s">
        <v>1038</v>
      </c>
      <c r="C89" t="s">
        <v>1041</v>
      </c>
      <c r="D89" t="s">
        <v>1041</v>
      </c>
      <c r="E89" t="s">
        <v>933</v>
      </c>
      <c r="F89" t="s">
        <v>835</v>
      </c>
      <c r="G89" t="s">
        <v>839</v>
      </c>
      <c r="H89" t="s">
        <v>839</v>
      </c>
      <c r="I89" t="s">
        <v>1093</v>
      </c>
      <c r="J89" s="6" t="s">
        <v>835</v>
      </c>
      <c r="K89" t="s">
        <v>839</v>
      </c>
      <c r="L89" t="s">
        <v>839</v>
      </c>
    </row>
    <row r="90" spans="1:12" x14ac:dyDescent="0.25">
      <c r="A90" t="s">
        <v>502</v>
      </c>
      <c r="B90" t="s">
        <v>1038</v>
      </c>
      <c r="C90" t="s">
        <v>1043</v>
      </c>
      <c r="D90" t="s">
        <v>1043</v>
      </c>
      <c r="E90" t="s">
        <v>933</v>
      </c>
      <c r="F90" t="s">
        <v>835</v>
      </c>
      <c r="G90" t="s">
        <v>840</v>
      </c>
      <c r="H90" t="s">
        <v>840</v>
      </c>
      <c r="I90" t="s">
        <v>1093</v>
      </c>
      <c r="J90" s="6" t="s">
        <v>835</v>
      </c>
      <c r="K90" t="s">
        <v>840</v>
      </c>
      <c r="L90" t="s">
        <v>840</v>
      </c>
    </row>
    <row r="91" spans="1:12" x14ac:dyDescent="0.25">
      <c r="A91" t="s">
        <v>502</v>
      </c>
      <c r="B91" t="s">
        <v>1079</v>
      </c>
      <c r="C91" t="s">
        <v>1080</v>
      </c>
      <c r="D91" t="s">
        <v>1080</v>
      </c>
      <c r="E91" t="s">
        <v>933</v>
      </c>
      <c r="F91" t="s">
        <v>841</v>
      </c>
      <c r="G91" t="s">
        <v>842</v>
      </c>
      <c r="H91" t="s">
        <v>842</v>
      </c>
      <c r="I91" t="s">
        <v>1093</v>
      </c>
      <c r="J91" s="6" t="s">
        <v>1095</v>
      </c>
      <c r="K91" s="6" t="s">
        <v>841</v>
      </c>
      <c r="L91" t="s">
        <v>842</v>
      </c>
    </row>
    <row r="92" spans="1:12" x14ac:dyDescent="0.25">
      <c r="A92" t="s">
        <v>502</v>
      </c>
      <c r="B92" t="s">
        <v>712</v>
      </c>
      <c r="C92" t="s">
        <v>724</v>
      </c>
      <c r="D92" t="s">
        <v>724</v>
      </c>
      <c r="E92" t="s">
        <v>933</v>
      </c>
      <c r="F92" t="s">
        <v>843</v>
      </c>
      <c r="G92" t="s">
        <v>844</v>
      </c>
      <c r="H92" t="s">
        <v>844</v>
      </c>
      <c r="I92" t="s">
        <v>1093</v>
      </c>
      <c r="J92" s="6" t="s">
        <v>843</v>
      </c>
      <c r="K92" t="s">
        <v>844</v>
      </c>
      <c r="L92" t="s">
        <v>844</v>
      </c>
    </row>
    <row r="93" spans="1:12" x14ac:dyDescent="0.25">
      <c r="A93" t="s">
        <v>502</v>
      </c>
      <c r="B93" t="s">
        <v>712</v>
      </c>
      <c r="C93" t="s">
        <v>713</v>
      </c>
      <c r="D93" t="s">
        <v>713</v>
      </c>
      <c r="E93" t="s">
        <v>933</v>
      </c>
      <c r="F93" t="s">
        <v>843</v>
      </c>
      <c r="G93" t="s">
        <v>845</v>
      </c>
      <c r="H93" t="s">
        <v>845</v>
      </c>
      <c r="I93" t="s">
        <v>1093</v>
      </c>
      <c r="J93" s="6" t="s">
        <v>843</v>
      </c>
      <c r="K93" t="s">
        <v>845</v>
      </c>
      <c r="L93" t="s">
        <v>845</v>
      </c>
    </row>
    <row r="94" spans="1:12" x14ac:dyDescent="0.25">
      <c r="A94" t="s">
        <v>502</v>
      </c>
      <c r="B94" t="s">
        <v>712</v>
      </c>
      <c r="C94" t="s">
        <v>1018</v>
      </c>
      <c r="D94" t="s">
        <v>1018</v>
      </c>
      <c r="E94" t="s">
        <v>933</v>
      </c>
      <c r="F94" t="s">
        <v>843</v>
      </c>
      <c r="G94" t="s">
        <v>846</v>
      </c>
      <c r="H94" t="s">
        <v>846</v>
      </c>
      <c r="I94" t="s">
        <v>1093</v>
      </c>
      <c r="J94" s="6" t="s">
        <v>843</v>
      </c>
      <c r="K94" t="s">
        <v>846</v>
      </c>
      <c r="L94" t="s">
        <v>846</v>
      </c>
    </row>
    <row r="95" spans="1:12" x14ac:dyDescent="0.25">
      <c r="A95" t="s">
        <v>502</v>
      </c>
      <c r="B95" t="s">
        <v>712</v>
      </c>
      <c r="C95" t="s">
        <v>745</v>
      </c>
      <c r="D95" t="s">
        <v>745</v>
      </c>
      <c r="E95" t="s">
        <v>933</v>
      </c>
      <c r="F95" t="s">
        <v>843</v>
      </c>
      <c r="G95" t="s">
        <v>847</v>
      </c>
      <c r="H95" t="s">
        <v>847</v>
      </c>
      <c r="I95" t="s">
        <v>1093</v>
      </c>
      <c r="J95" s="6" t="s">
        <v>843</v>
      </c>
      <c r="K95" t="s">
        <v>847</v>
      </c>
      <c r="L95" t="s">
        <v>847</v>
      </c>
    </row>
    <row r="96" spans="1:12" x14ac:dyDescent="0.25">
      <c r="A96" t="s">
        <v>502</v>
      </c>
      <c r="B96" t="s">
        <v>712</v>
      </c>
      <c r="C96" t="s">
        <v>748</v>
      </c>
      <c r="D96" t="s">
        <v>748</v>
      </c>
      <c r="E96" t="s">
        <v>933</v>
      </c>
      <c r="F96" t="s">
        <v>843</v>
      </c>
      <c r="G96" t="s">
        <v>848</v>
      </c>
      <c r="H96" t="s">
        <v>848</v>
      </c>
      <c r="I96" t="s">
        <v>1093</v>
      </c>
      <c r="J96" s="6" t="s">
        <v>843</v>
      </c>
      <c r="K96" t="s">
        <v>848</v>
      </c>
      <c r="L96" t="s">
        <v>848</v>
      </c>
    </row>
    <row r="97" spans="1:12" x14ac:dyDescent="0.25">
      <c r="A97" t="s">
        <v>502</v>
      </c>
      <c r="B97" t="s">
        <v>712</v>
      </c>
      <c r="C97" t="s">
        <v>742</v>
      </c>
      <c r="D97" t="s">
        <v>742</v>
      </c>
      <c r="E97" t="s">
        <v>933</v>
      </c>
      <c r="F97" t="s">
        <v>843</v>
      </c>
      <c r="G97" t="s">
        <v>849</v>
      </c>
      <c r="H97" t="s">
        <v>849</v>
      </c>
      <c r="I97" t="s">
        <v>1093</v>
      </c>
      <c r="J97" s="6" t="s">
        <v>843</v>
      </c>
      <c r="K97" t="s">
        <v>849</v>
      </c>
      <c r="L97" t="s">
        <v>849</v>
      </c>
    </row>
    <row r="98" spans="1:12" x14ac:dyDescent="0.25">
      <c r="A98" t="s">
        <v>502</v>
      </c>
      <c r="B98" t="s">
        <v>712</v>
      </c>
      <c r="C98" t="s">
        <v>731</v>
      </c>
      <c r="D98" t="s">
        <v>731</v>
      </c>
      <c r="E98" t="s">
        <v>933</v>
      </c>
      <c r="F98" t="s">
        <v>843</v>
      </c>
      <c r="G98" t="s">
        <v>850</v>
      </c>
      <c r="H98" t="s">
        <v>850</v>
      </c>
      <c r="I98" t="s">
        <v>1093</v>
      </c>
      <c r="J98" s="6" t="s">
        <v>843</v>
      </c>
      <c r="K98" t="s">
        <v>850</v>
      </c>
      <c r="L98" t="s">
        <v>850</v>
      </c>
    </row>
    <row r="99" spans="1:12" x14ac:dyDescent="0.25">
      <c r="A99" t="s">
        <v>474</v>
      </c>
      <c r="B99" t="s">
        <v>974</v>
      </c>
      <c r="C99" t="s">
        <v>975</v>
      </c>
      <c r="D99" t="s">
        <v>975</v>
      </c>
      <c r="E99" t="s">
        <v>932</v>
      </c>
      <c r="F99" t="s">
        <v>936</v>
      </c>
      <c r="G99" t="s">
        <v>951</v>
      </c>
      <c r="H99" t="s">
        <v>951</v>
      </c>
      <c r="I99" t="s">
        <v>1093</v>
      </c>
      <c r="J99" s="6" t="s">
        <v>936</v>
      </c>
      <c r="K99" t="s">
        <v>951</v>
      </c>
      <c r="L99" t="s">
        <v>951</v>
      </c>
    </row>
    <row r="100" spans="1:12" x14ac:dyDescent="0.25">
      <c r="A100" t="s">
        <v>474</v>
      </c>
      <c r="B100" t="s">
        <v>974</v>
      </c>
      <c r="C100" t="s">
        <v>976</v>
      </c>
      <c r="D100" t="s">
        <v>976</v>
      </c>
      <c r="E100" t="s">
        <v>932</v>
      </c>
      <c r="F100" t="s">
        <v>936</v>
      </c>
      <c r="G100" t="s">
        <v>952</v>
      </c>
      <c r="H100" t="s">
        <v>952</v>
      </c>
      <c r="I100" t="s">
        <v>1093</v>
      </c>
      <c r="J100" s="6" t="s">
        <v>936</v>
      </c>
      <c r="K100" t="s">
        <v>952</v>
      </c>
      <c r="L100" t="s">
        <v>952</v>
      </c>
    </row>
    <row r="101" spans="1:12" x14ac:dyDescent="0.25">
      <c r="A101" t="s">
        <v>474</v>
      </c>
      <c r="B101" t="s">
        <v>974</v>
      </c>
      <c r="C101" t="s">
        <v>977</v>
      </c>
      <c r="D101" t="s">
        <v>977</v>
      </c>
      <c r="E101" t="s">
        <v>932</v>
      </c>
      <c r="F101" t="s">
        <v>936</v>
      </c>
      <c r="G101" t="s">
        <v>953</v>
      </c>
      <c r="H101" t="s">
        <v>953</v>
      </c>
      <c r="I101" t="s">
        <v>1093</v>
      </c>
      <c r="J101" s="6" t="s">
        <v>936</v>
      </c>
      <c r="K101" t="s">
        <v>953</v>
      </c>
      <c r="L101" t="s">
        <v>953</v>
      </c>
    </row>
    <row r="102" spans="1:12" x14ac:dyDescent="0.25">
      <c r="A102" t="s">
        <v>474</v>
      </c>
      <c r="B102" t="s">
        <v>974</v>
      </c>
      <c r="C102" t="s">
        <v>978</v>
      </c>
      <c r="D102" t="s">
        <v>978</v>
      </c>
      <c r="E102" t="s">
        <v>932</v>
      </c>
      <c r="F102" t="s">
        <v>936</v>
      </c>
      <c r="G102" t="s">
        <v>954</v>
      </c>
      <c r="H102" t="s">
        <v>954</v>
      </c>
      <c r="I102" t="s">
        <v>1093</v>
      </c>
      <c r="J102" s="6" t="s">
        <v>936</v>
      </c>
      <c r="K102" t="s">
        <v>954</v>
      </c>
      <c r="L102" t="s">
        <v>954</v>
      </c>
    </row>
    <row r="103" spans="1:12" x14ac:dyDescent="0.25">
      <c r="A103" t="s">
        <v>474</v>
      </c>
      <c r="B103" t="s">
        <v>974</v>
      </c>
      <c r="C103" t="s">
        <v>979</v>
      </c>
      <c r="D103" t="s">
        <v>979</v>
      </c>
      <c r="E103" t="s">
        <v>932</v>
      </c>
      <c r="F103" t="s">
        <v>936</v>
      </c>
      <c r="G103" t="s">
        <v>125</v>
      </c>
      <c r="H103" t="s">
        <v>125</v>
      </c>
      <c r="I103" t="s">
        <v>1093</v>
      </c>
      <c r="J103" s="6" t="s">
        <v>936</v>
      </c>
      <c r="K103" t="s">
        <v>125</v>
      </c>
      <c r="L103" t="s">
        <v>125</v>
      </c>
    </row>
    <row r="104" spans="1:12" x14ac:dyDescent="0.25">
      <c r="A104" t="s">
        <v>474</v>
      </c>
      <c r="B104" t="s">
        <v>974</v>
      </c>
      <c r="C104" t="s">
        <v>980</v>
      </c>
      <c r="D104" t="s">
        <v>980</v>
      </c>
      <c r="E104" t="s">
        <v>932</v>
      </c>
      <c r="F104" t="s">
        <v>936</v>
      </c>
      <c r="G104" t="s">
        <v>114</v>
      </c>
      <c r="H104" t="s">
        <v>114</v>
      </c>
      <c r="I104" t="s">
        <v>1093</v>
      </c>
      <c r="J104" s="6" t="s">
        <v>936</v>
      </c>
      <c r="K104" t="s">
        <v>114</v>
      </c>
      <c r="L104" t="s">
        <v>114</v>
      </c>
    </row>
    <row r="105" spans="1:12" x14ac:dyDescent="0.25">
      <c r="A105" t="s">
        <v>474</v>
      </c>
      <c r="B105" t="s">
        <v>974</v>
      </c>
      <c r="C105" t="s">
        <v>981</v>
      </c>
      <c r="D105" t="s">
        <v>981</v>
      </c>
      <c r="E105" t="s">
        <v>932</v>
      </c>
      <c r="F105" t="s">
        <v>936</v>
      </c>
      <c r="G105" t="s">
        <v>955</v>
      </c>
      <c r="H105" t="s">
        <v>955</v>
      </c>
      <c r="I105" t="s">
        <v>1093</v>
      </c>
      <c r="J105" s="6" t="s">
        <v>936</v>
      </c>
      <c r="K105" t="s">
        <v>955</v>
      </c>
      <c r="L105" t="s">
        <v>955</v>
      </c>
    </row>
    <row r="106" spans="1:12" x14ac:dyDescent="0.25">
      <c r="A106" t="s">
        <v>474</v>
      </c>
      <c r="B106" t="s">
        <v>974</v>
      </c>
      <c r="C106" t="s">
        <v>982</v>
      </c>
      <c r="D106" t="s">
        <v>982</v>
      </c>
      <c r="E106" t="s">
        <v>932</v>
      </c>
      <c r="F106" t="s">
        <v>936</v>
      </c>
      <c r="G106" t="s">
        <v>956</v>
      </c>
      <c r="H106" t="s">
        <v>956</v>
      </c>
      <c r="I106" t="s">
        <v>1093</v>
      </c>
      <c r="J106" s="6" t="s">
        <v>936</v>
      </c>
      <c r="K106" t="s">
        <v>956</v>
      </c>
      <c r="L106" t="s">
        <v>956</v>
      </c>
    </row>
    <row r="107" spans="1:12" x14ac:dyDescent="0.25">
      <c r="A107" t="s">
        <v>474</v>
      </c>
      <c r="B107" t="s">
        <v>974</v>
      </c>
      <c r="C107" t="s">
        <v>983</v>
      </c>
      <c r="D107" t="s">
        <v>983</v>
      </c>
      <c r="E107" t="s">
        <v>932</v>
      </c>
      <c r="F107" t="s">
        <v>936</v>
      </c>
      <c r="G107" t="s">
        <v>957</v>
      </c>
      <c r="H107" t="s">
        <v>957</v>
      </c>
      <c r="I107" t="s">
        <v>1093</v>
      </c>
      <c r="J107" s="6" t="s">
        <v>936</v>
      </c>
      <c r="K107" t="s">
        <v>957</v>
      </c>
      <c r="L107" t="s">
        <v>957</v>
      </c>
    </row>
    <row r="108" spans="1:12" x14ac:dyDescent="0.25">
      <c r="A108" t="s">
        <v>474</v>
      </c>
      <c r="B108" t="s">
        <v>974</v>
      </c>
      <c r="C108" t="s">
        <v>984</v>
      </c>
      <c r="D108" t="s">
        <v>984</v>
      </c>
      <c r="E108" t="s">
        <v>932</v>
      </c>
      <c r="F108" t="s">
        <v>936</v>
      </c>
      <c r="G108" t="s">
        <v>153</v>
      </c>
      <c r="H108" t="s">
        <v>153</v>
      </c>
      <c r="I108" t="s">
        <v>1093</v>
      </c>
      <c r="J108" s="6" t="s">
        <v>936</v>
      </c>
      <c r="K108" t="s">
        <v>153</v>
      </c>
      <c r="L108" t="s">
        <v>153</v>
      </c>
    </row>
    <row r="109" spans="1:12" x14ac:dyDescent="0.25">
      <c r="A109" t="s">
        <v>474</v>
      </c>
      <c r="B109" t="s">
        <v>974</v>
      </c>
      <c r="C109" t="s">
        <v>985</v>
      </c>
      <c r="D109" t="s">
        <v>985</v>
      </c>
      <c r="E109" t="s">
        <v>932</v>
      </c>
      <c r="F109" t="s">
        <v>936</v>
      </c>
      <c r="G109" t="s">
        <v>28</v>
      </c>
      <c r="H109" t="s">
        <v>28</v>
      </c>
      <c r="I109" t="s">
        <v>1093</v>
      </c>
      <c r="J109" s="6" t="s">
        <v>936</v>
      </c>
      <c r="K109" t="s">
        <v>28</v>
      </c>
      <c r="L109" t="s">
        <v>28</v>
      </c>
    </row>
    <row r="110" spans="1:12" x14ac:dyDescent="0.25">
      <c r="A110" t="s">
        <v>474</v>
      </c>
      <c r="B110" t="s">
        <v>974</v>
      </c>
      <c r="C110" t="s">
        <v>986</v>
      </c>
      <c r="D110" t="s">
        <v>986</v>
      </c>
      <c r="E110" t="s">
        <v>932</v>
      </c>
      <c r="F110" t="s">
        <v>936</v>
      </c>
      <c r="G110" t="s">
        <v>958</v>
      </c>
      <c r="H110" t="s">
        <v>958</v>
      </c>
      <c r="I110" t="s">
        <v>1093</v>
      </c>
      <c r="J110" s="6" t="s">
        <v>936</v>
      </c>
      <c r="K110" t="s">
        <v>958</v>
      </c>
      <c r="L110" t="s">
        <v>958</v>
      </c>
    </row>
    <row r="111" spans="1:12" x14ac:dyDescent="0.25">
      <c r="A111" t="s">
        <v>474</v>
      </c>
      <c r="B111" t="s">
        <v>974</v>
      </c>
      <c r="C111" t="s">
        <v>987</v>
      </c>
      <c r="D111" t="s">
        <v>987</v>
      </c>
      <c r="E111" t="s">
        <v>932</v>
      </c>
      <c r="F111" t="s">
        <v>936</v>
      </c>
      <c r="G111" t="s">
        <v>959</v>
      </c>
      <c r="H111" t="s">
        <v>959</v>
      </c>
      <c r="I111" t="s">
        <v>1093</v>
      </c>
      <c r="J111" s="6" t="s">
        <v>936</v>
      </c>
      <c r="K111" t="s">
        <v>959</v>
      </c>
      <c r="L111" t="s">
        <v>959</v>
      </c>
    </row>
    <row r="112" spans="1:12" x14ac:dyDescent="0.25">
      <c r="A112" t="s">
        <v>474</v>
      </c>
      <c r="B112" t="s">
        <v>974</v>
      </c>
      <c r="C112" t="s">
        <v>988</v>
      </c>
      <c r="D112" t="s">
        <v>988</v>
      </c>
      <c r="E112" t="s">
        <v>932</v>
      </c>
      <c r="F112" t="s">
        <v>936</v>
      </c>
      <c r="G112" t="s">
        <v>960</v>
      </c>
      <c r="H112" t="s">
        <v>960</v>
      </c>
      <c r="I112" t="s">
        <v>1093</v>
      </c>
      <c r="J112" s="6" t="s">
        <v>936</v>
      </c>
      <c r="K112" t="s">
        <v>960</v>
      </c>
      <c r="L112" t="s">
        <v>960</v>
      </c>
    </row>
    <row r="113" spans="1:12" x14ac:dyDescent="0.25">
      <c r="A113" t="s">
        <v>474</v>
      </c>
      <c r="B113" t="s">
        <v>974</v>
      </c>
      <c r="C113" t="s">
        <v>989</v>
      </c>
      <c r="D113" t="s">
        <v>989</v>
      </c>
      <c r="E113" t="s">
        <v>932</v>
      </c>
      <c r="F113" t="s">
        <v>936</v>
      </c>
      <c r="G113" t="s">
        <v>961</v>
      </c>
      <c r="H113" t="s">
        <v>961</v>
      </c>
      <c r="I113" t="s">
        <v>1093</v>
      </c>
      <c r="J113" s="6" t="s">
        <v>936</v>
      </c>
      <c r="K113" t="s">
        <v>961</v>
      </c>
      <c r="L113" t="s">
        <v>961</v>
      </c>
    </row>
    <row r="114" spans="1:12" x14ac:dyDescent="0.25">
      <c r="A114" t="s">
        <v>474</v>
      </c>
      <c r="B114" t="s">
        <v>990</v>
      </c>
      <c r="C114" t="s">
        <v>990</v>
      </c>
      <c r="D114" t="s">
        <v>990</v>
      </c>
      <c r="E114" t="s">
        <v>932</v>
      </c>
      <c r="F114" t="s">
        <v>130</v>
      </c>
      <c r="G114" t="s">
        <v>130</v>
      </c>
      <c r="H114" t="s">
        <v>130</v>
      </c>
      <c r="I114" s="11" t="s">
        <v>776</v>
      </c>
      <c r="J114" s="13" t="s">
        <v>776</v>
      </c>
      <c r="K114" s="11" t="s">
        <v>769</v>
      </c>
      <c r="L114" s="11" t="s">
        <v>765</v>
      </c>
    </row>
    <row r="115" spans="1:12" x14ac:dyDescent="0.25">
      <c r="A115" t="s">
        <v>474</v>
      </c>
      <c r="B115" t="s">
        <v>991</v>
      </c>
      <c r="C115" t="s">
        <v>991</v>
      </c>
      <c r="D115" t="s">
        <v>991</v>
      </c>
      <c r="E115" t="s">
        <v>932</v>
      </c>
      <c r="F115" t="s">
        <v>937</v>
      </c>
      <c r="G115" t="s">
        <v>937</v>
      </c>
      <c r="H115" t="s">
        <v>937</v>
      </c>
      <c r="I115" t="s">
        <v>1093</v>
      </c>
      <c r="J115" s="6" t="s">
        <v>937</v>
      </c>
      <c r="K115" s="6" t="s">
        <v>937</v>
      </c>
      <c r="L115" s="6" t="s">
        <v>937</v>
      </c>
    </row>
    <row r="116" spans="1:12" x14ac:dyDescent="0.25">
      <c r="A116" t="s">
        <v>474</v>
      </c>
      <c r="B116" t="s">
        <v>994</v>
      </c>
      <c r="C116" t="s">
        <v>995</v>
      </c>
      <c r="D116" t="s">
        <v>995</v>
      </c>
      <c r="E116" t="s">
        <v>932</v>
      </c>
      <c r="F116" t="s">
        <v>938</v>
      </c>
      <c r="G116" t="s">
        <v>962</v>
      </c>
      <c r="H116" t="s">
        <v>962</v>
      </c>
      <c r="I116" s="11" t="s">
        <v>776</v>
      </c>
      <c r="J116" s="11" t="s">
        <v>776</v>
      </c>
      <c r="K116" s="11" t="s">
        <v>967</v>
      </c>
      <c r="L116" t="s">
        <v>962</v>
      </c>
    </row>
    <row r="117" spans="1:12" x14ac:dyDescent="0.25">
      <c r="A117" t="s">
        <v>474</v>
      </c>
      <c r="B117" t="s">
        <v>994</v>
      </c>
      <c r="C117" t="s">
        <v>996</v>
      </c>
      <c r="D117" t="s">
        <v>996</v>
      </c>
      <c r="E117" t="s">
        <v>932</v>
      </c>
      <c r="F117" t="s">
        <v>938</v>
      </c>
      <c r="G117" t="s">
        <v>145</v>
      </c>
      <c r="H117" t="s">
        <v>145</v>
      </c>
      <c r="I117" s="11" t="s">
        <v>776</v>
      </c>
      <c r="J117" s="11" t="s">
        <v>776</v>
      </c>
      <c r="K117" s="11" t="s">
        <v>967</v>
      </c>
      <c r="L117" t="s">
        <v>145</v>
      </c>
    </row>
    <row r="118" spans="1:12" x14ac:dyDescent="0.25">
      <c r="A118" t="s">
        <v>474</v>
      </c>
      <c r="B118" t="s">
        <v>994</v>
      </c>
      <c r="C118" t="s">
        <v>997</v>
      </c>
      <c r="D118" t="s">
        <v>997</v>
      </c>
      <c r="E118" t="s">
        <v>932</v>
      </c>
      <c r="F118" t="s">
        <v>938</v>
      </c>
      <c r="G118" t="s">
        <v>963</v>
      </c>
      <c r="H118" t="s">
        <v>963</v>
      </c>
      <c r="I118" s="11" t="s">
        <v>776</v>
      </c>
      <c r="J118" s="11" t="s">
        <v>776</v>
      </c>
      <c r="K118" s="11" t="s">
        <v>967</v>
      </c>
      <c r="L118" t="s">
        <v>963</v>
      </c>
    </row>
    <row r="119" spans="1:12" x14ac:dyDescent="0.25">
      <c r="A119" t="s">
        <v>474</v>
      </c>
      <c r="B119" t="s">
        <v>994</v>
      </c>
      <c r="C119" t="s">
        <v>998</v>
      </c>
      <c r="D119" t="s">
        <v>998</v>
      </c>
      <c r="E119" t="s">
        <v>932</v>
      </c>
      <c r="F119" t="s">
        <v>938</v>
      </c>
      <c r="G119" t="s">
        <v>964</v>
      </c>
      <c r="H119" t="s">
        <v>964</v>
      </c>
      <c r="I119" s="11" t="s">
        <v>776</v>
      </c>
      <c r="J119" s="11" t="s">
        <v>776</v>
      </c>
      <c r="K119" s="11" t="s">
        <v>967</v>
      </c>
      <c r="L119" t="s">
        <v>964</v>
      </c>
    </row>
    <row r="120" spans="1:12" x14ac:dyDescent="0.25">
      <c r="A120" t="s">
        <v>474</v>
      </c>
      <c r="B120" t="s">
        <v>994</v>
      </c>
      <c r="C120" t="s">
        <v>999</v>
      </c>
      <c r="D120" t="s">
        <v>999</v>
      </c>
      <c r="E120" t="s">
        <v>932</v>
      </c>
      <c r="F120" t="s">
        <v>938</v>
      </c>
      <c r="G120" t="s">
        <v>965</v>
      </c>
      <c r="H120" t="s">
        <v>965</v>
      </c>
      <c r="I120" s="11" t="s">
        <v>776</v>
      </c>
      <c r="J120" s="11" t="s">
        <v>776</v>
      </c>
      <c r="K120" s="11" t="s">
        <v>967</v>
      </c>
      <c r="L120" t="s">
        <v>965</v>
      </c>
    </row>
    <row r="121" spans="1:12" x14ac:dyDescent="0.25">
      <c r="A121" t="s">
        <v>474</v>
      </c>
      <c r="B121" t="s">
        <v>994</v>
      </c>
      <c r="C121" t="s">
        <v>1000</v>
      </c>
      <c r="D121" t="s">
        <v>1000</v>
      </c>
      <c r="E121" t="s">
        <v>932</v>
      </c>
      <c r="F121" t="s">
        <v>938</v>
      </c>
      <c r="G121" t="s">
        <v>966</v>
      </c>
      <c r="H121" t="s">
        <v>966</v>
      </c>
      <c r="I121" s="11" t="s">
        <v>776</v>
      </c>
      <c r="J121" s="11" t="s">
        <v>776</v>
      </c>
      <c r="K121" s="11" t="s">
        <v>967</v>
      </c>
      <c r="L121" t="s">
        <v>966</v>
      </c>
    </row>
    <row r="122" spans="1:12" x14ac:dyDescent="0.25">
      <c r="A122" t="s">
        <v>474</v>
      </c>
      <c r="B122" t="s">
        <v>994</v>
      </c>
      <c r="C122" t="s">
        <v>1001</v>
      </c>
      <c r="D122" t="s">
        <v>1001</v>
      </c>
      <c r="E122" t="s">
        <v>932</v>
      </c>
      <c r="F122" t="s">
        <v>938</v>
      </c>
      <c r="G122" t="s">
        <v>967</v>
      </c>
      <c r="H122" t="s">
        <v>967</v>
      </c>
      <c r="I122" s="11" t="s">
        <v>776</v>
      </c>
      <c r="J122" s="11" t="s">
        <v>776</v>
      </c>
      <c r="K122" s="11" t="s">
        <v>967</v>
      </c>
      <c r="L122" t="s">
        <v>967</v>
      </c>
    </row>
    <row r="123" spans="1:12" x14ac:dyDescent="0.25">
      <c r="A123" t="s">
        <v>474</v>
      </c>
      <c r="B123" t="s">
        <v>1007</v>
      </c>
      <c r="C123" t="s">
        <v>1007</v>
      </c>
      <c r="D123" t="s">
        <v>1007</v>
      </c>
      <c r="E123" t="s">
        <v>932</v>
      </c>
      <c r="F123" t="s">
        <v>941</v>
      </c>
      <c r="G123" t="s">
        <v>941</v>
      </c>
      <c r="H123" t="s">
        <v>941</v>
      </c>
      <c r="I123" t="s">
        <v>1093</v>
      </c>
      <c r="J123" s="11" t="s">
        <v>770</v>
      </c>
      <c r="K123" s="11" t="s">
        <v>775</v>
      </c>
      <c r="L123" t="s">
        <v>941</v>
      </c>
    </row>
    <row r="124" spans="1:12" x14ac:dyDescent="0.25">
      <c r="A124" t="s">
        <v>474</v>
      </c>
      <c r="B124" t="s">
        <v>1008</v>
      </c>
      <c r="C124" t="s">
        <v>1008</v>
      </c>
      <c r="D124" t="s">
        <v>1008</v>
      </c>
      <c r="E124" t="s">
        <v>932</v>
      </c>
      <c r="F124" t="s">
        <v>942</v>
      </c>
      <c r="G124" t="s">
        <v>942</v>
      </c>
      <c r="H124" t="s">
        <v>942</v>
      </c>
      <c r="I124" s="11" t="s">
        <v>776</v>
      </c>
      <c r="J124" s="11" t="s">
        <v>776</v>
      </c>
      <c r="K124" s="11" t="s">
        <v>758</v>
      </c>
      <c r="L124" t="s">
        <v>942</v>
      </c>
    </row>
    <row r="125" spans="1:12" x14ac:dyDescent="0.25">
      <c r="A125" t="s">
        <v>474</v>
      </c>
      <c r="B125" t="s">
        <v>1009</v>
      </c>
      <c r="C125" t="s">
        <v>1009</v>
      </c>
      <c r="D125" t="s">
        <v>1009</v>
      </c>
      <c r="E125" t="s">
        <v>932</v>
      </c>
      <c r="F125" t="s">
        <v>943</v>
      </c>
      <c r="G125" t="s">
        <v>943</v>
      </c>
      <c r="H125" t="s">
        <v>943</v>
      </c>
      <c r="I125" s="11" t="s">
        <v>776</v>
      </c>
      <c r="J125" s="11" t="s">
        <v>776</v>
      </c>
      <c r="K125" s="11" t="s">
        <v>758</v>
      </c>
      <c r="L125" t="s">
        <v>943</v>
      </c>
    </row>
    <row r="126" spans="1:12" x14ac:dyDescent="0.25">
      <c r="A126" t="s">
        <v>474</v>
      </c>
      <c r="B126" t="s">
        <v>1010</v>
      </c>
      <c r="C126" t="s">
        <v>1010</v>
      </c>
      <c r="D126" t="s">
        <v>1010</v>
      </c>
      <c r="E126" t="s">
        <v>932</v>
      </c>
      <c r="F126" t="s">
        <v>944</v>
      </c>
      <c r="G126" t="s">
        <v>944</v>
      </c>
      <c r="H126" t="s">
        <v>944</v>
      </c>
      <c r="I126" s="11" t="s">
        <v>776</v>
      </c>
      <c r="J126" s="11" t="s">
        <v>776</v>
      </c>
      <c r="K126" s="11" t="s">
        <v>758</v>
      </c>
      <c r="L126" t="s">
        <v>944</v>
      </c>
    </row>
    <row r="127" spans="1:12" x14ac:dyDescent="0.25">
      <c r="A127" t="s">
        <v>474</v>
      </c>
      <c r="B127" t="s">
        <v>1011</v>
      </c>
      <c r="C127" t="s">
        <v>1011</v>
      </c>
      <c r="D127" t="s">
        <v>1011</v>
      </c>
      <c r="E127" t="s">
        <v>932</v>
      </c>
      <c r="F127" t="s">
        <v>946</v>
      </c>
      <c r="G127" t="s">
        <v>946</v>
      </c>
      <c r="H127" t="s">
        <v>946</v>
      </c>
      <c r="I127" s="11" t="s">
        <v>776</v>
      </c>
      <c r="J127" s="11" t="s">
        <v>776</v>
      </c>
      <c r="K127" s="11" t="s">
        <v>758</v>
      </c>
      <c r="L127" t="s">
        <v>946</v>
      </c>
    </row>
    <row r="128" spans="1:12" x14ac:dyDescent="0.25">
      <c r="A128" t="s">
        <v>474</v>
      </c>
      <c r="B128" t="s">
        <v>1012</v>
      </c>
      <c r="C128" t="s">
        <v>1012</v>
      </c>
      <c r="D128" t="s">
        <v>1012</v>
      </c>
      <c r="E128" t="s">
        <v>932</v>
      </c>
      <c r="F128" t="s">
        <v>947</v>
      </c>
      <c r="G128" t="s">
        <v>947</v>
      </c>
      <c r="H128" t="s">
        <v>947</v>
      </c>
      <c r="I128" t="s">
        <v>1093</v>
      </c>
      <c r="J128" s="6" t="s">
        <v>947</v>
      </c>
      <c r="K128" s="6" t="s">
        <v>947</v>
      </c>
      <c r="L128" s="6" t="s">
        <v>947</v>
      </c>
    </row>
    <row r="129" spans="1:12" x14ac:dyDescent="0.25">
      <c r="A129" t="s">
        <v>474</v>
      </c>
      <c r="B129" t="s">
        <v>1013</v>
      </c>
      <c r="C129" t="s">
        <v>1013</v>
      </c>
      <c r="D129" t="s">
        <v>1013</v>
      </c>
      <c r="E129" t="s">
        <v>932</v>
      </c>
      <c r="F129" t="s">
        <v>73</v>
      </c>
      <c r="G129" t="s">
        <v>73</v>
      </c>
      <c r="H129" t="s">
        <v>73</v>
      </c>
      <c r="I129" t="s">
        <v>1093</v>
      </c>
      <c r="J129" s="13" t="s">
        <v>888</v>
      </c>
      <c r="K129" s="11" t="s">
        <v>888</v>
      </c>
      <c r="L129" t="s">
        <v>782</v>
      </c>
    </row>
    <row r="130" spans="1:12" x14ac:dyDescent="0.25">
      <c r="A130" t="s">
        <v>474</v>
      </c>
      <c r="B130" t="s">
        <v>1014</v>
      </c>
      <c r="C130" t="s">
        <v>1014</v>
      </c>
      <c r="D130" t="s">
        <v>1014</v>
      </c>
      <c r="E130" t="s">
        <v>932</v>
      </c>
      <c r="F130" t="s">
        <v>948</v>
      </c>
      <c r="G130" t="s">
        <v>948</v>
      </c>
      <c r="H130" t="s">
        <v>948</v>
      </c>
      <c r="I130" s="11" t="s">
        <v>776</v>
      </c>
      <c r="J130" s="11" t="s">
        <v>776</v>
      </c>
      <c r="K130" s="11" t="s">
        <v>763</v>
      </c>
      <c r="L130" t="s">
        <v>948</v>
      </c>
    </row>
    <row r="131" spans="1:12" x14ac:dyDescent="0.25">
      <c r="A131" t="s">
        <v>474</v>
      </c>
      <c r="B131" t="s">
        <v>1015</v>
      </c>
      <c r="C131" t="s">
        <v>1015</v>
      </c>
      <c r="D131" t="s">
        <v>1015</v>
      </c>
      <c r="E131" t="s">
        <v>932</v>
      </c>
      <c r="F131" t="s">
        <v>112</v>
      </c>
      <c r="G131" t="s">
        <v>112</v>
      </c>
      <c r="H131" t="s">
        <v>112</v>
      </c>
      <c r="I131" s="11" t="s">
        <v>776</v>
      </c>
      <c r="J131" s="11" t="s">
        <v>776</v>
      </c>
      <c r="K131" s="11" t="s">
        <v>758</v>
      </c>
      <c r="L131" t="s">
        <v>112</v>
      </c>
    </row>
    <row r="132" spans="1:12" x14ac:dyDescent="0.25">
      <c r="A132" t="s">
        <v>474</v>
      </c>
      <c r="B132" t="s">
        <v>1016</v>
      </c>
      <c r="C132" t="s">
        <v>1016</v>
      </c>
      <c r="D132" t="s">
        <v>1016</v>
      </c>
      <c r="E132" t="s">
        <v>932</v>
      </c>
      <c r="F132" t="s">
        <v>949</v>
      </c>
      <c r="G132" t="s">
        <v>949</v>
      </c>
      <c r="H132" t="s">
        <v>949</v>
      </c>
      <c r="I132" t="s">
        <v>1093</v>
      </c>
      <c r="J132" s="11" t="s">
        <v>770</v>
      </c>
      <c r="K132" s="11" t="s">
        <v>1094</v>
      </c>
      <c r="L132" t="s">
        <v>949</v>
      </c>
    </row>
    <row r="133" spans="1:12" x14ac:dyDescent="0.25">
      <c r="A133" t="s">
        <v>474</v>
      </c>
      <c r="B133" t="s">
        <v>1017</v>
      </c>
      <c r="C133" t="s">
        <v>1017</v>
      </c>
      <c r="D133" t="s">
        <v>1017</v>
      </c>
      <c r="E133" t="s">
        <v>932</v>
      </c>
      <c r="F133" t="s">
        <v>950</v>
      </c>
      <c r="G133" t="s">
        <v>950</v>
      </c>
      <c r="H133" t="s">
        <v>950</v>
      </c>
      <c r="I133" t="s">
        <v>1093</v>
      </c>
      <c r="J133" s="11" t="s">
        <v>770</v>
      </c>
      <c r="K133" s="11" t="s">
        <v>775</v>
      </c>
      <c r="L133" t="s">
        <v>950</v>
      </c>
    </row>
    <row r="134" spans="1:12" x14ac:dyDescent="0.25">
      <c r="A134" t="s">
        <v>502</v>
      </c>
      <c r="B134" t="s">
        <v>1046</v>
      </c>
      <c r="C134" t="s">
        <v>1047</v>
      </c>
      <c r="D134" t="s">
        <v>1060</v>
      </c>
      <c r="E134" t="s">
        <v>933</v>
      </c>
      <c r="F134" t="s">
        <v>820</v>
      </c>
      <c r="G134" t="s">
        <v>821</v>
      </c>
      <c r="H134" t="s">
        <v>970</v>
      </c>
      <c r="I134" t="s">
        <v>1093</v>
      </c>
      <c r="J134" s="6" t="s">
        <v>820</v>
      </c>
      <c r="K134" t="s">
        <v>821</v>
      </c>
      <c r="L134" t="s">
        <v>970</v>
      </c>
    </row>
    <row r="135" spans="1:12" x14ac:dyDescent="0.25">
      <c r="A135" t="s">
        <v>502</v>
      </c>
      <c r="B135" t="s">
        <v>1087</v>
      </c>
      <c r="C135" t="s">
        <v>1088</v>
      </c>
      <c r="D135" t="s">
        <v>1088</v>
      </c>
      <c r="E135" t="s">
        <v>933</v>
      </c>
      <c r="F135" t="s">
        <v>968</v>
      </c>
      <c r="G135" t="s">
        <v>971</v>
      </c>
      <c r="H135" t="s">
        <v>971</v>
      </c>
      <c r="I135" t="s">
        <v>1093</v>
      </c>
      <c r="J135" s="6" t="s">
        <v>1095</v>
      </c>
      <c r="K135" s="6" t="s">
        <v>968</v>
      </c>
      <c r="L135" t="s">
        <v>971</v>
      </c>
    </row>
  </sheetData>
  <mergeCells count="1">
    <mergeCell ref="M1:N1"/>
  </mergeCells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D0AA-AE94-427D-8687-FCA3356469E2}">
  <dimension ref="A3:A23"/>
  <sheetViews>
    <sheetView showGridLines="0" zoomScale="160" zoomScaleNormal="160" workbookViewId="0">
      <selection activeCell="B8" sqref="B8"/>
    </sheetView>
  </sheetViews>
  <sheetFormatPr defaultRowHeight="15" x14ac:dyDescent="0.25"/>
  <cols>
    <col min="1" max="1" width="30.28515625" bestFit="1" customWidth="1"/>
    <col min="2" max="2" width="23.140625" bestFit="1" customWidth="1"/>
  </cols>
  <sheetData>
    <row r="3" spans="1:1" x14ac:dyDescent="0.25">
      <c r="A3" s="1" t="s">
        <v>777</v>
      </c>
    </row>
    <row r="4" spans="1:1" x14ac:dyDescent="0.25">
      <c r="A4" s="2" t="s">
        <v>776</v>
      </c>
    </row>
    <row r="5" spans="1:1" x14ac:dyDescent="0.25">
      <c r="A5" s="5" t="s">
        <v>776</v>
      </c>
    </row>
    <row r="6" spans="1:1" x14ac:dyDescent="0.25">
      <c r="A6" s="2" t="s">
        <v>1093</v>
      </c>
    </row>
    <row r="7" spans="1:1" x14ac:dyDescent="0.25">
      <c r="A7" s="5" t="s">
        <v>770</v>
      </c>
    </row>
    <row r="8" spans="1:1" x14ac:dyDescent="0.25">
      <c r="A8" s="5" t="s">
        <v>1095</v>
      </c>
    </row>
    <row r="9" spans="1:1" x14ac:dyDescent="0.25">
      <c r="A9" s="5" t="s">
        <v>783</v>
      </c>
    </row>
    <row r="10" spans="1:1" x14ac:dyDescent="0.25">
      <c r="A10" s="5" t="s">
        <v>786</v>
      </c>
    </row>
    <row r="11" spans="1:1" x14ac:dyDescent="0.25">
      <c r="A11" s="5" t="s">
        <v>64</v>
      </c>
    </row>
    <row r="12" spans="1:1" x14ac:dyDescent="0.25">
      <c r="A12" s="5" t="s">
        <v>791</v>
      </c>
    </row>
    <row r="13" spans="1:1" x14ac:dyDescent="0.25">
      <c r="A13" s="5" t="s">
        <v>800</v>
      </c>
    </row>
    <row r="14" spans="1:1" x14ac:dyDescent="0.25">
      <c r="A14" s="5" t="s">
        <v>820</v>
      </c>
    </row>
    <row r="15" spans="1:1" x14ac:dyDescent="0.25">
      <c r="A15" s="5" t="s">
        <v>113</v>
      </c>
    </row>
    <row r="16" spans="1:1" x14ac:dyDescent="0.25">
      <c r="A16" s="5" t="s">
        <v>888</v>
      </c>
    </row>
    <row r="17" spans="1:1" x14ac:dyDescent="0.25">
      <c r="A17" s="5" t="s">
        <v>402</v>
      </c>
    </row>
    <row r="18" spans="1:1" x14ac:dyDescent="0.25">
      <c r="A18" s="5" t="s">
        <v>835</v>
      </c>
    </row>
    <row r="19" spans="1:1" x14ac:dyDescent="0.25">
      <c r="A19" s="5" t="s">
        <v>889</v>
      </c>
    </row>
    <row r="20" spans="1:1" x14ac:dyDescent="0.25">
      <c r="A20" s="5" t="s">
        <v>843</v>
      </c>
    </row>
    <row r="21" spans="1:1" x14ac:dyDescent="0.25">
      <c r="A21" s="5" t="s">
        <v>936</v>
      </c>
    </row>
    <row r="22" spans="1:1" x14ac:dyDescent="0.25">
      <c r="A22" s="5" t="s">
        <v>937</v>
      </c>
    </row>
    <row r="23" spans="1:1" x14ac:dyDescent="0.25">
      <c r="A23" s="5" t="s">
        <v>947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5801-DC36-47BD-9828-E368CF261C3B}">
  <dimension ref="A1:AE295"/>
  <sheetViews>
    <sheetView topLeftCell="A253" zoomScale="85" zoomScaleNormal="85" workbookViewId="0">
      <selection activeCell="B267" sqref="B267"/>
    </sheetView>
  </sheetViews>
  <sheetFormatPr defaultRowHeight="15" x14ac:dyDescent="0.25"/>
  <cols>
    <col min="1" max="1" width="21.140625" customWidth="1"/>
    <col min="2" max="2" width="51.5703125" customWidth="1"/>
    <col min="3" max="3" width="10.28515625" customWidth="1"/>
    <col min="4" max="4" width="15.7109375" customWidth="1"/>
    <col min="5" max="5" width="29.42578125" customWidth="1"/>
    <col min="6" max="6" width="22.7109375" customWidth="1"/>
    <col min="7" max="7" width="51.5703125" customWidth="1"/>
    <col min="8" max="8" width="25.28515625" customWidth="1"/>
    <col min="9" max="9" width="51.5703125" customWidth="1"/>
    <col min="10" max="10" width="25.28515625" customWidth="1"/>
    <col min="11" max="11" width="51.5703125" customWidth="1"/>
    <col min="12" max="12" width="25.28515625" customWidth="1"/>
    <col min="13" max="13" width="51.5703125" customWidth="1"/>
    <col min="14" max="14" width="37.7109375" customWidth="1"/>
    <col min="15" max="15" width="51.5703125" customWidth="1"/>
    <col min="16" max="16" width="26.85546875" customWidth="1"/>
    <col min="17" max="17" width="51.5703125" customWidth="1"/>
    <col min="18" max="18" width="25.28515625" customWidth="1"/>
    <col min="19" max="19" width="141" customWidth="1"/>
    <col min="20" max="20" width="35" customWidth="1"/>
    <col min="21" max="21" width="51.5703125" customWidth="1"/>
    <col min="22" max="22" width="24" customWidth="1"/>
    <col min="23" max="23" width="141" customWidth="1"/>
    <col min="24" max="24" width="28.140625" customWidth="1"/>
    <col min="25" max="25" width="141" customWidth="1"/>
    <col min="26" max="26" width="58.28515625" customWidth="1"/>
    <col min="27" max="27" width="83" customWidth="1"/>
    <col min="28" max="28" width="94.140625" customWidth="1"/>
    <col min="29" max="29" width="52.85546875" customWidth="1"/>
    <col min="30" max="30" width="32.28515625" customWidth="1"/>
    <col min="31" max="31" width="3.42578125" customWidth="1"/>
    <col min="257" max="257" width="21.140625" customWidth="1"/>
    <col min="258" max="258" width="51.5703125" customWidth="1"/>
    <col min="259" max="259" width="10.28515625" customWidth="1"/>
    <col min="260" max="260" width="15.7109375" customWidth="1"/>
    <col min="261" max="261" width="29.42578125" customWidth="1"/>
    <col min="262" max="262" width="22.7109375" customWidth="1"/>
    <col min="263" max="263" width="51.5703125" customWidth="1"/>
    <col min="264" max="264" width="25.28515625" customWidth="1"/>
    <col min="265" max="265" width="51.5703125" customWidth="1"/>
    <col min="266" max="266" width="25.28515625" customWidth="1"/>
    <col min="267" max="267" width="51.5703125" customWidth="1"/>
    <col min="268" max="268" width="25.28515625" customWidth="1"/>
    <col min="269" max="269" width="51.5703125" customWidth="1"/>
    <col min="270" max="270" width="37.7109375" customWidth="1"/>
    <col min="271" max="271" width="51.5703125" customWidth="1"/>
    <col min="272" max="272" width="26.85546875" customWidth="1"/>
    <col min="273" max="273" width="51.5703125" customWidth="1"/>
    <col min="274" max="274" width="25.28515625" customWidth="1"/>
    <col min="275" max="275" width="141" customWidth="1"/>
    <col min="276" max="276" width="35" customWidth="1"/>
    <col min="277" max="277" width="51.5703125" customWidth="1"/>
    <col min="278" max="278" width="24" customWidth="1"/>
    <col min="279" max="279" width="141" customWidth="1"/>
    <col min="280" max="280" width="28.140625" customWidth="1"/>
    <col min="281" max="281" width="141" customWidth="1"/>
    <col min="282" max="282" width="58.28515625" customWidth="1"/>
    <col min="283" max="283" width="83" customWidth="1"/>
    <col min="284" max="284" width="94.140625" customWidth="1"/>
    <col min="285" max="285" width="52.85546875" customWidth="1"/>
    <col min="286" max="286" width="32.28515625" customWidth="1"/>
    <col min="287" max="287" width="3.42578125" customWidth="1"/>
    <col min="513" max="513" width="21.140625" customWidth="1"/>
    <col min="514" max="514" width="51.5703125" customWidth="1"/>
    <col min="515" max="515" width="10.28515625" customWidth="1"/>
    <col min="516" max="516" width="15.7109375" customWidth="1"/>
    <col min="517" max="517" width="29.42578125" customWidth="1"/>
    <col min="518" max="518" width="22.7109375" customWidth="1"/>
    <col min="519" max="519" width="51.5703125" customWidth="1"/>
    <col min="520" max="520" width="25.28515625" customWidth="1"/>
    <col min="521" max="521" width="51.5703125" customWidth="1"/>
    <col min="522" max="522" width="25.28515625" customWidth="1"/>
    <col min="523" max="523" width="51.5703125" customWidth="1"/>
    <col min="524" max="524" width="25.28515625" customWidth="1"/>
    <col min="525" max="525" width="51.5703125" customWidth="1"/>
    <col min="526" max="526" width="37.7109375" customWidth="1"/>
    <col min="527" max="527" width="51.5703125" customWidth="1"/>
    <col min="528" max="528" width="26.85546875" customWidth="1"/>
    <col min="529" max="529" width="51.5703125" customWidth="1"/>
    <col min="530" max="530" width="25.28515625" customWidth="1"/>
    <col min="531" max="531" width="141" customWidth="1"/>
    <col min="532" max="532" width="35" customWidth="1"/>
    <col min="533" max="533" width="51.5703125" customWidth="1"/>
    <col min="534" max="534" width="24" customWidth="1"/>
    <col min="535" max="535" width="141" customWidth="1"/>
    <col min="536" max="536" width="28.140625" customWidth="1"/>
    <col min="537" max="537" width="141" customWidth="1"/>
    <col min="538" max="538" width="58.28515625" customWidth="1"/>
    <col min="539" max="539" width="83" customWidth="1"/>
    <col min="540" max="540" width="94.140625" customWidth="1"/>
    <col min="541" max="541" width="52.85546875" customWidth="1"/>
    <col min="542" max="542" width="32.28515625" customWidth="1"/>
    <col min="543" max="543" width="3.42578125" customWidth="1"/>
    <col min="769" max="769" width="21.140625" customWidth="1"/>
    <col min="770" max="770" width="51.5703125" customWidth="1"/>
    <col min="771" max="771" width="10.28515625" customWidth="1"/>
    <col min="772" max="772" width="15.7109375" customWidth="1"/>
    <col min="773" max="773" width="29.42578125" customWidth="1"/>
    <col min="774" max="774" width="22.7109375" customWidth="1"/>
    <col min="775" max="775" width="51.5703125" customWidth="1"/>
    <col min="776" max="776" width="25.28515625" customWidth="1"/>
    <col min="777" max="777" width="51.5703125" customWidth="1"/>
    <col min="778" max="778" width="25.28515625" customWidth="1"/>
    <col min="779" max="779" width="51.5703125" customWidth="1"/>
    <col min="780" max="780" width="25.28515625" customWidth="1"/>
    <col min="781" max="781" width="51.5703125" customWidth="1"/>
    <col min="782" max="782" width="37.7109375" customWidth="1"/>
    <col min="783" max="783" width="51.5703125" customWidth="1"/>
    <col min="784" max="784" width="26.85546875" customWidth="1"/>
    <col min="785" max="785" width="51.5703125" customWidth="1"/>
    <col min="786" max="786" width="25.28515625" customWidth="1"/>
    <col min="787" max="787" width="141" customWidth="1"/>
    <col min="788" max="788" width="35" customWidth="1"/>
    <col min="789" max="789" width="51.5703125" customWidth="1"/>
    <col min="790" max="790" width="24" customWidth="1"/>
    <col min="791" max="791" width="141" customWidth="1"/>
    <col min="792" max="792" width="28.140625" customWidth="1"/>
    <col min="793" max="793" width="141" customWidth="1"/>
    <col min="794" max="794" width="58.28515625" customWidth="1"/>
    <col min="795" max="795" width="83" customWidth="1"/>
    <col min="796" max="796" width="94.140625" customWidth="1"/>
    <col min="797" max="797" width="52.85546875" customWidth="1"/>
    <col min="798" max="798" width="32.28515625" customWidth="1"/>
    <col min="799" max="799" width="3.42578125" customWidth="1"/>
    <col min="1025" max="1025" width="21.140625" customWidth="1"/>
    <col min="1026" max="1026" width="51.5703125" customWidth="1"/>
    <col min="1027" max="1027" width="10.28515625" customWidth="1"/>
    <col min="1028" max="1028" width="15.7109375" customWidth="1"/>
    <col min="1029" max="1029" width="29.42578125" customWidth="1"/>
    <col min="1030" max="1030" width="22.7109375" customWidth="1"/>
    <col min="1031" max="1031" width="51.5703125" customWidth="1"/>
    <col min="1032" max="1032" width="25.28515625" customWidth="1"/>
    <col min="1033" max="1033" width="51.5703125" customWidth="1"/>
    <col min="1034" max="1034" width="25.28515625" customWidth="1"/>
    <col min="1035" max="1035" width="51.5703125" customWidth="1"/>
    <col min="1036" max="1036" width="25.28515625" customWidth="1"/>
    <col min="1037" max="1037" width="51.5703125" customWidth="1"/>
    <col min="1038" max="1038" width="37.7109375" customWidth="1"/>
    <col min="1039" max="1039" width="51.5703125" customWidth="1"/>
    <col min="1040" max="1040" width="26.85546875" customWidth="1"/>
    <col min="1041" max="1041" width="51.5703125" customWidth="1"/>
    <col min="1042" max="1042" width="25.28515625" customWidth="1"/>
    <col min="1043" max="1043" width="141" customWidth="1"/>
    <col min="1044" max="1044" width="35" customWidth="1"/>
    <col min="1045" max="1045" width="51.5703125" customWidth="1"/>
    <col min="1046" max="1046" width="24" customWidth="1"/>
    <col min="1047" max="1047" width="141" customWidth="1"/>
    <col min="1048" max="1048" width="28.140625" customWidth="1"/>
    <col min="1049" max="1049" width="141" customWidth="1"/>
    <col min="1050" max="1050" width="58.28515625" customWidth="1"/>
    <col min="1051" max="1051" width="83" customWidth="1"/>
    <col min="1052" max="1052" width="94.140625" customWidth="1"/>
    <col min="1053" max="1053" width="52.85546875" customWidth="1"/>
    <col min="1054" max="1054" width="32.28515625" customWidth="1"/>
    <col min="1055" max="1055" width="3.42578125" customWidth="1"/>
    <col min="1281" max="1281" width="21.140625" customWidth="1"/>
    <col min="1282" max="1282" width="51.5703125" customWidth="1"/>
    <col min="1283" max="1283" width="10.28515625" customWidth="1"/>
    <col min="1284" max="1284" width="15.7109375" customWidth="1"/>
    <col min="1285" max="1285" width="29.42578125" customWidth="1"/>
    <col min="1286" max="1286" width="22.7109375" customWidth="1"/>
    <col min="1287" max="1287" width="51.5703125" customWidth="1"/>
    <col min="1288" max="1288" width="25.28515625" customWidth="1"/>
    <col min="1289" max="1289" width="51.5703125" customWidth="1"/>
    <col min="1290" max="1290" width="25.28515625" customWidth="1"/>
    <col min="1291" max="1291" width="51.5703125" customWidth="1"/>
    <col min="1292" max="1292" width="25.28515625" customWidth="1"/>
    <col min="1293" max="1293" width="51.5703125" customWidth="1"/>
    <col min="1294" max="1294" width="37.7109375" customWidth="1"/>
    <col min="1295" max="1295" width="51.5703125" customWidth="1"/>
    <col min="1296" max="1296" width="26.85546875" customWidth="1"/>
    <col min="1297" max="1297" width="51.5703125" customWidth="1"/>
    <col min="1298" max="1298" width="25.28515625" customWidth="1"/>
    <col min="1299" max="1299" width="141" customWidth="1"/>
    <col min="1300" max="1300" width="35" customWidth="1"/>
    <col min="1301" max="1301" width="51.5703125" customWidth="1"/>
    <col min="1302" max="1302" width="24" customWidth="1"/>
    <col min="1303" max="1303" width="141" customWidth="1"/>
    <col min="1304" max="1304" width="28.140625" customWidth="1"/>
    <col min="1305" max="1305" width="141" customWidth="1"/>
    <col min="1306" max="1306" width="58.28515625" customWidth="1"/>
    <col min="1307" max="1307" width="83" customWidth="1"/>
    <col min="1308" max="1308" width="94.140625" customWidth="1"/>
    <col min="1309" max="1309" width="52.85546875" customWidth="1"/>
    <col min="1310" max="1310" width="32.28515625" customWidth="1"/>
    <col min="1311" max="1311" width="3.42578125" customWidth="1"/>
    <col min="1537" max="1537" width="21.140625" customWidth="1"/>
    <col min="1538" max="1538" width="51.5703125" customWidth="1"/>
    <col min="1539" max="1539" width="10.28515625" customWidth="1"/>
    <col min="1540" max="1540" width="15.7109375" customWidth="1"/>
    <col min="1541" max="1541" width="29.42578125" customWidth="1"/>
    <col min="1542" max="1542" width="22.7109375" customWidth="1"/>
    <col min="1543" max="1543" width="51.5703125" customWidth="1"/>
    <col min="1544" max="1544" width="25.28515625" customWidth="1"/>
    <col min="1545" max="1545" width="51.5703125" customWidth="1"/>
    <col min="1546" max="1546" width="25.28515625" customWidth="1"/>
    <col min="1547" max="1547" width="51.5703125" customWidth="1"/>
    <col min="1548" max="1548" width="25.28515625" customWidth="1"/>
    <col min="1549" max="1549" width="51.5703125" customWidth="1"/>
    <col min="1550" max="1550" width="37.7109375" customWidth="1"/>
    <col min="1551" max="1551" width="51.5703125" customWidth="1"/>
    <col min="1552" max="1552" width="26.85546875" customWidth="1"/>
    <col min="1553" max="1553" width="51.5703125" customWidth="1"/>
    <col min="1554" max="1554" width="25.28515625" customWidth="1"/>
    <col min="1555" max="1555" width="141" customWidth="1"/>
    <col min="1556" max="1556" width="35" customWidth="1"/>
    <col min="1557" max="1557" width="51.5703125" customWidth="1"/>
    <col min="1558" max="1558" width="24" customWidth="1"/>
    <col min="1559" max="1559" width="141" customWidth="1"/>
    <col min="1560" max="1560" width="28.140625" customWidth="1"/>
    <col min="1561" max="1561" width="141" customWidth="1"/>
    <col min="1562" max="1562" width="58.28515625" customWidth="1"/>
    <col min="1563" max="1563" width="83" customWidth="1"/>
    <col min="1564" max="1564" width="94.140625" customWidth="1"/>
    <col min="1565" max="1565" width="52.85546875" customWidth="1"/>
    <col min="1566" max="1566" width="32.28515625" customWidth="1"/>
    <col min="1567" max="1567" width="3.42578125" customWidth="1"/>
    <col min="1793" max="1793" width="21.140625" customWidth="1"/>
    <col min="1794" max="1794" width="51.5703125" customWidth="1"/>
    <col min="1795" max="1795" width="10.28515625" customWidth="1"/>
    <col min="1796" max="1796" width="15.7109375" customWidth="1"/>
    <col min="1797" max="1797" width="29.42578125" customWidth="1"/>
    <col min="1798" max="1798" width="22.7109375" customWidth="1"/>
    <col min="1799" max="1799" width="51.5703125" customWidth="1"/>
    <col min="1800" max="1800" width="25.28515625" customWidth="1"/>
    <col min="1801" max="1801" width="51.5703125" customWidth="1"/>
    <col min="1802" max="1802" width="25.28515625" customWidth="1"/>
    <col min="1803" max="1803" width="51.5703125" customWidth="1"/>
    <col min="1804" max="1804" width="25.28515625" customWidth="1"/>
    <col min="1805" max="1805" width="51.5703125" customWidth="1"/>
    <col min="1806" max="1806" width="37.7109375" customWidth="1"/>
    <col min="1807" max="1807" width="51.5703125" customWidth="1"/>
    <col min="1808" max="1808" width="26.85546875" customWidth="1"/>
    <col min="1809" max="1809" width="51.5703125" customWidth="1"/>
    <col min="1810" max="1810" width="25.28515625" customWidth="1"/>
    <col min="1811" max="1811" width="141" customWidth="1"/>
    <col min="1812" max="1812" width="35" customWidth="1"/>
    <col min="1813" max="1813" width="51.5703125" customWidth="1"/>
    <col min="1814" max="1814" width="24" customWidth="1"/>
    <col min="1815" max="1815" width="141" customWidth="1"/>
    <col min="1816" max="1816" width="28.140625" customWidth="1"/>
    <col min="1817" max="1817" width="141" customWidth="1"/>
    <col min="1818" max="1818" width="58.28515625" customWidth="1"/>
    <col min="1819" max="1819" width="83" customWidth="1"/>
    <col min="1820" max="1820" width="94.140625" customWidth="1"/>
    <col min="1821" max="1821" width="52.85546875" customWidth="1"/>
    <col min="1822" max="1822" width="32.28515625" customWidth="1"/>
    <col min="1823" max="1823" width="3.42578125" customWidth="1"/>
    <col min="2049" max="2049" width="21.140625" customWidth="1"/>
    <col min="2050" max="2050" width="51.5703125" customWidth="1"/>
    <col min="2051" max="2051" width="10.28515625" customWidth="1"/>
    <col min="2052" max="2052" width="15.7109375" customWidth="1"/>
    <col min="2053" max="2053" width="29.42578125" customWidth="1"/>
    <col min="2054" max="2054" width="22.7109375" customWidth="1"/>
    <col min="2055" max="2055" width="51.5703125" customWidth="1"/>
    <col min="2056" max="2056" width="25.28515625" customWidth="1"/>
    <col min="2057" max="2057" width="51.5703125" customWidth="1"/>
    <col min="2058" max="2058" width="25.28515625" customWidth="1"/>
    <col min="2059" max="2059" width="51.5703125" customWidth="1"/>
    <col min="2060" max="2060" width="25.28515625" customWidth="1"/>
    <col min="2061" max="2061" width="51.5703125" customWidth="1"/>
    <col min="2062" max="2062" width="37.7109375" customWidth="1"/>
    <col min="2063" max="2063" width="51.5703125" customWidth="1"/>
    <col min="2064" max="2064" width="26.85546875" customWidth="1"/>
    <col min="2065" max="2065" width="51.5703125" customWidth="1"/>
    <col min="2066" max="2066" width="25.28515625" customWidth="1"/>
    <col min="2067" max="2067" width="141" customWidth="1"/>
    <col min="2068" max="2068" width="35" customWidth="1"/>
    <col min="2069" max="2069" width="51.5703125" customWidth="1"/>
    <col min="2070" max="2070" width="24" customWidth="1"/>
    <col min="2071" max="2071" width="141" customWidth="1"/>
    <col min="2072" max="2072" width="28.140625" customWidth="1"/>
    <col min="2073" max="2073" width="141" customWidth="1"/>
    <col min="2074" max="2074" width="58.28515625" customWidth="1"/>
    <col min="2075" max="2075" width="83" customWidth="1"/>
    <col min="2076" max="2076" width="94.140625" customWidth="1"/>
    <col min="2077" max="2077" width="52.85546875" customWidth="1"/>
    <col min="2078" max="2078" width="32.28515625" customWidth="1"/>
    <col min="2079" max="2079" width="3.42578125" customWidth="1"/>
    <col min="2305" max="2305" width="21.140625" customWidth="1"/>
    <col min="2306" max="2306" width="51.5703125" customWidth="1"/>
    <col min="2307" max="2307" width="10.28515625" customWidth="1"/>
    <col min="2308" max="2308" width="15.7109375" customWidth="1"/>
    <col min="2309" max="2309" width="29.42578125" customWidth="1"/>
    <col min="2310" max="2310" width="22.7109375" customWidth="1"/>
    <col min="2311" max="2311" width="51.5703125" customWidth="1"/>
    <col min="2312" max="2312" width="25.28515625" customWidth="1"/>
    <col min="2313" max="2313" width="51.5703125" customWidth="1"/>
    <col min="2314" max="2314" width="25.28515625" customWidth="1"/>
    <col min="2315" max="2315" width="51.5703125" customWidth="1"/>
    <col min="2316" max="2316" width="25.28515625" customWidth="1"/>
    <col min="2317" max="2317" width="51.5703125" customWidth="1"/>
    <col min="2318" max="2318" width="37.7109375" customWidth="1"/>
    <col min="2319" max="2319" width="51.5703125" customWidth="1"/>
    <col min="2320" max="2320" width="26.85546875" customWidth="1"/>
    <col min="2321" max="2321" width="51.5703125" customWidth="1"/>
    <col min="2322" max="2322" width="25.28515625" customWidth="1"/>
    <col min="2323" max="2323" width="141" customWidth="1"/>
    <col min="2324" max="2324" width="35" customWidth="1"/>
    <col min="2325" max="2325" width="51.5703125" customWidth="1"/>
    <col min="2326" max="2326" width="24" customWidth="1"/>
    <col min="2327" max="2327" width="141" customWidth="1"/>
    <col min="2328" max="2328" width="28.140625" customWidth="1"/>
    <col min="2329" max="2329" width="141" customWidth="1"/>
    <col min="2330" max="2330" width="58.28515625" customWidth="1"/>
    <col min="2331" max="2331" width="83" customWidth="1"/>
    <col min="2332" max="2332" width="94.140625" customWidth="1"/>
    <col min="2333" max="2333" width="52.85546875" customWidth="1"/>
    <col min="2334" max="2334" width="32.28515625" customWidth="1"/>
    <col min="2335" max="2335" width="3.42578125" customWidth="1"/>
    <col min="2561" max="2561" width="21.140625" customWidth="1"/>
    <col min="2562" max="2562" width="51.5703125" customWidth="1"/>
    <col min="2563" max="2563" width="10.28515625" customWidth="1"/>
    <col min="2564" max="2564" width="15.7109375" customWidth="1"/>
    <col min="2565" max="2565" width="29.42578125" customWidth="1"/>
    <col min="2566" max="2566" width="22.7109375" customWidth="1"/>
    <col min="2567" max="2567" width="51.5703125" customWidth="1"/>
    <col min="2568" max="2568" width="25.28515625" customWidth="1"/>
    <col min="2569" max="2569" width="51.5703125" customWidth="1"/>
    <col min="2570" max="2570" width="25.28515625" customWidth="1"/>
    <col min="2571" max="2571" width="51.5703125" customWidth="1"/>
    <col min="2572" max="2572" width="25.28515625" customWidth="1"/>
    <col min="2573" max="2573" width="51.5703125" customWidth="1"/>
    <col min="2574" max="2574" width="37.7109375" customWidth="1"/>
    <col min="2575" max="2575" width="51.5703125" customWidth="1"/>
    <col min="2576" max="2576" width="26.85546875" customWidth="1"/>
    <col min="2577" max="2577" width="51.5703125" customWidth="1"/>
    <col min="2578" max="2578" width="25.28515625" customWidth="1"/>
    <col min="2579" max="2579" width="141" customWidth="1"/>
    <col min="2580" max="2580" width="35" customWidth="1"/>
    <col min="2581" max="2581" width="51.5703125" customWidth="1"/>
    <col min="2582" max="2582" width="24" customWidth="1"/>
    <col min="2583" max="2583" width="141" customWidth="1"/>
    <col min="2584" max="2584" width="28.140625" customWidth="1"/>
    <col min="2585" max="2585" width="141" customWidth="1"/>
    <col min="2586" max="2586" width="58.28515625" customWidth="1"/>
    <col min="2587" max="2587" width="83" customWidth="1"/>
    <col min="2588" max="2588" width="94.140625" customWidth="1"/>
    <col min="2589" max="2589" width="52.85546875" customWidth="1"/>
    <col min="2590" max="2590" width="32.28515625" customWidth="1"/>
    <col min="2591" max="2591" width="3.42578125" customWidth="1"/>
    <col min="2817" max="2817" width="21.140625" customWidth="1"/>
    <col min="2818" max="2818" width="51.5703125" customWidth="1"/>
    <col min="2819" max="2819" width="10.28515625" customWidth="1"/>
    <col min="2820" max="2820" width="15.7109375" customWidth="1"/>
    <col min="2821" max="2821" width="29.42578125" customWidth="1"/>
    <col min="2822" max="2822" width="22.7109375" customWidth="1"/>
    <col min="2823" max="2823" width="51.5703125" customWidth="1"/>
    <col min="2824" max="2824" width="25.28515625" customWidth="1"/>
    <col min="2825" max="2825" width="51.5703125" customWidth="1"/>
    <col min="2826" max="2826" width="25.28515625" customWidth="1"/>
    <col min="2827" max="2827" width="51.5703125" customWidth="1"/>
    <col min="2828" max="2828" width="25.28515625" customWidth="1"/>
    <col min="2829" max="2829" width="51.5703125" customWidth="1"/>
    <col min="2830" max="2830" width="37.7109375" customWidth="1"/>
    <col min="2831" max="2831" width="51.5703125" customWidth="1"/>
    <col min="2832" max="2832" width="26.85546875" customWidth="1"/>
    <col min="2833" max="2833" width="51.5703125" customWidth="1"/>
    <col min="2834" max="2834" width="25.28515625" customWidth="1"/>
    <col min="2835" max="2835" width="141" customWidth="1"/>
    <col min="2836" max="2836" width="35" customWidth="1"/>
    <col min="2837" max="2837" width="51.5703125" customWidth="1"/>
    <col min="2838" max="2838" width="24" customWidth="1"/>
    <col min="2839" max="2839" width="141" customWidth="1"/>
    <col min="2840" max="2840" width="28.140625" customWidth="1"/>
    <col min="2841" max="2841" width="141" customWidth="1"/>
    <col min="2842" max="2842" width="58.28515625" customWidth="1"/>
    <col min="2843" max="2843" width="83" customWidth="1"/>
    <col min="2844" max="2844" width="94.140625" customWidth="1"/>
    <col min="2845" max="2845" width="52.85546875" customWidth="1"/>
    <col min="2846" max="2846" width="32.28515625" customWidth="1"/>
    <col min="2847" max="2847" width="3.42578125" customWidth="1"/>
    <col min="3073" max="3073" width="21.140625" customWidth="1"/>
    <col min="3074" max="3074" width="51.5703125" customWidth="1"/>
    <col min="3075" max="3075" width="10.28515625" customWidth="1"/>
    <col min="3076" max="3076" width="15.7109375" customWidth="1"/>
    <col min="3077" max="3077" width="29.42578125" customWidth="1"/>
    <col min="3078" max="3078" width="22.7109375" customWidth="1"/>
    <col min="3079" max="3079" width="51.5703125" customWidth="1"/>
    <col min="3080" max="3080" width="25.28515625" customWidth="1"/>
    <col min="3081" max="3081" width="51.5703125" customWidth="1"/>
    <col min="3082" max="3082" width="25.28515625" customWidth="1"/>
    <col min="3083" max="3083" width="51.5703125" customWidth="1"/>
    <col min="3084" max="3084" width="25.28515625" customWidth="1"/>
    <col min="3085" max="3085" width="51.5703125" customWidth="1"/>
    <col min="3086" max="3086" width="37.7109375" customWidth="1"/>
    <col min="3087" max="3087" width="51.5703125" customWidth="1"/>
    <col min="3088" max="3088" width="26.85546875" customWidth="1"/>
    <col min="3089" max="3089" width="51.5703125" customWidth="1"/>
    <col min="3090" max="3090" width="25.28515625" customWidth="1"/>
    <col min="3091" max="3091" width="141" customWidth="1"/>
    <col min="3092" max="3092" width="35" customWidth="1"/>
    <col min="3093" max="3093" width="51.5703125" customWidth="1"/>
    <col min="3094" max="3094" width="24" customWidth="1"/>
    <col min="3095" max="3095" width="141" customWidth="1"/>
    <col min="3096" max="3096" width="28.140625" customWidth="1"/>
    <col min="3097" max="3097" width="141" customWidth="1"/>
    <col min="3098" max="3098" width="58.28515625" customWidth="1"/>
    <col min="3099" max="3099" width="83" customWidth="1"/>
    <col min="3100" max="3100" width="94.140625" customWidth="1"/>
    <col min="3101" max="3101" width="52.85546875" customWidth="1"/>
    <col min="3102" max="3102" width="32.28515625" customWidth="1"/>
    <col min="3103" max="3103" width="3.42578125" customWidth="1"/>
    <col min="3329" max="3329" width="21.140625" customWidth="1"/>
    <col min="3330" max="3330" width="51.5703125" customWidth="1"/>
    <col min="3331" max="3331" width="10.28515625" customWidth="1"/>
    <col min="3332" max="3332" width="15.7109375" customWidth="1"/>
    <col min="3333" max="3333" width="29.42578125" customWidth="1"/>
    <col min="3334" max="3334" width="22.7109375" customWidth="1"/>
    <col min="3335" max="3335" width="51.5703125" customWidth="1"/>
    <col min="3336" max="3336" width="25.28515625" customWidth="1"/>
    <col min="3337" max="3337" width="51.5703125" customWidth="1"/>
    <col min="3338" max="3338" width="25.28515625" customWidth="1"/>
    <col min="3339" max="3339" width="51.5703125" customWidth="1"/>
    <col min="3340" max="3340" width="25.28515625" customWidth="1"/>
    <col min="3341" max="3341" width="51.5703125" customWidth="1"/>
    <col min="3342" max="3342" width="37.7109375" customWidth="1"/>
    <col min="3343" max="3343" width="51.5703125" customWidth="1"/>
    <col min="3344" max="3344" width="26.85546875" customWidth="1"/>
    <col min="3345" max="3345" width="51.5703125" customWidth="1"/>
    <col min="3346" max="3346" width="25.28515625" customWidth="1"/>
    <col min="3347" max="3347" width="141" customWidth="1"/>
    <col min="3348" max="3348" width="35" customWidth="1"/>
    <col min="3349" max="3349" width="51.5703125" customWidth="1"/>
    <col min="3350" max="3350" width="24" customWidth="1"/>
    <col min="3351" max="3351" width="141" customWidth="1"/>
    <col min="3352" max="3352" width="28.140625" customWidth="1"/>
    <col min="3353" max="3353" width="141" customWidth="1"/>
    <col min="3354" max="3354" width="58.28515625" customWidth="1"/>
    <col min="3355" max="3355" width="83" customWidth="1"/>
    <col min="3356" max="3356" width="94.140625" customWidth="1"/>
    <col min="3357" max="3357" width="52.85546875" customWidth="1"/>
    <col min="3358" max="3358" width="32.28515625" customWidth="1"/>
    <col min="3359" max="3359" width="3.42578125" customWidth="1"/>
    <col min="3585" max="3585" width="21.140625" customWidth="1"/>
    <col min="3586" max="3586" width="51.5703125" customWidth="1"/>
    <col min="3587" max="3587" width="10.28515625" customWidth="1"/>
    <col min="3588" max="3588" width="15.7109375" customWidth="1"/>
    <col min="3589" max="3589" width="29.42578125" customWidth="1"/>
    <col min="3590" max="3590" width="22.7109375" customWidth="1"/>
    <col min="3591" max="3591" width="51.5703125" customWidth="1"/>
    <col min="3592" max="3592" width="25.28515625" customWidth="1"/>
    <col min="3593" max="3593" width="51.5703125" customWidth="1"/>
    <col min="3594" max="3594" width="25.28515625" customWidth="1"/>
    <col min="3595" max="3595" width="51.5703125" customWidth="1"/>
    <col min="3596" max="3596" width="25.28515625" customWidth="1"/>
    <col min="3597" max="3597" width="51.5703125" customWidth="1"/>
    <col min="3598" max="3598" width="37.7109375" customWidth="1"/>
    <col min="3599" max="3599" width="51.5703125" customWidth="1"/>
    <col min="3600" max="3600" width="26.85546875" customWidth="1"/>
    <col min="3601" max="3601" width="51.5703125" customWidth="1"/>
    <col min="3602" max="3602" width="25.28515625" customWidth="1"/>
    <col min="3603" max="3603" width="141" customWidth="1"/>
    <col min="3604" max="3604" width="35" customWidth="1"/>
    <col min="3605" max="3605" width="51.5703125" customWidth="1"/>
    <col min="3606" max="3606" width="24" customWidth="1"/>
    <col min="3607" max="3607" width="141" customWidth="1"/>
    <col min="3608" max="3608" width="28.140625" customWidth="1"/>
    <col min="3609" max="3609" width="141" customWidth="1"/>
    <col min="3610" max="3610" width="58.28515625" customWidth="1"/>
    <col min="3611" max="3611" width="83" customWidth="1"/>
    <col min="3612" max="3612" width="94.140625" customWidth="1"/>
    <col min="3613" max="3613" width="52.85546875" customWidth="1"/>
    <col min="3614" max="3614" width="32.28515625" customWidth="1"/>
    <col min="3615" max="3615" width="3.42578125" customWidth="1"/>
    <col min="3841" max="3841" width="21.140625" customWidth="1"/>
    <col min="3842" max="3842" width="51.5703125" customWidth="1"/>
    <col min="3843" max="3843" width="10.28515625" customWidth="1"/>
    <col min="3844" max="3844" width="15.7109375" customWidth="1"/>
    <col min="3845" max="3845" width="29.42578125" customWidth="1"/>
    <col min="3846" max="3846" width="22.7109375" customWidth="1"/>
    <col min="3847" max="3847" width="51.5703125" customWidth="1"/>
    <col min="3848" max="3848" width="25.28515625" customWidth="1"/>
    <col min="3849" max="3849" width="51.5703125" customWidth="1"/>
    <col min="3850" max="3850" width="25.28515625" customWidth="1"/>
    <col min="3851" max="3851" width="51.5703125" customWidth="1"/>
    <col min="3852" max="3852" width="25.28515625" customWidth="1"/>
    <col min="3853" max="3853" width="51.5703125" customWidth="1"/>
    <col min="3854" max="3854" width="37.7109375" customWidth="1"/>
    <col min="3855" max="3855" width="51.5703125" customWidth="1"/>
    <col min="3856" max="3856" width="26.85546875" customWidth="1"/>
    <col min="3857" max="3857" width="51.5703125" customWidth="1"/>
    <col min="3858" max="3858" width="25.28515625" customWidth="1"/>
    <col min="3859" max="3859" width="141" customWidth="1"/>
    <col min="3860" max="3860" width="35" customWidth="1"/>
    <col min="3861" max="3861" width="51.5703125" customWidth="1"/>
    <col min="3862" max="3862" width="24" customWidth="1"/>
    <col min="3863" max="3863" width="141" customWidth="1"/>
    <col min="3864" max="3864" width="28.140625" customWidth="1"/>
    <col min="3865" max="3865" width="141" customWidth="1"/>
    <col min="3866" max="3866" width="58.28515625" customWidth="1"/>
    <col min="3867" max="3867" width="83" customWidth="1"/>
    <col min="3868" max="3868" width="94.140625" customWidth="1"/>
    <col min="3869" max="3869" width="52.85546875" customWidth="1"/>
    <col min="3870" max="3870" width="32.28515625" customWidth="1"/>
    <col min="3871" max="3871" width="3.42578125" customWidth="1"/>
    <col min="4097" max="4097" width="21.140625" customWidth="1"/>
    <col min="4098" max="4098" width="51.5703125" customWidth="1"/>
    <col min="4099" max="4099" width="10.28515625" customWidth="1"/>
    <col min="4100" max="4100" width="15.7109375" customWidth="1"/>
    <col min="4101" max="4101" width="29.42578125" customWidth="1"/>
    <col min="4102" max="4102" width="22.7109375" customWidth="1"/>
    <col min="4103" max="4103" width="51.5703125" customWidth="1"/>
    <col min="4104" max="4104" width="25.28515625" customWidth="1"/>
    <col min="4105" max="4105" width="51.5703125" customWidth="1"/>
    <col min="4106" max="4106" width="25.28515625" customWidth="1"/>
    <col min="4107" max="4107" width="51.5703125" customWidth="1"/>
    <col min="4108" max="4108" width="25.28515625" customWidth="1"/>
    <col min="4109" max="4109" width="51.5703125" customWidth="1"/>
    <col min="4110" max="4110" width="37.7109375" customWidth="1"/>
    <col min="4111" max="4111" width="51.5703125" customWidth="1"/>
    <col min="4112" max="4112" width="26.85546875" customWidth="1"/>
    <col min="4113" max="4113" width="51.5703125" customWidth="1"/>
    <col min="4114" max="4114" width="25.28515625" customWidth="1"/>
    <col min="4115" max="4115" width="141" customWidth="1"/>
    <col min="4116" max="4116" width="35" customWidth="1"/>
    <col min="4117" max="4117" width="51.5703125" customWidth="1"/>
    <col min="4118" max="4118" width="24" customWidth="1"/>
    <col min="4119" max="4119" width="141" customWidth="1"/>
    <col min="4120" max="4120" width="28.140625" customWidth="1"/>
    <col min="4121" max="4121" width="141" customWidth="1"/>
    <col min="4122" max="4122" width="58.28515625" customWidth="1"/>
    <col min="4123" max="4123" width="83" customWidth="1"/>
    <col min="4124" max="4124" width="94.140625" customWidth="1"/>
    <col min="4125" max="4125" width="52.85546875" customWidth="1"/>
    <col min="4126" max="4126" width="32.28515625" customWidth="1"/>
    <col min="4127" max="4127" width="3.42578125" customWidth="1"/>
    <col min="4353" max="4353" width="21.140625" customWidth="1"/>
    <col min="4354" max="4354" width="51.5703125" customWidth="1"/>
    <col min="4355" max="4355" width="10.28515625" customWidth="1"/>
    <col min="4356" max="4356" width="15.7109375" customWidth="1"/>
    <col min="4357" max="4357" width="29.42578125" customWidth="1"/>
    <col min="4358" max="4358" width="22.7109375" customWidth="1"/>
    <col min="4359" max="4359" width="51.5703125" customWidth="1"/>
    <col min="4360" max="4360" width="25.28515625" customWidth="1"/>
    <col min="4361" max="4361" width="51.5703125" customWidth="1"/>
    <col min="4362" max="4362" width="25.28515625" customWidth="1"/>
    <col min="4363" max="4363" width="51.5703125" customWidth="1"/>
    <col min="4364" max="4364" width="25.28515625" customWidth="1"/>
    <col min="4365" max="4365" width="51.5703125" customWidth="1"/>
    <col min="4366" max="4366" width="37.7109375" customWidth="1"/>
    <col min="4367" max="4367" width="51.5703125" customWidth="1"/>
    <col min="4368" max="4368" width="26.85546875" customWidth="1"/>
    <col min="4369" max="4369" width="51.5703125" customWidth="1"/>
    <col min="4370" max="4370" width="25.28515625" customWidth="1"/>
    <col min="4371" max="4371" width="141" customWidth="1"/>
    <col min="4372" max="4372" width="35" customWidth="1"/>
    <col min="4373" max="4373" width="51.5703125" customWidth="1"/>
    <col min="4374" max="4374" width="24" customWidth="1"/>
    <col min="4375" max="4375" width="141" customWidth="1"/>
    <col min="4376" max="4376" width="28.140625" customWidth="1"/>
    <col min="4377" max="4377" width="141" customWidth="1"/>
    <col min="4378" max="4378" width="58.28515625" customWidth="1"/>
    <col min="4379" max="4379" width="83" customWidth="1"/>
    <col min="4380" max="4380" width="94.140625" customWidth="1"/>
    <col min="4381" max="4381" width="52.85546875" customWidth="1"/>
    <col min="4382" max="4382" width="32.28515625" customWidth="1"/>
    <col min="4383" max="4383" width="3.42578125" customWidth="1"/>
    <col min="4609" max="4609" width="21.140625" customWidth="1"/>
    <col min="4610" max="4610" width="51.5703125" customWidth="1"/>
    <col min="4611" max="4611" width="10.28515625" customWidth="1"/>
    <col min="4612" max="4612" width="15.7109375" customWidth="1"/>
    <col min="4613" max="4613" width="29.42578125" customWidth="1"/>
    <col min="4614" max="4614" width="22.7109375" customWidth="1"/>
    <col min="4615" max="4615" width="51.5703125" customWidth="1"/>
    <col min="4616" max="4616" width="25.28515625" customWidth="1"/>
    <col min="4617" max="4617" width="51.5703125" customWidth="1"/>
    <col min="4618" max="4618" width="25.28515625" customWidth="1"/>
    <col min="4619" max="4619" width="51.5703125" customWidth="1"/>
    <col min="4620" max="4620" width="25.28515625" customWidth="1"/>
    <col min="4621" max="4621" width="51.5703125" customWidth="1"/>
    <col min="4622" max="4622" width="37.7109375" customWidth="1"/>
    <col min="4623" max="4623" width="51.5703125" customWidth="1"/>
    <col min="4624" max="4624" width="26.85546875" customWidth="1"/>
    <col min="4625" max="4625" width="51.5703125" customWidth="1"/>
    <col min="4626" max="4626" width="25.28515625" customWidth="1"/>
    <col min="4627" max="4627" width="141" customWidth="1"/>
    <col min="4628" max="4628" width="35" customWidth="1"/>
    <col min="4629" max="4629" width="51.5703125" customWidth="1"/>
    <col min="4630" max="4630" width="24" customWidth="1"/>
    <col min="4631" max="4631" width="141" customWidth="1"/>
    <col min="4632" max="4632" width="28.140625" customWidth="1"/>
    <col min="4633" max="4633" width="141" customWidth="1"/>
    <col min="4634" max="4634" width="58.28515625" customWidth="1"/>
    <col min="4635" max="4635" width="83" customWidth="1"/>
    <col min="4636" max="4636" width="94.140625" customWidth="1"/>
    <col min="4637" max="4637" width="52.85546875" customWidth="1"/>
    <col min="4638" max="4638" width="32.28515625" customWidth="1"/>
    <col min="4639" max="4639" width="3.42578125" customWidth="1"/>
    <col min="4865" max="4865" width="21.140625" customWidth="1"/>
    <col min="4866" max="4866" width="51.5703125" customWidth="1"/>
    <col min="4867" max="4867" width="10.28515625" customWidth="1"/>
    <col min="4868" max="4868" width="15.7109375" customWidth="1"/>
    <col min="4869" max="4869" width="29.42578125" customWidth="1"/>
    <col min="4870" max="4870" width="22.7109375" customWidth="1"/>
    <col min="4871" max="4871" width="51.5703125" customWidth="1"/>
    <col min="4872" max="4872" width="25.28515625" customWidth="1"/>
    <col min="4873" max="4873" width="51.5703125" customWidth="1"/>
    <col min="4874" max="4874" width="25.28515625" customWidth="1"/>
    <col min="4875" max="4875" width="51.5703125" customWidth="1"/>
    <col min="4876" max="4876" width="25.28515625" customWidth="1"/>
    <col min="4877" max="4877" width="51.5703125" customWidth="1"/>
    <col min="4878" max="4878" width="37.7109375" customWidth="1"/>
    <col min="4879" max="4879" width="51.5703125" customWidth="1"/>
    <col min="4880" max="4880" width="26.85546875" customWidth="1"/>
    <col min="4881" max="4881" width="51.5703125" customWidth="1"/>
    <col min="4882" max="4882" width="25.28515625" customWidth="1"/>
    <col min="4883" max="4883" width="141" customWidth="1"/>
    <col min="4884" max="4884" width="35" customWidth="1"/>
    <col min="4885" max="4885" width="51.5703125" customWidth="1"/>
    <col min="4886" max="4886" width="24" customWidth="1"/>
    <col min="4887" max="4887" width="141" customWidth="1"/>
    <col min="4888" max="4888" width="28.140625" customWidth="1"/>
    <col min="4889" max="4889" width="141" customWidth="1"/>
    <col min="4890" max="4890" width="58.28515625" customWidth="1"/>
    <col min="4891" max="4891" width="83" customWidth="1"/>
    <col min="4892" max="4892" width="94.140625" customWidth="1"/>
    <col min="4893" max="4893" width="52.85546875" customWidth="1"/>
    <col min="4894" max="4894" width="32.28515625" customWidth="1"/>
    <col min="4895" max="4895" width="3.42578125" customWidth="1"/>
    <col min="5121" max="5121" width="21.140625" customWidth="1"/>
    <col min="5122" max="5122" width="51.5703125" customWidth="1"/>
    <col min="5123" max="5123" width="10.28515625" customWidth="1"/>
    <col min="5124" max="5124" width="15.7109375" customWidth="1"/>
    <col min="5125" max="5125" width="29.42578125" customWidth="1"/>
    <col min="5126" max="5126" width="22.7109375" customWidth="1"/>
    <col min="5127" max="5127" width="51.5703125" customWidth="1"/>
    <col min="5128" max="5128" width="25.28515625" customWidth="1"/>
    <col min="5129" max="5129" width="51.5703125" customWidth="1"/>
    <col min="5130" max="5130" width="25.28515625" customWidth="1"/>
    <col min="5131" max="5131" width="51.5703125" customWidth="1"/>
    <col min="5132" max="5132" width="25.28515625" customWidth="1"/>
    <col min="5133" max="5133" width="51.5703125" customWidth="1"/>
    <col min="5134" max="5134" width="37.7109375" customWidth="1"/>
    <col min="5135" max="5135" width="51.5703125" customWidth="1"/>
    <col min="5136" max="5136" width="26.85546875" customWidth="1"/>
    <col min="5137" max="5137" width="51.5703125" customWidth="1"/>
    <col min="5138" max="5138" width="25.28515625" customWidth="1"/>
    <col min="5139" max="5139" width="141" customWidth="1"/>
    <col min="5140" max="5140" width="35" customWidth="1"/>
    <col min="5141" max="5141" width="51.5703125" customWidth="1"/>
    <col min="5142" max="5142" width="24" customWidth="1"/>
    <col min="5143" max="5143" width="141" customWidth="1"/>
    <col min="5144" max="5144" width="28.140625" customWidth="1"/>
    <col min="5145" max="5145" width="141" customWidth="1"/>
    <col min="5146" max="5146" width="58.28515625" customWidth="1"/>
    <col min="5147" max="5147" width="83" customWidth="1"/>
    <col min="5148" max="5148" width="94.140625" customWidth="1"/>
    <col min="5149" max="5149" width="52.85546875" customWidth="1"/>
    <col min="5150" max="5150" width="32.28515625" customWidth="1"/>
    <col min="5151" max="5151" width="3.42578125" customWidth="1"/>
    <col min="5377" max="5377" width="21.140625" customWidth="1"/>
    <col min="5378" max="5378" width="51.5703125" customWidth="1"/>
    <col min="5379" max="5379" width="10.28515625" customWidth="1"/>
    <col min="5380" max="5380" width="15.7109375" customWidth="1"/>
    <col min="5381" max="5381" width="29.42578125" customWidth="1"/>
    <col min="5382" max="5382" width="22.7109375" customWidth="1"/>
    <col min="5383" max="5383" width="51.5703125" customWidth="1"/>
    <col min="5384" max="5384" width="25.28515625" customWidth="1"/>
    <col min="5385" max="5385" width="51.5703125" customWidth="1"/>
    <col min="5386" max="5386" width="25.28515625" customWidth="1"/>
    <col min="5387" max="5387" width="51.5703125" customWidth="1"/>
    <col min="5388" max="5388" width="25.28515625" customWidth="1"/>
    <col min="5389" max="5389" width="51.5703125" customWidth="1"/>
    <col min="5390" max="5390" width="37.7109375" customWidth="1"/>
    <col min="5391" max="5391" width="51.5703125" customWidth="1"/>
    <col min="5392" max="5392" width="26.85546875" customWidth="1"/>
    <col min="5393" max="5393" width="51.5703125" customWidth="1"/>
    <col min="5394" max="5394" width="25.28515625" customWidth="1"/>
    <col min="5395" max="5395" width="141" customWidth="1"/>
    <col min="5396" max="5396" width="35" customWidth="1"/>
    <col min="5397" max="5397" width="51.5703125" customWidth="1"/>
    <col min="5398" max="5398" width="24" customWidth="1"/>
    <col min="5399" max="5399" width="141" customWidth="1"/>
    <col min="5400" max="5400" width="28.140625" customWidth="1"/>
    <col min="5401" max="5401" width="141" customWidth="1"/>
    <col min="5402" max="5402" width="58.28515625" customWidth="1"/>
    <col min="5403" max="5403" width="83" customWidth="1"/>
    <col min="5404" max="5404" width="94.140625" customWidth="1"/>
    <col min="5405" max="5405" width="52.85546875" customWidth="1"/>
    <col min="5406" max="5406" width="32.28515625" customWidth="1"/>
    <col min="5407" max="5407" width="3.42578125" customWidth="1"/>
    <col min="5633" max="5633" width="21.140625" customWidth="1"/>
    <col min="5634" max="5634" width="51.5703125" customWidth="1"/>
    <col min="5635" max="5635" width="10.28515625" customWidth="1"/>
    <col min="5636" max="5636" width="15.7109375" customWidth="1"/>
    <col min="5637" max="5637" width="29.42578125" customWidth="1"/>
    <col min="5638" max="5638" width="22.7109375" customWidth="1"/>
    <col min="5639" max="5639" width="51.5703125" customWidth="1"/>
    <col min="5640" max="5640" width="25.28515625" customWidth="1"/>
    <col min="5641" max="5641" width="51.5703125" customWidth="1"/>
    <col min="5642" max="5642" width="25.28515625" customWidth="1"/>
    <col min="5643" max="5643" width="51.5703125" customWidth="1"/>
    <col min="5644" max="5644" width="25.28515625" customWidth="1"/>
    <col min="5645" max="5645" width="51.5703125" customWidth="1"/>
    <col min="5646" max="5646" width="37.7109375" customWidth="1"/>
    <col min="5647" max="5647" width="51.5703125" customWidth="1"/>
    <col min="5648" max="5648" width="26.85546875" customWidth="1"/>
    <col min="5649" max="5649" width="51.5703125" customWidth="1"/>
    <col min="5650" max="5650" width="25.28515625" customWidth="1"/>
    <col min="5651" max="5651" width="141" customWidth="1"/>
    <col min="5652" max="5652" width="35" customWidth="1"/>
    <col min="5653" max="5653" width="51.5703125" customWidth="1"/>
    <col min="5654" max="5654" width="24" customWidth="1"/>
    <col min="5655" max="5655" width="141" customWidth="1"/>
    <col min="5656" max="5656" width="28.140625" customWidth="1"/>
    <col min="5657" max="5657" width="141" customWidth="1"/>
    <col min="5658" max="5658" width="58.28515625" customWidth="1"/>
    <col min="5659" max="5659" width="83" customWidth="1"/>
    <col min="5660" max="5660" width="94.140625" customWidth="1"/>
    <col min="5661" max="5661" width="52.85546875" customWidth="1"/>
    <col min="5662" max="5662" width="32.28515625" customWidth="1"/>
    <col min="5663" max="5663" width="3.42578125" customWidth="1"/>
    <col min="5889" max="5889" width="21.140625" customWidth="1"/>
    <col min="5890" max="5890" width="51.5703125" customWidth="1"/>
    <col min="5891" max="5891" width="10.28515625" customWidth="1"/>
    <col min="5892" max="5892" width="15.7109375" customWidth="1"/>
    <col min="5893" max="5893" width="29.42578125" customWidth="1"/>
    <col min="5894" max="5894" width="22.7109375" customWidth="1"/>
    <col min="5895" max="5895" width="51.5703125" customWidth="1"/>
    <col min="5896" max="5896" width="25.28515625" customWidth="1"/>
    <col min="5897" max="5897" width="51.5703125" customWidth="1"/>
    <col min="5898" max="5898" width="25.28515625" customWidth="1"/>
    <col min="5899" max="5899" width="51.5703125" customWidth="1"/>
    <col min="5900" max="5900" width="25.28515625" customWidth="1"/>
    <col min="5901" max="5901" width="51.5703125" customWidth="1"/>
    <col min="5902" max="5902" width="37.7109375" customWidth="1"/>
    <col min="5903" max="5903" width="51.5703125" customWidth="1"/>
    <col min="5904" max="5904" width="26.85546875" customWidth="1"/>
    <col min="5905" max="5905" width="51.5703125" customWidth="1"/>
    <col min="5906" max="5906" width="25.28515625" customWidth="1"/>
    <col min="5907" max="5907" width="141" customWidth="1"/>
    <col min="5908" max="5908" width="35" customWidth="1"/>
    <col min="5909" max="5909" width="51.5703125" customWidth="1"/>
    <col min="5910" max="5910" width="24" customWidth="1"/>
    <col min="5911" max="5911" width="141" customWidth="1"/>
    <col min="5912" max="5912" width="28.140625" customWidth="1"/>
    <col min="5913" max="5913" width="141" customWidth="1"/>
    <col min="5914" max="5914" width="58.28515625" customWidth="1"/>
    <col min="5915" max="5915" width="83" customWidth="1"/>
    <col min="5916" max="5916" width="94.140625" customWidth="1"/>
    <col min="5917" max="5917" width="52.85546875" customWidth="1"/>
    <col min="5918" max="5918" width="32.28515625" customWidth="1"/>
    <col min="5919" max="5919" width="3.42578125" customWidth="1"/>
    <col min="6145" max="6145" width="21.140625" customWidth="1"/>
    <col min="6146" max="6146" width="51.5703125" customWidth="1"/>
    <col min="6147" max="6147" width="10.28515625" customWidth="1"/>
    <col min="6148" max="6148" width="15.7109375" customWidth="1"/>
    <col min="6149" max="6149" width="29.42578125" customWidth="1"/>
    <col min="6150" max="6150" width="22.7109375" customWidth="1"/>
    <col min="6151" max="6151" width="51.5703125" customWidth="1"/>
    <col min="6152" max="6152" width="25.28515625" customWidth="1"/>
    <col min="6153" max="6153" width="51.5703125" customWidth="1"/>
    <col min="6154" max="6154" width="25.28515625" customWidth="1"/>
    <col min="6155" max="6155" width="51.5703125" customWidth="1"/>
    <col min="6156" max="6156" width="25.28515625" customWidth="1"/>
    <col min="6157" max="6157" width="51.5703125" customWidth="1"/>
    <col min="6158" max="6158" width="37.7109375" customWidth="1"/>
    <col min="6159" max="6159" width="51.5703125" customWidth="1"/>
    <col min="6160" max="6160" width="26.85546875" customWidth="1"/>
    <col min="6161" max="6161" width="51.5703125" customWidth="1"/>
    <col min="6162" max="6162" width="25.28515625" customWidth="1"/>
    <col min="6163" max="6163" width="141" customWidth="1"/>
    <col min="6164" max="6164" width="35" customWidth="1"/>
    <col min="6165" max="6165" width="51.5703125" customWidth="1"/>
    <col min="6166" max="6166" width="24" customWidth="1"/>
    <col min="6167" max="6167" width="141" customWidth="1"/>
    <col min="6168" max="6168" width="28.140625" customWidth="1"/>
    <col min="6169" max="6169" width="141" customWidth="1"/>
    <col min="6170" max="6170" width="58.28515625" customWidth="1"/>
    <col min="6171" max="6171" width="83" customWidth="1"/>
    <col min="6172" max="6172" width="94.140625" customWidth="1"/>
    <col min="6173" max="6173" width="52.85546875" customWidth="1"/>
    <col min="6174" max="6174" width="32.28515625" customWidth="1"/>
    <col min="6175" max="6175" width="3.42578125" customWidth="1"/>
    <col min="6401" max="6401" width="21.140625" customWidth="1"/>
    <col min="6402" max="6402" width="51.5703125" customWidth="1"/>
    <col min="6403" max="6403" width="10.28515625" customWidth="1"/>
    <col min="6404" max="6404" width="15.7109375" customWidth="1"/>
    <col min="6405" max="6405" width="29.42578125" customWidth="1"/>
    <col min="6406" max="6406" width="22.7109375" customWidth="1"/>
    <col min="6407" max="6407" width="51.5703125" customWidth="1"/>
    <col min="6408" max="6408" width="25.28515625" customWidth="1"/>
    <col min="6409" max="6409" width="51.5703125" customWidth="1"/>
    <col min="6410" max="6410" width="25.28515625" customWidth="1"/>
    <col min="6411" max="6411" width="51.5703125" customWidth="1"/>
    <col min="6412" max="6412" width="25.28515625" customWidth="1"/>
    <col min="6413" max="6413" width="51.5703125" customWidth="1"/>
    <col min="6414" max="6414" width="37.7109375" customWidth="1"/>
    <col min="6415" max="6415" width="51.5703125" customWidth="1"/>
    <col min="6416" max="6416" width="26.85546875" customWidth="1"/>
    <col min="6417" max="6417" width="51.5703125" customWidth="1"/>
    <col min="6418" max="6418" width="25.28515625" customWidth="1"/>
    <col min="6419" max="6419" width="141" customWidth="1"/>
    <col min="6420" max="6420" width="35" customWidth="1"/>
    <col min="6421" max="6421" width="51.5703125" customWidth="1"/>
    <col min="6422" max="6422" width="24" customWidth="1"/>
    <col min="6423" max="6423" width="141" customWidth="1"/>
    <col min="6424" max="6424" width="28.140625" customWidth="1"/>
    <col min="6425" max="6425" width="141" customWidth="1"/>
    <col min="6426" max="6426" width="58.28515625" customWidth="1"/>
    <col min="6427" max="6427" width="83" customWidth="1"/>
    <col min="6428" max="6428" width="94.140625" customWidth="1"/>
    <col min="6429" max="6429" width="52.85546875" customWidth="1"/>
    <col min="6430" max="6430" width="32.28515625" customWidth="1"/>
    <col min="6431" max="6431" width="3.42578125" customWidth="1"/>
    <col min="6657" max="6657" width="21.140625" customWidth="1"/>
    <col min="6658" max="6658" width="51.5703125" customWidth="1"/>
    <col min="6659" max="6659" width="10.28515625" customWidth="1"/>
    <col min="6660" max="6660" width="15.7109375" customWidth="1"/>
    <col min="6661" max="6661" width="29.42578125" customWidth="1"/>
    <col min="6662" max="6662" width="22.7109375" customWidth="1"/>
    <col min="6663" max="6663" width="51.5703125" customWidth="1"/>
    <col min="6664" max="6664" width="25.28515625" customWidth="1"/>
    <col min="6665" max="6665" width="51.5703125" customWidth="1"/>
    <col min="6666" max="6666" width="25.28515625" customWidth="1"/>
    <col min="6667" max="6667" width="51.5703125" customWidth="1"/>
    <col min="6668" max="6668" width="25.28515625" customWidth="1"/>
    <col min="6669" max="6669" width="51.5703125" customWidth="1"/>
    <col min="6670" max="6670" width="37.7109375" customWidth="1"/>
    <col min="6671" max="6671" width="51.5703125" customWidth="1"/>
    <col min="6672" max="6672" width="26.85546875" customWidth="1"/>
    <col min="6673" max="6673" width="51.5703125" customWidth="1"/>
    <col min="6674" max="6674" width="25.28515625" customWidth="1"/>
    <col min="6675" max="6675" width="141" customWidth="1"/>
    <col min="6676" max="6676" width="35" customWidth="1"/>
    <col min="6677" max="6677" width="51.5703125" customWidth="1"/>
    <col min="6678" max="6678" width="24" customWidth="1"/>
    <col min="6679" max="6679" width="141" customWidth="1"/>
    <col min="6680" max="6680" width="28.140625" customWidth="1"/>
    <col min="6681" max="6681" width="141" customWidth="1"/>
    <col min="6682" max="6682" width="58.28515625" customWidth="1"/>
    <col min="6683" max="6683" width="83" customWidth="1"/>
    <col min="6684" max="6684" width="94.140625" customWidth="1"/>
    <col min="6685" max="6685" width="52.85546875" customWidth="1"/>
    <col min="6686" max="6686" width="32.28515625" customWidth="1"/>
    <col min="6687" max="6687" width="3.42578125" customWidth="1"/>
    <col min="6913" max="6913" width="21.140625" customWidth="1"/>
    <col min="6914" max="6914" width="51.5703125" customWidth="1"/>
    <col min="6915" max="6915" width="10.28515625" customWidth="1"/>
    <col min="6916" max="6916" width="15.7109375" customWidth="1"/>
    <col min="6917" max="6917" width="29.42578125" customWidth="1"/>
    <col min="6918" max="6918" width="22.7109375" customWidth="1"/>
    <col min="6919" max="6919" width="51.5703125" customWidth="1"/>
    <col min="6920" max="6920" width="25.28515625" customWidth="1"/>
    <col min="6921" max="6921" width="51.5703125" customWidth="1"/>
    <col min="6922" max="6922" width="25.28515625" customWidth="1"/>
    <col min="6923" max="6923" width="51.5703125" customWidth="1"/>
    <col min="6924" max="6924" width="25.28515625" customWidth="1"/>
    <col min="6925" max="6925" width="51.5703125" customWidth="1"/>
    <col min="6926" max="6926" width="37.7109375" customWidth="1"/>
    <col min="6927" max="6927" width="51.5703125" customWidth="1"/>
    <col min="6928" max="6928" width="26.85546875" customWidth="1"/>
    <col min="6929" max="6929" width="51.5703125" customWidth="1"/>
    <col min="6930" max="6930" width="25.28515625" customWidth="1"/>
    <col min="6931" max="6931" width="141" customWidth="1"/>
    <col min="6932" max="6932" width="35" customWidth="1"/>
    <col min="6933" max="6933" width="51.5703125" customWidth="1"/>
    <col min="6934" max="6934" width="24" customWidth="1"/>
    <col min="6935" max="6935" width="141" customWidth="1"/>
    <col min="6936" max="6936" width="28.140625" customWidth="1"/>
    <col min="6937" max="6937" width="141" customWidth="1"/>
    <col min="6938" max="6938" width="58.28515625" customWidth="1"/>
    <col min="6939" max="6939" width="83" customWidth="1"/>
    <col min="6940" max="6940" width="94.140625" customWidth="1"/>
    <col min="6941" max="6941" width="52.85546875" customWidth="1"/>
    <col min="6942" max="6942" width="32.28515625" customWidth="1"/>
    <col min="6943" max="6943" width="3.42578125" customWidth="1"/>
    <col min="7169" max="7169" width="21.140625" customWidth="1"/>
    <col min="7170" max="7170" width="51.5703125" customWidth="1"/>
    <col min="7171" max="7171" width="10.28515625" customWidth="1"/>
    <col min="7172" max="7172" width="15.7109375" customWidth="1"/>
    <col min="7173" max="7173" width="29.42578125" customWidth="1"/>
    <col min="7174" max="7174" width="22.7109375" customWidth="1"/>
    <col min="7175" max="7175" width="51.5703125" customWidth="1"/>
    <col min="7176" max="7176" width="25.28515625" customWidth="1"/>
    <col min="7177" max="7177" width="51.5703125" customWidth="1"/>
    <col min="7178" max="7178" width="25.28515625" customWidth="1"/>
    <col min="7179" max="7179" width="51.5703125" customWidth="1"/>
    <col min="7180" max="7180" width="25.28515625" customWidth="1"/>
    <col min="7181" max="7181" width="51.5703125" customWidth="1"/>
    <col min="7182" max="7182" width="37.7109375" customWidth="1"/>
    <col min="7183" max="7183" width="51.5703125" customWidth="1"/>
    <col min="7184" max="7184" width="26.85546875" customWidth="1"/>
    <col min="7185" max="7185" width="51.5703125" customWidth="1"/>
    <col min="7186" max="7186" width="25.28515625" customWidth="1"/>
    <col min="7187" max="7187" width="141" customWidth="1"/>
    <col min="7188" max="7188" width="35" customWidth="1"/>
    <col min="7189" max="7189" width="51.5703125" customWidth="1"/>
    <col min="7190" max="7190" width="24" customWidth="1"/>
    <col min="7191" max="7191" width="141" customWidth="1"/>
    <col min="7192" max="7192" width="28.140625" customWidth="1"/>
    <col min="7193" max="7193" width="141" customWidth="1"/>
    <col min="7194" max="7194" width="58.28515625" customWidth="1"/>
    <col min="7195" max="7195" width="83" customWidth="1"/>
    <col min="7196" max="7196" width="94.140625" customWidth="1"/>
    <col min="7197" max="7197" width="52.85546875" customWidth="1"/>
    <col min="7198" max="7198" width="32.28515625" customWidth="1"/>
    <col min="7199" max="7199" width="3.42578125" customWidth="1"/>
    <col min="7425" max="7425" width="21.140625" customWidth="1"/>
    <col min="7426" max="7426" width="51.5703125" customWidth="1"/>
    <col min="7427" max="7427" width="10.28515625" customWidth="1"/>
    <col min="7428" max="7428" width="15.7109375" customWidth="1"/>
    <col min="7429" max="7429" width="29.42578125" customWidth="1"/>
    <col min="7430" max="7430" width="22.7109375" customWidth="1"/>
    <col min="7431" max="7431" width="51.5703125" customWidth="1"/>
    <col min="7432" max="7432" width="25.28515625" customWidth="1"/>
    <col min="7433" max="7433" width="51.5703125" customWidth="1"/>
    <col min="7434" max="7434" width="25.28515625" customWidth="1"/>
    <col min="7435" max="7435" width="51.5703125" customWidth="1"/>
    <col min="7436" max="7436" width="25.28515625" customWidth="1"/>
    <col min="7437" max="7437" width="51.5703125" customWidth="1"/>
    <col min="7438" max="7438" width="37.7109375" customWidth="1"/>
    <col min="7439" max="7439" width="51.5703125" customWidth="1"/>
    <col min="7440" max="7440" width="26.85546875" customWidth="1"/>
    <col min="7441" max="7441" width="51.5703125" customWidth="1"/>
    <col min="7442" max="7442" width="25.28515625" customWidth="1"/>
    <col min="7443" max="7443" width="141" customWidth="1"/>
    <col min="7444" max="7444" width="35" customWidth="1"/>
    <col min="7445" max="7445" width="51.5703125" customWidth="1"/>
    <col min="7446" max="7446" width="24" customWidth="1"/>
    <col min="7447" max="7447" width="141" customWidth="1"/>
    <col min="7448" max="7448" width="28.140625" customWidth="1"/>
    <col min="7449" max="7449" width="141" customWidth="1"/>
    <col min="7450" max="7450" width="58.28515625" customWidth="1"/>
    <col min="7451" max="7451" width="83" customWidth="1"/>
    <col min="7452" max="7452" width="94.140625" customWidth="1"/>
    <col min="7453" max="7453" width="52.85546875" customWidth="1"/>
    <col min="7454" max="7454" width="32.28515625" customWidth="1"/>
    <col min="7455" max="7455" width="3.42578125" customWidth="1"/>
    <col min="7681" max="7681" width="21.140625" customWidth="1"/>
    <col min="7682" max="7682" width="51.5703125" customWidth="1"/>
    <col min="7683" max="7683" width="10.28515625" customWidth="1"/>
    <col min="7684" max="7684" width="15.7109375" customWidth="1"/>
    <col min="7685" max="7685" width="29.42578125" customWidth="1"/>
    <col min="7686" max="7686" width="22.7109375" customWidth="1"/>
    <col min="7687" max="7687" width="51.5703125" customWidth="1"/>
    <col min="7688" max="7688" width="25.28515625" customWidth="1"/>
    <col min="7689" max="7689" width="51.5703125" customWidth="1"/>
    <col min="7690" max="7690" width="25.28515625" customWidth="1"/>
    <col min="7691" max="7691" width="51.5703125" customWidth="1"/>
    <col min="7692" max="7692" width="25.28515625" customWidth="1"/>
    <col min="7693" max="7693" width="51.5703125" customWidth="1"/>
    <col min="7694" max="7694" width="37.7109375" customWidth="1"/>
    <col min="7695" max="7695" width="51.5703125" customWidth="1"/>
    <col min="7696" max="7696" width="26.85546875" customWidth="1"/>
    <col min="7697" max="7697" width="51.5703125" customWidth="1"/>
    <col min="7698" max="7698" width="25.28515625" customWidth="1"/>
    <col min="7699" max="7699" width="141" customWidth="1"/>
    <col min="7700" max="7700" width="35" customWidth="1"/>
    <col min="7701" max="7701" width="51.5703125" customWidth="1"/>
    <col min="7702" max="7702" width="24" customWidth="1"/>
    <col min="7703" max="7703" width="141" customWidth="1"/>
    <col min="7704" max="7704" width="28.140625" customWidth="1"/>
    <col min="7705" max="7705" width="141" customWidth="1"/>
    <col min="7706" max="7706" width="58.28515625" customWidth="1"/>
    <col min="7707" max="7707" width="83" customWidth="1"/>
    <col min="7708" max="7708" width="94.140625" customWidth="1"/>
    <col min="7709" max="7709" width="52.85546875" customWidth="1"/>
    <col min="7710" max="7710" width="32.28515625" customWidth="1"/>
    <col min="7711" max="7711" width="3.42578125" customWidth="1"/>
    <col min="7937" max="7937" width="21.140625" customWidth="1"/>
    <col min="7938" max="7938" width="51.5703125" customWidth="1"/>
    <col min="7939" max="7939" width="10.28515625" customWidth="1"/>
    <col min="7940" max="7940" width="15.7109375" customWidth="1"/>
    <col min="7941" max="7941" width="29.42578125" customWidth="1"/>
    <col min="7942" max="7942" width="22.7109375" customWidth="1"/>
    <col min="7943" max="7943" width="51.5703125" customWidth="1"/>
    <col min="7944" max="7944" width="25.28515625" customWidth="1"/>
    <col min="7945" max="7945" width="51.5703125" customWidth="1"/>
    <col min="7946" max="7946" width="25.28515625" customWidth="1"/>
    <col min="7947" max="7947" width="51.5703125" customWidth="1"/>
    <col min="7948" max="7948" width="25.28515625" customWidth="1"/>
    <col min="7949" max="7949" width="51.5703125" customWidth="1"/>
    <col min="7950" max="7950" width="37.7109375" customWidth="1"/>
    <col min="7951" max="7951" width="51.5703125" customWidth="1"/>
    <col min="7952" max="7952" width="26.85546875" customWidth="1"/>
    <col min="7953" max="7953" width="51.5703125" customWidth="1"/>
    <col min="7954" max="7954" width="25.28515625" customWidth="1"/>
    <col min="7955" max="7955" width="141" customWidth="1"/>
    <col min="7956" max="7956" width="35" customWidth="1"/>
    <col min="7957" max="7957" width="51.5703125" customWidth="1"/>
    <col min="7958" max="7958" width="24" customWidth="1"/>
    <col min="7959" max="7959" width="141" customWidth="1"/>
    <col min="7960" max="7960" width="28.140625" customWidth="1"/>
    <col min="7961" max="7961" width="141" customWidth="1"/>
    <col min="7962" max="7962" width="58.28515625" customWidth="1"/>
    <col min="7963" max="7963" width="83" customWidth="1"/>
    <col min="7964" max="7964" width="94.140625" customWidth="1"/>
    <col min="7965" max="7965" width="52.85546875" customWidth="1"/>
    <col min="7966" max="7966" width="32.28515625" customWidth="1"/>
    <col min="7967" max="7967" width="3.42578125" customWidth="1"/>
    <col min="8193" max="8193" width="21.140625" customWidth="1"/>
    <col min="8194" max="8194" width="51.5703125" customWidth="1"/>
    <col min="8195" max="8195" width="10.28515625" customWidth="1"/>
    <col min="8196" max="8196" width="15.7109375" customWidth="1"/>
    <col min="8197" max="8197" width="29.42578125" customWidth="1"/>
    <col min="8198" max="8198" width="22.7109375" customWidth="1"/>
    <col min="8199" max="8199" width="51.5703125" customWidth="1"/>
    <col min="8200" max="8200" width="25.28515625" customWidth="1"/>
    <col min="8201" max="8201" width="51.5703125" customWidth="1"/>
    <col min="8202" max="8202" width="25.28515625" customWidth="1"/>
    <col min="8203" max="8203" width="51.5703125" customWidth="1"/>
    <col min="8204" max="8204" width="25.28515625" customWidth="1"/>
    <col min="8205" max="8205" width="51.5703125" customWidth="1"/>
    <col min="8206" max="8206" width="37.7109375" customWidth="1"/>
    <col min="8207" max="8207" width="51.5703125" customWidth="1"/>
    <col min="8208" max="8208" width="26.85546875" customWidth="1"/>
    <col min="8209" max="8209" width="51.5703125" customWidth="1"/>
    <col min="8210" max="8210" width="25.28515625" customWidth="1"/>
    <col min="8211" max="8211" width="141" customWidth="1"/>
    <col min="8212" max="8212" width="35" customWidth="1"/>
    <col min="8213" max="8213" width="51.5703125" customWidth="1"/>
    <col min="8214" max="8214" width="24" customWidth="1"/>
    <col min="8215" max="8215" width="141" customWidth="1"/>
    <col min="8216" max="8216" width="28.140625" customWidth="1"/>
    <col min="8217" max="8217" width="141" customWidth="1"/>
    <col min="8218" max="8218" width="58.28515625" customWidth="1"/>
    <col min="8219" max="8219" width="83" customWidth="1"/>
    <col min="8220" max="8220" width="94.140625" customWidth="1"/>
    <col min="8221" max="8221" width="52.85546875" customWidth="1"/>
    <col min="8222" max="8222" width="32.28515625" customWidth="1"/>
    <col min="8223" max="8223" width="3.42578125" customWidth="1"/>
    <col min="8449" max="8449" width="21.140625" customWidth="1"/>
    <col min="8450" max="8450" width="51.5703125" customWidth="1"/>
    <col min="8451" max="8451" width="10.28515625" customWidth="1"/>
    <col min="8452" max="8452" width="15.7109375" customWidth="1"/>
    <col min="8453" max="8453" width="29.42578125" customWidth="1"/>
    <col min="8454" max="8454" width="22.7109375" customWidth="1"/>
    <col min="8455" max="8455" width="51.5703125" customWidth="1"/>
    <col min="8456" max="8456" width="25.28515625" customWidth="1"/>
    <col min="8457" max="8457" width="51.5703125" customWidth="1"/>
    <col min="8458" max="8458" width="25.28515625" customWidth="1"/>
    <col min="8459" max="8459" width="51.5703125" customWidth="1"/>
    <col min="8460" max="8460" width="25.28515625" customWidth="1"/>
    <col min="8461" max="8461" width="51.5703125" customWidth="1"/>
    <col min="8462" max="8462" width="37.7109375" customWidth="1"/>
    <col min="8463" max="8463" width="51.5703125" customWidth="1"/>
    <col min="8464" max="8464" width="26.85546875" customWidth="1"/>
    <col min="8465" max="8465" width="51.5703125" customWidth="1"/>
    <col min="8466" max="8466" width="25.28515625" customWidth="1"/>
    <col min="8467" max="8467" width="141" customWidth="1"/>
    <col min="8468" max="8468" width="35" customWidth="1"/>
    <col min="8469" max="8469" width="51.5703125" customWidth="1"/>
    <col min="8470" max="8470" width="24" customWidth="1"/>
    <col min="8471" max="8471" width="141" customWidth="1"/>
    <col min="8472" max="8472" width="28.140625" customWidth="1"/>
    <col min="8473" max="8473" width="141" customWidth="1"/>
    <col min="8474" max="8474" width="58.28515625" customWidth="1"/>
    <col min="8475" max="8475" width="83" customWidth="1"/>
    <col min="8476" max="8476" width="94.140625" customWidth="1"/>
    <col min="8477" max="8477" width="52.85546875" customWidth="1"/>
    <col min="8478" max="8478" width="32.28515625" customWidth="1"/>
    <col min="8479" max="8479" width="3.42578125" customWidth="1"/>
    <col min="8705" max="8705" width="21.140625" customWidth="1"/>
    <col min="8706" max="8706" width="51.5703125" customWidth="1"/>
    <col min="8707" max="8707" width="10.28515625" customWidth="1"/>
    <col min="8708" max="8708" width="15.7109375" customWidth="1"/>
    <col min="8709" max="8709" width="29.42578125" customWidth="1"/>
    <col min="8710" max="8710" width="22.7109375" customWidth="1"/>
    <col min="8711" max="8711" width="51.5703125" customWidth="1"/>
    <col min="8712" max="8712" width="25.28515625" customWidth="1"/>
    <col min="8713" max="8713" width="51.5703125" customWidth="1"/>
    <col min="8714" max="8714" width="25.28515625" customWidth="1"/>
    <col min="8715" max="8715" width="51.5703125" customWidth="1"/>
    <col min="8716" max="8716" width="25.28515625" customWidth="1"/>
    <col min="8717" max="8717" width="51.5703125" customWidth="1"/>
    <col min="8718" max="8718" width="37.7109375" customWidth="1"/>
    <col min="8719" max="8719" width="51.5703125" customWidth="1"/>
    <col min="8720" max="8720" width="26.85546875" customWidth="1"/>
    <col min="8721" max="8721" width="51.5703125" customWidth="1"/>
    <col min="8722" max="8722" width="25.28515625" customWidth="1"/>
    <col min="8723" max="8723" width="141" customWidth="1"/>
    <col min="8724" max="8724" width="35" customWidth="1"/>
    <col min="8725" max="8725" width="51.5703125" customWidth="1"/>
    <col min="8726" max="8726" width="24" customWidth="1"/>
    <col min="8727" max="8727" width="141" customWidth="1"/>
    <col min="8728" max="8728" width="28.140625" customWidth="1"/>
    <col min="8729" max="8729" width="141" customWidth="1"/>
    <col min="8730" max="8730" width="58.28515625" customWidth="1"/>
    <col min="8731" max="8731" width="83" customWidth="1"/>
    <col min="8732" max="8732" width="94.140625" customWidth="1"/>
    <col min="8733" max="8733" width="52.85546875" customWidth="1"/>
    <col min="8734" max="8734" width="32.28515625" customWidth="1"/>
    <col min="8735" max="8735" width="3.42578125" customWidth="1"/>
    <col min="8961" max="8961" width="21.140625" customWidth="1"/>
    <col min="8962" max="8962" width="51.5703125" customWidth="1"/>
    <col min="8963" max="8963" width="10.28515625" customWidth="1"/>
    <col min="8964" max="8964" width="15.7109375" customWidth="1"/>
    <col min="8965" max="8965" width="29.42578125" customWidth="1"/>
    <col min="8966" max="8966" width="22.7109375" customWidth="1"/>
    <col min="8967" max="8967" width="51.5703125" customWidth="1"/>
    <col min="8968" max="8968" width="25.28515625" customWidth="1"/>
    <col min="8969" max="8969" width="51.5703125" customWidth="1"/>
    <col min="8970" max="8970" width="25.28515625" customWidth="1"/>
    <col min="8971" max="8971" width="51.5703125" customWidth="1"/>
    <col min="8972" max="8972" width="25.28515625" customWidth="1"/>
    <col min="8973" max="8973" width="51.5703125" customWidth="1"/>
    <col min="8974" max="8974" width="37.7109375" customWidth="1"/>
    <col min="8975" max="8975" width="51.5703125" customWidth="1"/>
    <col min="8976" max="8976" width="26.85546875" customWidth="1"/>
    <col min="8977" max="8977" width="51.5703125" customWidth="1"/>
    <col min="8978" max="8978" width="25.28515625" customWidth="1"/>
    <col min="8979" max="8979" width="141" customWidth="1"/>
    <col min="8980" max="8980" width="35" customWidth="1"/>
    <col min="8981" max="8981" width="51.5703125" customWidth="1"/>
    <col min="8982" max="8982" width="24" customWidth="1"/>
    <col min="8983" max="8983" width="141" customWidth="1"/>
    <col min="8984" max="8984" width="28.140625" customWidth="1"/>
    <col min="8985" max="8985" width="141" customWidth="1"/>
    <col min="8986" max="8986" width="58.28515625" customWidth="1"/>
    <col min="8987" max="8987" width="83" customWidth="1"/>
    <col min="8988" max="8988" width="94.140625" customWidth="1"/>
    <col min="8989" max="8989" width="52.85546875" customWidth="1"/>
    <col min="8990" max="8990" width="32.28515625" customWidth="1"/>
    <col min="8991" max="8991" width="3.42578125" customWidth="1"/>
    <col min="9217" max="9217" width="21.140625" customWidth="1"/>
    <col min="9218" max="9218" width="51.5703125" customWidth="1"/>
    <col min="9219" max="9219" width="10.28515625" customWidth="1"/>
    <col min="9220" max="9220" width="15.7109375" customWidth="1"/>
    <col min="9221" max="9221" width="29.42578125" customWidth="1"/>
    <col min="9222" max="9222" width="22.7109375" customWidth="1"/>
    <col min="9223" max="9223" width="51.5703125" customWidth="1"/>
    <col min="9224" max="9224" width="25.28515625" customWidth="1"/>
    <col min="9225" max="9225" width="51.5703125" customWidth="1"/>
    <col min="9226" max="9226" width="25.28515625" customWidth="1"/>
    <col min="9227" max="9227" width="51.5703125" customWidth="1"/>
    <col min="9228" max="9228" width="25.28515625" customWidth="1"/>
    <col min="9229" max="9229" width="51.5703125" customWidth="1"/>
    <col min="9230" max="9230" width="37.7109375" customWidth="1"/>
    <col min="9231" max="9231" width="51.5703125" customWidth="1"/>
    <col min="9232" max="9232" width="26.85546875" customWidth="1"/>
    <col min="9233" max="9233" width="51.5703125" customWidth="1"/>
    <col min="9234" max="9234" width="25.28515625" customWidth="1"/>
    <col min="9235" max="9235" width="141" customWidth="1"/>
    <col min="9236" max="9236" width="35" customWidth="1"/>
    <col min="9237" max="9237" width="51.5703125" customWidth="1"/>
    <col min="9238" max="9238" width="24" customWidth="1"/>
    <col min="9239" max="9239" width="141" customWidth="1"/>
    <col min="9240" max="9240" width="28.140625" customWidth="1"/>
    <col min="9241" max="9241" width="141" customWidth="1"/>
    <col min="9242" max="9242" width="58.28515625" customWidth="1"/>
    <col min="9243" max="9243" width="83" customWidth="1"/>
    <col min="9244" max="9244" width="94.140625" customWidth="1"/>
    <col min="9245" max="9245" width="52.85546875" customWidth="1"/>
    <col min="9246" max="9246" width="32.28515625" customWidth="1"/>
    <col min="9247" max="9247" width="3.42578125" customWidth="1"/>
    <col min="9473" max="9473" width="21.140625" customWidth="1"/>
    <col min="9474" max="9474" width="51.5703125" customWidth="1"/>
    <col min="9475" max="9475" width="10.28515625" customWidth="1"/>
    <col min="9476" max="9476" width="15.7109375" customWidth="1"/>
    <col min="9477" max="9477" width="29.42578125" customWidth="1"/>
    <col min="9478" max="9478" width="22.7109375" customWidth="1"/>
    <col min="9479" max="9479" width="51.5703125" customWidth="1"/>
    <col min="9480" max="9480" width="25.28515625" customWidth="1"/>
    <col min="9481" max="9481" width="51.5703125" customWidth="1"/>
    <col min="9482" max="9482" width="25.28515625" customWidth="1"/>
    <col min="9483" max="9483" width="51.5703125" customWidth="1"/>
    <col min="9484" max="9484" width="25.28515625" customWidth="1"/>
    <col min="9485" max="9485" width="51.5703125" customWidth="1"/>
    <col min="9486" max="9486" width="37.7109375" customWidth="1"/>
    <col min="9487" max="9487" width="51.5703125" customWidth="1"/>
    <col min="9488" max="9488" width="26.85546875" customWidth="1"/>
    <col min="9489" max="9489" width="51.5703125" customWidth="1"/>
    <col min="9490" max="9490" width="25.28515625" customWidth="1"/>
    <col min="9491" max="9491" width="141" customWidth="1"/>
    <col min="9492" max="9492" width="35" customWidth="1"/>
    <col min="9493" max="9493" width="51.5703125" customWidth="1"/>
    <col min="9494" max="9494" width="24" customWidth="1"/>
    <col min="9495" max="9495" width="141" customWidth="1"/>
    <col min="9496" max="9496" width="28.140625" customWidth="1"/>
    <col min="9497" max="9497" width="141" customWidth="1"/>
    <col min="9498" max="9498" width="58.28515625" customWidth="1"/>
    <col min="9499" max="9499" width="83" customWidth="1"/>
    <col min="9500" max="9500" width="94.140625" customWidth="1"/>
    <col min="9501" max="9501" width="52.85546875" customWidth="1"/>
    <col min="9502" max="9502" width="32.28515625" customWidth="1"/>
    <col min="9503" max="9503" width="3.42578125" customWidth="1"/>
    <col min="9729" max="9729" width="21.140625" customWidth="1"/>
    <col min="9730" max="9730" width="51.5703125" customWidth="1"/>
    <col min="9731" max="9731" width="10.28515625" customWidth="1"/>
    <col min="9732" max="9732" width="15.7109375" customWidth="1"/>
    <col min="9733" max="9733" width="29.42578125" customWidth="1"/>
    <col min="9734" max="9734" width="22.7109375" customWidth="1"/>
    <col min="9735" max="9735" width="51.5703125" customWidth="1"/>
    <col min="9736" max="9736" width="25.28515625" customWidth="1"/>
    <col min="9737" max="9737" width="51.5703125" customWidth="1"/>
    <col min="9738" max="9738" width="25.28515625" customWidth="1"/>
    <col min="9739" max="9739" width="51.5703125" customWidth="1"/>
    <col min="9740" max="9740" width="25.28515625" customWidth="1"/>
    <col min="9741" max="9741" width="51.5703125" customWidth="1"/>
    <col min="9742" max="9742" width="37.7109375" customWidth="1"/>
    <col min="9743" max="9743" width="51.5703125" customWidth="1"/>
    <col min="9744" max="9744" width="26.85546875" customWidth="1"/>
    <col min="9745" max="9745" width="51.5703125" customWidth="1"/>
    <col min="9746" max="9746" width="25.28515625" customWidth="1"/>
    <col min="9747" max="9747" width="141" customWidth="1"/>
    <col min="9748" max="9748" width="35" customWidth="1"/>
    <col min="9749" max="9749" width="51.5703125" customWidth="1"/>
    <col min="9750" max="9750" width="24" customWidth="1"/>
    <col min="9751" max="9751" width="141" customWidth="1"/>
    <col min="9752" max="9752" width="28.140625" customWidth="1"/>
    <col min="9753" max="9753" width="141" customWidth="1"/>
    <col min="9754" max="9754" width="58.28515625" customWidth="1"/>
    <col min="9755" max="9755" width="83" customWidth="1"/>
    <col min="9756" max="9756" width="94.140625" customWidth="1"/>
    <col min="9757" max="9757" width="52.85546875" customWidth="1"/>
    <col min="9758" max="9758" width="32.28515625" customWidth="1"/>
    <col min="9759" max="9759" width="3.42578125" customWidth="1"/>
    <col min="9985" max="9985" width="21.140625" customWidth="1"/>
    <col min="9986" max="9986" width="51.5703125" customWidth="1"/>
    <col min="9987" max="9987" width="10.28515625" customWidth="1"/>
    <col min="9988" max="9988" width="15.7109375" customWidth="1"/>
    <col min="9989" max="9989" width="29.42578125" customWidth="1"/>
    <col min="9990" max="9990" width="22.7109375" customWidth="1"/>
    <col min="9991" max="9991" width="51.5703125" customWidth="1"/>
    <col min="9992" max="9992" width="25.28515625" customWidth="1"/>
    <col min="9993" max="9993" width="51.5703125" customWidth="1"/>
    <col min="9994" max="9994" width="25.28515625" customWidth="1"/>
    <col min="9995" max="9995" width="51.5703125" customWidth="1"/>
    <col min="9996" max="9996" width="25.28515625" customWidth="1"/>
    <col min="9997" max="9997" width="51.5703125" customWidth="1"/>
    <col min="9998" max="9998" width="37.7109375" customWidth="1"/>
    <col min="9999" max="9999" width="51.5703125" customWidth="1"/>
    <col min="10000" max="10000" width="26.85546875" customWidth="1"/>
    <col min="10001" max="10001" width="51.5703125" customWidth="1"/>
    <col min="10002" max="10002" width="25.28515625" customWidth="1"/>
    <col min="10003" max="10003" width="141" customWidth="1"/>
    <col min="10004" max="10004" width="35" customWidth="1"/>
    <col min="10005" max="10005" width="51.5703125" customWidth="1"/>
    <col min="10006" max="10006" width="24" customWidth="1"/>
    <col min="10007" max="10007" width="141" customWidth="1"/>
    <col min="10008" max="10008" width="28.140625" customWidth="1"/>
    <col min="10009" max="10009" width="141" customWidth="1"/>
    <col min="10010" max="10010" width="58.28515625" customWidth="1"/>
    <col min="10011" max="10011" width="83" customWidth="1"/>
    <col min="10012" max="10012" width="94.140625" customWidth="1"/>
    <col min="10013" max="10013" width="52.85546875" customWidth="1"/>
    <col min="10014" max="10014" width="32.28515625" customWidth="1"/>
    <col min="10015" max="10015" width="3.42578125" customWidth="1"/>
    <col min="10241" max="10241" width="21.140625" customWidth="1"/>
    <col min="10242" max="10242" width="51.5703125" customWidth="1"/>
    <col min="10243" max="10243" width="10.28515625" customWidth="1"/>
    <col min="10244" max="10244" width="15.7109375" customWidth="1"/>
    <col min="10245" max="10245" width="29.42578125" customWidth="1"/>
    <col min="10246" max="10246" width="22.7109375" customWidth="1"/>
    <col min="10247" max="10247" width="51.5703125" customWidth="1"/>
    <col min="10248" max="10248" width="25.28515625" customWidth="1"/>
    <col min="10249" max="10249" width="51.5703125" customWidth="1"/>
    <col min="10250" max="10250" width="25.28515625" customWidth="1"/>
    <col min="10251" max="10251" width="51.5703125" customWidth="1"/>
    <col min="10252" max="10252" width="25.28515625" customWidth="1"/>
    <col min="10253" max="10253" width="51.5703125" customWidth="1"/>
    <col min="10254" max="10254" width="37.7109375" customWidth="1"/>
    <col min="10255" max="10255" width="51.5703125" customWidth="1"/>
    <col min="10256" max="10256" width="26.85546875" customWidth="1"/>
    <col min="10257" max="10257" width="51.5703125" customWidth="1"/>
    <col min="10258" max="10258" width="25.28515625" customWidth="1"/>
    <col min="10259" max="10259" width="141" customWidth="1"/>
    <col min="10260" max="10260" width="35" customWidth="1"/>
    <col min="10261" max="10261" width="51.5703125" customWidth="1"/>
    <col min="10262" max="10262" width="24" customWidth="1"/>
    <col min="10263" max="10263" width="141" customWidth="1"/>
    <col min="10264" max="10264" width="28.140625" customWidth="1"/>
    <col min="10265" max="10265" width="141" customWidth="1"/>
    <col min="10266" max="10266" width="58.28515625" customWidth="1"/>
    <col min="10267" max="10267" width="83" customWidth="1"/>
    <col min="10268" max="10268" width="94.140625" customWidth="1"/>
    <col min="10269" max="10269" width="52.85546875" customWidth="1"/>
    <col min="10270" max="10270" width="32.28515625" customWidth="1"/>
    <col min="10271" max="10271" width="3.42578125" customWidth="1"/>
    <col min="10497" max="10497" width="21.140625" customWidth="1"/>
    <col min="10498" max="10498" width="51.5703125" customWidth="1"/>
    <col min="10499" max="10499" width="10.28515625" customWidth="1"/>
    <col min="10500" max="10500" width="15.7109375" customWidth="1"/>
    <col min="10501" max="10501" width="29.42578125" customWidth="1"/>
    <col min="10502" max="10502" width="22.7109375" customWidth="1"/>
    <col min="10503" max="10503" width="51.5703125" customWidth="1"/>
    <col min="10504" max="10504" width="25.28515625" customWidth="1"/>
    <col min="10505" max="10505" width="51.5703125" customWidth="1"/>
    <col min="10506" max="10506" width="25.28515625" customWidth="1"/>
    <col min="10507" max="10507" width="51.5703125" customWidth="1"/>
    <col min="10508" max="10508" width="25.28515625" customWidth="1"/>
    <col min="10509" max="10509" width="51.5703125" customWidth="1"/>
    <col min="10510" max="10510" width="37.7109375" customWidth="1"/>
    <col min="10511" max="10511" width="51.5703125" customWidth="1"/>
    <col min="10512" max="10512" width="26.85546875" customWidth="1"/>
    <col min="10513" max="10513" width="51.5703125" customWidth="1"/>
    <col min="10514" max="10514" width="25.28515625" customWidth="1"/>
    <col min="10515" max="10515" width="141" customWidth="1"/>
    <col min="10516" max="10516" width="35" customWidth="1"/>
    <col min="10517" max="10517" width="51.5703125" customWidth="1"/>
    <col min="10518" max="10518" width="24" customWidth="1"/>
    <col min="10519" max="10519" width="141" customWidth="1"/>
    <col min="10520" max="10520" width="28.140625" customWidth="1"/>
    <col min="10521" max="10521" width="141" customWidth="1"/>
    <col min="10522" max="10522" width="58.28515625" customWidth="1"/>
    <col min="10523" max="10523" width="83" customWidth="1"/>
    <col min="10524" max="10524" width="94.140625" customWidth="1"/>
    <col min="10525" max="10525" width="52.85546875" customWidth="1"/>
    <col min="10526" max="10526" width="32.28515625" customWidth="1"/>
    <col min="10527" max="10527" width="3.42578125" customWidth="1"/>
    <col min="10753" max="10753" width="21.140625" customWidth="1"/>
    <col min="10754" max="10754" width="51.5703125" customWidth="1"/>
    <col min="10755" max="10755" width="10.28515625" customWidth="1"/>
    <col min="10756" max="10756" width="15.7109375" customWidth="1"/>
    <col min="10757" max="10757" width="29.42578125" customWidth="1"/>
    <col min="10758" max="10758" width="22.7109375" customWidth="1"/>
    <col min="10759" max="10759" width="51.5703125" customWidth="1"/>
    <col min="10760" max="10760" width="25.28515625" customWidth="1"/>
    <col min="10761" max="10761" width="51.5703125" customWidth="1"/>
    <col min="10762" max="10762" width="25.28515625" customWidth="1"/>
    <col min="10763" max="10763" width="51.5703125" customWidth="1"/>
    <col min="10764" max="10764" width="25.28515625" customWidth="1"/>
    <col min="10765" max="10765" width="51.5703125" customWidth="1"/>
    <col min="10766" max="10766" width="37.7109375" customWidth="1"/>
    <col min="10767" max="10767" width="51.5703125" customWidth="1"/>
    <col min="10768" max="10768" width="26.85546875" customWidth="1"/>
    <col min="10769" max="10769" width="51.5703125" customWidth="1"/>
    <col min="10770" max="10770" width="25.28515625" customWidth="1"/>
    <col min="10771" max="10771" width="141" customWidth="1"/>
    <col min="10772" max="10772" width="35" customWidth="1"/>
    <col min="10773" max="10773" width="51.5703125" customWidth="1"/>
    <col min="10774" max="10774" width="24" customWidth="1"/>
    <col min="10775" max="10775" width="141" customWidth="1"/>
    <col min="10776" max="10776" width="28.140625" customWidth="1"/>
    <col min="10777" max="10777" width="141" customWidth="1"/>
    <col min="10778" max="10778" width="58.28515625" customWidth="1"/>
    <col min="10779" max="10779" width="83" customWidth="1"/>
    <col min="10780" max="10780" width="94.140625" customWidth="1"/>
    <col min="10781" max="10781" width="52.85546875" customWidth="1"/>
    <col min="10782" max="10782" width="32.28515625" customWidth="1"/>
    <col min="10783" max="10783" width="3.42578125" customWidth="1"/>
    <col min="11009" max="11009" width="21.140625" customWidth="1"/>
    <col min="11010" max="11010" width="51.5703125" customWidth="1"/>
    <col min="11011" max="11011" width="10.28515625" customWidth="1"/>
    <col min="11012" max="11012" width="15.7109375" customWidth="1"/>
    <col min="11013" max="11013" width="29.42578125" customWidth="1"/>
    <col min="11014" max="11014" width="22.7109375" customWidth="1"/>
    <col min="11015" max="11015" width="51.5703125" customWidth="1"/>
    <col min="11016" max="11016" width="25.28515625" customWidth="1"/>
    <col min="11017" max="11017" width="51.5703125" customWidth="1"/>
    <col min="11018" max="11018" width="25.28515625" customWidth="1"/>
    <col min="11019" max="11019" width="51.5703125" customWidth="1"/>
    <col min="11020" max="11020" width="25.28515625" customWidth="1"/>
    <col min="11021" max="11021" width="51.5703125" customWidth="1"/>
    <col min="11022" max="11022" width="37.7109375" customWidth="1"/>
    <col min="11023" max="11023" width="51.5703125" customWidth="1"/>
    <col min="11024" max="11024" width="26.85546875" customWidth="1"/>
    <col min="11025" max="11025" width="51.5703125" customWidth="1"/>
    <col min="11026" max="11026" width="25.28515625" customWidth="1"/>
    <col min="11027" max="11027" width="141" customWidth="1"/>
    <col min="11028" max="11028" width="35" customWidth="1"/>
    <col min="11029" max="11029" width="51.5703125" customWidth="1"/>
    <col min="11030" max="11030" width="24" customWidth="1"/>
    <col min="11031" max="11031" width="141" customWidth="1"/>
    <col min="11032" max="11032" width="28.140625" customWidth="1"/>
    <col min="11033" max="11033" width="141" customWidth="1"/>
    <col min="11034" max="11034" width="58.28515625" customWidth="1"/>
    <col min="11035" max="11035" width="83" customWidth="1"/>
    <col min="11036" max="11036" width="94.140625" customWidth="1"/>
    <col min="11037" max="11037" width="52.85546875" customWidth="1"/>
    <col min="11038" max="11038" width="32.28515625" customWidth="1"/>
    <col min="11039" max="11039" width="3.42578125" customWidth="1"/>
    <col min="11265" max="11265" width="21.140625" customWidth="1"/>
    <col min="11266" max="11266" width="51.5703125" customWidth="1"/>
    <col min="11267" max="11267" width="10.28515625" customWidth="1"/>
    <col min="11268" max="11268" width="15.7109375" customWidth="1"/>
    <col min="11269" max="11269" width="29.42578125" customWidth="1"/>
    <col min="11270" max="11270" width="22.7109375" customWidth="1"/>
    <col min="11271" max="11271" width="51.5703125" customWidth="1"/>
    <col min="11272" max="11272" width="25.28515625" customWidth="1"/>
    <col min="11273" max="11273" width="51.5703125" customWidth="1"/>
    <col min="11274" max="11274" width="25.28515625" customWidth="1"/>
    <col min="11275" max="11275" width="51.5703125" customWidth="1"/>
    <col min="11276" max="11276" width="25.28515625" customWidth="1"/>
    <col min="11277" max="11277" width="51.5703125" customWidth="1"/>
    <col min="11278" max="11278" width="37.7109375" customWidth="1"/>
    <col min="11279" max="11279" width="51.5703125" customWidth="1"/>
    <col min="11280" max="11280" width="26.85546875" customWidth="1"/>
    <col min="11281" max="11281" width="51.5703125" customWidth="1"/>
    <col min="11282" max="11282" width="25.28515625" customWidth="1"/>
    <col min="11283" max="11283" width="141" customWidth="1"/>
    <col min="11284" max="11284" width="35" customWidth="1"/>
    <col min="11285" max="11285" width="51.5703125" customWidth="1"/>
    <col min="11286" max="11286" width="24" customWidth="1"/>
    <col min="11287" max="11287" width="141" customWidth="1"/>
    <col min="11288" max="11288" width="28.140625" customWidth="1"/>
    <col min="11289" max="11289" width="141" customWidth="1"/>
    <col min="11290" max="11290" width="58.28515625" customWidth="1"/>
    <col min="11291" max="11291" width="83" customWidth="1"/>
    <col min="11292" max="11292" width="94.140625" customWidth="1"/>
    <col min="11293" max="11293" width="52.85546875" customWidth="1"/>
    <col min="11294" max="11294" width="32.28515625" customWidth="1"/>
    <col min="11295" max="11295" width="3.42578125" customWidth="1"/>
    <col min="11521" max="11521" width="21.140625" customWidth="1"/>
    <col min="11522" max="11522" width="51.5703125" customWidth="1"/>
    <col min="11523" max="11523" width="10.28515625" customWidth="1"/>
    <col min="11524" max="11524" width="15.7109375" customWidth="1"/>
    <col min="11525" max="11525" width="29.42578125" customWidth="1"/>
    <col min="11526" max="11526" width="22.7109375" customWidth="1"/>
    <col min="11527" max="11527" width="51.5703125" customWidth="1"/>
    <col min="11528" max="11528" width="25.28515625" customWidth="1"/>
    <col min="11529" max="11529" width="51.5703125" customWidth="1"/>
    <col min="11530" max="11530" width="25.28515625" customWidth="1"/>
    <col min="11531" max="11531" width="51.5703125" customWidth="1"/>
    <col min="11532" max="11532" width="25.28515625" customWidth="1"/>
    <col min="11533" max="11533" width="51.5703125" customWidth="1"/>
    <col min="11534" max="11534" width="37.7109375" customWidth="1"/>
    <col min="11535" max="11535" width="51.5703125" customWidth="1"/>
    <col min="11536" max="11536" width="26.85546875" customWidth="1"/>
    <col min="11537" max="11537" width="51.5703125" customWidth="1"/>
    <col min="11538" max="11538" width="25.28515625" customWidth="1"/>
    <col min="11539" max="11539" width="141" customWidth="1"/>
    <col min="11540" max="11540" width="35" customWidth="1"/>
    <col min="11541" max="11541" width="51.5703125" customWidth="1"/>
    <col min="11542" max="11542" width="24" customWidth="1"/>
    <col min="11543" max="11543" width="141" customWidth="1"/>
    <col min="11544" max="11544" width="28.140625" customWidth="1"/>
    <col min="11545" max="11545" width="141" customWidth="1"/>
    <col min="11546" max="11546" width="58.28515625" customWidth="1"/>
    <col min="11547" max="11547" width="83" customWidth="1"/>
    <col min="11548" max="11548" width="94.140625" customWidth="1"/>
    <col min="11549" max="11549" width="52.85546875" customWidth="1"/>
    <col min="11550" max="11550" width="32.28515625" customWidth="1"/>
    <col min="11551" max="11551" width="3.42578125" customWidth="1"/>
    <col min="11777" max="11777" width="21.140625" customWidth="1"/>
    <col min="11778" max="11778" width="51.5703125" customWidth="1"/>
    <col min="11779" max="11779" width="10.28515625" customWidth="1"/>
    <col min="11780" max="11780" width="15.7109375" customWidth="1"/>
    <col min="11781" max="11781" width="29.42578125" customWidth="1"/>
    <col min="11782" max="11782" width="22.7109375" customWidth="1"/>
    <col min="11783" max="11783" width="51.5703125" customWidth="1"/>
    <col min="11784" max="11784" width="25.28515625" customWidth="1"/>
    <col min="11785" max="11785" width="51.5703125" customWidth="1"/>
    <col min="11786" max="11786" width="25.28515625" customWidth="1"/>
    <col min="11787" max="11787" width="51.5703125" customWidth="1"/>
    <col min="11788" max="11788" width="25.28515625" customWidth="1"/>
    <col min="11789" max="11789" width="51.5703125" customWidth="1"/>
    <col min="11790" max="11790" width="37.7109375" customWidth="1"/>
    <col min="11791" max="11791" width="51.5703125" customWidth="1"/>
    <col min="11792" max="11792" width="26.85546875" customWidth="1"/>
    <col min="11793" max="11793" width="51.5703125" customWidth="1"/>
    <col min="11794" max="11794" width="25.28515625" customWidth="1"/>
    <col min="11795" max="11795" width="141" customWidth="1"/>
    <col min="11796" max="11796" width="35" customWidth="1"/>
    <col min="11797" max="11797" width="51.5703125" customWidth="1"/>
    <col min="11798" max="11798" width="24" customWidth="1"/>
    <col min="11799" max="11799" width="141" customWidth="1"/>
    <col min="11800" max="11800" width="28.140625" customWidth="1"/>
    <col min="11801" max="11801" width="141" customWidth="1"/>
    <col min="11802" max="11802" width="58.28515625" customWidth="1"/>
    <col min="11803" max="11803" width="83" customWidth="1"/>
    <col min="11804" max="11804" width="94.140625" customWidth="1"/>
    <col min="11805" max="11805" width="52.85546875" customWidth="1"/>
    <col min="11806" max="11806" width="32.28515625" customWidth="1"/>
    <col min="11807" max="11807" width="3.42578125" customWidth="1"/>
    <col min="12033" max="12033" width="21.140625" customWidth="1"/>
    <col min="12034" max="12034" width="51.5703125" customWidth="1"/>
    <col min="12035" max="12035" width="10.28515625" customWidth="1"/>
    <col min="12036" max="12036" width="15.7109375" customWidth="1"/>
    <col min="12037" max="12037" width="29.42578125" customWidth="1"/>
    <col min="12038" max="12038" width="22.7109375" customWidth="1"/>
    <col min="12039" max="12039" width="51.5703125" customWidth="1"/>
    <col min="12040" max="12040" width="25.28515625" customWidth="1"/>
    <col min="12041" max="12041" width="51.5703125" customWidth="1"/>
    <col min="12042" max="12042" width="25.28515625" customWidth="1"/>
    <col min="12043" max="12043" width="51.5703125" customWidth="1"/>
    <col min="12044" max="12044" width="25.28515625" customWidth="1"/>
    <col min="12045" max="12045" width="51.5703125" customWidth="1"/>
    <col min="12046" max="12046" width="37.7109375" customWidth="1"/>
    <col min="12047" max="12047" width="51.5703125" customWidth="1"/>
    <col min="12048" max="12048" width="26.85546875" customWidth="1"/>
    <col min="12049" max="12049" width="51.5703125" customWidth="1"/>
    <col min="12050" max="12050" width="25.28515625" customWidth="1"/>
    <col min="12051" max="12051" width="141" customWidth="1"/>
    <col min="12052" max="12052" width="35" customWidth="1"/>
    <col min="12053" max="12053" width="51.5703125" customWidth="1"/>
    <col min="12054" max="12054" width="24" customWidth="1"/>
    <col min="12055" max="12055" width="141" customWidth="1"/>
    <col min="12056" max="12056" width="28.140625" customWidth="1"/>
    <col min="12057" max="12057" width="141" customWidth="1"/>
    <col min="12058" max="12058" width="58.28515625" customWidth="1"/>
    <col min="12059" max="12059" width="83" customWidth="1"/>
    <col min="12060" max="12060" width="94.140625" customWidth="1"/>
    <col min="12061" max="12061" width="52.85546875" customWidth="1"/>
    <col min="12062" max="12062" width="32.28515625" customWidth="1"/>
    <col min="12063" max="12063" width="3.42578125" customWidth="1"/>
    <col min="12289" max="12289" width="21.140625" customWidth="1"/>
    <col min="12290" max="12290" width="51.5703125" customWidth="1"/>
    <col min="12291" max="12291" width="10.28515625" customWidth="1"/>
    <col min="12292" max="12292" width="15.7109375" customWidth="1"/>
    <col min="12293" max="12293" width="29.42578125" customWidth="1"/>
    <col min="12294" max="12294" width="22.7109375" customWidth="1"/>
    <col min="12295" max="12295" width="51.5703125" customWidth="1"/>
    <col min="12296" max="12296" width="25.28515625" customWidth="1"/>
    <col min="12297" max="12297" width="51.5703125" customWidth="1"/>
    <col min="12298" max="12298" width="25.28515625" customWidth="1"/>
    <col min="12299" max="12299" width="51.5703125" customWidth="1"/>
    <col min="12300" max="12300" width="25.28515625" customWidth="1"/>
    <col min="12301" max="12301" width="51.5703125" customWidth="1"/>
    <col min="12302" max="12302" width="37.7109375" customWidth="1"/>
    <col min="12303" max="12303" width="51.5703125" customWidth="1"/>
    <col min="12304" max="12304" width="26.85546875" customWidth="1"/>
    <col min="12305" max="12305" width="51.5703125" customWidth="1"/>
    <col min="12306" max="12306" width="25.28515625" customWidth="1"/>
    <col min="12307" max="12307" width="141" customWidth="1"/>
    <col min="12308" max="12308" width="35" customWidth="1"/>
    <col min="12309" max="12309" width="51.5703125" customWidth="1"/>
    <col min="12310" max="12310" width="24" customWidth="1"/>
    <col min="12311" max="12311" width="141" customWidth="1"/>
    <col min="12312" max="12312" width="28.140625" customWidth="1"/>
    <col min="12313" max="12313" width="141" customWidth="1"/>
    <col min="12314" max="12314" width="58.28515625" customWidth="1"/>
    <col min="12315" max="12315" width="83" customWidth="1"/>
    <col min="12316" max="12316" width="94.140625" customWidth="1"/>
    <col min="12317" max="12317" width="52.85546875" customWidth="1"/>
    <col min="12318" max="12318" width="32.28515625" customWidth="1"/>
    <col min="12319" max="12319" width="3.42578125" customWidth="1"/>
    <col min="12545" max="12545" width="21.140625" customWidth="1"/>
    <col min="12546" max="12546" width="51.5703125" customWidth="1"/>
    <col min="12547" max="12547" width="10.28515625" customWidth="1"/>
    <col min="12548" max="12548" width="15.7109375" customWidth="1"/>
    <col min="12549" max="12549" width="29.42578125" customWidth="1"/>
    <col min="12550" max="12550" width="22.7109375" customWidth="1"/>
    <col min="12551" max="12551" width="51.5703125" customWidth="1"/>
    <col min="12552" max="12552" width="25.28515625" customWidth="1"/>
    <col min="12553" max="12553" width="51.5703125" customWidth="1"/>
    <col min="12554" max="12554" width="25.28515625" customWidth="1"/>
    <col min="12555" max="12555" width="51.5703125" customWidth="1"/>
    <col min="12556" max="12556" width="25.28515625" customWidth="1"/>
    <col min="12557" max="12557" width="51.5703125" customWidth="1"/>
    <col min="12558" max="12558" width="37.7109375" customWidth="1"/>
    <col min="12559" max="12559" width="51.5703125" customWidth="1"/>
    <col min="12560" max="12560" width="26.85546875" customWidth="1"/>
    <col min="12561" max="12561" width="51.5703125" customWidth="1"/>
    <col min="12562" max="12562" width="25.28515625" customWidth="1"/>
    <col min="12563" max="12563" width="141" customWidth="1"/>
    <col min="12564" max="12564" width="35" customWidth="1"/>
    <col min="12565" max="12565" width="51.5703125" customWidth="1"/>
    <col min="12566" max="12566" width="24" customWidth="1"/>
    <col min="12567" max="12567" width="141" customWidth="1"/>
    <col min="12568" max="12568" width="28.140625" customWidth="1"/>
    <col min="12569" max="12569" width="141" customWidth="1"/>
    <col min="12570" max="12570" width="58.28515625" customWidth="1"/>
    <col min="12571" max="12571" width="83" customWidth="1"/>
    <col min="12572" max="12572" width="94.140625" customWidth="1"/>
    <col min="12573" max="12573" width="52.85546875" customWidth="1"/>
    <col min="12574" max="12574" width="32.28515625" customWidth="1"/>
    <col min="12575" max="12575" width="3.42578125" customWidth="1"/>
    <col min="12801" max="12801" width="21.140625" customWidth="1"/>
    <col min="12802" max="12802" width="51.5703125" customWidth="1"/>
    <col min="12803" max="12803" width="10.28515625" customWidth="1"/>
    <col min="12804" max="12804" width="15.7109375" customWidth="1"/>
    <col min="12805" max="12805" width="29.42578125" customWidth="1"/>
    <col min="12806" max="12806" width="22.7109375" customWidth="1"/>
    <col min="12807" max="12807" width="51.5703125" customWidth="1"/>
    <col min="12808" max="12808" width="25.28515625" customWidth="1"/>
    <col min="12809" max="12809" width="51.5703125" customWidth="1"/>
    <col min="12810" max="12810" width="25.28515625" customWidth="1"/>
    <col min="12811" max="12811" width="51.5703125" customWidth="1"/>
    <col min="12812" max="12812" width="25.28515625" customWidth="1"/>
    <col min="12813" max="12813" width="51.5703125" customWidth="1"/>
    <col min="12814" max="12814" width="37.7109375" customWidth="1"/>
    <col min="12815" max="12815" width="51.5703125" customWidth="1"/>
    <col min="12816" max="12816" width="26.85546875" customWidth="1"/>
    <col min="12817" max="12817" width="51.5703125" customWidth="1"/>
    <col min="12818" max="12818" width="25.28515625" customWidth="1"/>
    <col min="12819" max="12819" width="141" customWidth="1"/>
    <col min="12820" max="12820" width="35" customWidth="1"/>
    <col min="12821" max="12821" width="51.5703125" customWidth="1"/>
    <col min="12822" max="12822" width="24" customWidth="1"/>
    <col min="12823" max="12823" width="141" customWidth="1"/>
    <col min="12824" max="12824" width="28.140625" customWidth="1"/>
    <col min="12825" max="12825" width="141" customWidth="1"/>
    <col min="12826" max="12826" width="58.28515625" customWidth="1"/>
    <col min="12827" max="12827" width="83" customWidth="1"/>
    <col min="12828" max="12828" width="94.140625" customWidth="1"/>
    <col min="12829" max="12829" width="52.85546875" customWidth="1"/>
    <col min="12830" max="12830" width="32.28515625" customWidth="1"/>
    <col min="12831" max="12831" width="3.42578125" customWidth="1"/>
    <col min="13057" max="13057" width="21.140625" customWidth="1"/>
    <col min="13058" max="13058" width="51.5703125" customWidth="1"/>
    <col min="13059" max="13059" width="10.28515625" customWidth="1"/>
    <col min="13060" max="13060" width="15.7109375" customWidth="1"/>
    <col min="13061" max="13061" width="29.42578125" customWidth="1"/>
    <col min="13062" max="13062" width="22.7109375" customWidth="1"/>
    <col min="13063" max="13063" width="51.5703125" customWidth="1"/>
    <col min="13064" max="13064" width="25.28515625" customWidth="1"/>
    <col min="13065" max="13065" width="51.5703125" customWidth="1"/>
    <col min="13066" max="13066" width="25.28515625" customWidth="1"/>
    <col min="13067" max="13067" width="51.5703125" customWidth="1"/>
    <col min="13068" max="13068" width="25.28515625" customWidth="1"/>
    <col min="13069" max="13069" width="51.5703125" customWidth="1"/>
    <col min="13070" max="13070" width="37.7109375" customWidth="1"/>
    <col min="13071" max="13071" width="51.5703125" customWidth="1"/>
    <col min="13072" max="13072" width="26.85546875" customWidth="1"/>
    <col min="13073" max="13073" width="51.5703125" customWidth="1"/>
    <col min="13074" max="13074" width="25.28515625" customWidth="1"/>
    <col min="13075" max="13075" width="141" customWidth="1"/>
    <col min="13076" max="13076" width="35" customWidth="1"/>
    <col min="13077" max="13077" width="51.5703125" customWidth="1"/>
    <col min="13078" max="13078" width="24" customWidth="1"/>
    <col min="13079" max="13079" width="141" customWidth="1"/>
    <col min="13080" max="13080" width="28.140625" customWidth="1"/>
    <col min="13081" max="13081" width="141" customWidth="1"/>
    <col min="13082" max="13082" width="58.28515625" customWidth="1"/>
    <col min="13083" max="13083" width="83" customWidth="1"/>
    <col min="13084" max="13084" width="94.140625" customWidth="1"/>
    <col min="13085" max="13085" width="52.85546875" customWidth="1"/>
    <col min="13086" max="13086" width="32.28515625" customWidth="1"/>
    <col min="13087" max="13087" width="3.42578125" customWidth="1"/>
    <col min="13313" max="13313" width="21.140625" customWidth="1"/>
    <col min="13314" max="13314" width="51.5703125" customWidth="1"/>
    <col min="13315" max="13315" width="10.28515625" customWidth="1"/>
    <col min="13316" max="13316" width="15.7109375" customWidth="1"/>
    <col min="13317" max="13317" width="29.42578125" customWidth="1"/>
    <col min="13318" max="13318" width="22.7109375" customWidth="1"/>
    <col min="13319" max="13319" width="51.5703125" customWidth="1"/>
    <col min="13320" max="13320" width="25.28515625" customWidth="1"/>
    <col min="13321" max="13321" width="51.5703125" customWidth="1"/>
    <col min="13322" max="13322" width="25.28515625" customWidth="1"/>
    <col min="13323" max="13323" width="51.5703125" customWidth="1"/>
    <col min="13324" max="13324" width="25.28515625" customWidth="1"/>
    <col min="13325" max="13325" width="51.5703125" customWidth="1"/>
    <col min="13326" max="13326" width="37.7109375" customWidth="1"/>
    <col min="13327" max="13327" width="51.5703125" customWidth="1"/>
    <col min="13328" max="13328" width="26.85546875" customWidth="1"/>
    <col min="13329" max="13329" width="51.5703125" customWidth="1"/>
    <col min="13330" max="13330" width="25.28515625" customWidth="1"/>
    <col min="13331" max="13331" width="141" customWidth="1"/>
    <col min="13332" max="13332" width="35" customWidth="1"/>
    <col min="13333" max="13333" width="51.5703125" customWidth="1"/>
    <col min="13334" max="13334" width="24" customWidth="1"/>
    <col min="13335" max="13335" width="141" customWidth="1"/>
    <col min="13336" max="13336" width="28.140625" customWidth="1"/>
    <col min="13337" max="13337" width="141" customWidth="1"/>
    <col min="13338" max="13338" width="58.28515625" customWidth="1"/>
    <col min="13339" max="13339" width="83" customWidth="1"/>
    <col min="13340" max="13340" width="94.140625" customWidth="1"/>
    <col min="13341" max="13341" width="52.85546875" customWidth="1"/>
    <col min="13342" max="13342" width="32.28515625" customWidth="1"/>
    <col min="13343" max="13343" width="3.42578125" customWidth="1"/>
    <col min="13569" max="13569" width="21.140625" customWidth="1"/>
    <col min="13570" max="13570" width="51.5703125" customWidth="1"/>
    <col min="13571" max="13571" width="10.28515625" customWidth="1"/>
    <col min="13572" max="13572" width="15.7109375" customWidth="1"/>
    <col min="13573" max="13573" width="29.42578125" customWidth="1"/>
    <col min="13574" max="13574" width="22.7109375" customWidth="1"/>
    <col min="13575" max="13575" width="51.5703125" customWidth="1"/>
    <col min="13576" max="13576" width="25.28515625" customWidth="1"/>
    <col min="13577" max="13577" width="51.5703125" customWidth="1"/>
    <col min="13578" max="13578" width="25.28515625" customWidth="1"/>
    <col min="13579" max="13579" width="51.5703125" customWidth="1"/>
    <col min="13580" max="13580" width="25.28515625" customWidth="1"/>
    <col min="13581" max="13581" width="51.5703125" customWidth="1"/>
    <col min="13582" max="13582" width="37.7109375" customWidth="1"/>
    <col min="13583" max="13583" width="51.5703125" customWidth="1"/>
    <col min="13584" max="13584" width="26.85546875" customWidth="1"/>
    <col min="13585" max="13585" width="51.5703125" customWidth="1"/>
    <col min="13586" max="13586" width="25.28515625" customWidth="1"/>
    <col min="13587" max="13587" width="141" customWidth="1"/>
    <col min="13588" max="13588" width="35" customWidth="1"/>
    <col min="13589" max="13589" width="51.5703125" customWidth="1"/>
    <col min="13590" max="13590" width="24" customWidth="1"/>
    <col min="13591" max="13591" width="141" customWidth="1"/>
    <col min="13592" max="13592" width="28.140625" customWidth="1"/>
    <col min="13593" max="13593" width="141" customWidth="1"/>
    <col min="13594" max="13594" width="58.28515625" customWidth="1"/>
    <col min="13595" max="13595" width="83" customWidth="1"/>
    <col min="13596" max="13596" width="94.140625" customWidth="1"/>
    <col min="13597" max="13597" width="52.85546875" customWidth="1"/>
    <col min="13598" max="13598" width="32.28515625" customWidth="1"/>
    <col min="13599" max="13599" width="3.42578125" customWidth="1"/>
    <col min="13825" max="13825" width="21.140625" customWidth="1"/>
    <col min="13826" max="13826" width="51.5703125" customWidth="1"/>
    <col min="13827" max="13827" width="10.28515625" customWidth="1"/>
    <col min="13828" max="13828" width="15.7109375" customWidth="1"/>
    <col min="13829" max="13829" width="29.42578125" customWidth="1"/>
    <col min="13830" max="13830" width="22.7109375" customWidth="1"/>
    <col min="13831" max="13831" width="51.5703125" customWidth="1"/>
    <col min="13832" max="13832" width="25.28515625" customWidth="1"/>
    <col min="13833" max="13833" width="51.5703125" customWidth="1"/>
    <col min="13834" max="13834" width="25.28515625" customWidth="1"/>
    <col min="13835" max="13835" width="51.5703125" customWidth="1"/>
    <col min="13836" max="13836" width="25.28515625" customWidth="1"/>
    <col min="13837" max="13837" width="51.5703125" customWidth="1"/>
    <col min="13838" max="13838" width="37.7109375" customWidth="1"/>
    <col min="13839" max="13839" width="51.5703125" customWidth="1"/>
    <col min="13840" max="13840" width="26.85546875" customWidth="1"/>
    <col min="13841" max="13841" width="51.5703125" customWidth="1"/>
    <col min="13842" max="13842" width="25.28515625" customWidth="1"/>
    <col min="13843" max="13843" width="141" customWidth="1"/>
    <col min="13844" max="13844" width="35" customWidth="1"/>
    <col min="13845" max="13845" width="51.5703125" customWidth="1"/>
    <col min="13846" max="13846" width="24" customWidth="1"/>
    <col min="13847" max="13847" width="141" customWidth="1"/>
    <col min="13848" max="13848" width="28.140625" customWidth="1"/>
    <col min="13849" max="13849" width="141" customWidth="1"/>
    <col min="13850" max="13850" width="58.28515625" customWidth="1"/>
    <col min="13851" max="13851" width="83" customWidth="1"/>
    <col min="13852" max="13852" width="94.140625" customWidth="1"/>
    <col min="13853" max="13853" width="52.85546875" customWidth="1"/>
    <col min="13854" max="13854" width="32.28515625" customWidth="1"/>
    <col min="13855" max="13855" width="3.42578125" customWidth="1"/>
    <col min="14081" max="14081" width="21.140625" customWidth="1"/>
    <col min="14082" max="14082" width="51.5703125" customWidth="1"/>
    <col min="14083" max="14083" width="10.28515625" customWidth="1"/>
    <col min="14084" max="14084" width="15.7109375" customWidth="1"/>
    <col min="14085" max="14085" width="29.42578125" customWidth="1"/>
    <col min="14086" max="14086" width="22.7109375" customWidth="1"/>
    <col min="14087" max="14087" width="51.5703125" customWidth="1"/>
    <col min="14088" max="14088" width="25.28515625" customWidth="1"/>
    <col min="14089" max="14089" width="51.5703125" customWidth="1"/>
    <col min="14090" max="14090" width="25.28515625" customWidth="1"/>
    <col min="14091" max="14091" width="51.5703125" customWidth="1"/>
    <col min="14092" max="14092" width="25.28515625" customWidth="1"/>
    <col min="14093" max="14093" width="51.5703125" customWidth="1"/>
    <col min="14094" max="14094" width="37.7109375" customWidth="1"/>
    <col min="14095" max="14095" width="51.5703125" customWidth="1"/>
    <col min="14096" max="14096" width="26.85546875" customWidth="1"/>
    <col min="14097" max="14097" width="51.5703125" customWidth="1"/>
    <col min="14098" max="14098" width="25.28515625" customWidth="1"/>
    <col min="14099" max="14099" width="141" customWidth="1"/>
    <col min="14100" max="14100" width="35" customWidth="1"/>
    <col min="14101" max="14101" width="51.5703125" customWidth="1"/>
    <col min="14102" max="14102" width="24" customWidth="1"/>
    <col min="14103" max="14103" width="141" customWidth="1"/>
    <col min="14104" max="14104" width="28.140625" customWidth="1"/>
    <col min="14105" max="14105" width="141" customWidth="1"/>
    <col min="14106" max="14106" width="58.28515625" customWidth="1"/>
    <col min="14107" max="14107" width="83" customWidth="1"/>
    <col min="14108" max="14108" width="94.140625" customWidth="1"/>
    <col min="14109" max="14109" width="52.85546875" customWidth="1"/>
    <col min="14110" max="14110" width="32.28515625" customWidth="1"/>
    <col min="14111" max="14111" width="3.42578125" customWidth="1"/>
    <col min="14337" max="14337" width="21.140625" customWidth="1"/>
    <col min="14338" max="14338" width="51.5703125" customWidth="1"/>
    <col min="14339" max="14339" width="10.28515625" customWidth="1"/>
    <col min="14340" max="14340" width="15.7109375" customWidth="1"/>
    <col min="14341" max="14341" width="29.42578125" customWidth="1"/>
    <col min="14342" max="14342" width="22.7109375" customWidth="1"/>
    <col min="14343" max="14343" width="51.5703125" customWidth="1"/>
    <col min="14344" max="14344" width="25.28515625" customWidth="1"/>
    <col min="14345" max="14345" width="51.5703125" customWidth="1"/>
    <col min="14346" max="14346" width="25.28515625" customWidth="1"/>
    <col min="14347" max="14347" width="51.5703125" customWidth="1"/>
    <col min="14348" max="14348" width="25.28515625" customWidth="1"/>
    <col min="14349" max="14349" width="51.5703125" customWidth="1"/>
    <col min="14350" max="14350" width="37.7109375" customWidth="1"/>
    <col min="14351" max="14351" width="51.5703125" customWidth="1"/>
    <col min="14352" max="14352" width="26.85546875" customWidth="1"/>
    <col min="14353" max="14353" width="51.5703125" customWidth="1"/>
    <col min="14354" max="14354" width="25.28515625" customWidth="1"/>
    <col min="14355" max="14355" width="141" customWidth="1"/>
    <col min="14356" max="14356" width="35" customWidth="1"/>
    <col min="14357" max="14357" width="51.5703125" customWidth="1"/>
    <col min="14358" max="14358" width="24" customWidth="1"/>
    <col min="14359" max="14359" width="141" customWidth="1"/>
    <col min="14360" max="14360" width="28.140625" customWidth="1"/>
    <col min="14361" max="14361" width="141" customWidth="1"/>
    <col min="14362" max="14362" width="58.28515625" customWidth="1"/>
    <col min="14363" max="14363" width="83" customWidth="1"/>
    <col min="14364" max="14364" width="94.140625" customWidth="1"/>
    <col min="14365" max="14365" width="52.85546875" customWidth="1"/>
    <col min="14366" max="14366" width="32.28515625" customWidth="1"/>
    <col min="14367" max="14367" width="3.42578125" customWidth="1"/>
    <col min="14593" max="14593" width="21.140625" customWidth="1"/>
    <col min="14594" max="14594" width="51.5703125" customWidth="1"/>
    <col min="14595" max="14595" width="10.28515625" customWidth="1"/>
    <col min="14596" max="14596" width="15.7109375" customWidth="1"/>
    <col min="14597" max="14597" width="29.42578125" customWidth="1"/>
    <col min="14598" max="14598" width="22.7109375" customWidth="1"/>
    <col min="14599" max="14599" width="51.5703125" customWidth="1"/>
    <col min="14600" max="14600" width="25.28515625" customWidth="1"/>
    <col min="14601" max="14601" width="51.5703125" customWidth="1"/>
    <col min="14602" max="14602" width="25.28515625" customWidth="1"/>
    <col min="14603" max="14603" width="51.5703125" customWidth="1"/>
    <col min="14604" max="14604" width="25.28515625" customWidth="1"/>
    <col min="14605" max="14605" width="51.5703125" customWidth="1"/>
    <col min="14606" max="14606" width="37.7109375" customWidth="1"/>
    <col min="14607" max="14607" width="51.5703125" customWidth="1"/>
    <col min="14608" max="14608" width="26.85546875" customWidth="1"/>
    <col min="14609" max="14609" width="51.5703125" customWidth="1"/>
    <col min="14610" max="14610" width="25.28515625" customWidth="1"/>
    <col min="14611" max="14611" width="141" customWidth="1"/>
    <col min="14612" max="14612" width="35" customWidth="1"/>
    <col min="14613" max="14613" width="51.5703125" customWidth="1"/>
    <col min="14614" max="14614" width="24" customWidth="1"/>
    <col min="14615" max="14615" width="141" customWidth="1"/>
    <col min="14616" max="14616" width="28.140625" customWidth="1"/>
    <col min="14617" max="14617" width="141" customWidth="1"/>
    <col min="14618" max="14618" width="58.28515625" customWidth="1"/>
    <col min="14619" max="14619" width="83" customWidth="1"/>
    <col min="14620" max="14620" width="94.140625" customWidth="1"/>
    <col min="14621" max="14621" width="52.85546875" customWidth="1"/>
    <col min="14622" max="14622" width="32.28515625" customWidth="1"/>
    <col min="14623" max="14623" width="3.42578125" customWidth="1"/>
    <col min="14849" max="14849" width="21.140625" customWidth="1"/>
    <col min="14850" max="14850" width="51.5703125" customWidth="1"/>
    <col min="14851" max="14851" width="10.28515625" customWidth="1"/>
    <col min="14852" max="14852" width="15.7109375" customWidth="1"/>
    <col min="14853" max="14853" width="29.42578125" customWidth="1"/>
    <col min="14854" max="14854" width="22.7109375" customWidth="1"/>
    <col min="14855" max="14855" width="51.5703125" customWidth="1"/>
    <col min="14856" max="14856" width="25.28515625" customWidth="1"/>
    <col min="14857" max="14857" width="51.5703125" customWidth="1"/>
    <col min="14858" max="14858" width="25.28515625" customWidth="1"/>
    <col min="14859" max="14859" width="51.5703125" customWidth="1"/>
    <col min="14860" max="14860" width="25.28515625" customWidth="1"/>
    <col min="14861" max="14861" width="51.5703125" customWidth="1"/>
    <col min="14862" max="14862" width="37.7109375" customWidth="1"/>
    <col min="14863" max="14863" width="51.5703125" customWidth="1"/>
    <col min="14864" max="14864" width="26.85546875" customWidth="1"/>
    <col min="14865" max="14865" width="51.5703125" customWidth="1"/>
    <col min="14866" max="14866" width="25.28515625" customWidth="1"/>
    <col min="14867" max="14867" width="141" customWidth="1"/>
    <col min="14868" max="14868" width="35" customWidth="1"/>
    <col min="14869" max="14869" width="51.5703125" customWidth="1"/>
    <col min="14870" max="14870" width="24" customWidth="1"/>
    <col min="14871" max="14871" width="141" customWidth="1"/>
    <col min="14872" max="14872" width="28.140625" customWidth="1"/>
    <col min="14873" max="14873" width="141" customWidth="1"/>
    <col min="14874" max="14874" width="58.28515625" customWidth="1"/>
    <col min="14875" max="14875" width="83" customWidth="1"/>
    <col min="14876" max="14876" width="94.140625" customWidth="1"/>
    <col min="14877" max="14877" width="52.85546875" customWidth="1"/>
    <col min="14878" max="14878" width="32.28515625" customWidth="1"/>
    <col min="14879" max="14879" width="3.42578125" customWidth="1"/>
    <col min="15105" max="15105" width="21.140625" customWidth="1"/>
    <col min="15106" max="15106" width="51.5703125" customWidth="1"/>
    <col min="15107" max="15107" width="10.28515625" customWidth="1"/>
    <col min="15108" max="15108" width="15.7109375" customWidth="1"/>
    <col min="15109" max="15109" width="29.42578125" customWidth="1"/>
    <col min="15110" max="15110" width="22.7109375" customWidth="1"/>
    <col min="15111" max="15111" width="51.5703125" customWidth="1"/>
    <col min="15112" max="15112" width="25.28515625" customWidth="1"/>
    <col min="15113" max="15113" width="51.5703125" customWidth="1"/>
    <col min="15114" max="15114" width="25.28515625" customWidth="1"/>
    <col min="15115" max="15115" width="51.5703125" customWidth="1"/>
    <col min="15116" max="15116" width="25.28515625" customWidth="1"/>
    <col min="15117" max="15117" width="51.5703125" customWidth="1"/>
    <col min="15118" max="15118" width="37.7109375" customWidth="1"/>
    <col min="15119" max="15119" width="51.5703125" customWidth="1"/>
    <col min="15120" max="15120" width="26.85546875" customWidth="1"/>
    <col min="15121" max="15121" width="51.5703125" customWidth="1"/>
    <col min="15122" max="15122" width="25.28515625" customWidth="1"/>
    <col min="15123" max="15123" width="141" customWidth="1"/>
    <col min="15124" max="15124" width="35" customWidth="1"/>
    <col min="15125" max="15125" width="51.5703125" customWidth="1"/>
    <col min="15126" max="15126" width="24" customWidth="1"/>
    <col min="15127" max="15127" width="141" customWidth="1"/>
    <col min="15128" max="15128" width="28.140625" customWidth="1"/>
    <col min="15129" max="15129" width="141" customWidth="1"/>
    <col min="15130" max="15130" width="58.28515625" customWidth="1"/>
    <col min="15131" max="15131" width="83" customWidth="1"/>
    <col min="15132" max="15132" width="94.140625" customWidth="1"/>
    <col min="15133" max="15133" width="52.85546875" customWidth="1"/>
    <col min="15134" max="15134" width="32.28515625" customWidth="1"/>
    <col min="15135" max="15135" width="3.42578125" customWidth="1"/>
    <col min="15361" max="15361" width="21.140625" customWidth="1"/>
    <col min="15362" max="15362" width="51.5703125" customWidth="1"/>
    <col min="15363" max="15363" width="10.28515625" customWidth="1"/>
    <col min="15364" max="15364" width="15.7109375" customWidth="1"/>
    <col min="15365" max="15365" width="29.42578125" customWidth="1"/>
    <col min="15366" max="15366" width="22.7109375" customWidth="1"/>
    <col min="15367" max="15367" width="51.5703125" customWidth="1"/>
    <col min="15368" max="15368" width="25.28515625" customWidth="1"/>
    <col min="15369" max="15369" width="51.5703125" customWidth="1"/>
    <col min="15370" max="15370" width="25.28515625" customWidth="1"/>
    <col min="15371" max="15371" width="51.5703125" customWidth="1"/>
    <col min="15372" max="15372" width="25.28515625" customWidth="1"/>
    <col min="15373" max="15373" width="51.5703125" customWidth="1"/>
    <col min="15374" max="15374" width="37.7109375" customWidth="1"/>
    <col min="15375" max="15375" width="51.5703125" customWidth="1"/>
    <col min="15376" max="15376" width="26.85546875" customWidth="1"/>
    <col min="15377" max="15377" width="51.5703125" customWidth="1"/>
    <col min="15378" max="15378" width="25.28515625" customWidth="1"/>
    <col min="15379" max="15379" width="141" customWidth="1"/>
    <col min="15380" max="15380" width="35" customWidth="1"/>
    <col min="15381" max="15381" width="51.5703125" customWidth="1"/>
    <col min="15382" max="15382" width="24" customWidth="1"/>
    <col min="15383" max="15383" width="141" customWidth="1"/>
    <col min="15384" max="15384" width="28.140625" customWidth="1"/>
    <col min="15385" max="15385" width="141" customWidth="1"/>
    <col min="15386" max="15386" width="58.28515625" customWidth="1"/>
    <col min="15387" max="15387" width="83" customWidth="1"/>
    <col min="15388" max="15388" width="94.140625" customWidth="1"/>
    <col min="15389" max="15389" width="52.85546875" customWidth="1"/>
    <col min="15390" max="15390" width="32.28515625" customWidth="1"/>
    <col min="15391" max="15391" width="3.42578125" customWidth="1"/>
    <col min="15617" max="15617" width="21.140625" customWidth="1"/>
    <col min="15618" max="15618" width="51.5703125" customWidth="1"/>
    <col min="15619" max="15619" width="10.28515625" customWidth="1"/>
    <col min="15620" max="15620" width="15.7109375" customWidth="1"/>
    <col min="15621" max="15621" width="29.42578125" customWidth="1"/>
    <col min="15622" max="15622" width="22.7109375" customWidth="1"/>
    <col min="15623" max="15623" width="51.5703125" customWidth="1"/>
    <col min="15624" max="15624" width="25.28515625" customWidth="1"/>
    <col min="15625" max="15625" width="51.5703125" customWidth="1"/>
    <col min="15626" max="15626" width="25.28515625" customWidth="1"/>
    <col min="15627" max="15627" width="51.5703125" customWidth="1"/>
    <col min="15628" max="15628" width="25.28515625" customWidth="1"/>
    <col min="15629" max="15629" width="51.5703125" customWidth="1"/>
    <col min="15630" max="15630" width="37.7109375" customWidth="1"/>
    <col min="15631" max="15631" width="51.5703125" customWidth="1"/>
    <col min="15632" max="15632" width="26.85546875" customWidth="1"/>
    <col min="15633" max="15633" width="51.5703125" customWidth="1"/>
    <col min="15634" max="15634" width="25.28515625" customWidth="1"/>
    <col min="15635" max="15635" width="141" customWidth="1"/>
    <col min="15636" max="15636" width="35" customWidth="1"/>
    <col min="15637" max="15637" width="51.5703125" customWidth="1"/>
    <col min="15638" max="15638" width="24" customWidth="1"/>
    <col min="15639" max="15639" width="141" customWidth="1"/>
    <col min="15640" max="15640" width="28.140625" customWidth="1"/>
    <col min="15641" max="15641" width="141" customWidth="1"/>
    <col min="15642" max="15642" width="58.28515625" customWidth="1"/>
    <col min="15643" max="15643" width="83" customWidth="1"/>
    <col min="15644" max="15644" width="94.140625" customWidth="1"/>
    <col min="15645" max="15645" width="52.85546875" customWidth="1"/>
    <col min="15646" max="15646" width="32.28515625" customWidth="1"/>
    <col min="15647" max="15647" width="3.42578125" customWidth="1"/>
    <col min="15873" max="15873" width="21.140625" customWidth="1"/>
    <col min="15874" max="15874" width="51.5703125" customWidth="1"/>
    <col min="15875" max="15875" width="10.28515625" customWidth="1"/>
    <col min="15876" max="15876" width="15.7109375" customWidth="1"/>
    <col min="15877" max="15877" width="29.42578125" customWidth="1"/>
    <col min="15878" max="15878" width="22.7109375" customWidth="1"/>
    <col min="15879" max="15879" width="51.5703125" customWidth="1"/>
    <col min="15880" max="15880" width="25.28515625" customWidth="1"/>
    <col min="15881" max="15881" width="51.5703125" customWidth="1"/>
    <col min="15882" max="15882" width="25.28515625" customWidth="1"/>
    <col min="15883" max="15883" width="51.5703125" customWidth="1"/>
    <col min="15884" max="15884" width="25.28515625" customWidth="1"/>
    <col min="15885" max="15885" width="51.5703125" customWidth="1"/>
    <col min="15886" max="15886" width="37.7109375" customWidth="1"/>
    <col min="15887" max="15887" width="51.5703125" customWidth="1"/>
    <col min="15888" max="15888" width="26.85546875" customWidth="1"/>
    <col min="15889" max="15889" width="51.5703125" customWidth="1"/>
    <col min="15890" max="15890" width="25.28515625" customWidth="1"/>
    <col min="15891" max="15891" width="141" customWidth="1"/>
    <col min="15892" max="15892" width="35" customWidth="1"/>
    <col min="15893" max="15893" width="51.5703125" customWidth="1"/>
    <col min="15894" max="15894" width="24" customWidth="1"/>
    <col min="15895" max="15895" width="141" customWidth="1"/>
    <col min="15896" max="15896" width="28.140625" customWidth="1"/>
    <col min="15897" max="15897" width="141" customWidth="1"/>
    <col min="15898" max="15898" width="58.28515625" customWidth="1"/>
    <col min="15899" max="15899" width="83" customWidth="1"/>
    <col min="15900" max="15900" width="94.140625" customWidth="1"/>
    <col min="15901" max="15901" width="52.85546875" customWidth="1"/>
    <col min="15902" max="15902" width="32.28515625" customWidth="1"/>
    <col min="15903" max="15903" width="3.42578125" customWidth="1"/>
    <col min="16129" max="16129" width="21.140625" customWidth="1"/>
    <col min="16130" max="16130" width="51.5703125" customWidth="1"/>
    <col min="16131" max="16131" width="10.28515625" customWidth="1"/>
    <col min="16132" max="16132" width="15.7109375" customWidth="1"/>
    <col min="16133" max="16133" width="29.42578125" customWidth="1"/>
    <col min="16134" max="16134" width="22.7109375" customWidth="1"/>
    <col min="16135" max="16135" width="51.5703125" customWidth="1"/>
    <col min="16136" max="16136" width="25.28515625" customWidth="1"/>
    <col min="16137" max="16137" width="51.5703125" customWidth="1"/>
    <col min="16138" max="16138" width="25.28515625" customWidth="1"/>
    <col min="16139" max="16139" width="51.5703125" customWidth="1"/>
    <col min="16140" max="16140" width="25.28515625" customWidth="1"/>
    <col min="16141" max="16141" width="51.5703125" customWidth="1"/>
    <col min="16142" max="16142" width="37.7109375" customWidth="1"/>
    <col min="16143" max="16143" width="51.5703125" customWidth="1"/>
    <col min="16144" max="16144" width="26.85546875" customWidth="1"/>
    <col min="16145" max="16145" width="51.5703125" customWidth="1"/>
    <col min="16146" max="16146" width="25.28515625" customWidth="1"/>
    <col min="16147" max="16147" width="141" customWidth="1"/>
    <col min="16148" max="16148" width="35" customWidth="1"/>
    <col min="16149" max="16149" width="51.5703125" customWidth="1"/>
    <col min="16150" max="16150" width="24" customWidth="1"/>
    <col min="16151" max="16151" width="141" customWidth="1"/>
    <col min="16152" max="16152" width="28.140625" customWidth="1"/>
    <col min="16153" max="16153" width="141" customWidth="1"/>
    <col min="16154" max="16154" width="58.28515625" customWidth="1"/>
    <col min="16155" max="16155" width="83" customWidth="1"/>
    <col min="16156" max="16156" width="94.140625" customWidth="1"/>
    <col min="16157" max="16157" width="52.85546875" customWidth="1"/>
    <col min="16158" max="16158" width="32.28515625" customWidth="1"/>
    <col min="16159" max="16159" width="3.42578125" customWidth="1"/>
  </cols>
  <sheetData>
    <row r="1" spans="1:31" ht="18" x14ac:dyDescent="0.25">
      <c r="A1" s="22" t="s">
        <v>267</v>
      </c>
      <c r="B1" s="23"/>
      <c r="C1" s="23"/>
      <c r="D1" s="23"/>
      <c r="E1" s="23"/>
      <c r="F1" s="23"/>
      <c r="G1" s="23"/>
      <c r="H1" s="23"/>
    </row>
    <row r="3" spans="1:31" x14ac:dyDescent="0.25">
      <c r="A3" s="7" t="s">
        <v>268</v>
      </c>
      <c r="B3" s="7" t="s">
        <v>269</v>
      </c>
      <c r="C3" s="7" t="s">
        <v>270</v>
      </c>
      <c r="D3" s="7" t="s">
        <v>271</v>
      </c>
      <c r="E3" s="7" t="s">
        <v>272</v>
      </c>
      <c r="F3" s="7" t="s">
        <v>273</v>
      </c>
      <c r="G3" s="7" t="s">
        <v>274</v>
      </c>
      <c r="H3" s="7" t="s">
        <v>275</v>
      </c>
      <c r="I3" s="7" t="s">
        <v>276</v>
      </c>
      <c r="J3" s="7" t="s">
        <v>277</v>
      </c>
      <c r="K3" s="7" t="s">
        <v>278</v>
      </c>
      <c r="L3" s="7" t="s">
        <v>279</v>
      </c>
      <c r="M3" s="7" t="s">
        <v>280</v>
      </c>
      <c r="N3" s="7" t="s">
        <v>281</v>
      </c>
      <c r="O3" s="7" t="s">
        <v>282</v>
      </c>
      <c r="P3" s="7" t="s">
        <v>283</v>
      </c>
      <c r="Q3" s="7" t="s">
        <v>284</v>
      </c>
      <c r="R3" s="7" t="s">
        <v>285</v>
      </c>
      <c r="S3" s="7" t="s">
        <v>286</v>
      </c>
      <c r="T3" s="7" t="s">
        <v>287</v>
      </c>
      <c r="U3" s="7" t="s">
        <v>288</v>
      </c>
      <c r="V3" s="7" t="s">
        <v>289</v>
      </c>
      <c r="W3" s="7" t="s">
        <v>290</v>
      </c>
      <c r="X3" s="7" t="s">
        <v>291</v>
      </c>
      <c r="Y3" s="7" t="s">
        <v>292</v>
      </c>
      <c r="Z3" s="7" t="s">
        <v>293</v>
      </c>
      <c r="AA3" s="7" t="s">
        <v>294</v>
      </c>
      <c r="AB3" s="7" t="s">
        <v>295</v>
      </c>
      <c r="AC3" s="7" t="s">
        <v>296</v>
      </c>
      <c r="AD3" s="7" t="s">
        <v>297</v>
      </c>
      <c r="AE3" s="7"/>
    </row>
    <row r="4" spans="1:31" x14ac:dyDescent="0.25">
      <c r="A4">
        <v>1000000</v>
      </c>
      <c r="B4" t="s">
        <v>396</v>
      </c>
      <c r="C4" t="s">
        <v>163</v>
      </c>
      <c r="D4" t="s">
        <v>4</v>
      </c>
      <c r="E4" t="s">
        <v>4</v>
      </c>
      <c r="P4">
        <v>0</v>
      </c>
      <c r="Q4" t="s">
        <v>298</v>
      </c>
      <c r="R4" t="s">
        <v>13</v>
      </c>
      <c r="V4" s="8"/>
      <c r="X4" s="8"/>
      <c r="Z4" t="s">
        <v>299</v>
      </c>
    </row>
    <row r="5" spans="1:31" x14ac:dyDescent="0.25">
      <c r="A5">
        <v>2000000</v>
      </c>
      <c r="B5" t="s">
        <v>399</v>
      </c>
      <c r="C5" t="s">
        <v>163</v>
      </c>
      <c r="D5" t="s">
        <v>4</v>
      </c>
      <c r="E5" t="s">
        <v>163</v>
      </c>
      <c r="P5">
        <v>0</v>
      </c>
      <c r="Q5" t="s">
        <v>298</v>
      </c>
      <c r="R5" t="s">
        <v>13</v>
      </c>
      <c r="V5" s="8"/>
      <c r="X5" s="8"/>
      <c r="Z5" t="s">
        <v>301</v>
      </c>
    </row>
    <row r="6" spans="1:31" x14ac:dyDescent="0.25">
      <c r="A6">
        <v>8000000</v>
      </c>
      <c r="B6" t="s">
        <v>369</v>
      </c>
      <c r="C6" t="s">
        <v>163</v>
      </c>
      <c r="D6" t="s">
        <v>163</v>
      </c>
      <c r="E6" t="s">
        <v>4</v>
      </c>
      <c r="P6">
        <v>0</v>
      </c>
      <c r="Q6" t="s">
        <v>298</v>
      </c>
      <c r="V6" s="8"/>
      <c r="X6" s="8"/>
      <c r="Z6" t="s">
        <v>301</v>
      </c>
    </row>
    <row r="7" spans="1:31" x14ac:dyDescent="0.25">
      <c r="A7">
        <v>9000000</v>
      </c>
      <c r="B7" t="s">
        <v>117</v>
      </c>
      <c r="C7" t="s">
        <v>163</v>
      </c>
      <c r="D7" t="s">
        <v>163</v>
      </c>
      <c r="E7" t="s">
        <v>163</v>
      </c>
      <c r="P7">
        <v>0</v>
      </c>
      <c r="Q7" t="s">
        <v>298</v>
      </c>
      <c r="R7" t="s">
        <v>13</v>
      </c>
      <c r="V7" s="8"/>
      <c r="X7" s="8"/>
      <c r="Z7" t="s">
        <v>299</v>
      </c>
    </row>
    <row r="8" spans="1:31" x14ac:dyDescent="0.25">
      <c r="A8">
        <v>1010000</v>
      </c>
      <c r="B8" t="s">
        <v>300</v>
      </c>
      <c r="C8" t="s">
        <v>163</v>
      </c>
      <c r="D8" t="s">
        <v>4</v>
      </c>
      <c r="E8" t="s">
        <v>163</v>
      </c>
      <c r="P8">
        <v>0</v>
      </c>
      <c r="Q8" t="s">
        <v>298</v>
      </c>
      <c r="R8" t="s">
        <v>13</v>
      </c>
      <c r="S8" t="s">
        <v>304</v>
      </c>
      <c r="T8">
        <v>4</v>
      </c>
      <c r="U8" t="s">
        <v>305</v>
      </c>
      <c r="V8" s="8">
        <v>0.65</v>
      </c>
      <c r="W8" t="s">
        <v>304</v>
      </c>
      <c r="X8" s="8">
        <v>3</v>
      </c>
      <c r="Z8" t="s">
        <v>301</v>
      </c>
    </row>
    <row r="9" spans="1:31" x14ac:dyDescent="0.25">
      <c r="A9">
        <v>1020000</v>
      </c>
      <c r="B9" t="s">
        <v>397</v>
      </c>
      <c r="C9" t="s">
        <v>163</v>
      </c>
      <c r="D9" t="s">
        <v>4</v>
      </c>
      <c r="E9" t="s">
        <v>163</v>
      </c>
      <c r="P9">
        <v>0</v>
      </c>
      <c r="Q9" t="s">
        <v>298</v>
      </c>
      <c r="R9" t="s">
        <v>13</v>
      </c>
      <c r="S9" t="s">
        <v>304</v>
      </c>
      <c r="T9">
        <v>4</v>
      </c>
      <c r="U9" t="s">
        <v>305</v>
      </c>
      <c r="V9" s="8">
        <v>0.65</v>
      </c>
      <c r="W9" t="s">
        <v>304</v>
      </c>
      <c r="X9" s="8">
        <v>3</v>
      </c>
      <c r="Z9" t="s">
        <v>301</v>
      </c>
    </row>
    <row r="10" spans="1:31" x14ac:dyDescent="0.25">
      <c r="A10">
        <v>1010100</v>
      </c>
      <c r="B10" t="s">
        <v>302</v>
      </c>
      <c r="C10" t="s">
        <v>163</v>
      </c>
      <c r="D10" t="s">
        <v>4</v>
      </c>
      <c r="E10" t="s">
        <v>163</v>
      </c>
      <c r="P10">
        <v>0</v>
      </c>
      <c r="Q10" t="s">
        <v>298</v>
      </c>
      <c r="R10" t="s">
        <v>13</v>
      </c>
      <c r="V10" s="8"/>
      <c r="X10" s="8"/>
      <c r="Z10" t="s">
        <v>301</v>
      </c>
    </row>
    <row r="11" spans="1:31" x14ac:dyDescent="0.25">
      <c r="A11">
        <v>1010107</v>
      </c>
      <c r="B11" t="s">
        <v>151</v>
      </c>
      <c r="C11" t="s">
        <v>163</v>
      </c>
      <c r="D11" t="s">
        <v>163</v>
      </c>
      <c r="E11" t="s">
        <v>163</v>
      </c>
      <c r="P11">
        <v>0</v>
      </c>
      <c r="Q11" t="s">
        <v>298</v>
      </c>
      <c r="R11" t="s">
        <v>13</v>
      </c>
      <c r="S11" t="s">
        <v>304</v>
      </c>
      <c r="T11">
        <v>2</v>
      </c>
      <c r="U11" t="s">
        <v>308</v>
      </c>
      <c r="V11" s="8">
        <v>0.65</v>
      </c>
      <c r="W11" t="s">
        <v>304</v>
      </c>
      <c r="X11" s="8">
        <v>3</v>
      </c>
      <c r="Z11" t="s">
        <v>301</v>
      </c>
    </row>
    <row r="12" spans="1:31" x14ac:dyDescent="0.25">
      <c r="A12">
        <v>1010200</v>
      </c>
      <c r="B12" t="s">
        <v>307</v>
      </c>
      <c r="C12" t="s">
        <v>163</v>
      </c>
      <c r="D12" t="s">
        <v>4</v>
      </c>
      <c r="E12" t="s">
        <v>163</v>
      </c>
      <c r="P12">
        <v>0</v>
      </c>
      <c r="Q12" t="s">
        <v>298</v>
      </c>
      <c r="R12" t="s">
        <v>13</v>
      </c>
      <c r="V12" s="8"/>
      <c r="X12" s="8"/>
      <c r="Z12" t="s">
        <v>301</v>
      </c>
    </row>
    <row r="13" spans="1:31" x14ac:dyDescent="0.25">
      <c r="A13">
        <v>1010101</v>
      </c>
      <c r="B13" t="s">
        <v>16</v>
      </c>
      <c r="C13" t="s">
        <v>163</v>
      </c>
      <c r="D13" t="s">
        <v>163</v>
      </c>
      <c r="E13" t="s">
        <v>163</v>
      </c>
      <c r="P13">
        <v>0</v>
      </c>
      <c r="Q13" t="s">
        <v>298</v>
      </c>
      <c r="R13" t="s">
        <v>13</v>
      </c>
      <c r="S13" t="s">
        <v>309</v>
      </c>
      <c r="T13">
        <v>3</v>
      </c>
      <c r="U13" t="s">
        <v>310</v>
      </c>
      <c r="V13" s="8">
        <v>0.65</v>
      </c>
      <c r="W13" t="s">
        <v>309</v>
      </c>
      <c r="X13" s="8">
        <v>4</v>
      </c>
      <c r="Z13" t="s">
        <v>301</v>
      </c>
    </row>
    <row r="14" spans="1:31" x14ac:dyDescent="0.25">
      <c r="A14">
        <v>1010102</v>
      </c>
      <c r="B14" t="s">
        <v>303</v>
      </c>
      <c r="C14" t="s">
        <v>163</v>
      </c>
      <c r="D14" t="s">
        <v>163</v>
      </c>
      <c r="E14" t="s">
        <v>163</v>
      </c>
      <c r="P14">
        <v>0</v>
      </c>
      <c r="Q14" t="s">
        <v>298</v>
      </c>
      <c r="R14" t="s">
        <v>13</v>
      </c>
      <c r="V14" s="8"/>
      <c r="X14" s="8"/>
      <c r="Z14" t="s">
        <v>301</v>
      </c>
    </row>
    <row r="15" spans="1:31" x14ac:dyDescent="0.25">
      <c r="A15">
        <v>1010103</v>
      </c>
      <c r="B15" t="s">
        <v>391</v>
      </c>
      <c r="C15" t="s">
        <v>163</v>
      </c>
      <c r="D15" t="s">
        <v>163</v>
      </c>
      <c r="E15" t="s">
        <v>163</v>
      </c>
      <c r="P15">
        <v>0</v>
      </c>
      <c r="Q15" t="s">
        <v>298</v>
      </c>
      <c r="R15" t="s">
        <v>13</v>
      </c>
      <c r="V15" s="8"/>
      <c r="X15" s="8"/>
      <c r="Z15" t="s">
        <v>301</v>
      </c>
    </row>
    <row r="16" spans="1:31" x14ac:dyDescent="0.25">
      <c r="A16">
        <v>1010104</v>
      </c>
      <c r="B16" t="s">
        <v>135</v>
      </c>
      <c r="C16" t="s">
        <v>163</v>
      </c>
      <c r="D16" t="s">
        <v>163</v>
      </c>
      <c r="E16" t="s">
        <v>163</v>
      </c>
      <c r="P16">
        <v>0</v>
      </c>
      <c r="Q16" t="s">
        <v>298</v>
      </c>
      <c r="R16" t="s">
        <v>13</v>
      </c>
      <c r="V16" s="8"/>
      <c r="X16" s="8"/>
      <c r="Z16" t="s">
        <v>301</v>
      </c>
    </row>
    <row r="17" spans="1:26" x14ac:dyDescent="0.25">
      <c r="A17">
        <v>1010105</v>
      </c>
      <c r="B17" t="s">
        <v>306</v>
      </c>
      <c r="C17" t="s">
        <v>163</v>
      </c>
      <c r="D17" t="s">
        <v>163</v>
      </c>
      <c r="E17" t="s">
        <v>163</v>
      </c>
      <c r="P17">
        <v>0</v>
      </c>
      <c r="Q17" t="s">
        <v>298</v>
      </c>
      <c r="R17" t="s">
        <v>13</v>
      </c>
      <c r="V17" s="8"/>
      <c r="X17" s="8"/>
      <c r="Z17" t="s">
        <v>299</v>
      </c>
    </row>
    <row r="18" spans="1:26" x14ac:dyDescent="0.25">
      <c r="A18">
        <v>1010106</v>
      </c>
      <c r="B18" t="s">
        <v>365</v>
      </c>
      <c r="C18" t="s">
        <v>163</v>
      </c>
      <c r="D18" t="s">
        <v>163</v>
      </c>
      <c r="E18" t="s">
        <v>163</v>
      </c>
      <c r="P18">
        <v>0</v>
      </c>
      <c r="Q18" t="s">
        <v>298</v>
      </c>
      <c r="R18" t="s">
        <v>13</v>
      </c>
      <c r="V18" s="8"/>
      <c r="X18" s="8"/>
      <c r="Z18" t="s">
        <v>301</v>
      </c>
    </row>
    <row r="19" spans="1:26" x14ac:dyDescent="0.25">
      <c r="A19">
        <v>2010000</v>
      </c>
      <c r="B19" t="s">
        <v>429</v>
      </c>
      <c r="C19" t="s">
        <v>163</v>
      </c>
      <c r="D19" t="s">
        <v>4</v>
      </c>
      <c r="E19" t="s">
        <v>163</v>
      </c>
      <c r="P19">
        <v>0</v>
      </c>
      <c r="Q19" t="s">
        <v>298</v>
      </c>
      <c r="R19" t="s">
        <v>13</v>
      </c>
      <c r="V19" s="8"/>
      <c r="X19" s="8"/>
      <c r="Z19" t="s">
        <v>301</v>
      </c>
    </row>
    <row r="20" spans="1:26" x14ac:dyDescent="0.25">
      <c r="A20">
        <v>2020000</v>
      </c>
      <c r="B20" t="s">
        <v>175</v>
      </c>
      <c r="C20" t="s">
        <v>163</v>
      </c>
      <c r="D20" t="s">
        <v>4</v>
      </c>
      <c r="E20" t="s">
        <v>163</v>
      </c>
      <c r="P20">
        <v>0</v>
      </c>
      <c r="Q20" t="s">
        <v>298</v>
      </c>
      <c r="R20" t="s">
        <v>13</v>
      </c>
      <c r="V20" s="8"/>
      <c r="X20" s="8"/>
      <c r="Z20" t="s">
        <v>301</v>
      </c>
    </row>
    <row r="21" spans="1:26" x14ac:dyDescent="0.25">
      <c r="A21">
        <v>2030000</v>
      </c>
      <c r="B21" t="s">
        <v>411</v>
      </c>
      <c r="C21" t="s">
        <v>163</v>
      </c>
      <c r="D21" t="s">
        <v>4</v>
      </c>
      <c r="E21" t="s">
        <v>163</v>
      </c>
      <c r="P21">
        <v>0</v>
      </c>
      <c r="Q21" t="s">
        <v>298</v>
      </c>
      <c r="R21" t="s">
        <v>13</v>
      </c>
      <c r="V21" s="8"/>
      <c r="X21" s="8"/>
      <c r="Z21" t="s">
        <v>301</v>
      </c>
    </row>
    <row r="22" spans="1:26" x14ac:dyDescent="0.25">
      <c r="A22">
        <v>2040000</v>
      </c>
      <c r="B22" t="s">
        <v>384</v>
      </c>
      <c r="C22" t="s">
        <v>163</v>
      </c>
      <c r="D22" t="s">
        <v>4</v>
      </c>
      <c r="E22" t="s">
        <v>163</v>
      </c>
      <c r="P22">
        <v>0</v>
      </c>
      <c r="Q22" t="s">
        <v>298</v>
      </c>
      <c r="R22" t="s">
        <v>7</v>
      </c>
      <c r="V22" s="8"/>
      <c r="X22" s="8"/>
      <c r="Z22" t="s">
        <v>301</v>
      </c>
    </row>
    <row r="23" spans="1:26" x14ac:dyDescent="0.25">
      <c r="A23">
        <v>1020100</v>
      </c>
      <c r="B23" t="s">
        <v>234</v>
      </c>
      <c r="C23" t="s">
        <v>163</v>
      </c>
      <c r="D23" t="s">
        <v>4</v>
      </c>
      <c r="E23" t="s">
        <v>163</v>
      </c>
      <c r="P23">
        <v>0</v>
      </c>
      <c r="Q23" t="s">
        <v>298</v>
      </c>
      <c r="R23" t="s">
        <v>7</v>
      </c>
      <c r="V23" s="8"/>
      <c r="X23" s="8"/>
      <c r="Z23" t="s">
        <v>301</v>
      </c>
    </row>
    <row r="24" spans="1:26" x14ac:dyDescent="0.25">
      <c r="A24">
        <v>1020200</v>
      </c>
      <c r="B24" t="s">
        <v>29</v>
      </c>
      <c r="C24" t="s">
        <v>163</v>
      </c>
      <c r="D24" t="s">
        <v>4</v>
      </c>
      <c r="E24" t="s">
        <v>163</v>
      </c>
      <c r="P24">
        <v>0</v>
      </c>
      <c r="Q24" t="s">
        <v>298</v>
      </c>
      <c r="R24" t="s">
        <v>7</v>
      </c>
      <c r="V24" s="8"/>
      <c r="X24" s="8"/>
      <c r="Z24" t="s">
        <v>317</v>
      </c>
    </row>
    <row r="25" spans="1:26" x14ac:dyDescent="0.25">
      <c r="A25">
        <v>1020209</v>
      </c>
      <c r="B25" t="s">
        <v>30</v>
      </c>
      <c r="C25" t="s">
        <v>163</v>
      </c>
      <c r="D25" t="s">
        <v>163</v>
      </c>
      <c r="E25" t="s">
        <v>163</v>
      </c>
      <c r="P25">
        <v>0</v>
      </c>
      <c r="Q25" t="s">
        <v>298</v>
      </c>
      <c r="R25" t="s">
        <v>7</v>
      </c>
      <c r="V25" s="8"/>
      <c r="X25" s="8"/>
      <c r="Z25" t="s">
        <v>317</v>
      </c>
    </row>
    <row r="26" spans="1:26" x14ac:dyDescent="0.25">
      <c r="A26">
        <v>1020210</v>
      </c>
      <c r="B26" t="s">
        <v>451</v>
      </c>
      <c r="C26" t="s">
        <v>163</v>
      </c>
      <c r="D26" t="s">
        <v>163</v>
      </c>
      <c r="E26" t="s">
        <v>163</v>
      </c>
      <c r="P26">
        <v>0</v>
      </c>
      <c r="Q26" t="s">
        <v>298</v>
      </c>
      <c r="R26" t="s">
        <v>7</v>
      </c>
      <c r="V26" s="8"/>
      <c r="X26" s="8"/>
      <c r="Z26" t="s">
        <v>317</v>
      </c>
    </row>
    <row r="27" spans="1:26" x14ac:dyDescent="0.25">
      <c r="A27">
        <v>1020211</v>
      </c>
      <c r="B27" t="s">
        <v>460</v>
      </c>
      <c r="C27" t="s">
        <v>163</v>
      </c>
      <c r="D27" t="s">
        <v>163</v>
      </c>
      <c r="E27" t="s">
        <v>163</v>
      </c>
      <c r="P27">
        <v>0</v>
      </c>
      <c r="Q27" t="s">
        <v>298</v>
      </c>
      <c r="R27" t="s">
        <v>7</v>
      </c>
      <c r="S27" t="s">
        <v>321</v>
      </c>
      <c r="T27">
        <v>5</v>
      </c>
      <c r="U27" t="s">
        <v>322</v>
      </c>
      <c r="V27" s="8">
        <v>1.65</v>
      </c>
      <c r="W27" t="s">
        <v>321</v>
      </c>
      <c r="X27" s="8">
        <v>7.6</v>
      </c>
      <c r="Y27" t="s">
        <v>323</v>
      </c>
      <c r="Z27" t="s">
        <v>317</v>
      </c>
    </row>
    <row r="28" spans="1:26" x14ac:dyDescent="0.25">
      <c r="A28">
        <v>1020212</v>
      </c>
      <c r="B28" t="s">
        <v>462</v>
      </c>
      <c r="C28" t="s">
        <v>163</v>
      </c>
      <c r="D28" t="s">
        <v>163</v>
      </c>
      <c r="E28" t="s">
        <v>163</v>
      </c>
      <c r="P28">
        <v>0</v>
      </c>
      <c r="Q28" t="s">
        <v>298</v>
      </c>
      <c r="R28" t="s">
        <v>7</v>
      </c>
      <c r="V28" s="8"/>
      <c r="X28" s="8"/>
      <c r="Z28" t="s">
        <v>301</v>
      </c>
    </row>
    <row r="29" spans="1:26" x14ac:dyDescent="0.25">
      <c r="A29">
        <v>1020101</v>
      </c>
      <c r="B29" t="s">
        <v>19</v>
      </c>
      <c r="C29" t="s">
        <v>163</v>
      </c>
      <c r="D29" t="s">
        <v>163</v>
      </c>
      <c r="E29" t="s">
        <v>163</v>
      </c>
      <c r="P29">
        <v>0</v>
      </c>
      <c r="Q29" t="s">
        <v>298</v>
      </c>
      <c r="R29" t="s">
        <v>7</v>
      </c>
      <c r="V29" s="8"/>
      <c r="X29" s="8"/>
      <c r="Z29" t="s">
        <v>301</v>
      </c>
    </row>
    <row r="30" spans="1:26" x14ac:dyDescent="0.25">
      <c r="A30">
        <v>1020102</v>
      </c>
      <c r="B30" t="s">
        <v>311</v>
      </c>
      <c r="C30" t="s">
        <v>163</v>
      </c>
      <c r="D30" t="s">
        <v>163</v>
      </c>
      <c r="E30" t="s">
        <v>163</v>
      </c>
      <c r="P30">
        <v>0</v>
      </c>
      <c r="Q30" t="s">
        <v>298</v>
      </c>
      <c r="R30" t="s">
        <v>7</v>
      </c>
      <c r="V30" s="8"/>
      <c r="X30" s="8"/>
      <c r="Z30" t="s">
        <v>301</v>
      </c>
    </row>
    <row r="31" spans="1:26" x14ac:dyDescent="0.25">
      <c r="A31">
        <v>1020103</v>
      </c>
      <c r="B31" t="s">
        <v>100</v>
      </c>
      <c r="C31" t="s">
        <v>163</v>
      </c>
      <c r="D31" t="s">
        <v>163</v>
      </c>
      <c r="E31" t="s">
        <v>4</v>
      </c>
      <c r="P31">
        <v>0</v>
      </c>
      <c r="Q31" t="s">
        <v>298</v>
      </c>
      <c r="R31" t="s">
        <v>7</v>
      </c>
      <c r="V31" s="8"/>
      <c r="X31" s="8"/>
      <c r="Z31" t="s">
        <v>301</v>
      </c>
    </row>
    <row r="32" spans="1:26" x14ac:dyDescent="0.25">
      <c r="A32">
        <v>1020201</v>
      </c>
      <c r="B32" t="s">
        <v>111</v>
      </c>
      <c r="C32" t="s">
        <v>163</v>
      </c>
      <c r="D32" t="s">
        <v>163</v>
      </c>
      <c r="E32" t="s">
        <v>163</v>
      </c>
      <c r="P32">
        <v>0</v>
      </c>
      <c r="Q32" t="s">
        <v>298</v>
      </c>
      <c r="R32" t="s">
        <v>7</v>
      </c>
      <c r="V32" s="8"/>
      <c r="X32" s="8"/>
      <c r="Z32" t="s">
        <v>301</v>
      </c>
    </row>
    <row r="33" spans="1:26" x14ac:dyDescent="0.25">
      <c r="A33">
        <v>1020202</v>
      </c>
      <c r="B33" t="s">
        <v>398</v>
      </c>
      <c r="C33" t="s">
        <v>163</v>
      </c>
      <c r="D33" t="s">
        <v>163</v>
      </c>
      <c r="E33" t="s">
        <v>163</v>
      </c>
      <c r="P33">
        <v>0</v>
      </c>
      <c r="Q33" t="s">
        <v>298</v>
      </c>
      <c r="R33" t="s">
        <v>7</v>
      </c>
      <c r="V33" s="8"/>
      <c r="X33" s="8"/>
      <c r="Z33" t="s">
        <v>301</v>
      </c>
    </row>
    <row r="34" spans="1:26" x14ac:dyDescent="0.25">
      <c r="A34">
        <v>1020203</v>
      </c>
      <c r="B34" t="s">
        <v>312</v>
      </c>
      <c r="C34" t="s">
        <v>163</v>
      </c>
      <c r="D34" t="s">
        <v>163</v>
      </c>
      <c r="E34" t="s">
        <v>163</v>
      </c>
      <c r="P34">
        <v>0</v>
      </c>
      <c r="Q34" t="s">
        <v>298</v>
      </c>
      <c r="R34" t="s">
        <v>7</v>
      </c>
      <c r="V34" s="8"/>
      <c r="X34" s="8"/>
      <c r="Z34" t="s">
        <v>301</v>
      </c>
    </row>
    <row r="35" spans="1:26" x14ac:dyDescent="0.25">
      <c r="A35">
        <v>1020204</v>
      </c>
      <c r="B35" t="s">
        <v>12</v>
      </c>
      <c r="C35" t="s">
        <v>163</v>
      </c>
      <c r="D35" t="s">
        <v>163</v>
      </c>
      <c r="E35" t="s">
        <v>163</v>
      </c>
      <c r="P35">
        <v>0</v>
      </c>
      <c r="Q35" t="s">
        <v>298</v>
      </c>
      <c r="R35" t="s">
        <v>7</v>
      </c>
      <c r="V35" s="8"/>
      <c r="X35" s="8"/>
      <c r="Z35" t="s">
        <v>301</v>
      </c>
    </row>
    <row r="36" spans="1:26" x14ac:dyDescent="0.25">
      <c r="A36">
        <v>1020205</v>
      </c>
      <c r="B36" t="s">
        <v>119</v>
      </c>
      <c r="C36" t="s">
        <v>163</v>
      </c>
      <c r="D36" t="s">
        <v>163</v>
      </c>
      <c r="E36" t="s">
        <v>163</v>
      </c>
      <c r="P36">
        <v>0</v>
      </c>
      <c r="Q36" t="s">
        <v>298</v>
      </c>
      <c r="R36" t="s">
        <v>7</v>
      </c>
      <c r="V36" s="8"/>
      <c r="X36" s="8"/>
      <c r="Z36" t="s">
        <v>301</v>
      </c>
    </row>
    <row r="37" spans="1:26" x14ac:dyDescent="0.25">
      <c r="A37">
        <v>1020206</v>
      </c>
      <c r="B37" t="s">
        <v>128</v>
      </c>
      <c r="C37" t="s">
        <v>163</v>
      </c>
      <c r="D37" t="s">
        <v>163</v>
      </c>
      <c r="E37" t="s">
        <v>163</v>
      </c>
      <c r="P37">
        <v>0</v>
      </c>
      <c r="Q37" t="s">
        <v>298</v>
      </c>
      <c r="R37" t="s">
        <v>7</v>
      </c>
      <c r="V37" s="8"/>
      <c r="X37" s="8"/>
      <c r="Z37" t="s">
        <v>317</v>
      </c>
    </row>
    <row r="38" spans="1:26" x14ac:dyDescent="0.25">
      <c r="A38">
        <v>1020207</v>
      </c>
      <c r="B38" t="s">
        <v>313</v>
      </c>
      <c r="C38" t="s">
        <v>163</v>
      </c>
      <c r="D38" t="s">
        <v>163</v>
      </c>
      <c r="E38" t="s">
        <v>163</v>
      </c>
      <c r="P38">
        <v>0</v>
      </c>
      <c r="Q38" t="s">
        <v>298</v>
      </c>
      <c r="R38" t="s">
        <v>7</v>
      </c>
      <c r="V38" s="8"/>
      <c r="X38" s="8"/>
      <c r="Z38" t="s">
        <v>317</v>
      </c>
    </row>
    <row r="39" spans="1:26" x14ac:dyDescent="0.25">
      <c r="A39">
        <v>1020208</v>
      </c>
      <c r="B39" t="s">
        <v>71</v>
      </c>
      <c r="C39" t="s">
        <v>163</v>
      </c>
      <c r="D39" t="s">
        <v>163</v>
      </c>
      <c r="E39" t="s">
        <v>163</v>
      </c>
      <c r="P39">
        <v>0</v>
      </c>
      <c r="Q39" t="s">
        <v>298</v>
      </c>
      <c r="R39" t="s">
        <v>7</v>
      </c>
      <c r="V39" s="8"/>
      <c r="X39" s="8"/>
      <c r="Z39" t="s">
        <v>317</v>
      </c>
    </row>
    <row r="40" spans="1:26" x14ac:dyDescent="0.25">
      <c r="A40">
        <v>2010100</v>
      </c>
      <c r="B40" t="s">
        <v>430</v>
      </c>
      <c r="C40" t="s">
        <v>163</v>
      </c>
      <c r="D40" t="s">
        <v>4</v>
      </c>
      <c r="E40" t="s">
        <v>163</v>
      </c>
      <c r="P40">
        <v>0</v>
      </c>
      <c r="Q40" t="s">
        <v>298</v>
      </c>
      <c r="R40" t="s">
        <v>7</v>
      </c>
      <c r="V40" s="8"/>
      <c r="X40" s="8"/>
      <c r="Z40" t="s">
        <v>317</v>
      </c>
    </row>
    <row r="41" spans="1:26" x14ac:dyDescent="0.25">
      <c r="A41">
        <v>2010200</v>
      </c>
      <c r="B41" t="s">
        <v>402</v>
      </c>
      <c r="C41" t="s">
        <v>163</v>
      </c>
      <c r="D41" t="s">
        <v>4</v>
      </c>
      <c r="E41" t="s">
        <v>4</v>
      </c>
      <c r="P41">
        <v>0</v>
      </c>
      <c r="Q41" t="s">
        <v>298</v>
      </c>
      <c r="R41" t="s">
        <v>7</v>
      </c>
      <c r="V41" s="8"/>
      <c r="X41" s="8"/>
      <c r="Z41" t="s">
        <v>317</v>
      </c>
    </row>
    <row r="42" spans="1:26" x14ac:dyDescent="0.25">
      <c r="A42">
        <v>2010202</v>
      </c>
      <c r="B42" t="s">
        <v>428</v>
      </c>
      <c r="C42" t="s">
        <v>163</v>
      </c>
      <c r="D42" t="s">
        <v>163</v>
      </c>
      <c r="E42" t="s">
        <v>163</v>
      </c>
      <c r="P42">
        <v>0</v>
      </c>
      <c r="Q42" t="s">
        <v>298</v>
      </c>
      <c r="R42" t="s">
        <v>7</v>
      </c>
      <c r="V42" s="8"/>
      <c r="X42" s="8"/>
      <c r="Z42" t="s">
        <v>317</v>
      </c>
    </row>
    <row r="43" spans="1:26" x14ac:dyDescent="0.25">
      <c r="A43">
        <v>2010300</v>
      </c>
      <c r="B43" t="s">
        <v>315</v>
      </c>
      <c r="C43" t="s">
        <v>163</v>
      </c>
      <c r="D43" t="s">
        <v>4</v>
      </c>
      <c r="E43" t="s">
        <v>163</v>
      </c>
      <c r="P43">
        <v>0</v>
      </c>
      <c r="Q43" t="s">
        <v>298</v>
      </c>
      <c r="R43" t="s">
        <v>7</v>
      </c>
      <c r="V43" s="8"/>
      <c r="X43" s="8"/>
      <c r="Z43" t="s">
        <v>317</v>
      </c>
    </row>
    <row r="44" spans="1:26" x14ac:dyDescent="0.25">
      <c r="A44">
        <v>2010321</v>
      </c>
      <c r="B44" t="s">
        <v>121</v>
      </c>
      <c r="C44" t="s">
        <v>163</v>
      </c>
      <c r="D44" t="s">
        <v>163</v>
      </c>
      <c r="E44" t="s">
        <v>163</v>
      </c>
      <c r="P44">
        <v>0</v>
      </c>
      <c r="Q44" t="s">
        <v>298</v>
      </c>
      <c r="R44" t="s">
        <v>7</v>
      </c>
      <c r="V44" s="8"/>
      <c r="X44" s="8"/>
      <c r="Z44" t="s">
        <v>317</v>
      </c>
    </row>
    <row r="45" spans="1:26" x14ac:dyDescent="0.25">
      <c r="A45">
        <v>2010322</v>
      </c>
      <c r="B45" t="s">
        <v>386</v>
      </c>
      <c r="C45" t="s">
        <v>163</v>
      </c>
      <c r="D45" t="s">
        <v>163</v>
      </c>
      <c r="E45" t="s">
        <v>163</v>
      </c>
      <c r="P45">
        <v>0</v>
      </c>
      <c r="Q45" t="s">
        <v>298</v>
      </c>
      <c r="R45" t="s">
        <v>7</v>
      </c>
      <c r="V45" s="8"/>
      <c r="X45" s="8"/>
      <c r="Z45" t="s">
        <v>317</v>
      </c>
    </row>
    <row r="46" spans="1:26" x14ac:dyDescent="0.25">
      <c r="A46">
        <v>2010323</v>
      </c>
      <c r="B46" t="s">
        <v>387</v>
      </c>
      <c r="C46" t="s">
        <v>4</v>
      </c>
      <c r="D46" t="s">
        <v>163</v>
      </c>
      <c r="E46" t="s">
        <v>163</v>
      </c>
      <c r="P46">
        <v>0</v>
      </c>
      <c r="Q46" t="s">
        <v>298</v>
      </c>
      <c r="R46" t="s">
        <v>7</v>
      </c>
      <c r="V46" s="8"/>
      <c r="X46" s="8"/>
      <c r="Z46" t="s">
        <v>317</v>
      </c>
    </row>
    <row r="47" spans="1:26" x14ac:dyDescent="0.25">
      <c r="A47">
        <v>2010324</v>
      </c>
      <c r="B47" t="s">
        <v>142</v>
      </c>
      <c r="C47" t="s">
        <v>163</v>
      </c>
      <c r="D47" t="s">
        <v>163</v>
      </c>
      <c r="E47" t="s">
        <v>163</v>
      </c>
      <c r="P47">
        <v>0</v>
      </c>
      <c r="Q47" t="s">
        <v>298</v>
      </c>
      <c r="R47" t="s">
        <v>7</v>
      </c>
      <c r="V47" s="8"/>
      <c r="X47" s="8"/>
      <c r="Z47" t="s">
        <v>317</v>
      </c>
    </row>
    <row r="48" spans="1:26" x14ac:dyDescent="0.25">
      <c r="A48">
        <v>2010325</v>
      </c>
      <c r="B48" t="s">
        <v>453</v>
      </c>
      <c r="C48" t="s">
        <v>4</v>
      </c>
      <c r="D48" t="s">
        <v>163</v>
      </c>
      <c r="E48" t="s">
        <v>163</v>
      </c>
      <c r="P48">
        <v>0</v>
      </c>
      <c r="Q48" t="s">
        <v>298</v>
      </c>
      <c r="R48" t="s">
        <v>7</v>
      </c>
      <c r="V48" s="8"/>
      <c r="X48" s="8"/>
      <c r="Z48" t="s">
        <v>317</v>
      </c>
    </row>
    <row r="49" spans="1:26" x14ac:dyDescent="0.25">
      <c r="A49">
        <v>2010326</v>
      </c>
      <c r="B49" t="s">
        <v>454</v>
      </c>
      <c r="C49" t="s">
        <v>163</v>
      </c>
      <c r="D49" t="s">
        <v>163</v>
      </c>
      <c r="E49" t="s">
        <v>163</v>
      </c>
      <c r="P49">
        <v>0</v>
      </c>
      <c r="Q49" t="s">
        <v>298</v>
      </c>
      <c r="R49" t="s">
        <v>7</v>
      </c>
      <c r="V49" s="8"/>
      <c r="X49" s="8"/>
      <c r="Z49" t="s">
        <v>317</v>
      </c>
    </row>
    <row r="50" spans="1:26" x14ac:dyDescent="0.25">
      <c r="A50">
        <v>2010327</v>
      </c>
      <c r="B50" t="s">
        <v>455</v>
      </c>
      <c r="C50" t="s">
        <v>4</v>
      </c>
      <c r="D50" t="s">
        <v>163</v>
      </c>
      <c r="E50" t="s">
        <v>163</v>
      </c>
      <c r="P50">
        <v>0</v>
      </c>
      <c r="Q50" t="s">
        <v>298</v>
      </c>
      <c r="R50" t="s">
        <v>7</v>
      </c>
      <c r="V50" s="8"/>
      <c r="X50" s="8"/>
      <c r="Z50" t="s">
        <v>317</v>
      </c>
    </row>
    <row r="51" spans="1:26" x14ac:dyDescent="0.25">
      <c r="A51">
        <v>2010328</v>
      </c>
      <c r="B51" t="s">
        <v>456</v>
      </c>
      <c r="C51" t="s">
        <v>163</v>
      </c>
      <c r="D51" t="s">
        <v>163</v>
      </c>
      <c r="E51" t="s">
        <v>163</v>
      </c>
      <c r="P51">
        <v>0</v>
      </c>
      <c r="Q51" t="s">
        <v>298</v>
      </c>
      <c r="R51" t="s">
        <v>7</v>
      </c>
      <c r="V51" s="8"/>
      <c r="X51" s="8"/>
      <c r="Z51" t="s">
        <v>317</v>
      </c>
    </row>
    <row r="52" spans="1:26" x14ac:dyDescent="0.25">
      <c r="A52">
        <v>2010329</v>
      </c>
      <c r="B52" t="s">
        <v>388</v>
      </c>
      <c r="C52" t="s">
        <v>163</v>
      </c>
      <c r="D52" t="s">
        <v>163</v>
      </c>
      <c r="E52" t="s">
        <v>163</v>
      </c>
      <c r="P52">
        <v>0</v>
      </c>
      <c r="Q52" t="s">
        <v>298</v>
      </c>
      <c r="R52" t="s">
        <v>7</v>
      </c>
      <c r="V52" s="8"/>
      <c r="X52" s="8"/>
      <c r="Z52" t="s">
        <v>317</v>
      </c>
    </row>
    <row r="53" spans="1:26" x14ac:dyDescent="0.25">
      <c r="A53">
        <v>2010330</v>
      </c>
      <c r="B53" t="s">
        <v>466</v>
      </c>
      <c r="C53" t="s">
        <v>163</v>
      </c>
      <c r="D53" t="s">
        <v>163</v>
      </c>
      <c r="E53" t="s">
        <v>163</v>
      </c>
      <c r="P53">
        <v>0</v>
      </c>
      <c r="Q53" t="s">
        <v>298</v>
      </c>
      <c r="R53" t="s">
        <v>7</v>
      </c>
      <c r="V53" s="8"/>
      <c r="X53" s="8"/>
      <c r="Z53" t="s">
        <v>317</v>
      </c>
    </row>
    <row r="54" spans="1:26" x14ac:dyDescent="0.25">
      <c r="A54">
        <v>2010331</v>
      </c>
      <c r="B54" t="s">
        <v>467</v>
      </c>
      <c r="C54" t="s">
        <v>163</v>
      </c>
      <c r="D54" t="s">
        <v>163</v>
      </c>
      <c r="E54" t="s">
        <v>163</v>
      </c>
      <c r="P54">
        <v>0</v>
      </c>
      <c r="Q54" t="s">
        <v>298</v>
      </c>
      <c r="R54" t="s">
        <v>7</v>
      </c>
      <c r="V54" s="8"/>
      <c r="X54" s="8"/>
      <c r="Z54" t="s">
        <v>317</v>
      </c>
    </row>
    <row r="55" spans="1:26" x14ac:dyDescent="0.25">
      <c r="A55">
        <v>2010332</v>
      </c>
      <c r="B55" t="s">
        <v>468</v>
      </c>
      <c r="C55" t="s">
        <v>163</v>
      </c>
      <c r="D55" t="s">
        <v>163</v>
      </c>
      <c r="E55" t="s">
        <v>163</v>
      </c>
      <c r="P55">
        <v>0</v>
      </c>
      <c r="Q55" t="s">
        <v>298</v>
      </c>
      <c r="R55" t="s">
        <v>7</v>
      </c>
      <c r="V55" s="8"/>
      <c r="X55" s="8"/>
      <c r="Z55" t="s">
        <v>317</v>
      </c>
    </row>
    <row r="56" spans="1:26" x14ac:dyDescent="0.25">
      <c r="A56">
        <v>2010400</v>
      </c>
      <c r="B56" t="s">
        <v>406</v>
      </c>
      <c r="C56" t="s">
        <v>163</v>
      </c>
      <c r="D56" t="s">
        <v>4</v>
      </c>
      <c r="E56" t="s">
        <v>163</v>
      </c>
      <c r="P56">
        <v>0</v>
      </c>
      <c r="Q56" t="s">
        <v>298</v>
      </c>
      <c r="R56" t="s">
        <v>7</v>
      </c>
      <c r="V56" s="8"/>
      <c r="X56" s="8"/>
      <c r="Y56" t="s">
        <v>337</v>
      </c>
      <c r="Z56" t="s">
        <v>317</v>
      </c>
    </row>
    <row r="57" spans="1:26" x14ac:dyDescent="0.25">
      <c r="A57">
        <v>2010500</v>
      </c>
      <c r="B57" t="s">
        <v>325</v>
      </c>
      <c r="C57" t="s">
        <v>4</v>
      </c>
      <c r="D57" t="s">
        <v>4</v>
      </c>
      <c r="E57" t="s">
        <v>163</v>
      </c>
      <c r="P57">
        <v>0</v>
      </c>
      <c r="Q57" t="s">
        <v>298</v>
      </c>
      <c r="R57" t="s">
        <v>7</v>
      </c>
      <c r="V57" s="8"/>
      <c r="X57" s="8"/>
      <c r="Z57" t="s">
        <v>317</v>
      </c>
    </row>
    <row r="58" spans="1:26" x14ac:dyDescent="0.25">
      <c r="A58">
        <v>2010510</v>
      </c>
      <c r="B58" t="s">
        <v>425</v>
      </c>
      <c r="C58" t="s">
        <v>163</v>
      </c>
      <c r="D58" t="s">
        <v>163</v>
      </c>
      <c r="E58" t="s">
        <v>163</v>
      </c>
      <c r="P58">
        <v>0</v>
      </c>
      <c r="Q58" t="s">
        <v>298</v>
      </c>
      <c r="R58" t="s">
        <v>7</v>
      </c>
      <c r="V58" s="8"/>
      <c r="X58" s="8"/>
      <c r="Z58" t="s">
        <v>317</v>
      </c>
    </row>
    <row r="59" spans="1:26" x14ac:dyDescent="0.25">
      <c r="A59">
        <v>2010600</v>
      </c>
      <c r="B59" t="s">
        <v>326</v>
      </c>
      <c r="C59" t="s">
        <v>163</v>
      </c>
      <c r="D59" t="s">
        <v>4</v>
      </c>
      <c r="E59" t="s">
        <v>163</v>
      </c>
      <c r="P59">
        <v>0</v>
      </c>
      <c r="Q59" t="s">
        <v>298</v>
      </c>
      <c r="R59" t="s">
        <v>7</v>
      </c>
      <c r="V59" s="8"/>
      <c r="X59" s="8"/>
      <c r="Z59" t="s">
        <v>317</v>
      </c>
    </row>
    <row r="60" spans="1:26" x14ac:dyDescent="0.25">
      <c r="A60">
        <v>2010608</v>
      </c>
      <c r="B60" t="s">
        <v>89</v>
      </c>
      <c r="C60" t="s">
        <v>163</v>
      </c>
      <c r="D60" t="s">
        <v>163</v>
      </c>
      <c r="E60" t="s">
        <v>163</v>
      </c>
      <c r="P60">
        <v>0</v>
      </c>
      <c r="Q60" t="s">
        <v>298</v>
      </c>
      <c r="R60" t="s">
        <v>7</v>
      </c>
      <c r="V60" s="8"/>
      <c r="X60" s="8"/>
      <c r="Z60" t="s">
        <v>317</v>
      </c>
    </row>
    <row r="61" spans="1:26" x14ac:dyDescent="0.25">
      <c r="A61">
        <v>2010700</v>
      </c>
      <c r="B61" t="s">
        <v>363</v>
      </c>
      <c r="C61" t="s">
        <v>163</v>
      </c>
      <c r="D61" t="s">
        <v>4</v>
      </c>
      <c r="E61" t="s">
        <v>163</v>
      </c>
      <c r="P61">
        <v>0</v>
      </c>
      <c r="Q61" t="s">
        <v>298</v>
      </c>
      <c r="R61" t="s">
        <v>7</v>
      </c>
      <c r="V61" s="8"/>
      <c r="X61" s="8"/>
      <c r="Z61" t="s">
        <v>317</v>
      </c>
    </row>
    <row r="62" spans="1:26" x14ac:dyDescent="0.25">
      <c r="A62">
        <v>2010800</v>
      </c>
      <c r="B62" t="s">
        <v>426</v>
      </c>
      <c r="C62" t="s">
        <v>163</v>
      </c>
      <c r="D62" t="s">
        <v>4</v>
      </c>
      <c r="E62" t="s">
        <v>163</v>
      </c>
      <c r="P62">
        <v>0</v>
      </c>
      <c r="Q62" t="s">
        <v>298</v>
      </c>
      <c r="R62" t="s">
        <v>7</v>
      </c>
      <c r="V62" s="8"/>
      <c r="X62" s="8"/>
      <c r="Z62" t="s">
        <v>317</v>
      </c>
    </row>
    <row r="63" spans="1:26" x14ac:dyDescent="0.25">
      <c r="A63">
        <v>2010801</v>
      </c>
      <c r="B63" t="s">
        <v>374</v>
      </c>
      <c r="C63" t="s">
        <v>163</v>
      </c>
      <c r="D63" t="s">
        <v>163</v>
      </c>
      <c r="E63" t="s">
        <v>163</v>
      </c>
      <c r="P63">
        <v>0</v>
      </c>
      <c r="Q63" t="s">
        <v>298</v>
      </c>
      <c r="R63" t="s">
        <v>7</v>
      </c>
      <c r="V63" s="8"/>
      <c r="X63" s="8"/>
      <c r="Z63" t="s">
        <v>317</v>
      </c>
    </row>
    <row r="64" spans="1:26" x14ac:dyDescent="0.25">
      <c r="A64">
        <v>2010101</v>
      </c>
      <c r="B64" t="s">
        <v>400</v>
      </c>
      <c r="C64" t="s">
        <v>163</v>
      </c>
      <c r="D64" t="s">
        <v>163</v>
      </c>
      <c r="E64" t="s">
        <v>163</v>
      </c>
      <c r="P64">
        <v>0</v>
      </c>
      <c r="Q64" t="s">
        <v>298</v>
      </c>
      <c r="R64" t="s">
        <v>7</v>
      </c>
      <c r="V64" s="8"/>
      <c r="X64" s="8"/>
      <c r="Z64" t="s">
        <v>317</v>
      </c>
    </row>
    <row r="65" spans="1:26" x14ac:dyDescent="0.25">
      <c r="A65">
        <v>2010102</v>
      </c>
      <c r="B65" t="s">
        <v>401</v>
      </c>
      <c r="C65" t="s">
        <v>163</v>
      </c>
      <c r="D65" t="s">
        <v>163</v>
      </c>
      <c r="E65" t="s">
        <v>163</v>
      </c>
      <c r="P65">
        <v>0</v>
      </c>
      <c r="Q65" t="s">
        <v>298</v>
      </c>
      <c r="R65" t="s">
        <v>7</v>
      </c>
      <c r="V65" s="8"/>
      <c r="X65" s="8"/>
      <c r="Z65" t="s">
        <v>317</v>
      </c>
    </row>
    <row r="66" spans="1:26" x14ac:dyDescent="0.25">
      <c r="A66">
        <v>2010104</v>
      </c>
      <c r="B66" t="s">
        <v>443</v>
      </c>
      <c r="C66" t="s">
        <v>163</v>
      </c>
      <c r="D66" t="s">
        <v>163</v>
      </c>
      <c r="E66" t="s">
        <v>163</v>
      </c>
      <c r="P66">
        <v>0</v>
      </c>
      <c r="Q66" t="s">
        <v>298</v>
      </c>
      <c r="R66" t="s">
        <v>7</v>
      </c>
      <c r="V66" s="8"/>
      <c r="X66" s="8"/>
      <c r="Z66" t="s">
        <v>317</v>
      </c>
    </row>
    <row r="67" spans="1:26" x14ac:dyDescent="0.25">
      <c r="A67">
        <v>2010105</v>
      </c>
      <c r="B67" t="s">
        <v>448</v>
      </c>
      <c r="C67" t="s">
        <v>163</v>
      </c>
      <c r="D67" t="s">
        <v>163</v>
      </c>
      <c r="E67" t="s">
        <v>163</v>
      </c>
      <c r="P67">
        <v>0</v>
      </c>
      <c r="Q67" t="s">
        <v>298</v>
      </c>
      <c r="R67" t="s">
        <v>7</v>
      </c>
      <c r="V67" s="8"/>
      <c r="X67" s="8"/>
      <c r="Z67" t="s">
        <v>317</v>
      </c>
    </row>
    <row r="68" spans="1:26" x14ac:dyDescent="0.25">
      <c r="A68">
        <v>2010201</v>
      </c>
      <c r="B68" t="s">
        <v>314</v>
      </c>
      <c r="C68" t="s">
        <v>163</v>
      </c>
      <c r="D68" t="s">
        <v>163</v>
      </c>
      <c r="E68" t="s">
        <v>163</v>
      </c>
      <c r="P68">
        <v>0</v>
      </c>
      <c r="Q68" t="s">
        <v>298</v>
      </c>
      <c r="R68" t="s">
        <v>7</v>
      </c>
      <c r="V68" s="8"/>
      <c r="X68" s="8"/>
      <c r="Z68" t="s">
        <v>317</v>
      </c>
    </row>
    <row r="69" spans="1:26" x14ac:dyDescent="0.25">
      <c r="A69">
        <v>2010301</v>
      </c>
      <c r="B69" t="s">
        <v>68</v>
      </c>
      <c r="C69" t="s">
        <v>163</v>
      </c>
      <c r="D69" t="s">
        <v>163</v>
      </c>
      <c r="E69" t="s">
        <v>163</v>
      </c>
      <c r="P69">
        <v>0</v>
      </c>
      <c r="Q69" t="s">
        <v>298</v>
      </c>
      <c r="R69" t="s">
        <v>7</v>
      </c>
      <c r="V69" s="8"/>
      <c r="X69" s="8"/>
      <c r="Z69" t="s">
        <v>317</v>
      </c>
    </row>
    <row r="70" spans="1:26" x14ac:dyDescent="0.25">
      <c r="A70">
        <v>2010302</v>
      </c>
      <c r="B70" t="s">
        <v>431</v>
      </c>
      <c r="C70" t="s">
        <v>163</v>
      </c>
      <c r="D70" t="s">
        <v>163</v>
      </c>
      <c r="E70" t="s">
        <v>163</v>
      </c>
      <c r="P70">
        <v>0</v>
      </c>
      <c r="Q70" t="s">
        <v>298</v>
      </c>
      <c r="R70" t="s">
        <v>7</v>
      </c>
      <c r="V70" s="8"/>
      <c r="X70" s="8"/>
      <c r="Z70" t="s">
        <v>317</v>
      </c>
    </row>
    <row r="71" spans="1:26" x14ac:dyDescent="0.25">
      <c r="A71">
        <v>2010303</v>
      </c>
      <c r="B71" t="s">
        <v>432</v>
      </c>
      <c r="C71" t="s">
        <v>163</v>
      </c>
      <c r="D71" t="s">
        <v>163</v>
      </c>
      <c r="E71" t="s">
        <v>163</v>
      </c>
      <c r="P71">
        <v>0</v>
      </c>
      <c r="Q71" t="s">
        <v>298</v>
      </c>
      <c r="R71" t="s">
        <v>7</v>
      </c>
      <c r="V71" s="8"/>
      <c r="X71" s="8"/>
      <c r="Z71" t="s">
        <v>317</v>
      </c>
    </row>
    <row r="72" spans="1:26" x14ac:dyDescent="0.25">
      <c r="A72">
        <v>2010304</v>
      </c>
      <c r="B72" t="s">
        <v>433</v>
      </c>
      <c r="C72" t="s">
        <v>163</v>
      </c>
      <c r="D72" t="s">
        <v>163</v>
      </c>
      <c r="E72" t="s">
        <v>163</v>
      </c>
      <c r="P72">
        <v>0</v>
      </c>
      <c r="Q72" t="s">
        <v>298</v>
      </c>
      <c r="R72" t="s">
        <v>7</v>
      </c>
      <c r="V72" s="8"/>
      <c r="X72" s="8"/>
      <c r="Z72" t="s">
        <v>317</v>
      </c>
    </row>
    <row r="73" spans="1:26" x14ac:dyDescent="0.25">
      <c r="A73">
        <v>2010305</v>
      </c>
      <c r="B73" t="s">
        <v>434</v>
      </c>
      <c r="C73" t="s">
        <v>163</v>
      </c>
      <c r="D73" t="s">
        <v>163</v>
      </c>
      <c r="E73" t="s">
        <v>163</v>
      </c>
      <c r="P73">
        <v>0</v>
      </c>
      <c r="Q73" t="s">
        <v>298</v>
      </c>
      <c r="R73" t="s">
        <v>7</v>
      </c>
      <c r="V73" s="8"/>
      <c r="X73" s="8"/>
      <c r="Z73" t="s">
        <v>317</v>
      </c>
    </row>
    <row r="74" spans="1:26" x14ac:dyDescent="0.25">
      <c r="A74">
        <v>2010306</v>
      </c>
      <c r="B74" t="s">
        <v>435</v>
      </c>
      <c r="C74" t="s">
        <v>163</v>
      </c>
      <c r="D74" t="s">
        <v>163</v>
      </c>
      <c r="E74" t="s">
        <v>163</v>
      </c>
      <c r="P74">
        <v>0</v>
      </c>
      <c r="Q74" t="s">
        <v>298</v>
      </c>
      <c r="R74" t="s">
        <v>7</v>
      </c>
      <c r="V74" s="8"/>
      <c r="X74" s="8"/>
      <c r="Z74" t="s">
        <v>317</v>
      </c>
    </row>
    <row r="75" spans="1:26" x14ac:dyDescent="0.25">
      <c r="A75">
        <v>2010307</v>
      </c>
      <c r="B75" t="s">
        <v>152</v>
      </c>
      <c r="C75" t="s">
        <v>163</v>
      </c>
      <c r="D75" t="s">
        <v>163</v>
      </c>
      <c r="E75" t="s">
        <v>163</v>
      </c>
      <c r="P75">
        <v>0</v>
      </c>
      <c r="Q75" t="s">
        <v>298</v>
      </c>
      <c r="R75" t="s">
        <v>7</v>
      </c>
      <c r="V75" s="8"/>
      <c r="X75" s="8"/>
      <c r="Z75" t="s">
        <v>317</v>
      </c>
    </row>
    <row r="76" spans="1:26" x14ac:dyDescent="0.25">
      <c r="A76">
        <v>2010308</v>
      </c>
      <c r="B76" t="s">
        <v>403</v>
      </c>
      <c r="C76" t="s">
        <v>163</v>
      </c>
      <c r="D76" t="s">
        <v>163</v>
      </c>
      <c r="E76" t="s">
        <v>163</v>
      </c>
      <c r="P76">
        <v>0</v>
      </c>
      <c r="Q76" t="s">
        <v>298</v>
      </c>
      <c r="R76" t="s">
        <v>7</v>
      </c>
      <c r="V76" s="8"/>
      <c r="X76" s="8"/>
      <c r="Z76" t="s">
        <v>317</v>
      </c>
    </row>
    <row r="77" spans="1:26" x14ac:dyDescent="0.25">
      <c r="A77">
        <v>2010309</v>
      </c>
      <c r="B77" t="s">
        <v>438</v>
      </c>
      <c r="C77" t="s">
        <v>163</v>
      </c>
      <c r="D77" t="s">
        <v>163</v>
      </c>
      <c r="E77" t="s">
        <v>163</v>
      </c>
      <c r="P77">
        <v>0</v>
      </c>
      <c r="Q77" t="s">
        <v>298</v>
      </c>
      <c r="R77" t="s">
        <v>7</v>
      </c>
      <c r="V77" s="8"/>
      <c r="X77" s="8"/>
      <c r="Z77" t="s">
        <v>317</v>
      </c>
    </row>
    <row r="78" spans="1:26" x14ac:dyDescent="0.25">
      <c r="A78">
        <v>2010310</v>
      </c>
      <c r="B78" t="s">
        <v>405</v>
      </c>
      <c r="C78" t="s">
        <v>163</v>
      </c>
      <c r="D78" t="s">
        <v>163</v>
      </c>
      <c r="E78" t="s">
        <v>163</v>
      </c>
      <c r="P78">
        <v>0</v>
      </c>
      <c r="Q78" t="s">
        <v>298</v>
      </c>
      <c r="R78" t="s">
        <v>7</v>
      </c>
      <c r="V78" s="8"/>
      <c r="X78" s="8"/>
      <c r="Z78" t="s">
        <v>317</v>
      </c>
    </row>
    <row r="79" spans="1:26" x14ac:dyDescent="0.25">
      <c r="A79">
        <v>2010311</v>
      </c>
      <c r="B79" t="s">
        <v>316</v>
      </c>
      <c r="C79" t="s">
        <v>163</v>
      </c>
      <c r="D79" t="s">
        <v>163</v>
      </c>
      <c r="E79" t="s">
        <v>163</v>
      </c>
      <c r="P79">
        <v>0</v>
      </c>
      <c r="Q79" t="s">
        <v>298</v>
      </c>
      <c r="R79" t="s">
        <v>7</v>
      </c>
      <c r="V79" s="8"/>
      <c r="X79" s="8"/>
      <c r="Z79" t="s">
        <v>317</v>
      </c>
    </row>
    <row r="80" spans="1:26" x14ac:dyDescent="0.25">
      <c r="A80">
        <v>2010312</v>
      </c>
      <c r="B80" t="s">
        <v>318</v>
      </c>
      <c r="C80" t="s">
        <v>163</v>
      </c>
      <c r="D80" t="s">
        <v>163</v>
      </c>
      <c r="E80" t="s">
        <v>163</v>
      </c>
      <c r="P80">
        <v>0</v>
      </c>
      <c r="Q80" t="s">
        <v>298</v>
      </c>
      <c r="R80" t="s">
        <v>7</v>
      </c>
      <c r="V80" s="8"/>
      <c r="X80" s="8"/>
      <c r="Z80" t="s">
        <v>317</v>
      </c>
    </row>
    <row r="81" spans="1:26" x14ac:dyDescent="0.25">
      <c r="A81">
        <v>2010313</v>
      </c>
      <c r="B81" t="s">
        <v>319</v>
      </c>
      <c r="C81" t="s">
        <v>163</v>
      </c>
      <c r="D81" t="s">
        <v>163</v>
      </c>
      <c r="E81" t="s">
        <v>163</v>
      </c>
      <c r="P81">
        <v>0</v>
      </c>
      <c r="Q81" t="s">
        <v>298</v>
      </c>
      <c r="R81" t="s">
        <v>7</v>
      </c>
      <c r="V81" s="8"/>
      <c r="X81" s="8"/>
      <c r="Z81" t="s">
        <v>317</v>
      </c>
    </row>
    <row r="82" spans="1:26" x14ac:dyDescent="0.25">
      <c r="A82">
        <v>2010314</v>
      </c>
      <c r="B82" t="s">
        <v>320</v>
      </c>
      <c r="C82" t="s">
        <v>163</v>
      </c>
      <c r="D82" t="s">
        <v>163</v>
      </c>
      <c r="E82" t="s">
        <v>163</v>
      </c>
      <c r="P82">
        <v>0</v>
      </c>
      <c r="Q82" t="s">
        <v>298</v>
      </c>
      <c r="R82" t="s">
        <v>7</v>
      </c>
      <c r="V82" s="8"/>
      <c r="X82" s="8"/>
      <c r="Z82" t="s">
        <v>317</v>
      </c>
    </row>
    <row r="83" spans="1:26" x14ac:dyDescent="0.25">
      <c r="A83">
        <v>2010315</v>
      </c>
      <c r="B83" t="s">
        <v>377</v>
      </c>
      <c r="C83" t="s">
        <v>163</v>
      </c>
      <c r="D83" t="s">
        <v>163</v>
      </c>
      <c r="E83" t="s">
        <v>163</v>
      </c>
      <c r="P83">
        <v>0</v>
      </c>
      <c r="Q83" t="s">
        <v>298</v>
      </c>
      <c r="R83" t="s">
        <v>7</v>
      </c>
      <c r="V83" s="8"/>
      <c r="X83" s="8"/>
      <c r="Z83" t="s">
        <v>317</v>
      </c>
    </row>
    <row r="84" spans="1:26" x14ac:dyDescent="0.25">
      <c r="A84">
        <v>2010316</v>
      </c>
      <c r="B84" t="s">
        <v>441</v>
      </c>
      <c r="C84" t="s">
        <v>163</v>
      </c>
      <c r="D84" t="s">
        <v>163</v>
      </c>
      <c r="E84" t="s">
        <v>163</v>
      </c>
      <c r="P84">
        <v>0</v>
      </c>
      <c r="Q84" t="s">
        <v>298</v>
      </c>
      <c r="R84" t="s">
        <v>7</v>
      </c>
      <c r="V84" s="8"/>
      <c r="X84" s="8"/>
      <c r="Z84" t="s">
        <v>317</v>
      </c>
    </row>
    <row r="85" spans="1:26" x14ac:dyDescent="0.25">
      <c r="A85">
        <v>2010317</v>
      </c>
      <c r="B85" t="s">
        <v>379</v>
      </c>
      <c r="C85" t="s">
        <v>163</v>
      </c>
      <c r="D85" t="s">
        <v>163</v>
      </c>
      <c r="E85" t="s">
        <v>163</v>
      </c>
      <c r="P85">
        <v>0</v>
      </c>
      <c r="Q85" t="s">
        <v>298</v>
      </c>
      <c r="R85" t="s">
        <v>7</v>
      </c>
      <c r="V85" s="8"/>
      <c r="X85" s="8"/>
      <c r="Z85" t="s">
        <v>317</v>
      </c>
    </row>
    <row r="86" spans="1:26" x14ac:dyDescent="0.25">
      <c r="A86">
        <v>2010318</v>
      </c>
      <c r="B86" t="s">
        <v>367</v>
      </c>
      <c r="C86" t="s">
        <v>163</v>
      </c>
      <c r="D86" t="s">
        <v>163</v>
      </c>
      <c r="E86" t="s">
        <v>163</v>
      </c>
      <c r="P86">
        <v>0</v>
      </c>
      <c r="Q86" t="s">
        <v>298</v>
      </c>
      <c r="R86" t="s">
        <v>13</v>
      </c>
      <c r="V86" s="8"/>
      <c r="X86" s="8"/>
      <c r="Z86" t="s">
        <v>301</v>
      </c>
    </row>
    <row r="87" spans="1:26" x14ac:dyDescent="0.25">
      <c r="A87">
        <v>2010319</v>
      </c>
      <c r="B87" t="s">
        <v>370</v>
      </c>
      <c r="C87" t="s">
        <v>163</v>
      </c>
      <c r="D87" t="s">
        <v>163</v>
      </c>
      <c r="E87" t="s">
        <v>163</v>
      </c>
      <c r="P87">
        <v>0</v>
      </c>
      <c r="Q87" t="s">
        <v>298</v>
      </c>
      <c r="R87" t="s">
        <v>7</v>
      </c>
      <c r="V87" s="8"/>
      <c r="X87" s="8"/>
      <c r="Z87" t="s">
        <v>301</v>
      </c>
    </row>
    <row r="88" spans="1:26" x14ac:dyDescent="0.25">
      <c r="A88">
        <v>2010401</v>
      </c>
      <c r="B88" t="s">
        <v>31</v>
      </c>
      <c r="C88" t="s">
        <v>163</v>
      </c>
      <c r="D88" t="s">
        <v>163</v>
      </c>
      <c r="E88" t="s">
        <v>163</v>
      </c>
      <c r="P88">
        <v>0</v>
      </c>
      <c r="Q88" t="s">
        <v>298</v>
      </c>
      <c r="R88" t="s">
        <v>7</v>
      </c>
      <c r="V88" s="8"/>
      <c r="X88" s="8"/>
      <c r="Z88" t="s">
        <v>301</v>
      </c>
    </row>
    <row r="89" spans="1:26" x14ac:dyDescent="0.25">
      <c r="A89">
        <v>2010402</v>
      </c>
      <c r="B89" t="s">
        <v>67</v>
      </c>
      <c r="C89" t="s">
        <v>163</v>
      </c>
      <c r="D89" t="s">
        <v>163</v>
      </c>
      <c r="E89" t="s">
        <v>163</v>
      </c>
      <c r="P89">
        <v>0</v>
      </c>
      <c r="Q89" t="s">
        <v>298</v>
      </c>
      <c r="R89" t="s">
        <v>7</v>
      </c>
      <c r="V89" s="8"/>
      <c r="X89" s="8"/>
      <c r="Z89" t="s">
        <v>317</v>
      </c>
    </row>
    <row r="90" spans="1:26" x14ac:dyDescent="0.25">
      <c r="A90">
        <v>2010403</v>
      </c>
      <c r="B90" t="s">
        <v>439</v>
      </c>
      <c r="C90" t="s">
        <v>163</v>
      </c>
      <c r="D90" t="s">
        <v>163</v>
      </c>
      <c r="E90" t="s">
        <v>163</v>
      </c>
      <c r="P90">
        <v>0</v>
      </c>
      <c r="Q90" t="s">
        <v>298</v>
      </c>
      <c r="V90" s="8"/>
      <c r="X90" s="8"/>
      <c r="Z90" t="s">
        <v>317</v>
      </c>
    </row>
    <row r="91" spans="1:26" x14ac:dyDescent="0.25">
      <c r="A91">
        <v>2010404</v>
      </c>
      <c r="B91" t="s">
        <v>324</v>
      </c>
      <c r="C91" t="s">
        <v>163</v>
      </c>
      <c r="D91" t="s">
        <v>163</v>
      </c>
      <c r="E91" t="s">
        <v>163</v>
      </c>
      <c r="P91">
        <v>0</v>
      </c>
      <c r="Q91" t="s">
        <v>298</v>
      </c>
      <c r="V91" s="8"/>
      <c r="X91" s="8"/>
      <c r="Z91" t="s">
        <v>317</v>
      </c>
    </row>
    <row r="92" spans="1:26" x14ac:dyDescent="0.25">
      <c r="A92">
        <v>2010405</v>
      </c>
      <c r="B92" t="s">
        <v>107</v>
      </c>
      <c r="C92" t="s">
        <v>163</v>
      </c>
      <c r="D92" t="s">
        <v>163</v>
      </c>
      <c r="E92" t="s">
        <v>163</v>
      </c>
      <c r="P92">
        <v>0</v>
      </c>
      <c r="Q92" t="s">
        <v>298</v>
      </c>
      <c r="R92" t="s">
        <v>7</v>
      </c>
      <c r="V92" s="8"/>
      <c r="X92" s="8"/>
      <c r="Z92" t="s">
        <v>317</v>
      </c>
    </row>
    <row r="93" spans="1:26" x14ac:dyDescent="0.25">
      <c r="A93">
        <v>2010406</v>
      </c>
      <c r="B93" t="s">
        <v>84</v>
      </c>
      <c r="C93" t="s">
        <v>163</v>
      </c>
      <c r="D93" t="s">
        <v>163</v>
      </c>
      <c r="E93" t="s">
        <v>163</v>
      </c>
      <c r="P93">
        <v>0</v>
      </c>
      <c r="Q93" t="s">
        <v>298</v>
      </c>
      <c r="R93" t="s">
        <v>7</v>
      </c>
      <c r="V93" s="8"/>
      <c r="X93" s="8"/>
      <c r="Z93" t="s">
        <v>317</v>
      </c>
    </row>
    <row r="94" spans="1:26" x14ac:dyDescent="0.25">
      <c r="A94">
        <v>2010407</v>
      </c>
      <c r="B94" t="s">
        <v>85</v>
      </c>
      <c r="C94" t="s">
        <v>163</v>
      </c>
      <c r="D94" t="s">
        <v>163</v>
      </c>
      <c r="E94" t="s">
        <v>163</v>
      </c>
      <c r="P94">
        <v>0</v>
      </c>
      <c r="Q94" t="s">
        <v>298</v>
      </c>
      <c r="R94" t="s">
        <v>7</v>
      </c>
      <c r="V94" s="8"/>
      <c r="X94" s="8"/>
      <c r="Z94" t="s">
        <v>317</v>
      </c>
    </row>
    <row r="95" spans="1:26" x14ac:dyDescent="0.25">
      <c r="A95">
        <v>2010501</v>
      </c>
      <c r="B95" t="s">
        <v>77</v>
      </c>
      <c r="C95" t="s">
        <v>163</v>
      </c>
      <c r="D95" t="s">
        <v>163</v>
      </c>
      <c r="E95" t="s">
        <v>163</v>
      </c>
      <c r="P95">
        <v>0</v>
      </c>
      <c r="Q95" t="s">
        <v>298</v>
      </c>
      <c r="R95" t="s">
        <v>7</v>
      </c>
      <c r="V95" s="8"/>
      <c r="X95" s="8"/>
      <c r="Z95" t="s">
        <v>317</v>
      </c>
    </row>
    <row r="96" spans="1:26" x14ac:dyDescent="0.25">
      <c r="A96">
        <v>2010502</v>
      </c>
      <c r="B96" t="s">
        <v>116</v>
      </c>
      <c r="C96" t="s">
        <v>163</v>
      </c>
      <c r="D96" t="s">
        <v>163</v>
      </c>
      <c r="E96" t="s">
        <v>163</v>
      </c>
      <c r="P96">
        <v>0</v>
      </c>
      <c r="Q96" t="s">
        <v>298</v>
      </c>
      <c r="R96" t="s">
        <v>7</v>
      </c>
      <c r="V96" s="8"/>
      <c r="X96" s="8"/>
      <c r="Z96" t="s">
        <v>301</v>
      </c>
    </row>
    <row r="97" spans="1:26" x14ac:dyDescent="0.25">
      <c r="A97">
        <v>2010503</v>
      </c>
      <c r="B97" t="s">
        <v>27</v>
      </c>
      <c r="C97" t="s">
        <v>163</v>
      </c>
      <c r="D97" t="s">
        <v>163</v>
      </c>
      <c r="E97" t="s">
        <v>163</v>
      </c>
      <c r="P97">
        <v>0</v>
      </c>
      <c r="Q97" t="s">
        <v>298</v>
      </c>
      <c r="R97" t="s">
        <v>7</v>
      </c>
      <c r="V97" s="8"/>
      <c r="X97" s="8"/>
      <c r="Z97" t="s">
        <v>301</v>
      </c>
    </row>
    <row r="98" spans="1:26" x14ac:dyDescent="0.25">
      <c r="A98">
        <v>2010504</v>
      </c>
      <c r="B98" t="s">
        <v>445</v>
      </c>
      <c r="C98" t="s">
        <v>4</v>
      </c>
      <c r="D98" t="s">
        <v>163</v>
      </c>
      <c r="E98" t="s">
        <v>163</v>
      </c>
      <c r="P98">
        <v>0</v>
      </c>
      <c r="Q98" t="s">
        <v>298</v>
      </c>
      <c r="R98" t="s">
        <v>7</v>
      </c>
      <c r="V98" s="8"/>
      <c r="X98" s="8"/>
      <c r="Z98" t="s">
        <v>301</v>
      </c>
    </row>
    <row r="99" spans="1:26" x14ac:dyDescent="0.25">
      <c r="A99">
        <v>2010505</v>
      </c>
      <c r="B99" t="s">
        <v>50</v>
      </c>
      <c r="C99" t="s">
        <v>163</v>
      </c>
      <c r="D99" t="s">
        <v>163</v>
      </c>
      <c r="E99" t="s">
        <v>163</v>
      </c>
      <c r="P99">
        <v>0</v>
      </c>
      <c r="Q99" t="s">
        <v>298</v>
      </c>
      <c r="R99" t="s">
        <v>7</v>
      </c>
      <c r="V99" s="8"/>
      <c r="X99" s="8"/>
      <c r="Z99" t="s">
        <v>301</v>
      </c>
    </row>
    <row r="100" spans="1:26" x14ac:dyDescent="0.25">
      <c r="A100">
        <v>2010506</v>
      </c>
      <c r="B100" t="s">
        <v>18</v>
      </c>
      <c r="C100" t="s">
        <v>163</v>
      </c>
      <c r="D100" t="s">
        <v>163</v>
      </c>
      <c r="E100" t="s">
        <v>163</v>
      </c>
      <c r="P100">
        <v>0</v>
      </c>
      <c r="Q100" t="s">
        <v>298</v>
      </c>
      <c r="R100" t="s">
        <v>13</v>
      </c>
      <c r="V100" s="8"/>
      <c r="X100" s="8"/>
      <c r="Z100" t="s">
        <v>317</v>
      </c>
    </row>
    <row r="101" spans="1:26" x14ac:dyDescent="0.25">
      <c r="A101">
        <v>2010507</v>
      </c>
      <c r="B101" t="s">
        <v>41</v>
      </c>
      <c r="C101" t="s">
        <v>163</v>
      </c>
      <c r="D101" t="s">
        <v>163</v>
      </c>
      <c r="E101" t="s">
        <v>163</v>
      </c>
      <c r="P101">
        <v>0</v>
      </c>
      <c r="Q101" t="s">
        <v>298</v>
      </c>
      <c r="R101" t="s">
        <v>7</v>
      </c>
      <c r="V101" s="8"/>
      <c r="X101" s="8"/>
      <c r="Z101" t="s">
        <v>317</v>
      </c>
    </row>
    <row r="102" spans="1:26" x14ac:dyDescent="0.25">
      <c r="A102">
        <v>2010508</v>
      </c>
      <c r="B102" t="s">
        <v>34</v>
      </c>
      <c r="C102" t="s">
        <v>163</v>
      </c>
      <c r="D102" t="s">
        <v>163</v>
      </c>
      <c r="E102" t="s">
        <v>163</v>
      </c>
      <c r="P102">
        <v>0</v>
      </c>
      <c r="Q102" t="s">
        <v>298</v>
      </c>
      <c r="R102" t="s">
        <v>7</v>
      </c>
      <c r="V102" s="8"/>
      <c r="X102" s="8"/>
      <c r="Z102" t="s">
        <v>301</v>
      </c>
    </row>
    <row r="103" spans="1:26" x14ac:dyDescent="0.25">
      <c r="A103">
        <v>2010509</v>
      </c>
      <c r="B103" t="s">
        <v>47</v>
      </c>
      <c r="C103" t="s">
        <v>163</v>
      </c>
      <c r="D103" t="s">
        <v>163</v>
      </c>
      <c r="E103" t="s">
        <v>163</v>
      </c>
      <c r="P103">
        <v>0</v>
      </c>
      <c r="Q103" t="s">
        <v>298</v>
      </c>
      <c r="R103" t="s">
        <v>7</v>
      </c>
      <c r="V103" s="8"/>
      <c r="X103" s="8"/>
      <c r="Z103" t="s">
        <v>317</v>
      </c>
    </row>
    <row r="104" spans="1:26" x14ac:dyDescent="0.25">
      <c r="A104">
        <v>2010601</v>
      </c>
      <c r="B104" t="s">
        <v>327</v>
      </c>
      <c r="C104" t="s">
        <v>163</v>
      </c>
      <c r="D104" t="s">
        <v>163</v>
      </c>
      <c r="E104" t="s">
        <v>163</v>
      </c>
      <c r="P104">
        <v>0</v>
      </c>
      <c r="Q104" t="s">
        <v>298</v>
      </c>
      <c r="R104" t="s">
        <v>7</v>
      </c>
      <c r="V104" s="8"/>
      <c r="X104" s="8"/>
      <c r="Z104" t="s">
        <v>317</v>
      </c>
    </row>
    <row r="105" spans="1:26" x14ac:dyDescent="0.25">
      <c r="A105">
        <v>2010602</v>
      </c>
      <c r="B105" t="s">
        <v>328</v>
      </c>
      <c r="C105" t="s">
        <v>163</v>
      </c>
      <c r="D105" t="s">
        <v>163</v>
      </c>
      <c r="E105" t="s">
        <v>163</v>
      </c>
      <c r="P105">
        <v>0</v>
      </c>
      <c r="Q105" t="s">
        <v>298</v>
      </c>
      <c r="R105" t="s">
        <v>7</v>
      </c>
      <c r="S105" t="s">
        <v>321</v>
      </c>
      <c r="T105">
        <v>16</v>
      </c>
      <c r="U105" t="s">
        <v>359</v>
      </c>
      <c r="V105" s="8">
        <v>1.65</v>
      </c>
      <c r="W105" t="s">
        <v>321</v>
      </c>
      <c r="X105" s="8">
        <v>7.6</v>
      </c>
      <c r="Y105" t="s">
        <v>360</v>
      </c>
      <c r="Z105" t="s">
        <v>317</v>
      </c>
    </row>
    <row r="106" spans="1:26" x14ac:dyDescent="0.25">
      <c r="A106">
        <v>2010603</v>
      </c>
      <c r="B106" t="s">
        <v>329</v>
      </c>
      <c r="C106" t="s">
        <v>163</v>
      </c>
      <c r="D106" t="s">
        <v>163</v>
      </c>
      <c r="E106" t="s">
        <v>163</v>
      </c>
      <c r="P106">
        <v>0</v>
      </c>
      <c r="Q106" t="s">
        <v>298</v>
      </c>
      <c r="R106" t="s">
        <v>7</v>
      </c>
      <c r="V106" s="8"/>
      <c r="X106" s="8"/>
      <c r="Z106" t="s">
        <v>301</v>
      </c>
    </row>
    <row r="107" spans="1:26" x14ac:dyDescent="0.25">
      <c r="A107">
        <v>2010604</v>
      </c>
      <c r="B107" t="s">
        <v>330</v>
      </c>
      <c r="C107" t="s">
        <v>163</v>
      </c>
      <c r="D107" t="s">
        <v>163</v>
      </c>
      <c r="E107" t="s">
        <v>163</v>
      </c>
      <c r="P107">
        <v>0</v>
      </c>
      <c r="Q107" t="s">
        <v>298</v>
      </c>
      <c r="R107" t="s">
        <v>7</v>
      </c>
      <c r="V107" s="8"/>
      <c r="X107" s="8"/>
      <c r="Z107" t="s">
        <v>301</v>
      </c>
    </row>
    <row r="108" spans="1:26" x14ac:dyDescent="0.25">
      <c r="A108">
        <v>2010605</v>
      </c>
      <c r="B108" t="s">
        <v>381</v>
      </c>
      <c r="C108" t="s">
        <v>163</v>
      </c>
      <c r="D108" t="s">
        <v>163</v>
      </c>
      <c r="E108" t="s">
        <v>163</v>
      </c>
      <c r="P108">
        <v>0</v>
      </c>
      <c r="Q108" t="s">
        <v>298</v>
      </c>
      <c r="V108" s="8"/>
      <c r="X108" s="8"/>
      <c r="Z108" t="s">
        <v>301</v>
      </c>
    </row>
    <row r="109" spans="1:26" x14ac:dyDescent="0.25">
      <c r="A109">
        <v>2010606</v>
      </c>
      <c r="B109" t="s">
        <v>444</v>
      </c>
      <c r="C109" t="s">
        <v>163</v>
      </c>
      <c r="D109" t="s">
        <v>163</v>
      </c>
      <c r="E109" t="s">
        <v>163</v>
      </c>
      <c r="P109">
        <v>0</v>
      </c>
      <c r="Q109" t="s">
        <v>298</v>
      </c>
      <c r="S109" t="s">
        <v>321</v>
      </c>
      <c r="T109">
        <v>16</v>
      </c>
      <c r="U109" t="s">
        <v>359</v>
      </c>
      <c r="V109" s="8">
        <v>1.65</v>
      </c>
      <c r="W109" t="s">
        <v>321</v>
      </c>
      <c r="X109" s="8">
        <v>7.6</v>
      </c>
      <c r="Y109" t="s">
        <v>360</v>
      </c>
      <c r="Z109" t="s">
        <v>317</v>
      </c>
    </row>
    <row r="110" spans="1:26" x14ac:dyDescent="0.25">
      <c r="A110">
        <v>2010607</v>
      </c>
      <c r="B110" t="s">
        <v>102</v>
      </c>
      <c r="C110" t="s">
        <v>163</v>
      </c>
      <c r="D110" t="s">
        <v>163</v>
      </c>
      <c r="E110" t="s">
        <v>163</v>
      </c>
      <c r="P110">
        <v>0</v>
      </c>
      <c r="Q110" t="s">
        <v>298</v>
      </c>
      <c r="R110" t="s">
        <v>7</v>
      </c>
      <c r="V110" s="8"/>
      <c r="X110" s="8"/>
      <c r="Z110" t="s">
        <v>301</v>
      </c>
    </row>
    <row r="111" spans="1:26" x14ac:dyDescent="0.25">
      <c r="A111">
        <v>2010701</v>
      </c>
      <c r="B111" t="s">
        <v>440</v>
      </c>
      <c r="C111" t="s">
        <v>163</v>
      </c>
      <c r="D111" t="s">
        <v>163</v>
      </c>
      <c r="E111" t="s">
        <v>163</v>
      </c>
      <c r="P111">
        <v>0</v>
      </c>
      <c r="Q111" t="s">
        <v>298</v>
      </c>
      <c r="R111" t="s">
        <v>7</v>
      </c>
      <c r="V111" s="8"/>
      <c r="X111" s="8"/>
      <c r="Z111" t="s">
        <v>317</v>
      </c>
    </row>
    <row r="112" spans="1:26" x14ac:dyDescent="0.25">
      <c r="A112">
        <v>2020100</v>
      </c>
      <c r="B112" t="s">
        <v>355</v>
      </c>
      <c r="C112" t="s">
        <v>163</v>
      </c>
      <c r="D112" t="s">
        <v>4</v>
      </c>
      <c r="E112" t="s">
        <v>163</v>
      </c>
      <c r="P112">
        <v>0</v>
      </c>
      <c r="Q112" t="s">
        <v>298</v>
      </c>
      <c r="V112" s="8"/>
      <c r="X112" s="8"/>
      <c r="Z112" t="s">
        <v>301</v>
      </c>
    </row>
    <row r="113" spans="1:26" x14ac:dyDescent="0.25">
      <c r="A113">
        <v>2020128</v>
      </c>
      <c r="B113" t="s">
        <v>457</v>
      </c>
      <c r="C113" t="s">
        <v>163</v>
      </c>
      <c r="D113" t="s">
        <v>163</v>
      </c>
      <c r="E113" t="s">
        <v>163</v>
      </c>
      <c r="P113">
        <v>0</v>
      </c>
      <c r="Q113" t="s">
        <v>298</v>
      </c>
      <c r="V113" s="8"/>
      <c r="X113" s="8"/>
      <c r="Z113" t="s">
        <v>301</v>
      </c>
    </row>
    <row r="114" spans="1:26" x14ac:dyDescent="0.25">
      <c r="A114">
        <v>2020129</v>
      </c>
      <c r="B114" t="s">
        <v>46</v>
      </c>
      <c r="C114" t="s">
        <v>163</v>
      </c>
      <c r="D114" t="s">
        <v>163</v>
      </c>
      <c r="E114" t="s">
        <v>163</v>
      </c>
      <c r="P114">
        <v>0</v>
      </c>
      <c r="Q114" t="s">
        <v>298</v>
      </c>
      <c r="R114" t="s">
        <v>7</v>
      </c>
      <c r="V114" s="8"/>
      <c r="X114" s="8"/>
      <c r="Z114" t="s">
        <v>301</v>
      </c>
    </row>
    <row r="115" spans="1:26" x14ac:dyDescent="0.25">
      <c r="A115">
        <v>2020130</v>
      </c>
      <c r="B115" t="s">
        <v>161</v>
      </c>
      <c r="C115" t="s">
        <v>163</v>
      </c>
      <c r="D115" t="s">
        <v>163</v>
      </c>
      <c r="E115" t="s">
        <v>163</v>
      </c>
      <c r="P115">
        <v>0</v>
      </c>
      <c r="Q115" t="s">
        <v>298</v>
      </c>
      <c r="V115" s="8"/>
      <c r="X115" s="8"/>
      <c r="Z115" t="s">
        <v>301</v>
      </c>
    </row>
    <row r="116" spans="1:26" x14ac:dyDescent="0.25">
      <c r="A116">
        <v>2020131</v>
      </c>
      <c r="B116" t="s">
        <v>464</v>
      </c>
      <c r="C116" t="s">
        <v>163</v>
      </c>
      <c r="D116" t="s">
        <v>163</v>
      </c>
      <c r="E116" t="s">
        <v>163</v>
      </c>
      <c r="P116">
        <v>0</v>
      </c>
      <c r="Q116" t="s">
        <v>298</v>
      </c>
      <c r="R116" t="s">
        <v>7</v>
      </c>
      <c r="V116" s="8"/>
      <c r="X116" s="8"/>
      <c r="Z116" t="s">
        <v>301</v>
      </c>
    </row>
    <row r="117" spans="1:26" x14ac:dyDescent="0.25">
      <c r="A117">
        <v>2020200</v>
      </c>
      <c r="B117" t="s">
        <v>335</v>
      </c>
      <c r="C117" t="s">
        <v>163</v>
      </c>
      <c r="D117" t="s">
        <v>4</v>
      </c>
      <c r="E117" t="s">
        <v>163</v>
      </c>
      <c r="P117">
        <v>0</v>
      </c>
      <c r="Q117" t="s">
        <v>298</v>
      </c>
      <c r="R117" t="s">
        <v>7</v>
      </c>
      <c r="V117" s="8"/>
      <c r="X117" s="8"/>
      <c r="Z117" t="s">
        <v>301</v>
      </c>
    </row>
    <row r="118" spans="1:26" x14ac:dyDescent="0.25">
      <c r="A118">
        <v>2020223</v>
      </c>
      <c r="B118" t="s">
        <v>156</v>
      </c>
      <c r="C118" t="s">
        <v>163</v>
      </c>
      <c r="D118" t="s">
        <v>163</v>
      </c>
      <c r="E118" t="s">
        <v>163</v>
      </c>
      <c r="P118">
        <v>0</v>
      </c>
      <c r="Q118" t="s">
        <v>298</v>
      </c>
      <c r="V118" s="8"/>
      <c r="X118" s="8"/>
      <c r="Z118" t="s">
        <v>301</v>
      </c>
    </row>
    <row r="119" spans="1:26" x14ac:dyDescent="0.25">
      <c r="A119">
        <v>2020224</v>
      </c>
      <c r="B119" t="s">
        <v>450</v>
      </c>
      <c r="C119" t="s">
        <v>163</v>
      </c>
      <c r="D119" t="s">
        <v>163</v>
      </c>
      <c r="E119" t="s">
        <v>163</v>
      </c>
      <c r="P119">
        <v>0</v>
      </c>
      <c r="Q119" t="s">
        <v>298</v>
      </c>
      <c r="V119" s="8"/>
      <c r="X119" s="8"/>
      <c r="Z119" t="s">
        <v>301</v>
      </c>
    </row>
    <row r="120" spans="1:26" x14ac:dyDescent="0.25">
      <c r="A120">
        <v>2020225</v>
      </c>
      <c r="B120" t="s">
        <v>123</v>
      </c>
      <c r="C120" t="s">
        <v>163</v>
      </c>
      <c r="D120" t="s">
        <v>163</v>
      </c>
      <c r="E120" t="s">
        <v>163</v>
      </c>
      <c r="P120">
        <v>0</v>
      </c>
      <c r="Q120" t="s">
        <v>298</v>
      </c>
      <c r="V120" s="8"/>
      <c r="X120" s="8"/>
      <c r="Z120" t="s">
        <v>301</v>
      </c>
    </row>
    <row r="121" spans="1:26" x14ac:dyDescent="0.25">
      <c r="A121">
        <v>2020300</v>
      </c>
      <c r="B121" t="s">
        <v>395</v>
      </c>
      <c r="C121" t="s">
        <v>163</v>
      </c>
      <c r="D121" t="s">
        <v>4</v>
      </c>
      <c r="E121" t="s">
        <v>163</v>
      </c>
      <c r="P121">
        <v>0</v>
      </c>
      <c r="Q121" t="s">
        <v>298</v>
      </c>
      <c r="V121" s="8"/>
      <c r="X121" s="8"/>
      <c r="Z121" t="s">
        <v>301</v>
      </c>
    </row>
    <row r="122" spans="1:26" x14ac:dyDescent="0.25">
      <c r="A122">
        <v>2020313</v>
      </c>
      <c r="B122" t="s">
        <v>55</v>
      </c>
      <c r="C122" t="s">
        <v>163</v>
      </c>
      <c r="D122" t="s">
        <v>163</v>
      </c>
      <c r="E122" t="s">
        <v>163</v>
      </c>
      <c r="P122">
        <v>0</v>
      </c>
      <c r="Q122" t="s">
        <v>298</v>
      </c>
      <c r="R122" t="s">
        <v>7</v>
      </c>
      <c r="S122" t="s">
        <v>321</v>
      </c>
      <c r="T122">
        <v>18</v>
      </c>
      <c r="U122" t="s">
        <v>372</v>
      </c>
      <c r="V122" s="8">
        <v>1.65</v>
      </c>
      <c r="W122" t="s">
        <v>321</v>
      </c>
      <c r="X122" s="8">
        <v>7.6</v>
      </c>
      <c r="Y122" t="s">
        <v>373</v>
      </c>
      <c r="Z122" t="s">
        <v>299</v>
      </c>
    </row>
    <row r="123" spans="1:26" x14ac:dyDescent="0.25">
      <c r="A123">
        <v>2020400</v>
      </c>
      <c r="B123" t="s">
        <v>407</v>
      </c>
      <c r="C123" t="s">
        <v>163</v>
      </c>
      <c r="D123" t="s">
        <v>4</v>
      </c>
      <c r="E123" t="s">
        <v>163</v>
      </c>
      <c r="P123">
        <v>0</v>
      </c>
      <c r="Q123" t="s">
        <v>298</v>
      </c>
      <c r="V123" s="8"/>
      <c r="X123" s="8"/>
      <c r="Z123" t="s">
        <v>301</v>
      </c>
    </row>
    <row r="124" spans="1:26" x14ac:dyDescent="0.25">
      <c r="A124">
        <v>2020410</v>
      </c>
      <c r="B124" t="s">
        <v>452</v>
      </c>
      <c r="C124" t="s">
        <v>163</v>
      </c>
      <c r="D124" t="s">
        <v>163</v>
      </c>
      <c r="E124" t="s">
        <v>163</v>
      </c>
      <c r="P124">
        <v>0</v>
      </c>
      <c r="Q124" t="s">
        <v>298</v>
      </c>
      <c r="V124" s="8"/>
      <c r="X124" s="8"/>
      <c r="Z124" t="s">
        <v>301</v>
      </c>
    </row>
    <row r="125" spans="1:26" x14ac:dyDescent="0.25">
      <c r="A125">
        <v>2020411</v>
      </c>
      <c r="B125" t="s">
        <v>424</v>
      </c>
      <c r="C125" t="s">
        <v>163</v>
      </c>
      <c r="D125" t="s">
        <v>163</v>
      </c>
      <c r="E125" t="s">
        <v>163</v>
      </c>
      <c r="P125">
        <v>0</v>
      </c>
      <c r="Q125" t="s">
        <v>298</v>
      </c>
      <c r="V125" s="8"/>
      <c r="X125" s="8"/>
      <c r="Z125" t="s">
        <v>301</v>
      </c>
    </row>
    <row r="126" spans="1:26" x14ac:dyDescent="0.25">
      <c r="A126">
        <v>2020412</v>
      </c>
      <c r="B126" t="s">
        <v>465</v>
      </c>
      <c r="C126" t="s">
        <v>163</v>
      </c>
      <c r="D126" t="s">
        <v>163</v>
      </c>
      <c r="E126" t="s">
        <v>163</v>
      </c>
      <c r="P126">
        <v>0</v>
      </c>
      <c r="Q126" t="s">
        <v>298</v>
      </c>
      <c r="R126" t="s">
        <v>7</v>
      </c>
      <c r="V126" s="8"/>
      <c r="X126" s="8"/>
      <c r="Z126" t="s">
        <v>317</v>
      </c>
    </row>
    <row r="127" spans="1:26" x14ac:dyDescent="0.25">
      <c r="A127">
        <v>2020500</v>
      </c>
      <c r="B127" t="s">
        <v>339</v>
      </c>
      <c r="C127" t="s">
        <v>163</v>
      </c>
      <c r="D127" t="s">
        <v>4</v>
      </c>
      <c r="E127" t="s">
        <v>163</v>
      </c>
      <c r="P127">
        <v>0</v>
      </c>
      <c r="Q127" t="s">
        <v>298</v>
      </c>
      <c r="R127" t="s">
        <v>7</v>
      </c>
      <c r="V127" s="8"/>
      <c r="X127" s="8"/>
      <c r="Z127" t="s">
        <v>317</v>
      </c>
    </row>
    <row r="128" spans="1:26" x14ac:dyDescent="0.25">
      <c r="A128">
        <v>2020506</v>
      </c>
      <c r="B128" t="s">
        <v>459</v>
      </c>
      <c r="C128" t="s">
        <v>163</v>
      </c>
      <c r="D128" t="s">
        <v>163</v>
      </c>
      <c r="E128" t="s">
        <v>163</v>
      </c>
      <c r="P128">
        <v>0</v>
      </c>
      <c r="Q128" t="s">
        <v>298</v>
      </c>
      <c r="R128" t="s">
        <v>7</v>
      </c>
      <c r="V128" s="8"/>
      <c r="X128" s="8"/>
      <c r="Z128" t="s">
        <v>317</v>
      </c>
    </row>
    <row r="129" spans="1:26" x14ac:dyDescent="0.25">
      <c r="A129">
        <v>2020507</v>
      </c>
      <c r="B129" t="s">
        <v>376</v>
      </c>
      <c r="C129" t="s">
        <v>163</v>
      </c>
      <c r="D129" t="s">
        <v>163</v>
      </c>
      <c r="E129" t="s">
        <v>163</v>
      </c>
      <c r="P129">
        <v>0</v>
      </c>
      <c r="Q129" t="s">
        <v>298</v>
      </c>
      <c r="R129" t="s">
        <v>7</v>
      </c>
      <c r="V129" s="8"/>
      <c r="X129" s="8"/>
      <c r="Z129" t="s">
        <v>317</v>
      </c>
    </row>
    <row r="130" spans="1:26" x14ac:dyDescent="0.25">
      <c r="A130">
        <v>2020600</v>
      </c>
      <c r="B130" t="s">
        <v>340</v>
      </c>
      <c r="C130" t="s">
        <v>163</v>
      </c>
      <c r="D130" t="s">
        <v>4</v>
      </c>
      <c r="E130" t="s">
        <v>163</v>
      </c>
      <c r="P130">
        <v>0</v>
      </c>
      <c r="Q130" t="s">
        <v>298</v>
      </c>
      <c r="R130" t="s">
        <v>7</v>
      </c>
      <c r="V130" s="8"/>
      <c r="X130" s="8"/>
      <c r="Z130" t="s">
        <v>301</v>
      </c>
    </row>
    <row r="131" spans="1:26" x14ac:dyDescent="0.25">
      <c r="A131">
        <v>2020603</v>
      </c>
      <c r="B131" t="s">
        <v>383</v>
      </c>
      <c r="C131" t="s">
        <v>163</v>
      </c>
      <c r="D131" t="s">
        <v>163</v>
      </c>
      <c r="E131" t="s">
        <v>163</v>
      </c>
      <c r="P131">
        <v>0</v>
      </c>
      <c r="Q131" t="s">
        <v>298</v>
      </c>
      <c r="R131" t="s">
        <v>7</v>
      </c>
      <c r="V131" s="8"/>
      <c r="X131" s="8"/>
      <c r="Z131" t="s">
        <v>301</v>
      </c>
    </row>
    <row r="132" spans="1:26" x14ac:dyDescent="0.25">
      <c r="A132">
        <v>2020700</v>
      </c>
      <c r="B132" t="s">
        <v>408</v>
      </c>
      <c r="C132" t="s">
        <v>163</v>
      </c>
      <c r="D132" t="s">
        <v>4</v>
      </c>
      <c r="E132" t="s">
        <v>163</v>
      </c>
      <c r="P132">
        <v>0</v>
      </c>
      <c r="Q132" t="s">
        <v>298</v>
      </c>
      <c r="V132" s="8"/>
      <c r="X132" s="8"/>
      <c r="Z132" t="s">
        <v>301</v>
      </c>
    </row>
    <row r="133" spans="1:26" x14ac:dyDescent="0.25">
      <c r="A133">
        <v>2020718</v>
      </c>
      <c r="B133" t="s">
        <v>458</v>
      </c>
      <c r="C133" t="s">
        <v>163</v>
      </c>
      <c r="D133" t="s">
        <v>163</v>
      </c>
      <c r="E133" t="s">
        <v>163</v>
      </c>
      <c r="P133">
        <v>0</v>
      </c>
      <c r="Q133" t="s">
        <v>298</v>
      </c>
      <c r="R133" t="s">
        <v>7</v>
      </c>
      <c r="V133" s="8"/>
      <c r="X133" s="8"/>
      <c r="Z133" t="s">
        <v>317</v>
      </c>
    </row>
    <row r="134" spans="1:26" x14ac:dyDescent="0.25">
      <c r="A134">
        <v>2020719</v>
      </c>
      <c r="B134" t="s">
        <v>375</v>
      </c>
      <c r="C134" t="s">
        <v>163</v>
      </c>
      <c r="D134" t="s">
        <v>163</v>
      </c>
      <c r="E134" t="s">
        <v>163</v>
      </c>
      <c r="P134">
        <v>0</v>
      </c>
      <c r="Q134" t="s">
        <v>298</v>
      </c>
      <c r="R134" t="s">
        <v>7</v>
      </c>
      <c r="S134" t="s">
        <v>321</v>
      </c>
      <c r="V134" s="8">
        <v>1.65</v>
      </c>
      <c r="W134" t="s">
        <v>321</v>
      </c>
      <c r="X134" s="8">
        <v>7.6</v>
      </c>
      <c r="Y134" t="s">
        <v>380</v>
      </c>
      <c r="Z134" t="s">
        <v>317</v>
      </c>
    </row>
    <row r="135" spans="1:26" x14ac:dyDescent="0.25">
      <c r="A135">
        <v>2020720</v>
      </c>
      <c r="B135" t="s">
        <v>154</v>
      </c>
      <c r="C135" t="s">
        <v>163</v>
      </c>
      <c r="D135" t="s">
        <v>163</v>
      </c>
      <c r="E135" t="s">
        <v>163</v>
      </c>
      <c r="P135">
        <v>0</v>
      </c>
      <c r="Q135" t="s">
        <v>298</v>
      </c>
      <c r="V135" s="8"/>
      <c r="X135" s="8"/>
      <c r="Z135" t="s">
        <v>301</v>
      </c>
    </row>
    <row r="136" spans="1:26" x14ac:dyDescent="0.25">
      <c r="A136">
        <v>2020721</v>
      </c>
      <c r="B136" t="s">
        <v>389</v>
      </c>
      <c r="C136" t="s">
        <v>163</v>
      </c>
      <c r="D136" t="s">
        <v>163</v>
      </c>
      <c r="E136" t="s">
        <v>163</v>
      </c>
      <c r="P136">
        <v>0</v>
      </c>
      <c r="Q136" t="s">
        <v>298</v>
      </c>
      <c r="R136" t="s">
        <v>7</v>
      </c>
      <c r="V136" s="8"/>
      <c r="X136" s="8"/>
      <c r="Z136" t="s">
        <v>301</v>
      </c>
    </row>
    <row r="137" spans="1:26" x14ac:dyDescent="0.25">
      <c r="A137">
        <v>2020722</v>
      </c>
      <c r="B137" t="s">
        <v>461</v>
      </c>
      <c r="C137" t="s">
        <v>163</v>
      </c>
      <c r="D137" t="s">
        <v>163</v>
      </c>
      <c r="E137" t="s">
        <v>163</v>
      </c>
      <c r="P137">
        <v>0</v>
      </c>
      <c r="Q137" t="s">
        <v>298</v>
      </c>
      <c r="V137" s="8"/>
      <c r="X137" s="8"/>
      <c r="Z137" t="s">
        <v>301</v>
      </c>
    </row>
    <row r="138" spans="1:26" x14ac:dyDescent="0.25">
      <c r="A138">
        <v>2020723</v>
      </c>
      <c r="B138" t="s">
        <v>32</v>
      </c>
      <c r="C138" t="s">
        <v>163</v>
      </c>
      <c r="D138" t="s">
        <v>163</v>
      </c>
      <c r="E138" t="s">
        <v>163</v>
      </c>
      <c r="P138">
        <v>0</v>
      </c>
      <c r="Q138" t="s">
        <v>298</v>
      </c>
      <c r="V138" s="8"/>
      <c r="X138" s="8"/>
      <c r="Z138" t="s">
        <v>301</v>
      </c>
    </row>
    <row r="139" spans="1:26" x14ac:dyDescent="0.25">
      <c r="A139">
        <v>2020724</v>
      </c>
      <c r="B139" t="s">
        <v>37</v>
      </c>
      <c r="C139" t="s">
        <v>163</v>
      </c>
      <c r="D139" t="s">
        <v>163</v>
      </c>
      <c r="E139" t="s">
        <v>163</v>
      </c>
      <c r="P139">
        <v>0</v>
      </c>
      <c r="Q139" t="s">
        <v>298</v>
      </c>
      <c r="V139" s="8"/>
      <c r="X139" s="8"/>
      <c r="Z139" t="s">
        <v>301</v>
      </c>
    </row>
    <row r="140" spans="1:26" x14ac:dyDescent="0.25">
      <c r="A140">
        <v>2020725</v>
      </c>
      <c r="B140" t="s">
        <v>127</v>
      </c>
      <c r="C140" t="s">
        <v>163</v>
      </c>
      <c r="D140" t="s">
        <v>163</v>
      </c>
      <c r="E140" t="s">
        <v>163</v>
      </c>
      <c r="P140">
        <v>0</v>
      </c>
      <c r="Q140" t="s">
        <v>298</v>
      </c>
      <c r="V140" s="8"/>
      <c r="X140" s="8"/>
      <c r="Z140" t="s">
        <v>301</v>
      </c>
    </row>
    <row r="141" spans="1:26" x14ac:dyDescent="0.25">
      <c r="A141">
        <v>2020800</v>
      </c>
      <c r="B141" t="s">
        <v>410</v>
      </c>
      <c r="C141" t="s">
        <v>163</v>
      </c>
      <c r="D141" t="s">
        <v>4</v>
      </c>
      <c r="E141" t="s">
        <v>163</v>
      </c>
      <c r="P141">
        <v>0</v>
      </c>
      <c r="Q141" t="s">
        <v>298</v>
      </c>
      <c r="V141" s="8"/>
      <c r="X141" s="8"/>
      <c r="Z141" t="s">
        <v>299</v>
      </c>
    </row>
    <row r="142" spans="1:26" x14ac:dyDescent="0.25">
      <c r="A142">
        <v>2020900</v>
      </c>
      <c r="B142" t="s">
        <v>348</v>
      </c>
      <c r="C142" t="s">
        <v>163</v>
      </c>
      <c r="D142" t="s">
        <v>4</v>
      </c>
      <c r="E142" t="s">
        <v>163</v>
      </c>
      <c r="P142">
        <v>0</v>
      </c>
      <c r="Q142" t="s">
        <v>298</v>
      </c>
      <c r="R142" t="s">
        <v>7</v>
      </c>
      <c r="S142" t="s">
        <v>321</v>
      </c>
      <c r="T142">
        <v>5</v>
      </c>
      <c r="U142" t="s">
        <v>322</v>
      </c>
      <c r="V142" s="8">
        <v>1.65</v>
      </c>
      <c r="W142" t="s">
        <v>321</v>
      </c>
      <c r="X142" s="8">
        <v>7.6</v>
      </c>
      <c r="Y142" t="s">
        <v>323</v>
      </c>
      <c r="Z142" t="s">
        <v>317</v>
      </c>
    </row>
    <row r="143" spans="1:26" x14ac:dyDescent="0.25">
      <c r="A143">
        <v>2021000</v>
      </c>
      <c r="B143" t="s">
        <v>349</v>
      </c>
      <c r="C143" t="s">
        <v>163</v>
      </c>
      <c r="D143" t="s">
        <v>4</v>
      </c>
      <c r="E143" t="s">
        <v>163</v>
      </c>
      <c r="P143">
        <v>0</v>
      </c>
      <c r="Q143" t="s">
        <v>298</v>
      </c>
      <c r="V143" s="8"/>
      <c r="X143" s="8"/>
      <c r="Z143" t="s">
        <v>301</v>
      </c>
    </row>
    <row r="144" spans="1:26" x14ac:dyDescent="0.25">
      <c r="A144">
        <v>2020101</v>
      </c>
      <c r="B144" t="s">
        <v>162</v>
      </c>
      <c r="C144" t="s">
        <v>163</v>
      </c>
      <c r="D144" t="s">
        <v>163</v>
      </c>
      <c r="E144" t="s">
        <v>163</v>
      </c>
      <c r="P144">
        <v>0</v>
      </c>
      <c r="Q144" t="s">
        <v>298</v>
      </c>
      <c r="V144" s="8"/>
      <c r="X144" s="8"/>
      <c r="Z144" t="s">
        <v>301</v>
      </c>
    </row>
    <row r="145" spans="1:26" x14ac:dyDescent="0.25">
      <c r="A145">
        <v>2020102</v>
      </c>
      <c r="B145" t="s">
        <v>48</v>
      </c>
      <c r="C145" t="s">
        <v>163</v>
      </c>
      <c r="D145" t="s">
        <v>163</v>
      </c>
      <c r="E145" t="s">
        <v>163</v>
      </c>
      <c r="P145">
        <v>0</v>
      </c>
      <c r="Q145" t="s">
        <v>298</v>
      </c>
      <c r="V145" s="8"/>
      <c r="X145" s="8"/>
      <c r="Z145" t="s">
        <v>301</v>
      </c>
    </row>
    <row r="146" spans="1:26" x14ac:dyDescent="0.25">
      <c r="A146">
        <v>2020103</v>
      </c>
      <c r="B146" t="s">
        <v>101</v>
      </c>
      <c r="C146" t="s">
        <v>163</v>
      </c>
      <c r="D146" t="s">
        <v>163</v>
      </c>
      <c r="E146" t="s">
        <v>163</v>
      </c>
      <c r="P146">
        <v>0</v>
      </c>
      <c r="Q146" t="s">
        <v>298</v>
      </c>
      <c r="V146" s="8"/>
      <c r="X146" s="8"/>
      <c r="Z146" t="s">
        <v>317</v>
      </c>
    </row>
    <row r="147" spans="1:26" x14ac:dyDescent="0.25">
      <c r="A147">
        <v>2020104</v>
      </c>
      <c r="B147" t="s">
        <v>133</v>
      </c>
      <c r="C147" t="s">
        <v>163</v>
      </c>
      <c r="D147" t="s">
        <v>163</v>
      </c>
      <c r="E147" t="s">
        <v>163</v>
      </c>
      <c r="P147">
        <v>0</v>
      </c>
      <c r="Q147" t="s">
        <v>298</v>
      </c>
      <c r="R147" t="s">
        <v>7</v>
      </c>
      <c r="V147" s="8"/>
      <c r="X147" s="8"/>
      <c r="Z147" t="s">
        <v>301</v>
      </c>
    </row>
    <row r="148" spans="1:26" x14ac:dyDescent="0.25">
      <c r="A148">
        <v>2020105</v>
      </c>
      <c r="B148" t="s">
        <v>72</v>
      </c>
      <c r="C148" t="s">
        <v>163</v>
      </c>
      <c r="D148" t="s">
        <v>163</v>
      </c>
      <c r="E148" t="s">
        <v>163</v>
      </c>
      <c r="P148">
        <v>0</v>
      </c>
      <c r="Q148" t="s">
        <v>298</v>
      </c>
      <c r="R148" t="s">
        <v>7</v>
      </c>
      <c r="V148" s="8"/>
      <c r="X148" s="8"/>
      <c r="Z148" t="s">
        <v>301</v>
      </c>
    </row>
    <row r="149" spans="1:26" x14ac:dyDescent="0.25">
      <c r="A149">
        <v>2020106</v>
      </c>
      <c r="B149" t="s">
        <v>35</v>
      </c>
      <c r="C149" t="s">
        <v>163</v>
      </c>
      <c r="D149" t="s">
        <v>163</v>
      </c>
      <c r="E149" t="s">
        <v>163</v>
      </c>
      <c r="P149">
        <v>0</v>
      </c>
      <c r="Q149" t="s">
        <v>298</v>
      </c>
      <c r="V149" s="8"/>
      <c r="X149" s="8"/>
      <c r="Z149" t="s">
        <v>301</v>
      </c>
    </row>
    <row r="150" spans="1:26" x14ac:dyDescent="0.25">
      <c r="A150">
        <v>2020107</v>
      </c>
      <c r="B150" t="s">
        <v>40</v>
      </c>
      <c r="C150" t="s">
        <v>163</v>
      </c>
      <c r="D150" t="s">
        <v>163</v>
      </c>
      <c r="E150" t="s">
        <v>163</v>
      </c>
      <c r="P150">
        <v>0</v>
      </c>
      <c r="Q150" t="s">
        <v>298</v>
      </c>
      <c r="V150" s="8"/>
      <c r="X150" s="8"/>
      <c r="Z150" t="s">
        <v>301</v>
      </c>
    </row>
    <row r="151" spans="1:26" x14ac:dyDescent="0.25">
      <c r="A151">
        <v>2020108</v>
      </c>
      <c r="B151" t="s">
        <v>70</v>
      </c>
      <c r="C151" t="s">
        <v>163</v>
      </c>
      <c r="D151" t="s">
        <v>163</v>
      </c>
      <c r="E151" t="s">
        <v>163</v>
      </c>
      <c r="P151">
        <v>0</v>
      </c>
      <c r="Q151" t="s">
        <v>298</v>
      </c>
      <c r="R151" t="s">
        <v>13</v>
      </c>
      <c r="V151" s="8"/>
      <c r="X151" s="8"/>
      <c r="Z151" t="s">
        <v>299</v>
      </c>
    </row>
    <row r="152" spans="1:26" x14ac:dyDescent="0.25">
      <c r="A152">
        <v>2020109</v>
      </c>
      <c r="B152" t="s">
        <v>94</v>
      </c>
      <c r="C152" t="s">
        <v>163</v>
      </c>
      <c r="D152" t="s">
        <v>163</v>
      </c>
      <c r="E152" t="s">
        <v>163</v>
      </c>
      <c r="P152">
        <v>0</v>
      </c>
      <c r="Q152" t="s">
        <v>298</v>
      </c>
      <c r="R152" t="s">
        <v>7</v>
      </c>
      <c r="V152" s="8"/>
      <c r="X152" s="8"/>
      <c r="Z152" t="s">
        <v>317</v>
      </c>
    </row>
    <row r="153" spans="1:26" x14ac:dyDescent="0.25">
      <c r="A153">
        <v>2020110</v>
      </c>
      <c r="B153" t="s">
        <v>66</v>
      </c>
      <c r="C153" t="s">
        <v>163</v>
      </c>
      <c r="D153" t="s">
        <v>163</v>
      </c>
      <c r="E153" t="s">
        <v>163</v>
      </c>
      <c r="P153">
        <v>0</v>
      </c>
      <c r="Q153" t="s">
        <v>298</v>
      </c>
      <c r="R153" t="s">
        <v>7</v>
      </c>
      <c r="V153" s="8"/>
      <c r="X153" s="8"/>
      <c r="Z153" t="s">
        <v>317</v>
      </c>
    </row>
    <row r="154" spans="1:26" x14ac:dyDescent="0.25">
      <c r="A154">
        <v>2020111</v>
      </c>
      <c r="B154" t="s">
        <v>96</v>
      </c>
      <c r="C154" t="s">
        <v>163</v>
      </c>
      <c r="D154" t="s">
        <v>163</v>
      </c>
      <c r="E154" t="s">
        <v>163</v>
      </c>
      <c r="P154">
        <v>0</v>
      </c>
      <c r="Q154" t="s">
        <v>298</v>
      </c>
      <c r="R154" t="s">
        <v>13</v>
      </c>
      <c r="S154" t="s">
        <v>304</v>
      </c>
      <c r="T154">
        <v>4</v>
      </c>
      <c r="U154" t="s">
        <v>305</v>
      </c>
      <c r="V154" s="8">
        <v>1.65</v>
      </c>
      <c r="W154" t="s">
        <v>304</v>
      </c>
      <c r="X154" s="8">
        <v>7.6</v>
      </c>
      <c r="Z154" t="s">
        <v>299</v>
      </c>
    </row>
    <row r="155" spans="1:26" x14ac:dyDescent="0.25">
      <c r="A155">
        <v>2020112</v>
      </c>
      <c r="B155" t="s">
        <v>331</v>
      </c>
      <c r="C155" t="s">
        <v>163</v>
      </c>
      <c r="D155" t="s">
        <v>163</v>
      </c>
      <c r="E155" t="s">
        <v>163</v>
      </c>
      <c r="P155">
        <v>0</v>
      </c>
      <c r="Q155" t="s">
        <v>298</v>
      </c>
      <c r="R155" t="s">
        <v>7</v>
      </c>
      <c r="V155" s="8"/>
      <c r="X155" s="8"/>
      <c r="Z155" t="s">
        <v>317</v>
      </c>
    </row>
    <row r="156" spans="1:26" x14ac:dyDescent="0.25">
      <c r="A156">
        <v>2020113</v>
      </c>
      <c r="B156" t="s">
        <v>58</v>
      </c>
      <c r="C156" t="s">
        <v>163</v>
      </c>
      <c r="D156" t="s">
        <v>163</v>
      </c>
      <c r="E156" t="s">
        <v>163</v>
      </c>
      <c r="P156">
        <v>0</v>
      </c>
      <c r="Q156" t="s">
        <v>298</v>
      </c>
      <c r="R156" t="s">
        <v>7</v>
      </c>
      <c r="V156" s="8"/>
      <c r="X156" s="8"/>
      <c r="Z156" t="s">
        <v>317</v>
      </c>
    </row>
    <row r="157" spans="1:26" x14ac:dyDescent="0.25">
      <c r="A157">
        <v>2020114</v>
      </c>
      <c r="B157" t="s">
        <v>26</v>
      </c>
      <c r="C157" t="s">
        <v>163</v>
      </c>
      <c r="D157" t="s">
        <v>163</v>
      </c>
      <c r="E157" t="s">
        <v>163</v>
      </c>
      <c r="P157">
        <v>0</v>
      </c>
      <c r="Q157" t="s">
        <v>298</v>
      </c>
      <c r="R157" t="s">
        <v>7</v>
      </c>
      <c r="V157" s="8"/>
      <c r="X157" s="8"/>
      <c r="Z157" t="s">
        <v>317</v>
      </c>
    </row>
    <row r="158" spans="1:26" x14ac:dyDescent="0.25">
      <c r="A158">
        <v>2020115</v>
      </c>
      <c r="B158" t="s">
        <v>332</v>
      </c>
      <c r="C158" t="s">
        <v>163</v>
      </c>
      <c r="D158" t="s">
        <v>163</v>
      </c>
      <c r="E158" t="s">
        <v>163</v>
      </c>
      <c r="P158">
        <v>0</v>
      </c>
      <c r="Q158" t="s">
        <v>298</v>
      </c>
      <c r="R158" t="s">
        <v>7</v>
      </c>
      <c r="V158" s="8"/>
      <c r="X158" s="8"/>
      <c r="Z158" t="s">
        <v>317</v>
      </c>
    </row>
    <row r="159" spans="1:26" x14ac:dyDescent="0.25">
      <c r="A159">
        <v>2020116</v>
      </c>
      <c r="B159" t="s">
        <v>86</v>
      </c>
      <c r="C159" t="s">
        <v>163</v>
      </c>
      <c r="D159" t="s">
        <v>163</v>
      </c>
      <c r="E159" t="s">
        <v>163</v>
      </c>
      <c r="P159">
        <v>0</v>
      </c>
      <c r="Q159" t="s">
        <v>298</v>
      </c>
      <c r="R159" t="s">
        <v>7</v>
      </c>
      <c r="V159" s="8"/>
      <c r="X159" s="8"/>
      <c r="Z159" t="s">
        <v>317</v>
      </c>
    </row>
    <row r="160" spans="1:26" x14ac:dyDescent="0.25">
      <c r="A160">
        <v>2020117</v>
      </c>
      <c r="B160" t="s">
        <v>158</v>
      </c>
      <c r="C160" t="s">
        <v>163</v>
      </c>
      <c r="D160" t="s">
        <v>163</v>
      </c>
      <c r="E160" t="s">
        <v>163</v>
      </c>
      <c r="P160">
        <v>0</v>
      </c>
      <c r="Q160" t="s">
        <v>298</v>
      </c>
      <c r="R160" t="s">
        <v>7</v>
      </c>
      <c r="V160" s="8"/>
      <c r="X160" s="8"/>
      <c r="Z160" t="s">
        <v>317</v>
      </c>
    </row>
    <row r="161" spans="1:26" x14ac:dyDescent="0.25">
      <c r="A161">
        <v>2020118</v>
      </c>
      <c r="B161" t="s">
        <v>79</v>
      </c>
      <c r="C161" t="s">
        <v>163</v>
      </c>
      <c r="D161" t="s">
        <v>163</v>
      </c>
      <c r="E161" t="s">
        <v>163</v>
      </c>
      <c r="P161">
        <v>0</v>
      </c>
      <c r="Q161" t="s">
        <v>298</v>
      </c>
      <c r="R161" t="s">
        <v>7</v>
      </c>
      <c r="V161" s="8"/>
      <c r="X161" s="8"/>
      <c r="Z161" t="s">
        <v>317</v>
      </c>
    </row>
    <row r="162" spans="1:26" x14ac:dyDescent="0.25">
      <c r="A162">
        <v>2020119</v>
      </c>
      <c r="B162" t="s">
        <v>87</v>
      </c>
      <c r="C162" t="s">
        <v>163</v>
      </c>
      <c r="D162" t="s">
        <v>163</v>
      </c>
      <c r="E162" t="s">
        <v>163</v>
      </c>
      <c r="P162">
        <v>0</v>
      </c>
      <c r="Q162" t="s">
        <v>298</v>
      </c>
      <c r="R162" t="s">
        <v>7</v>
      </c>
      <c r="V162" s="8"/>
      <c r="X162" s="8"/>
      <c r="Z162" t="s">
        <v>317</v>
      </c>
    </row>
    <row r="163" spans="1:26" x14ac:dyDescent="0.25">
      <c r="A163">
        <v>2020120</v>
      </c>
      <c r="B163" t="s">
        <v>392</v>
      </c>
      <c r="C163" t="s">
        <v>163</v>
      </c>
      <c r="D163" t="s">
        <v>163</v>
      </c>
      <c r="E163" t="s">
        <v>163</v>
      </c>
      <c r="P163">
        <v>0</v>
      </c>
      <c r="Q163" t="s">
        <v>298</v>
      </c>
      <c r="R163" t="s">
        <v>7</v>
      </c>
      <c r="V163" s="8"/>
      <c r="X163" s="8"/>
      <c r="Z163" t="s">
        <v>317</v>
      </c>
    </row>
    <row r="164" spans="1:26" x14ac:dyDescent="0.25">
      <c r="A164">
        <v>2020121</v>
      </c>
      <c r="B164" t="s">
        <v>144</v>
      </c>
      <c r="C164" t="s">
        <v>163</v>
      </c>
      <c r="D164" t="s">
        <v>163</v>
      </c>
      <c r="E164" t="s">
        <v>163</v>
      </c>
      <c r="P164">
        <v>0</v>
      </c>
      <c r="Q164" t="s">
        <v>298</v>
      </c>
      <c r="R164" t="s">
        <v>7</v>
      </c>
      <c r="V164" s="8"/>
      <c r="X164" s="8"/>
      <c r="Z164" t="s">
        <v>317</v>
      </c>
    </row>
    <row r="165" spans="1:26" x14ac:dyDescent="0.25">
      <c r="A165">
        <v>2020122</v>
      </c>
      <c r="B165" t="s">
        <v>118</v>
      </c>
      <c r="C165" t="s">
        <v>163</v>
      </c>
      <c r="D165" t="s">
        <v>163</v>
      </c>
      <c r="E165" t="s">
        <v>163</v>
      </c>
      <c r="P165">
        <v>0</v>
      </c>
      <c r="Q165" t="s">
        <v>298</v>
      </c>
      <c r="R165" t="s">
        <v>7</v>
      </c>
      <c r="V165" s="8"/>
      <c r="X165" s="8"/>
      <c r="Z165" t="s">
        <v>317</v>
      </c>
    </row>
    <row r="166" spans="1:26" x14ac:dyDescent="0.25">
      <c r="A166">
        <v>2020123</v>
      </c>
      <c r="B166" t="s">
        <v>333</v>
      </c>
      <c r="C166" t="s">
        <v>163</v>
      </c>
      <c r="D166" t="s">
        <v>163</v>
      </c>
      <c r="E166" t="s">
        <v>163</v>
      </c>
      <c r="P166">
        <v>0</v>
      </c>
      <c r="Q166" t="s">
        <v>298</v>
      </c>
      <c r="R166" t="s">
        <v>7</v>
      </c>
      <c r="V166" s="8"/>
      <c r="X166" s="8"/>
      <c r="Z166" t="s">
        <v>317</v>
      </c>
    </row>
    <row r="167" spans="1:26" x14ac:dyDescent="0.25">
      <c r="A167">
        <v>2020124</v>
      </c>
      <c r="B167" t="s">
        <v>49</v>
      </c>
      <c r="C167" t="s">
        <v>163</v>
      </c>
      <c r="D167" t="s">
        <v>163</v>
      </c>
      <c r="E167" t="s">
        <v>163</v>
      </c>
      <c r="P167">
        <v>0</v>
      </c>
      <c r="Q167" t="s">
        <v>298</v>
      </c>
      <c r="R167" t="s">
        <v>7</v>
      </c>
      <c r="V167" s="8"/>
      <c r="X167" s="8"/>
      <c r="Z167" t="s">
        <v>317</v>
      </c>
    </row>
    <row r="168" spans="1:26" x14ac:dyDescent="0.25">
      <c r="A168">
        <v>2020125</v>
      </c>
      <c r="B168" t="s">
        <v>334</v>
      </c>
      <c r="C168" t="s">
        <v>163</v>
      </c>
      <c r="D168" t="s">
        <v>163</v>
      </c>
      <c r="E168" t="s">
        <v>163</v>
      </c>
      <c r="P168">
        <v>0</v>
      </c>
      <c r="Q168" t="s">
        <v>298</v>
      </c>
      <c r="R168" t="s">
        <v>7</v>
      </c>
      <c r="V168" s="8"/>
      <c r="X168" s="8"/>
      <c r="Z168" t="s">
        <v>317</v>
      </c>
    </row>
    <row r="169" spans="1:26" x14ac:dyDescent="0.25">
      <c r="A169">
        <v>2020126</v>
      </c>
      <c r="B169" t="s">
        <v>62</v>
      </c>
      <c r="C169" t="s">
        <v>163</v>
      </c>
      <c r="D169" t="s">
        <v>163</v>
      </c>
      <c r="E169" t="s">
        <v>163</v>
      </c>
      <c r="P169">
        <v>0</v>
      </c>
      <c r="Q169" t="s">
        <v>298</v>
      </c>
      <c r="R169" t="s">
        <v>7</v>
      </c>
      <c r="V169" s="8"/>
      <c r="X169" s="8"/>
      <c r="Z169" t="s">
        <v>317</v>
      </c>
    </row>
    <row r="170" spans="1:26" x14ac:dyDescent="0.25">
      <c r="A170">
        <v>2020127</v>
      </c>
      <c r="B170" t="s">
        <v>393</v>
      </c>
      <c r="C170" t="s">
        <v>163</v>
      </c>
      <c r="D170" t="s">
        <v>163</v>
      </c>
      <c r="E170" t="s">
        <v>163</v>
      </c>
      <c r="P170">
        <v>0</v>
      </c>
      <c r="Q170" t="s">
        <v>298</v>
      </c>
      <c r="R170" t="s">
        <v>7</v>
      </c>
      <c r="V170" s="8"/>
      <c r="X170" s="8"/>
      <c r="Z170" t="s">
        <v>317</v>
      </c>
    </row>
    <row r="171" spans="1:26" x14ac:dyDescent="0.25">
      <c r="A171">
        <v>2020201</v>
      </c>
      <c r="B171" t="s">
        <v>105</v>
      </c>
      <c r="C171" t="s">
        <v>163</v>
      </c>
      <c r="D171" t="s">
        <v>163</v>
      </c>
      <c r="E171" t="s">
        <v>163</v>
      </c>
      <c r="P171">
        <v>0</v>
      </c>
      <c r="Q171" t="s">
        <v>298</v>
      </c>
      <c r="R171" t="s">
        <v>7</v>
      </c>
      <c r="V171" s="8"/>
      <c r="X171" s="8"/>
      <c r="Z171" t="s">
        <v>317</v>
      </c>
    </row>
    <row r="172" spans="1:26" x14ac:dyDescent="0.25">
      <c r="A172">
        <v>2020202</v>
      </c>
      <c r="B172" t="s">
        <v>93</v>
      </c>
      <c r="C172" t="s">
        <v>163</v>
      </c>
      <c r="D172" t="s">
        <v>163</v>
      </c>
      <c r="E172" t="s">
        <v>163</v>
      </c>
      <c r="P172">
        <v>0</v>
      </c>
      <c r="Q172" t="s">
        <v>298</v>
      </c>
      <c r="R172" t="s">
        <v>7</v>
      </c>
      <c r="V172" s="8"/>
      <c r="X172" s="8"/>
      <c r="Z172" t="s">
        <v>317</v>
      </c>
    </row>
    <row r="173" spans="1:26" x14ac:dyDescent="0.25">
      <c r="A173">
        <v>2020203</v>
      </c>
      <c r="B173" t="s">
        <v>394</v>
      </c>
      <c r="C173" t="s">
        <v>163</v>
      </c>
      <c r="D173" t="s">
        <v>163</v>
      </c>
      <c r="E173" t="s">
        <v>163</v>
      </c>
      <c r="P173">
        <v>0</v>
      </c>
      <c r="Q173" t="s">
        <v>298</v>
      </c>
      <c r="R173" t="s">
        <v>7</v>
      </c>
      <c r="V173" s="8"/>
      <c r="X173" s="8"/>
      <c r="Z173" t="s">
        <v>317</v>
      </c>
    </row>
    <row r="174" spans="1:26" x14ac:dyDescent="0.25">
      <c r="A174">
        <v>2020204</v>
      </c>
      <c r="B174" t="s">
        <v>124</v>
      </c>
      <c r="C174" t="s">
        <v>163</v>
      </c>
      <c r="D174" t="s">
        <v>163</v>
      </c>
      <c r="E174" t="s">
        <v>163</v>
      </c>
      <c r="P174">
        <v>0</v>
      </c>
      <c r="Q174" t="s">
        <v>298</v>
      </c>
      <c r="R174" t="s">
        <v>7</v>
      </c>
      <c r="V174" s="8"/>
      <c r="X174" s="8"/>
      <c r="Z174" t="s">
        <v>317</v>
      </c>
    </row>
    <row r="175" spans="1:26" x14ac:dyDescent="0.25">
      <c r="A175">
        <v>2020205</v>
      </c>
      <c r="B175" t="s">
        <v>75</v>
      </c>
      <c r="C175" t="s">
        <v>163</v>
      </c>
      <c r="D175" t="s">
        <v>163</v>
      </c>
      <c r="E175" t="s">
        <v>163</v>
      </c>
      <c r="P175">
        <v>0</v>
      </c>
      <c r="Q175" t="s">
        <v>298</v>
      </c>
      <c r="V175" s="8"/>
      <c r="X175" s="8"/>
      <c r="Z175" t="s">
        <v>301</v>
      </c>
    </row>
    <row r="176" spans="1:26" x14ac:dyDescent="0.25">
      <c r="A176">
        <v>2020206</v>
      </c>
      <c r="B176" t="s">
        <v>6</v>
      </c>
      <c r="C176" t="s">
        <v>163</v>
      </c>
      <c r="D176" t="s">
        <v>163</v>
      </c>
      <c r="E176" t="s">
        <v>163</v>
      </c>
      <c r="P176">
        <v>0</v>
      </c>
      <c r="Q176" t="s">
        <v>298</v>
      </c>
      <c r="R176" t="s">
        <v>7</v>
      </c>
      <c r="V176" s="8"/>
      <c r="X176" s="8"/>
      <c r="Z176" t="s">
        <v>317</v>
      </c>
    </row>
    <row r="177" spans="1:26" x14ac:dyDescent="0.25">
      <c r="A177">
        <v>2020207</v>
      </c>
      <c r="B177" t="s">
        <v>45</v>
      </c>
      <c r="C177" t="s">
        <v>163</v>
      </c>
      <c r="D177" t="s">
        <v>163</v>
      </c>
      <c r="E177" t="s">
        <v>163</v>
      </c>
      <c r="P177">
        <v>0</v>
      </c>
      <c r="Q177" t="s">
        <v>298</v>
      </c>
      <c r="R177" t="s">
        <v>13</v>
      </c>
      <c r="S177" t="s">
        <v>304</v>
      </c>
      <c r="T177">
        <v>2</v>
      </c>
      <c r="U177" t="s">
        <v>308</v>
      </c>
      <c r="V177" s="8">
        <v>0.65</v>
      </c>
      <c r="W177" t="s">
        <v>304</v>
      </c>
      <c r="X177" s="8">
        <v>3</v>
      </c>
      <c r="Z177" t="s">
        <v>301</v>
      </c>
    </row>
    <row r="178" spans="1:26" x14ac:dyDescent="0.25">
      <c r="A178">
        <v>2020208</v>
      </c>
      <c r="B178" t="s">
        <v>336</v>
      </c>
      <c r="C178" t="s">
        <v>163</v>
      </c>
      <c r="D178" t="s">
        <v>163</v>
      </c>
      <c r="E178" t="s">
        <v>163</v>
      </c>
      <c r="P178">
        <v>0</v>
      </c>
      <c r="Q178" t="s">
        <v>298</v>
      </c>
      <c r="R178" t="s">
        <v>13</v>
      </c>
      <c r="V178" s="8"/>
      <c r="X178" s="8"/>
      <c r="Z178" t="s">
        <v>301</v>
      </c>
    </row>
    <row r="179" spans="1:26" x14ac:dyDescent="0.25">
      <c r="A179">
        <v>2020209</v>
      </c>
      <c r="B179" t="s">
        <v>60</v>
      </c>
      <c r="C179" t="s">
        <v>163</v>
      </c>
      <c r="D179" t="s">
        <v>163</v>
      </c>
      <c r="E179" t="s">
        <v>163</v>
      </c>
      <c r="P179">
        <v>0</v>
      </c>
      <c r="Q179" t="s">
        <v>298</v>
      </c>
      <c r="R179" t="s">
        <v>13</v>
      </c>
      <c r="V179" s="8"/>
      <c r="X179" s="8"/>
      <c r="Z179" t="s">
        <v>301</v>
      </c>
    </row>
    <row r="180" spans="1:26" x14ac:dyDescent="0.25">
      <c r="A180">
        <v>2020210</v>
      </c>
      <c r="B180" t="s">
        <v>42</v>
      </c>
      <c r="C180" t="s">
        <v>163</v>
      </c>
      <c r="D180" t="s">
        <v>163</v>
      </c>
      <c r="E180" t="s">
        <v>163</v>
      </c>
      <c r="P180">
        <v>0</v>
      </c>
      <c r="Q180" t="s">
        <v>298</v>
      </c>
      <c r="V180" s="8"/>
      <c r="X180" s="8"/>
      <c r="Z180" t="s">
        <v>301</v>
      </c>
    </row>
    <row r="181" spans="1:26" x14ac:dyDescent="0.25">
      <c r="A181">
        <v>2020211</v>
      </c>
      <c r="B181" t="s">
        <v>69</v>
      </c>
      <c r="C181" t="s">
        <v>163</v>
      </c>
      <c r="D181" t="s">
        <v>163</v>
      </c>
      <c r="E181" t="s">
        <v>163</v>
      </c>
      <c r="P181">
        <v>0</v>
      </c>
      <c r="Q181" t="s">
        <v>298</v>
      </c>
      <c r="R181" t="s">
        <v>7</v>
      </c>
      <c r="V181" s="8"/>
      <c r="X181" s="8"/>
      <c r="Z181" t="s">
        <v>301</v>
      </c>
    </row>
    <row r="182" spans="1:26" x14ac:dyDescent="0.25">
      <c r="A182">
        <v>2020212</v>
      </c>
      <c r="B182" t="s">
        <v>9</v>
      </c>
      <c r="C182" t="s">
        <v>163</v>
      </c>
      <c r="D182" t="s">
        <v>163</v>
      </c>
      <c r="E182" t="s">
        <v>163</v>
      </c>
      <c r="P182">
        <v>0</v>
      </c>
      <c r="Q182" t="s">
        <v>298</v>
      </c>
      <c r="R182" t="s">
        <v>7</v>
      </c>
      <c r="V182" s="8"/>
      <c r="X182" s="8"/>
      <c r="Z182" t="s">
        <v>317</v>
      </c>
    </row>
    <row r="183" spans="1:26" x14ac:dyDescent="0.25">
      <c r="A183">
        <v>2020213</v>
      </c>
      <c r="B183" t="s">
        <v>82</v>
      </c>
      <c r="C183" t="s">
        <v>163</v>
      </c>
      <c r="D183" t="s">
        <v>163</v>
      </c>
      <c r="E183" t="s">
        <v>163</v>
      </c>
      <c r="P183">
        <v>0</v>
      </c>
      <c r="Q183" t="s">
        <v>298</v>
      </c>
      <c r="V183" s="8"/>
      <c r="X183" s="8"/>
      <c r="Z183" t="s">
        <v>301</v>
      </c>
    </row>
    <row r="184" spans="1:26" x14ac:dyDescent="0.25">
      <c r="A184">
        <v>2020214</v>
      </c>
      <c r="B184" t="s">
        <v>53</v>
      </c>
      <c r="C184" t="s">
        <v>163</v>
      </c>
      <c r="D184" t="s">
        <v>163</v>
      </c>
      <c r="E184" t="s">
        <v>163</v>
      </c>
      <c r="P184">
        <v>0</v>
      </c>
      <c r="Q184" t="s">
        <v>298</v>
      </c>
      <c r="R184" t="s">
        <v>7</v>
      </c>
      <c r="S184" t="s">
        <v>321</v>
      </c>
      <c r="T184">
        <v>18</v>
      </c>
      <c r="U184" t="s">
        <v>372</v>
      </c>
      <c r="V184" s="8">
        <v>1.65</v>
      </c>
      <c r="W184" t="s">
        <v>321</v>
      </c>
      <c r="X184" s="8">
        <v>7.6</v>
      </c>
      <c r="Y184" t="s">
        <v>373</v>
      </c>
      <c r="Z184" t="s">
        <v>299</v>
      </c>
    </row>
    <row r="185" spans="1:26" x14ac:dyDescent="0.25">
      <c r="A185">
        <v>2020215</v>
      </c>
      <c r="B185" t="s">
        <v>51</v>
      </c>
      <c r="C185" t="s">
        <v>163</v>
      </c>
      <c r="D185" t="s">
        <v>163</v>
      </c>
      <c r="E185" t="s">
        <v>163</v>
      </c>
      <c r="F185">
        <v>14</v>
      </c>
      <c r="G185" t="s">
        <v>404</v>
      </c>
      <c r="P185">
        <v>0</v>
      </c>
      <c r="Q185" t="s">
        <v>298</v>
      </c>
      <c r="R185" t="s">
        <v>7</v>
      </c>
      <c r="S185" t="s">
        <v>321</v>
      </c>
      <c r="T185">
        <v>14</v>
      </c>
      <c r="U185" t="s">
        <v>404</v>
      </c>
      <c r="V185" s="8">
        <v>1.65</v>
      </c>
      <c r="W185" t="s">
        <v>321</v>
      </c>
      <c r="X185" s="8">
        <v>7.6</v>
      </c>
      <c r="Y185" t="s">
        <v>337</v>
      </c>
      <c r="Z185" t="s">
        <v>301</v>
      </c>
    </row>
    <row r="186" spans="1:26" x14ac:dyDescent="0.25">
      <c r="A186">
        <v>2020216</v>
      </c>
      <c r="B186" t="s">
        <v>39</v>
      </c>
      <c r="C186" t="s">
        <v>163</v>
      </c>
      <c r="D186" t="s">
        <v>163</v>
      </c>
      <c r="E186" t="s">
        <v>163</v>
      </c>
      <c r="P186">
        <v>0</v>
      </c>
      <c r="Q186" t="s">
        <v>298</v>
      </c>
      <c r="R186" t="s">
        <v>7</v>
      </c>
      <c r="V186" s="8"/>
      <c r="X186" s="8"/>
      <c r="Z186" t="s">
        <v>317</v>
      </c>
    </row>
    <row r="187" spans="1:26" x14ac:dyDescent="0.25">
      <c r="A187">
        <v>2020217</v>
      </c>
      <c r="B187" t="s">
        <v>38</v>
      </c>
      <c r="C187" t="s">
        <v>163</v>
      </c>
      <c r="D187" t="s">
        <v>163</v>
      </c>
      <c r="E187" t="s">
        <v>163</v>
      </c>
      <c r="P187">
        <v>0</v>
      </c>
      <c r="Q187" t="s">
        <v>298</v>
      </c>
      <c r="R187" t="s">
        <v>7</v>
      </c>
      <c r="V187" s="8"/>
      <c r="X187" s="8"/>
      <c r="Z187" t="s">
        <v>301</v>
      </c>
    </row>
    <row r="188" spans="1:26" x14ac:dyDescent="0.25">
      <c r="A188">
        <v>2020218</v>
      </c>
      <c r="B188" t="s">
        <v>148</v>
      </c>
      <c r="C188" t="s">
        <v>163</v>
      </c>
      <c r="D188" t="s">
        <v>163</v>
      </c>
      <c r="E188" t="s">
        <v>163</v>
      </c>
      <c r="P188">
        <v>0</v>
      </c>
      <c r="Q188" t="s">
        <v>298</v>
      </c>
      <c r="R188" t="s">
        <v>7</v>
      </c>
      <c r="V188" s="8"/>
      <c r="X188" s="8"/>
      <c r="Z188" t="s">
        <v>301</v>
      </c>
    </row>
    <row r="189" spans="1:26" x14ac:dyDescent="0.25">
      <c r="A189">
        <v>2020219</v>
      </c>
      <c r="B189" t="s">
        <v>97</v>
      </c>
      <c r="C189" t="s">
        <v>163</v>
      </c>
      <c r="D189" t="s">
        <v>163</v>
      </c>
      <c r="E189" t="s">
        <v>163</v>
      </c>
      <c r="P189">
        <v>0</v>
      </c>
      <c r="Q189" t="s">
        <v>298</v>
      </c>
      <c r="R189" t="s">
        <v>7</v>
      </c>
      <c r="V189" s="8"/>
      <c r="X189" s="8"/>
      <c r="Z189" t="s">
        <v>301</v>
      </c>
    </row>
    <row r="190" spans="1:26" x14ac:dyDescent="0.25">
      <c r="A190">
        <v>2020220</v>
      </c>
      <c r="B190" t="s">
        <v>95</v>
      </c>
      <c r="C190" t="s">
        <v>163</v>
      </c>
      <c r="D190" t="s">
        <v>163</v>
      </c>
      <c r="E190" t="s">
        <v>163</v>
      </c>
      <c r="P190">
        <v>0</v>
      </c>
      <c r="Q190" t="s">
        <v>298</v>
      </c>
      <c r="R190" t="s">
        <v>7</v>
      </c>
      <c r="V190" s="8"/>
      <c r="X190" s="8"/>
      <c r="Z190" t="s">
        <v>317</v>
      </c>
    </row>
    <row r="191" spans="1:26" x14ac:dyDescent="0.25">
      <c r="A191">
        <v>2020221</v>
      </c>
      <c r="B191" t="s">
        <v>447</v>
      </c>
      <c r="C191" t="s">
        <v>163</v>
      </c>
      <c r="D191" t="s">
        <v>163</v>
      </c>
      <c r="E191" t="s">
        <v>163</v>
      </c>
      <c r="P191">
        <v>0</v>
      </c>
      <c r="Q191" t="s">
        <v>298</v>
      </c>
      <c r="R191" t="s">
        <v>7</v>
      </c>
      <c r="V191" s="8"/>
      <c r="X191" s="8"/>
      <c r="Z191" t="s">
        <v>317</v>
      </c>
    </row>
    <row r="192" spans="1:26" x14ac:dyDescent="0.25">
      <c r="A192">
        <v>2020222</v>
      </c>
      <c r="B192" t="s">
        <v>371</v>
      </c>
      <c r="C192" t="s">
        <v>163</v>
      </c>
      <c r="D192" t="s">
        <v>163</v>
      </c>
      <c r="E192" t="s">
        <v>163</v>
      </c>
      <c r="P192">
        <v>0</v>
      </c>
      <c r="Q192" t="s">
        <v>298</v>
      </c>
      <c r="R192" t="s">
        <v>7</v>
      </c>
      <c r="V192" s="8"/>
      <c r="X192" s="8"/>
      <c r="Z192" t="s">
        <v>317</v>
      </c>
    </row>
    <row r="193" spans="1:26" x14ac:dyDescent="0.25">
      <c r="A193">
        <v>2020301</v>
      </c>
      <c r="B193" t="s">
        <v>25</v>
      </c>
      <c r="C193" t="s">
        <v>163</v>
      </c>
      <c r="D193" t="s">
        <v>163</v>
      </c>
      <c r="E193" t="s">
        <v>163</v>
      </c>
      <c r="P193">
        <v>0</v>
      </c>
      <c r="Q193" t="s">
        <v>298</v>
      </c>
      <c r="R193" t="s">
        <v>7</v>
      </c>
      <c r="V193" s="8"/>
      <c r="X193" s="8"/>
      <c r="Z193" t="s">
        <v>317</v>
      </c>
    </row>
    <row r="194" spans="1:26" x14ac:dyDescent="0.25">
      <c r="A194">
        <v>2020302</v>
      </c>
      <c r="B194" t="s">
        <v>81</v>
      </c>
      <c r="C194" t="s">
        <v>163</v>
      </c>
      <c r="D194" t="s">
        <v>163</v>
      </c>
      <c r="E194" t="s">
        <v>163</v>
      </c>
      <c r="P194">
        <v>0</v>
      </c>
      <c r="Q194" t="s">
        <v>298</v>
      </c>
      <c r="R194" t="s">
        <v>7</v>
      </c>
      <c r="V194" s="8"/>
      <c r="X194" s="8"/>
      <c r="Z194" t="s">
        <v>317</v>
      </c>
    </row>
    <row r="195" spans="1:26" x14ac:dyDescent="0.25">
      <c r="A195">
        <v>2020303</v>
      </c>
      <c r="B195" t="s">
        <v>54</v>
      </c>
      <c r="C195" t="s">
        <v>163</v>
      </c>
      <c r="D195" t="s">
        <v>163</v>
      </c>
      <c r="E195" t="s">
        <v>163</v>
      </c>
      <c r="P195">
        <v>0</v>
      </c>
      <c r="Q195" t="s">
        <v>298</v>
      </c>
      <c r="R195" t="s">
        <v>7</v>
      </c>
      <c r="V195" s="8"/>
      <c r="X195" s="8"/>
      <c r="Z195" t="s">
        <v>317</v>
      </c>
    </row>
    <row r="196" spans="1:26" x14ac:dyDescent="0.25">
      <c r="A196">
        <v>2020304</v>
      </c>
      <c r="B196" t="s">
        <v>120</v>
      </c>
      <c r="C196" t="s">
        <v>163</v>
      </c>
      <c r="D196" t="s">
        <v>163</v>
      </c>
      <c r="E196" t="s">
        <v>163</v>
      </c>
      <c r="P196">
        <v>0</v>
      </c>
      <c r="Q196" t="s">
        <v>298</v>
      </c>
      <c r="R196" t="s">
        <v>7</v>
      </c>
      <c r="V196" s="8"/>
      <c r="X196" s="8"/>
      <c r="Z196" t="s">
        <v>317</v>
      </c>
    </row>
    <row r="197" spans="1:26" x14ac:dyDescent="0.25">
      <c r="A197">
        <v>2020305</v>
      </c>
      <c r="B197" t="s">
        <v>80</v>
      </c>
      <c r="C197" t="s">
        <v>163</v>
      </c>
      <c r="D197" t="s">
        <v>163</v>
      </c>
      <c r="E197" t="s">
        <v>163</v>
      </c>
      <c r="P197">
        <v>0</v>
      </c>
      <c r="Q197" t="s">
        <v>298</v>
      </c>
      <c r="R197" t="s">
        <v>7</v>
      </c>
      <c r="V197" s="8"/>
      <c r="X197" s="8"/>
      <c r="Z197" t="s">
        <v>317</v>
      </c>
    </row>
    <row r="198" spans="1:26" x14ac:dyDescent="0.25">
      <c r="A198">
        <v>2020306</v>
      </c>
      <c r="B198" t="s">
        <v>21</v>
      </c>
      <c r="C198" t="s">
        <v>163</v>
      </c>
      <c r="D198" t="s">
        <v>163</v>
      </c>
      <c r="E198" t="s">
        <v>163</v>
      </c>
      <c r="P198">
        <v>0</v>
      </c>
      <c r="Q198" t="s">
        <v>298</v>
      </c>
      <c r="R198" t="s">
        <v>7</v>
      </c>
      <c r="V198" s="8"/>
      <c r="X198" s="8"/>
      <c r="Z198" t="s">
        <v>317</v>
      </c>
    </row>
    <row r="199" spans="1:26" x14ac:dyDescent="0.25">
      <c r="A199">
        <v>2020307</v>
      </c>
      <c r="B199" t="s">
        <v>65</v>
      </c>
      <c r="C199" t="s">
        <v>163</v>
      </c>
      <c r="D199" t="s">
        <v>163</v>
      </c>
      <c r="E199" t="s">
        <v>163</v>
      </c>
      <c r="P199">
        <v>0</v>
      </c>
      <c r="Q199" t="s">
        <v>298</v>
      </c>
      <c r="R199" t="s">
        <v>7</v>
      </c>
      <c r="V199" s="8"/>
      <c r="X199" s="8"/>
      <c r="Z199" t="s">
        <v>301</v>
      </c>
    </row>
    <row r="200" spans="1:26" x14ac:dyDescent="0.25">
      <c r="A200">
        <v>2020308</v>
      </c>
      <c r="B200" t="s">
        <v>157</v>
      </c>
      <c r="C200" t="s">
        <v>163</v>
      </c>
      <c r="D200" t="s">
        <v>163</v>
      </c>
      <c r="E200" t="s">
        <v>163</v>
      </c>
      <c r="P200">
        <v>0</v>
      </c>
      <c r="Q200" t="s">
        <v>298</v>
      </c>
      <c r="R200" t="s">
        <v>7</v>
      </c>
      <c r="V200" s="8"/>
      <c r="X200" s="8"/>
      <c r="Z200" t="s">
        <v>301</v>
      </c>
    </row>
    <row r="201" spans="1:26" x14ac:dyDescent="0.25">
      <c r="A201">
        <v>2020309</v>
      </c>
      <c r="B201" t="s">
        <v>122</v>
      </c>
      <c r="C201" t="s">
        <v>163</v>
      </c>
      <c r="D201" t="s">
        <v>163</v>
      </c>
      <c r="E201" t="s">
        <v>163</v>
      </c>
      <c r="P201">
        <v>0</v>
      </c>
      <c r="Q201" t="s">
        <v>298</v>
      </c>
      <c r="R201" t="s">
        <v>7</v>
      </c>
      <c r="V201" s="8"/>
      <c r="X201" s="8"/>
      <c r="Z201" t="s">
        <v>301</v>
      </c>
    </row>
    <row r="202" spans="1:26" x14ac:dyDescent="0.25">
      <c r="A202">
        <v>2020310</v>
      </c>
      <c r="B202" t="s">
        <v>137</v>
      </c>
      <c r="C202" t="s">
        <v>163</v>
      </c>
      <c r="D202" t="s">
        <v>163</v>
      </c>
      <c r="E202" t="s">
        <v>163</v>
      </c>
      <c r="P202">
        <v>0</v>
      </c>
      <c r="Q202" t="s">
        <v>298</v>
      </c>
      <c r="R202" t="s">
        <v>7</v>
      </c>
      <c r="V202" s="8"/>
      <c r="X202" s="8"/>
      <c r="Z202" t="s">
        <v>301</v>
      </c>
    </row>
    <row r="203" spans="1:26" x14ac:dyDescent="0.25">
      <c r="A203">
        <v>2020311</v>
      </c>
      <c r="B203" t="s">
        <v>140</v>
      </c>
      <c r="C203" t="s">
        <v>163</v>
      </c>
      <c r="D203" t="s">
        <v>163</v>
      </c>
      <c r="E203" t="s">
        <v>163</v>
      </c>
      <c r="P203">
        <v>0</v>
      </c>
      <c r="Q203" t="s">
        <v>298</v>
      </c>
      <c r="R203" t="s">
        <v>7</v>
      </c>
      <c r="V203" s="8"/>
      <c r="X203" s="8"/>
      <c r="Z203" t="s">
        <v>301</v>
      </c>
    </row>
    <row r="204" spans="1:26" x14ac:dyDescent="0.25">
      <c r="A204">
        <v>2020312</v>
      </c>
      <c r="B204" t="s">
        <v>106</v>
      </c>
      <c r="C204" t="s">
        <v>163</v>
      </c>
      <c r="D204" t="s">
        <v>163</v>
      </c>
      <c r="E204" t="s">
        <v>163</v>
      </c>
      <c r="P204">
        <v>0</v>
      </c>
      <c r="Q204" t="s">
        <v>298</v>
      </c>
      <c r="R204" t="s">
        <v>7</v>
      </c>
      <c r="V204" s="8"/>
      <c r="X204" s="8"/>
      <c r="Z204" t="s">
        <v>301</v>
      </c>
    </row>
    <row r="205" spans="1:26" x14ac:dyDescent="0.25">
      <c r="A205">
        <v>2020401</v>
      </c>
      <c r="B205" t="s">
        <v>78</v>
      </c>
      <c r="C205" t="s">
        <v>163</v>
      </c>
      <c r="D205" t="s">
        <v>163</v>
      </c>
      <c r="E205" t="s">
        <v>163</v>
      </c>
      <c r="P205">
        <v>0</v>
      </c>
      <c r="Q205" t="s">
        <v>298</v>
      </c>
      <c r="R205" t="s">
        <v>7</v>
      </c>
      <c r="V205" s="8"/>
      <c r="X205" s="8"/>
      <c r="Z205" t="s">
        <v>317</v>
      </c>
    </row>
    <row r="206" spans="1:26" x14ac:dyDescent="0.25">
      <c r="A206">
        <v>2020402</v>
      </c>
      <c r="B206" t="s">
        <v>44</v>
      </c>
      <c r="C206" t="s">
        <v>163</v>
      </c>
      <c r="D206" t="s">
        <v>163</v>
      </c>
      <c r="E206" t="s">
        <v>163</v>
      </c>
      <c r="P206">
        <v>0</v>
      </c>
      <c r="Q206" t="s">
        <v>298</v>
      </c>
      <c r="R206" t="s">
        <v>7</v>
      </c>
      <c r="V206" s="8"/>
      <c r="X206" s="8"/>
      <c r="Z206" t="s">
        <v>317</v>
      </c>
    </row>
    <row r="207" spans="1:26" x14ac:dyDescent="0.25">
      <c r="A207">
        <v>2020403</v>
      </c>
      <c r="B207" t="s">
        <v>134</v>
      </c>
      <c r="C207" t="s">
        <v>163</v>
      </c>
      <c r="D207" t="s">
        <v>163</v>
      </c>
      <c r="E207" t="s">
        <v>163</v>
      </c>
      <c r="P207">
        <v>0</v>
      </c>
      <c r="Q207" t="s">
        <v>298</v>
      </c>
      <c r="R207" t="s">
        <v>7</v>
      </c>
      <c r="V207" s="8"/>
      <c r="X207" s="8"/>
      <c r="Z207" t="s">
        <v>317</v>
      </c>
    </row>
    <row r="208" spans="1:26" x14ac:dyDescent="0.25">
      <c r="A208">
        <v>2020404</v>
      </c>
      <c r="B208" t="s">
        <v>146</v>
      </c>
      <c r="C208" t="s">
        <v>163</v>
      </c>
      <c r="D208" t="s">
        <v>163</v>
      </c>
      <c r="E208" t="s">
        <v>163</v>
      </c>
      <c r="P208">
        <v>0</v>
      </c>
      <c r="Q208" t="s">
        <v>298</v>
      </c>
      <c r="R208" t="s">
        <v>7</v>
      </c>
      <c r="V208" s="8"/>
      <c r="X208" s="8"/>
      <c r="Z208" t="s">
        <v>317</v>
      </c>
    </row>
    <row r="209" spans="1:26" x14ac:dyDescent="0.25">
      <c r="A209">
        <v>2020405</v>
      </c>
      <c r="B209" t="s">
        <v>115</v>
      </c>
      <c r="C209" t="s">
        <v>163</v>
      </c>
      <c r="D209" t="s">
        <v>163</v>
      </c>
      <c r="E209" t="s">
        <v>163</v>
      </c>
      <c r="P209">
        <v>0</v>
      </c>
      <c r="Q209" t="s">
        <v>298</v>
      </c>
      <c r="R209" t="s">
        <v>7</v>
      </c>
      <c r="V209" s="8"/>
      <c r="X209" s="8"/>
      <c r="Z209" t="s">
        <v>317</v>
      </c>
    </row>
    <row r="210" spans="1:26" x14ac:dyDescent="0.25">
      <c r="A210">
        <v>2020406</v>
      </c>
      <c r="B210" t="s">
        <v>15</v>
      </c>
      <c r="C210" t="s">
        <v>163</v>
      </c>
      <c r="D210" t="s">
        <v>163</v>
      </c>
      <c r="E210" t="s">
        <v>163</v>
      </c>
      <c r="P210">
        <v>0</v>
      </c>
      <c r="Q210" t="s">
        <v>298</v>
      </c>
      <c r="R210" t="s">
        <v>7</v>
      </c>
      <c r="V210" s="8"/>
      <c r="X210" s="8"/>
      <c r="Z210" t="s">
        <v>317</v>
      </c>
    </row>
    <row r="211" spans="1:26" x14ac:dyDescent="0.25">
      <c r="A211">
        <v>2020407</v>
      </c>
      <c r="B211" t="s">
        <v>338</v>
      </c>
      <c r="C211" t="s">
        <v>163</v>
      </c>
      <c r="D211" t="s">
        <v>163</v>
      </c>
      <c r="E211" t="s">
        <v>163</v>
      </c>
      <c r="P211">
        <v>0</v>
      </c>
      <c r="Q211" t="s">
        <v>298</v>
      </c>
      <c r="R211" t="s">
        <v>7</v>
      </c>
      <c r="S211" t="s">
        <v>321</v>
      </c>
      <c r="T211">
        <v>16</v>
      </c>
      <c r="U211" t="s">
        <v>359</v>
      </c>
      <c r="V211" s="8"/>
      <c r="W211" t="s">
        <v>321</v>
      </c>
      <c r="X211" s="8"/>
      <c r="Y211" t="s">
        <v>360</v>
      </c>
      <c r="Z211" t="s">
        <v>317</v>
      </c>
    </row>
    <row r="212" spans="1:26" x14ac:dyDescent="0.25">
      <c r="A212">
        <v>2020408</v>
      </c>
      <c r="B212" t="s">
        <v>59</v>
      </c>
      <c r="C212" t="s">
        <v>163</v>
      </c>
      <c r="D212" t="s">
        <v>163</v>
      </c>
      <c r="E212" t="s">
        <v>163</v>
      </c>
      <c r="P212">
        <v>0</v>
      </c>
      <c r="Q212" t="s">
        <v>298</v>
      </c>
      <c r="R212" t="s">
        <v>7</v>
      </c>
      <c r="V212" s="8"/>
      <c r="X212" s="8"/>
      <c r="Z212" t="s">
        <v>317</v>
      </c>
    </row>
    <row r="213" spans="1:26" x14ac:dyDescent="0.25">
      <c r="A213">
        <v>2020409</v>
      </c>
      <c r="B213" t="s">
        <v>382</v>
      </c>
      <c r="C213" t="s">
        <v>163</v>
      </c>
      <c r="D213" t="s">
        <v>163</v>
      </c>
      <c r="E213" t="s">
        <v>163</v>
      </c>
      <c r="P213">
        <v>0</v>
      </c>
      <c r="Q213" t="s">
        <v>298</v>
      </c>
      <c r="R213" t="s">
        <v>7</v>
      </c>
      <c r="V213" s="8"/>
      <c r="X213" s="8"/>
      <c r="Z213" t="s">
        <v>317</v>
      </c>
    </row>
    <row r="214" spans="1:26" x14ac:dyDescent="0.25">
      <c r="A214">
        <v>2020501</v>
      </c>
      <c r="B214" t="s">
        <v>88</v>
      </c>
      <c r="C214" t="s">
        <v>163</v>
      </c>
      <c r="D214" t="s">
        <v>163</v>
      </c>
      <c r="E214" t="s">
        <v>163</v>
      </c>
      <c r="P214">
        <v>0</v>
      </c>
      <c r="Q214" t="s">
        <v>298</v>
      </c>
      <c r="R214" t="s">
        <v>7</v>
      </c>
      <c r="V214" s="8"/>
      <c r="X214" s="8"/>
      <c r="Z214" t="s">
        <v>317</v>
      </c>
    </row>
    <row r="215" spans="1:26" x14ac:dyDescent="0.25">
      <c r="A215">
        <v>2020502</v>
      </c>
      <c r="B215" t="s">
        <v>11</v>
      </c>
      <c r="C215" t="s">
        <v>163</v>
      </c>
      <c r="D215" t="s">
        <v>163</v>
      </c>
      <c r="E215" t="s">
        <v>163</v>
      </c>
      <c r="P215">
        <v>0</v>
      </c>
      <c r="Q215" t="s">
        <v>298</v>
      </c>
      <c r="R215" t="s">
        <v>7</v>
      </c>
      <c r="V215" s="8"/>
      <c r="X215" s="8"/>
      <c r="Z215" t="s">
        <v>301</v>
      </c>
    </row>
    <row r="216" spans="1:26" x14ac:dyDescent="0.25">
      <c r="A216">
        <v>2020503</v>
      </c>
      <c r="B216" t="s">
        <v>99</v>
      </c>
      <c r="C216" t="s">
        <v>163</v>
      </c>
      <c r="D216" t="s">
        <v>163</v>
      </c>
      <c r="E216" t="s">
        <v>163</v>
      </c>
      <c r="P216">
        <v>0</v>
      </c>
      <c r="Q216" t="s">
        <v>298</v>
      </c>
      <c r="R216" t="s">
        <v>7</v>
      </c>
      <c r="V216" s="8"/>
      <c r="X216" s="8"/>
      <c r="Z216" t="s">
        <v>301</v>
      </c>
    </row>
    <row r="217" spans="1:26" x14ac:dyDescent="0.25">
      <c r="A217">
        <v>2020504</v>
      </c>
      <c r="B217" t="s">
        <v>36</v>
      </c>
      <c r="C217" t="s">
        <v>163</v>
      </c>
      <c r="D217" t="s">
        <v>163</v>
      </c>
      <c r="E217" t="s">
        <v>163</v>
      </c>
      <c r="P217">
        <v>0</v>
      </c>
      <c r="Q217" t="s">
        <v>298</v>
      </c>
      <c r="R217" t="s">
        <v>7</v>
      </c>
      <c r="V217" s="8"/>
      <c r="X217" s="8"/>
      <c r="Z217" t="s">
        <v>301</v>
      </c>
    </row>
    <row r="218" spans="1:26" x14ac:dyDescent="0.25">
      <c r="A218">
        <v>2020505</v>
      </c>
      <c r="B218" t="s">
        <v>63</v>
      </c>
      <c r="C218" t="s">
        <v>163</v>
      </c>
      <c r="D218" t="s">
        <v>163</v>
      </c>
      <c r="E218" t="s">
        <v>163</v>
      </c>
      <c r="P218">
        <v>0</v>
      </c>
      <c r="Q218" t="s">
        <v>298</v>
      </c>
      <c r="R218" t="s">
        <v>7</v>
      </c>
      <c r="V218" s="8"/>
      <c r="X218" s="8"/>
      <c r="Z218" t="s">
        <v>301</v>
      </c>
    </row>
    <row r="219" spans="1:26" x14ac:dyDescent="0.25">
      <c r="A219">
        <v>2020601</v>
      </c>
      <c r="B219" t="s">
        <v>138</v>
      </c>
      <c r="C219" t="s">
        <v>163</v>
      </c>
      <c r="D219" t="s">
        <v>163</v>
      </c>
      <c r="E219" t="s">
        <v>163</v>
      </c>
      <c r="P219">
        <v>0</v>
      </c>
      <c r="Q219" t="s">
        <v>298</v>
      </c>
      <c r="V219" s="8"/>
      <c r="X219" s="8"/>
      <c r="Z219" t="s">
        <v>317</v>
      </c>
    </row>
    <row r="220" spans="1:26" x14ac:dyDescent="0.25">
      <c r="A220">
        <v>2020602</v>
      </c>
      <c r="B220" t="s">
        <v>364</v>
      </c>
      <c r="C220" t="s">
        <v>163</v>
      </c>
      <c r="D220" t="s">
        <v>163</v>
      </c>
      <c r="E220" t="s">
        <v>163</v>
      </c>
      <c r="P220">
        <v>0</v>
      </c>
      <c r="Q220" t="s">
        <v>298</v>
      </c>
      <c r="V220" s="8"/>
      <c r="X220" s="8"/>
      <c r="Z220" t="s">
        <v>317</v>
      </c>
    </row>
    <row r="221" spans="1:26" x14ac:dyDescent="0.25">
      <c r="A221">
        <v>2020604</v>
      </c>
      <c r="B221" t="s">
        <v>33</v>
      </c>
      <c r="C221" t="s">
        <v>163</v>
      </c>
      <c r="D221" t="s">
        <v>163</v>
      </c>
      <c r="E221" t="s">
        <v>163</v>
      </c>
      <c r="P221">
        <v>0</v>
      </c>
      <c r="Q221" t="s">
        <v>298</v>
      </c>
      <c r="V221" s="8"/>
      <c r="X221" s="8"/>
      <c r="Z221" t="s">
        <v>317</v>
      </c>
    </row>
    <row r="222" spans="1:26" x14ac:dyDescent="0.25">
      <c r="A222">
        <v>2020701</v>
      </c>
      <c r="B222" t="s">
        <v>409</v>
      </c>
      <c r="C222" t="s">
        <v>163</v>
      </c>
      <c r="D222" t="s">
        <v>163</v>
      </c>
      <c r="E222" t="s">
        <v>163</v>
      </c>
      <c r="P222">
        <v>0</v>
      </c>
      <c r="Q222" t="s">
        <v>298</v>
      </c>
      <c r="V222" s="8"/>
      <c r="X222" s="8"/>
      <c r="Z222" t="s">
        <v>301</v>
      </c>
    </row>
    <row r="223" spans="1:26" x14ac:dyDescent="0.25">
      <c r="A223">
        <v>2020702</v>
      </c>
      <c r="B223" t="s">
        <v>159</v>
      </c>
      <c r="C223" t="s">
        <v>163</v>
      </c>
      <c r="D223" t="s">
        <v>163</v>
      </c>
      <c r="E223" t="s">
        <v>163</v>
      </c>
      <c r="P223">
        <v>0</v>
      </c>
      <c r="Q223" t="s">
        <v>298</v>
      </c>
      <c r="R223" t="s">
        <v>7</v>
      </c>
      <c r="V223" s="8"/>
      <c r="X223" s="8"/>
      <c r="Z223" t="s">
        <v>301</v>
      </c>
    </row>
    <row r="224" spans="1:26" x14ac:dyDescent="0.25">
      <c r="A224">
        <v>2020703</v>
      </c>
      <c r="B224" t="s">
        <v>23</v>
      </c>
      <c r="C224" t="s">
        <v>163</v>
      </c>
      <c r="D224" t="s">
        <v>163</v>
      </c>
      <c r="E224" t="s">
        <v>163</v>
      </c>
      <c r="P224">
        <v>0</v>
      </c>
      <c r="Q224" t="s">
        <v>298</v>
      </c>
      <c r="V224" s="8"/>
      <c r="X224" s="8"/>
      <c r="Z224" t="s">
        <v>301</v>
      </c>
    </row>
    <row r="225" spans="1:26" x14ac:dyDescent="0.25">
      <c r="A225">
        <v>2020704</v>
      </c>
      <c r="B225" t="s">
        <v>341</v>
      </c>
      <c r="C225" t="s">
        <v>163</v>
      </c>
      <c r="D225" t="s">
        <v>163</v>
      </c>
      <c r="E225" t="s">
        <v>163</v>
      </c>
      <c r="P225">
        <v>0</v>
      </c>
      <c r="Q225" t="s">
        <v>298</v>
      </c>
      <c r="V225" s="8"/>
      <c r="X225" s="8"/>
      <c r="Z225" t="s">
        <v>301</v>
      </c>
    </row>
    <row r="226" spans="1:26" x14ac:dyDescent="0.25">
      <c r="A226">
        <v>2020705</v>
      </c>
      <c r="B226" t="s">
        <v>83</v>
      </c>
      <c r="C226" t="s">
        <v>163</v>
      </c>
      <c r="D226" t="s">
        <v>163</v>
      </c>
      <c r="E226" t="s">
        <v>163</v>
      </c>
      <c r="P226">
        <v>0</v>
      </c>
      <c r="Q226" t="s">
        <v>298</v>
      </c>
      <c r="V226" s="8"/>
      <c r="X226" s="8"/>
      <c r="Z226" t="s">
        <v>301</v>
      </c>
    </row>
    <row r="227" spans="1:26" x14ac:dyDescent="0.25">
      <c r="A227">
        <v>2020706</v>
      </c>
      <c r="B227" t="s">
        <v>342</v>
      </c>
      <c r="C227" t="s">
        <v>163</v>
      </c>
      <c r="D227" t="s">
        <v>163</v>
      </c>
      <c r="E227" t="s">
        <v>163</v>
      </c>
      <c r="P227">
        <v>0</v>
      </c>
      <c r="Q227" t="s">
        <v>298</v>
      </c>
      <c r="V227" s="8"/>
      <c r="X227" s="8"/>
      <c r="Z227" t="s">
        <v>299</v>
      </c>
    </row>
    <row r="228" spans="1:26" x14ac:dyDescent="0.25">
      <c r="A228">
        <v>2020707</v>
      </c>
      <c r="B228" t="s">
        <v>98</v>
      </c>
      <c r="C228" t="s">
        <v>163</v>
      </c>
      <c r="D228" t="s">
        <v>163</v>
      </c>
      <c r="E228" t="s">
        <v>163</v>
      </c>
      <c r="P228">
        <v>0</v>
      </c>
      <c r="Q228" t="s">
        <v>298</v>
      </c>
      <c r="V228" s="8"/>
      <c r="X228" s="8"/>
      <c r="Z228" t="s">
        <v>301</v>
      </c>
    </row>
    <row r="229" spans="1:26" x14ac:dyDescent="0.25">
      <c r="A229">
        <v>2020708</v>
      </c>
      <c r="B229" t="s">
        <v>131</v>
      </c>
      <c r="C229" t="s">
        <v>163</v>
      </c>
      <c r="D229" t="s">
        <v>163</v>
      </c>
      <c r="E229" t="s">
        <v>163</v>
      </c>
      <c r="P229">
        <v>0</v>
      </c>
      <c r="Q229" t="s">
        <v>298</v>
      </c>
      <c r="V229" s="8"/>
      <c r="X229" s="8"/>
      <c r="Z229" t="s">
        <v>301</v>
      </c>
    </row>
    <row r="230" spans="1:26" x14ac:dyDescent="0.25">
      <c r="A230">
        <v>2020709</v>
      </c>
      <c r="B230" t="s">
        <v>343</v>
      </c>
      <c r="C230" t="s">
        <v>163</v>
      </c>
      <c r="D230" t="s">
        <v>163</v>
      </c>
      <c r="E230" t="s">
        <v>163</v>
      </c>
      <c r="P230">
        <v>0</v>
      </c>
      <c r="Q230" t="s">
        <v>298</v>
      </c>
      <c r="V230" s="8"/>
      <c r="X230" s="8"/>
      <c r="Z230" t="s">
        <v>301</v>
      </c>
    </row>
    <row r="231" spans="1:26" x14ac:dyDescent="0.25">
      <c r="A231">
        <v>2020710</v>
      </c>
      <c r="B231" t="s">
        <v>132</v>
      </c>
      <c r="C231" t="s">
        <v>163</v>
      </c>
      <c r="D231" t="s">
        <v>163</v>
      </c>
      <c r="E231" t="s">
        <v>163</v>
      </c>
      <c r="P231">
        <v>0</v>
      </c>
      <c r="Q231" t="s">
        <v>298</v>
      </c>
      <c r="V231" s="8"/>
      <c r="X231" s="8"/>
      <c r="Z231" t="s">
        <v>301</v>
      </c>
    </row>
    <row r="232" spans="1:26" x14ac:dyDescent="0.25">
      <c r="A232">
        <v>2020711</v>
      </c>
      <c r="B232" t="s">
        <v>141</v>
      </c>
      <c r="C232" t="s">
        <v>163</v>
      </c>
      <c r="D232" t="s">
        <v>163</v>
      </c>
      <c r="E232" t="s">
        <v>163</v>
      </c>
      <c r="P232">
        <v>0</v>
      </c>
      <c r="Q232" t="s">
        <v>298</v>
      </c>
      <c r="V232" s="8"/>
      <c r="X232" s="8"/>
      <c r="Z232" t="s">
        <v>301</v>
      </c>
    </row>
    <row r="233" spans="1:26" x14ac:dyDescent="0.25">
      <c r="A233">
        <v>2020712</v>
      </c>
      <c r="B233" t="s">
        <v>143</v>
      </c>
      <c r="C233" t="s">
        <v>163</v>
      </c>
      <c r="D233" t="s">
        <v>163</v>
      </c>
      <c r="E233" t="s">
        <v>163</v>
      </c>
      <c r="P233">
        <v>0</v>
      </c>
      <c r="Q233" t="s">
        <v>298</v>
      </c>
      <c r="R233" t="s">
        <v>13</v>
      </c>
      <c r="V233" s="8"/>
      <c r="X233" s="8"/>
      <c r="Z233" t="s">
        <v>301</v>
      </c>
    </row>
    <row r="234" spans="1:26" x14ac:dyDescent="0.25">
      <c r="A234">
        <v>2020713</v>
      </c>
      <c r="B234" t="s">
        <v>344</v>
      </c>
      <c r="C234" t="s">
        <v>163</v>
      </c>
      <c r="D234" t="s">
        <v>163</v>
      </c>
      <c r="E234" t="s">
        <v>163</v>
      </c>
      <c r="P234">
        <v>0</v>
      </c>
      <c r="Q234" t="s">
        <v>298</v>
      </c>
      <c r="V234" s="8"/>
      <c r="X234" s="8"/>
      <c r="Z234" t="s">
        <v>301</v>
      </c>
    </row>
    <row r="235" spans="1:26" x14ac:dyDescent="0.25">
      <c r="A235">
        <v>2020714</v>
      </c>
      <c r="B235" t="s">
        <v>442</v>
      </c>
      <c r="C235" t="s">
        <v>163</v>
      </c>
      <c r="D235" t="s">
        <v>163</v>
      </c>
      <c r="E235" t="s">
        <v>163</v>
      </c>
      <c r="P235">
        <v>0</v>
      </c>
      <c r="Q235" t="s">
        <v>298</v>
      </c>
      <c r="R235" t="s">
        <v>7</v>
      </c>
      <c r="V235" s="8"/>
      <c r="X235" s="8"/>
      <c r="Z235" t="s">
        <v>301</v>
      </c>
    </row>
    <row r="236" spans="1:26" x14ac:dyDescent="0.25">
      <c r="A236">
        <v>2020715</v>
      </c>
      <c r="B236" t="s">
        <v>136</v>
      </c>
      <c r="C236" t="s">
        <v>163</v>
      </c>
      <c r="D236" t="s">
        <v>163</v>
      </c>
      <c r="E236" t="s">
        <v>163</v>
      </c>
      <c r="P236">
        <v>0</v>
      </c>
      <c r="Q236" t="s">
        <v>298</v>
      </c>
      <c r="V236" s="8"/>
      <c r="X236" s="8"/>
      <c r="Z236" t="s">
        <v>301</v>
      </c>
    </row>
    <row r="237" spans="1:26" x14ac:dyDescent="0.25">
      <c r="A237">
        <v>2020716</v>
      </c>
      <c r="B237" t="s">
        <v>446</v>
      </c>
      <c r="C237" t="s">
        <v>163</v>
      </c>
      <c r="D237" t="s">
        <v>163</v>
      </c>
      <c r="E237" t="s">
        <v>163</v>
      </c>
      <c r="P237">
        <v>0</v>
      </c>
      <c r="Q237" t="s">
        <v>298</v>
      </c>
      <c r="R237" t="s">
        <v>7</v>
      </c>
      <c r="V237" s="8"/>
      <c r="X237" s="8"/>
      <c r="Z237" t="s">
        <v>317</v>
      </c>
    </row>
    <row r="238" spans="1:26" x14ac:dyDescent="0.25">
      <c r="A238">
        <v>2020717</v>
      </c>
      <c r="B238" t="s">
        <v>366</v>
      </c>
      <c r="C238" t="s">
        <v>163</v>
      </c>
      <c r="D238" t="s">
        <v>163</v>
      </c>
      <c r="E238" t="s">
        <v>163</v>
      </c>
      <c r="P238">
        <v>0</v>
      </c>
      <c r="Q238" t="s">
        <v>298</v>
      </c>
      <c r="R238" t="s">
        <v>7</v>
      </c>
      <c r="V238" s="8"/>
      <c r="X238" s="8"/>
      <c r="Z238" t="s">
        <v>317</v>
      </c>
    </row>
    <row r="239" spans="1:26" x14ac:dyDescent="0.25">
      <c r="A239">
        <v>2020801</v>
      </c>
      <c r="B239" t="s">
        <v>103</v>
      </c>
      <c r="C239" t="s">
        <v>163</v>
      </c>
      <c r="D239" t="s">
        <v>163</v>
      </c>
      <c r="E239" t="s">
        <v>163</v>
      </c>
      <c r="P239">
        <v>0</v>
      </c>
      <c r="Q239" t="s">
        <v>298</v>
      </c>
      <c r="R239" t="s">
        <v>7</v>
      </c>
      <c r="V239" s="8"/>
      <c r="X239" s="8"/>
      <c r="Z239" t="s">
        <v>317</v>
      </c>
    </row>
    <row r="240" spans="1:26" x14ac:dyDescent="0.25">
      <c r="A240">
        <v>2020802</v>
      </c>
      <c r="B240" t="s">
        <v>104</v>
      </c>
      <c r="C240" t="s">
        <v>163</v>
      </c>
      <c r="D240" t="s">
        <v>163</v>
      </c>
      <c r="E240" t="s">
        <v>163</v>
      </c>
      <c r="P240">
        <v>0</v>
      </c>
      <c r="Q240" t="s">
        <v>298</v>
      </c>
      <c r="R240" t="s">
        <v>7</v>
      </c>
      <c r="V240" s="8"/>
      <c r="X240" s="8"/>
      <c r="Z240" t="s">
        <v>317</v>
      </c>
    </row>
    <row r="241" spans="1:26" x14ac:dyDescent="0.25">
      <c r="A241">
        <v>2020803</v>
      </c>
      <c r="B241" t="s">
        <v>416</v>
      </c>
      <c r="C241" t="s">
        <v>163</v>
      </c>
      <c r="D241" t="s">
        <v>163</v>
      </c>
      <c r="E241" t="s">
        <v>163</v>
      </c>
      <c r="P241">
        <v>0</v>
      </c>
      <c r="Q241" t="s">
        <v>298</v>
      </c>
      <c r="R241" t="s">
        <v>7</v>
      </c>
      <c r="S241" t="s">
        <v>321</v>
      </c>
      <c r="T241">
        <v>5</v>
      </c>
      <c r="U241" t="s">
        <v>322</v>
      </c>
      <c r="V241" s="8">
        <v>1.65</v>
      </c>
      <c r="W241" t="s">
        <v>321</v>
      </c>
      <c r="X241" s="8">
        <v>7.6</v>
      </c>
      <c r="Y241" t="s">
        <v>436</v>
      </c>
      <c r="Z241" t="s">
        <v>317</v>
      </c>
    </row>
    <row r="242" spans="1:26" x14ac:dyDescent="0.25">
      <c r="A242">
        <v>2020804</v>
      </c>
      <c r="B242" t="s">
        <v>20</v>
      </c>
      <c r="C242" t="s">
        <v>163</v>
      </c>
      <c r="D242" t="s">
        <v>163</v>
      </c>
      <c r="E242" t="s">
        <v>163</v>
      </c>
      <c r="P242">
        <v>0</v>
      </c>
      <c r="Q242" t="s">
        <v>298</v>
      </c>
      <c r="R242" t="s">
        <v>7</v>
      </c>
      <c r="S242" t="s">
        <v>321</v>
      </c>
      <c r="T242">
        <v>14</v>
      </c>
      <c r="U242" t="s">
        <v>404</v>
      </c>
      <c r="V242" s="8">
        <v>1.65</v>
      </c>
      <c r="W242" t="s">
        <v>321</v>
      </c>
      <c r="X242" s="8">
        <v>7.6</v>
      </c>
      <c r="Y242" t="s">
        <v>437</v>
      </c>
      <c r="Z242" t="s">
        <v>301</v>
      </c>
    </row>
    <row r="243" spans="1:26" x14ac:dyDescent="0.25">
      <c r="A243">
        <v>2020805</v>
      </c>
      <c r="B243" t="s">
        <v>147</v>
      </c>
      <c r="C243" t="s">
        <v>163</v>
      </c>
      <c r="D243" t="s">
        <v>163</v>
      </c>
      <c r="E243" t="s">
        <v>163</v>
      </c>
      <c r="P243">
        <v>0</v>
      </c>
      <c r="Q243" t="s">
        <v>298</v>
      </c>
      <c r="R243" t="s">
        <v>7</v>
      </c>
      <c r="V243" s="8"/>
      <c r="X243" s="8"/>
      <c r="Z243" t="s">
        <v>317</v>
      </c>
    </row>
    <row r="244" spans="1:26" x14ac:dyDescent="0.25">
      <c r="A244">
        <v>2020806</v>
      </c>
      <c r="B244" t="s">
        <v>417</v>
      </c>
      <c r="C244" t="s">
        <v>163</v>
      </c>
      <c r="D244" t="s">
        <v>163</v>
      </c>
      <c r="E244" t="s">
        <v>163</v>
      </c>
      <c r="P244">
        <v>0</v>
      </c>
      <c r="Q244" t="s">
        <v>298</v>
      </c>
      <c r="R244" t="s">
        <v>7</v>
      </c>
      <c r="V244" s="8"/>
      <c r="X244" s="8"/>
      <c r="Z244" t="s">
        <v>301</v>
      </c>
    </row>
    <row r="245" spans="1:26" x14ac:dyDescent="0.25">
      <c r="A245">
        <v>2020901</v>
      </c>
      <c r="B245" t="s">
        <v>109</v>
      </c>
      <c r="C245" t="s">
        <v>163</v>
      </c>
      <c r="D245" t="s">
        <v>163</v>
      </c>
      <c r="E245" t="s">
        <v>163</v>
      </c>
      <c r="P245">
        <v>0</v>
      </c>
      <c r="Q245" t="s">
        <v>298</v>
      </c>
      <c r="R245" t="s">
        <v>7</v>
      </c>
      <c r="V245" s="8"/>
      <c r="X245" s="8"/>
      <c r="Z245" t="s">
        <v>301</v>
      </c>
    </row>
    <row r="246" spans="1:26" x14ac:dyDescent="0.25">
      <c r="A246">
        <v>2020902</v>
      </c>
      <c r="B246" t="s">
        <v>108</v>
      </c>
      <c r="C246" t="s">
        <v>163</v>
      </c>
      <c r="D246" t="s">
        <v>163</v>
      </c>
      <c r="E246" t="s">
        <v>163</v>
      </c>
      <c r="P246">
        <v>0</v>
      </c>
      <c r="Q246" t="s">
        <v>298</v>
      </c>
      <c r="R246" t="s">
        <v>7</v>
      </c>
      <c r="V246" s="8"/>
      <c r="X246" s="8"/>
      <c r="Z246" t="s">
        <v>301</v>
      </c>
    </row>
    <row r="247" spans="1:26" x14ac:dyDescent="0.25">
      <c r="A247">
        <v>2021001</v>
      </c>
      <c r="B247" t="s">
        <v>350</v>
      </c>
      <c r="C247" t="s">
        <v>4</v>
      </c>
      <c r="D247" t="s">
        <v>163</v>
      </c>
      <c r="E247" t="s">
        <v>163</v>
      </c>
      <c r="P247">
        <v>0</v>
      </c>
      <c r="Q247" t="s">
        <v>298</v>
      </c>
      <c r="R247" t="s">
        <v>7</v>
      </c>
      <c r="V247" s="8"/>
      <c r="X247" s="8"/>
      <c r="Z247" t="s">
        <v>301</v>
      </c>
    </row>
    <row r="248" spans="1:26" x14ac:dyDescent="0.25">
      <c r="A248">
        <v>2021002</v>
      </c>
      <c r="B248" t="s">
        <v>149</v>
      </c>
      <c r="C248" t="s">
        <v>163</v>
      </c>
      <c r="D248" t="s">
        <v>163</v>
      </c>
      <c r="E248" t="s">
        <v>163</v>
      </c>
      <c r="P248">
        <v>0</v>
      </c>
      <c r="Q248" t="s">
        <v>298</v>
      </c>
      <c r="R248" t="s">
        <v>7</v>
      </c>
      <c r="V248" s="8"/>
      <c r="X248" s="8"/>
      <c r="Z248" t="s">
        <v>301</v>
      </c>
    </row>
    <row r="249" spans="1:26" x14ac:dyDescent="0.25">
      <c r="A249">
        <v>2021003</v>
      </c>
      <c r="B249" t="s">
        <v>76</v>
      </c>
      <c r="C249" t="s">
        <v>163</v>
      </c>
      <c r="D249" t="s">
        <v>163</v>
      </c>
      <c r="E249" t="s">
        <v>163</v>
      </c>
      <c r="P249">
        <v>0</v>
      </c>
      <c r="Q249" t="s">
        <v>298</v>
      </c>
      <c r="R249" t="s">
        <v>7</v>
      </c>
      <c r="V249" s="8"/>
      <c r="X249" s="8"/>
      <c r="Z249" t="s">
        <v>317</v>
      </c>
    </row>
    <row r="250" spans="1:26" x14ac:dyDescent="0.25">
      <c r="A250">
        <v>2021004</v>
      </c>
      <c r="B250" t="s">
        <v>378</v>
      </c>
      <c r="C250" t="s">
        <v>163</v>
      </c>
      <c r="D250" t="s">
        <v>163</v>
      </c>
      <c r="E250" t="s">
        <v>163</v>
      </c>
      <c r="P250">
        <v>0</v>
      </c>
      <c r="Q250" t="s">
        <v>298</v>
      </c>
      <c r="R250" t="s">
        <v>7</v>
      </c>
      <c r="V250" s="8"/>
      <c r="X250" s="8"/>
      <c r="Z250" t="s">
        <v>317</v>
      </c>
    </row>
    <row r="251" spans="1:26" x14ac:dyDescent="0.25">
      <c r="A251">
        <v>2021005</v>
      </c>
      <c r="B251" t="s">
        <v>139</v>
      </c>
      <c r="C251" t="s">
        <v>163</v>
      </c>
      <c r="D251" t="s">
        <v>163</v>
      </c>
      <c r="E251" t="s">
        <v>163</v>
      </c>
      <c r="P251">
        <v>0</v>
      </c>
      <c r="Q251" t="s">
        <v>298</v>
      </c>
      <c r="R251" t="s">
        <v>7</v>
      </c>
      <c r="V251" s="8"/>
      <c r="X251" s="8"/>
      <c r="Z251" t="s">
        <v>317</v>
      </c>
    </row>
    <row r="252" spans="1:26" x14ac:dyDescent="0.25">
      <c r="A252">
        <v>2021006</v>
      </c>
      <c r="B252" t="s">
        <v>390</v>
      </c>
      <c r="C252" t="s">
        <v>4</v>
      </c>
      <c r="D252" t="s">
        <v>163</v>
      </c>
      <c r="E252" t="s">
        <v>163</v>
      </c>
      <c r="P252">
        <v>0</v>
      </c>
      <c r="Q252" t="s">
        <v>298</v>
      </c>
      <c r="V252" s="8"/>
      <c r="X252" s="8"/>
      <c r="Z252" t="s">
        <v>317</v>
      </c>
    </row>
    <row r="253" spans="1:26" x14ac:dyDescent="0.25">
      <c r="A253">
        <v>2030100</v>
      </c>
      <c r="B253" t="s">
        <v>345</v>
      </c>
      <c r="C253" t="s">
        <v>163</v>
      </c>
      <c r="D253" t="s">
        <v>4</v>
      </c>
      <c r="E253" t="s">
        <v>163</v>
      </c>
      <c r="P253">
        <v>0</v>
      </c>
      <c r="Q253" t="s">
        <v>298</v>
      </c>
      <c r="R253" t="s">
        <v>13</v>
      </c>
      <c r="S253" t="s">
        <v>304</v>
      </c>
      <c r="T253">
        <v>4</v>
      </c>
      <c r="U253" t="s">
        <v>305</v>
      </c>
      <c r="V253" s="8">
        <v>0.65</v>
      </c>
      <c r="W253" t="s">
        <v>304</v>
      </c>
      <c r="X253" s="8">
        <v>3</v>
      </c>
      <c r="Z253" t="s">
        <v>301</v>
      </c>
    </row>
    <row r="254" spans="1:26" x14ac:dyDescent="0.25">
      <c r="A254">
        <v>2030109</v>
      </c>
      <c r="B254" t="s">
        <v>427</v>
      </c>
      <c r="C254" t="s">
        <v>163</v>
      </c>
      <c r="D254" t="s">
        <v>163</v>
      </c>
      <c r="E254" t="s">
        <v>163</v>
      </c>
      <c r="P254">
        <v>0</v>
      </c>
      <c r="Q254" t="s">
        <v>298</v>
      </c>
      <c r="R254" t="s">
        <v>7</v>
      </c>
      <c r="V254" s="8"/>
      <c r="X254" s="8"/>
      <c r="Z254" t="s">
        <v>317</v>
      </c>
    </row>
    <row r="255" spans="1:26" x14ac:dyDescent="0.25">
      <c r="A255">
        <v>2030110</v>
      </c>
      <c r="B255" t="s">
        <v>469</v>
      </c>
      <c r="C255" t="s">
        <v>163</v>
      </c>
      <c r="D255" t="s">
        <v>163</v>
      </c>
      <c r="E255" t="s">
        <v>163</v>
      </c>
      <c r="P255">
        <v>0</v>
      </c>
      <c r="Q255" t="s">
        <v>298</v>
      </c>
      <c r="R255" t="s">
        <v>7</v>
      </c>
      <c r="V255" s="8"/>
      <c r="X255" s="8"/>
      <c r="Z255" t="s">
        <v>317</v>
      </c>
    </row>
    <row r="256" spans="1:26" x14ac:dyDescent="0.25">
      <c r="A256">
        <v>2030200</v>
      </c>
      <c r="B256" t="s">
        <v>352</v>
      </c>
      <c r="C256" t="s">
        <v>163</v>
      </c>
      <c r="D256" t="s">
        <v>4</v>
      </c>
      <c r="E256" t="s">
        <v>163</v>
      </c>
      <c r="P256">
        <v>0</v>
      </c>
      <c r="Q256" t="s">
        <v>298</v>
      </c>
      <c r="R256" t="s">
        <v>7</v>
      </c>
      <c r="V256" s="8"/>
      <c r="X256" s="8"/>
      <c r="Z256" t="s">
        <v>301</v>
      </c>
    </row>
    <row r="257" spans="1:26" x14ac:dyDescent="0.25">
      <c r="A257">
        <v>2030300</v>
      </c>
      <c r="B257" t="s">
        <v>418</v>
      </c>
      <c r="C257" t="s">
        <v>163</v>
      </c>
      <c r="D257" t="s">
        <v>4</v>
      </c>
      <c r="E257" t="s">
        <v>163</v>
      </c>
      <c r="P257">
        <v>0</v>
      </c>
      <c r="Q257" t="s">
        <v>298</v>
      </c>
      <c r="V257" s="8"/>
      <c r="X257" s="8"/>
      <c r="Z257" t="s">
        <v>301</v>
      </c>
    </row>
    <row r="258" spans="1:26" x14ac:dyDescent="0.25">
      <c r="A258">
        <v>2030400</v>
      </c>
      <c r="B258" t="s">
        <v>421</v>
      </c>
      <c r="C258" t="s">
        <v>163</v>
      </c>
      <c r="D258" t="s">
        <v>4</v>
      </c>
      <c r="E258" t="s">
        <v>163</v>
      </c>
      <c r="P258">
        <v>0</v>
      </c>
      <c r="Q258" t="s">
        <v>298</v>
      </c>
      <c r="R258" t="s">
        <v>7</v>
      </c>
      <c r="S258" t="s">
        <v>321</v>
      </c>
      <c r="T258">
        <v>5</v>
      </c>
      <c r="U258" t="s">
        <v>322</v>
      </c>
      <c r="V258" s="8">
        <v>1.65</v>
      </c>
      <c r="W258" t="s">
        <v>321</v>
      </c>
      <c r="X258" s="8">
        <v>7.6</v>
      </c>
      <c r="Y258" t="s">
        <v>323</v>
      </c>
      <c r="Z258" t="s">
        <v>317</v>
      </c>
    </row>
    <row r="259" spans="1:26" x14ac:dyDescent="0.25">
      <c r="A259">
        <v>2030500</v>
      </c>
      <c r="B259" t="s">
        <v>423</v>
      </c>
      <c r="C259" t="s">
        <v>163</v>
      </c>
      <c r="D259" t="s">
        <v>4</v>
      </c>
      <c r="E259" t="s">
        <v>163</v>
      </c>
      <c r="P259">
        <v>0</v>
      </c>
      <c r="Q259" t="s">
        <v>298</v>
      </c>
      <c r="R259" t="s">
        <v>13</v>
      </c>
      <c r="S259" t="s">
        <v>309</v>
      </c>
      <c r="V259" s="8">
        <v>0.65</v>
      </c>
      <c r="W259" t="s">
        <v>309</v>
      </c>
      <c r="X259" s="8">
        <v>4</v>
      </c>
      <c r="Z259" t="s">
        <v>301</v>
      </c>
    </row>
    <row r="260" spans="1:26" x14ac:dyDescent="0.25">
      <c r="A260">
        <v>2030503</v>
      </c>
      <c r="B260" t="s">
        <v>449</v>
      </c>
      <c r="C260" t="s">
        <v>4</v>
      </c>
      <c r="D260" t="s">
        <v>163</v>
      </c>
      <c r="E260" t="s">
        <v>163</v>
      </c>
      <c r="P260">
        <v>0</v>
      </c>
      <c r="Q260" t="s">
        <v>298</v>
      </c>
      <c r="V260" s="8"/>
      <c r="X260" s="8"/>
      <c r="Z260" t="s">
        <v>301</v>
      </c>
    </row>
    <row r="261" spans="1:26" x14ac:dyDescent="0.25">
      <c r="A261">
        <v>2030600</v>
      </c>
      <c r="B261" t="s">
        <v>463</v>
      </c>
      <c r="C261" t="s">
        <v>163</v>
      </c>
      <c r="D261" t="s">
        <v>163</v>
      </c>
      <c r="E261" t="s">
        <v>163</v>
      </c>
      <c r="P261">
        <v>0</v>
      </c>
      <c r="Q261" t="s">
        <v>298</v>
      </c>
      <c r="R261" t="s">
        <v>7</v>
      </c>
      <c r="V261" s="8"/>
      <c r="X261" s="8"/>
      <c r="Z261" t="s">
        <v>301</v>
      </c>
    </row>
    <row r="262" spans="1:26" x14ac:dyDescent="0.25">
      <c r="A262">
        <v>2030101</v>
      </c>
      <c r="B262" t="s">
        <v>412</v>
      </c>
      <c r="C262" t="s">
        <v>163</v>
      </c>
      <c r="D262" t="s">
        <v>163</v>
      </c>
      <c r="E262" t="s">
        <v>163</v>
      </c>
      <c r="P262">
        <v>0</v>
      </c>
      <c r="Q262" t="s">
        <v>298</v>
      </c>
      <c r="V262" s="8"/>
      <c r="X262" s="8"/>
      <c r="Z262" t="s">
        <v>301</v>
      </c>
    </row>
    <row r="263" spans="1:26" x14ac:dyDescent="0.25">
      <c r="A263">
        <v>2030102</v>
      </c>
      <c r="B263" t="s">
        <v>413</v>
      </c>
      <c r="C263" t="s">
        <v>163</v>
      </c>
      <c r="D263" t="s">
        <v>163</v>
      </c>
      <c r="E263" t="s">
        <v>163</v>
      </c>
      <c r="P263">
        <v>0</v>
      </c>
      <c r="Q263" t="s">
        <v>298</v>
      </c>
      <c r="V263" s="8"/>
      <c r="X263" s="8"/>
      <c r="Z263" t="s">
        <v>301</v>
      </c>
    </row>
    <row r="264" spans="1:26" x14ac:dyDescent="0.25">
      <c r="A264">
        <v>2030103</v>
      </c>
      <c r="B264" t="s">
        <v>57</v>
      </c>
      <c r="C264" t="s">
        <v>163</v>
      </c>
      <c r="D264" t="s">
        <v>163</v>
      </c>
      <c r="E264" t="s">
        <v>163</v>
      </c>
      <c r="P264">
        <v>0</v>
      </c>
      <c r="Q264" t="s">
        <v>298</v>
      </c>
      <c r="R264" t="s">
        <v>7</v>
      </c>
      <c r="V264" s="8"/>
      <c r="X264" s="8"/>
      <c r="Z264" t="s">
        <v>301</v>
      </c>
    </row>
    <row r="265" spans="1:26" x14ac:dyDescent="0.25">
      <c r="A265">
        <v>2030104</v>
      </c>
      <c r="B265" t="s">
        <v>346</v>
      </c>
      <c r="C265" t="s">
        <v>163</v>
      </c>
      <c r="D265" t="s">
        <v>163</v>
      </c>
      <c r="E265" t="s">
        <v>163</v>
      </c>
      <c r="P265">
        <v>0</v>
      </c>
      <c r="Q265" t="s">
        <v>298</v>
      </c>
      <c r="V265" s="8"/>
      <c r="X265" s="8"/>
      <c r="Z265" t="s">
        <v>301</v>
      </c>
    </row>
    <row r="266" spans="1:26" x14ac:dyDescent="0.25">
      <c r="A266">
        <v>2030105</v>
      </c>
      <c r="B266" t="s">
        <v>414</v>
      </c>
      <c r="C266" t="s">
        <v>163</v>
      </c>
      <c r="D266" t="s">
        <v>163</v>
      </c>
      <c r="E266" t="s">
        <v>163</v>
      </c>
      <c r="P266">
        <v>0</v>
      </c>
      <c r="Q266" t="s">
        <v>298</v>
      </c>
      <c r="V266" s="8"/>
      <c r="X266" s="8"/>
      <c r="Z266" t="s">
        <v>301</v>
      </c>
    </row>
    <row r="267" spans="1:26" x14ac:dyDescent="0.25">
      <c r="A267">
        <v>2030106</v>
      </c>
      <c r="B267" t="s">
        <v>347</v>
      </c>
      <c r="C267" t="s">
        <v>163</v>
      </c>
      <c r="D267" t="s">
        <v>163</v>
      </c>
      <c r="E267" t="s">
        <v>163</v>
      </c>
      <c r="P267">
        <v>0</v>
      </c>
      <c r="Q267" t="s">
        <v>298</v>
      </c>
      <c r="V267" s="8"/>
      <c r="X267" s="8"/>
      <c r="Z267" t="s">
        <v>301</v>
      </c>
    </row>
    <row r="268" spans="1:26" x14ac:dyDescent="0.25">
      <c r="A268">
        <v>2030107</v>
      </c>
      <c r="B268" t="s">
        <v>351</v>
      </c>
      <c r="C268" t="s">
        <v>163</v>
      </c>
      <c r="D268" t="s">
        <v>163</v>
      </c>
      <c r="E268" t="s">
        <v>163</v>
      </c>
      <c r="P268">
        <v>0</v>
      </c>
      <c r="Q268" t="s">
        <v>298</v>
      </c>
      <c r="V268" s="8"/>
      <c r="X268" s="8"/>
      <c r="Z268" t="s">
        <v>301</v>
      </c>
    </row>
    <row r="269" spans="1:26" x14ac:dyDescent="0.25">
      <c r="A269">
        <v>2030108</v>
      </c>
      <c r="B269" t="s">
        <v>74</v>
      </c>
      <c r="C269" t="s">
        <v>163</v>
      </c>
      <c r="D269" t="s">
        <v>163</v>
      </c>
      <c r="E269" t="s">
        <v>163</v>
      </c>
      <c r="P269">
        <v>0</v>
      </c>
      <c r="Q269" t="s">
        <v>298</v>
      </c>
      <c r="R269" t="s">
        <v>13</v>
      </c>
      <c r="T269">
        <v>4</v>
      </c>
      <c r="U269" t="s">
        <v>305</v>
      </c>
      <c r="V269" s="8"/>
      <c r="X269" s="8"/>
      <c r="Z269" t="s">
        <v>317</v>
      </c>
    </row>
    <row r="270" spans="1:26" x14ac:dyDescent="0.25">
      <c r="A270">
        <v>2030201</v>
      </c>
      <c r="B270" t="s">
        <v>415</v>
      </c>
      <c r="C270" t="s">
        <v>163</v>
      </c>
      <c r="D270" t="s">
        <v>163</v>
      </c>
      <c r="E270" t="s">
        <v>163</v>
      </c>
      <c r="P270">
        <v>0</v>
      </c>
      <c r="Q270" t="s">
        <v>298</v>
      </c>
      <c r="V270" s="8"/>
      <c r="X270" s="8"/>
      <c r="Z270" t="s">
        <v>301</v>
      </c>
    </row>
    <row r="271" spans="1:26" x14ac:dyDescent="0.25">
      <c r="A271">
        <v>2030202</v>
      </c>
      <c r="B271" t="s">
        <v>353</v>
      </c>
      <c r="C271" t="s">
        <v>163</v>
      </c>
      <c r="D271" t="s">
        <v>163</v>
      </c>
      <c r="E271" t="s">
        <v>163</v>
      </c>
      <c r="P271">
        <v>0</v>
      </c>
      <c r="Q271" t="s">
        <v>298</v>
      </c>
      <c r="V271" s="8"/>
      <c r="X271" s="8"/>
      <c r="Z271" t="s">
        <v>301</v>
      </c>
    </row>
    <row r="272" spans="1:26" x14ac:dyDescent="0.25">
      <c r="A272">
        <v>2030203</v>
      </c>
      <c r="B272" t="s">
        <v>354</v>
      </c>
      <c r="C272" t="s">
        <v>163</v>
      </c>
      <c r="D272" t="s">
        <v>163</v>
      </c>
      <c r="E272" t="s">
        <v>163</v>
      </c>
      <c r="P272">
        <v>0</v>
      </c>
      <c r="Q272" t="s">
        <v>298</v>
      </c>
      <c r="V272" s="8"/>
      <c r="X272" s="8"/>
      <c r="Z272" t="s">
        <v>301</v>
      </c>
    </row>
    <row r="273" spans="1:26" x14ac:dyDescent="0.25">
      <c r="A273">
        <v>2030204</v>
      </c>
      <c r="B273" t="s">
        <v>56</v>
      </c>
      <c r="C273" t="s">
        <v>163</v>
      </c>
      <c r="D273" t="s">
        <v>163</v>
      </c>
      <c r="E273" t="s">
        <v>163</v>
      </c>
      <c r="P273">
        <v>0</v>
      </c>
      <c r="Q273" t="s">
        <v>298</v>
      </c>
      <c r="V273" s="8"/>
      <c r="X273" s="8"/>
      <c r="Z273" t="s">
        <v>301</v>
      </c>
    </row>
    <row r="274" spans="1:26" x14ac:dyDescent="0.25">
      <c r="A274">
        <v>2030205</v>
      </c>
      <c r="B274" t="s">
        <v>126</v>
      </c>
      <c r="C274" t="s">
        <v>163</v>
      </c>
      <c r="D274" t="s">
        <v>163</v>
      </c>
      <c r="E274" t="s">
        <v>163</v>
      </c>
      <c r="P274">
        <v>0</v>
      </c>
      <c r="Q274" t="s">
        <v>298</v>
      </c>
      <c r="V274" s="8"/>
      <c r="X274" s="8"/>
      <c r="Z274" t="s">
        <v>301</v>
      </c>
    </row>
    <row r="275" spans="1:26" x14ac:dyDescent="0.25">
      <c r="A275">
        <v>2030206</v>
      </c>
      <c r="B275" t="s">
        <v>368</v>
      </c>
      <c r="C275" t="s">
        <v>163</v>
      </c>
      <c r="D275" t="s">
        <v>163</v>
      </c>
      <c r="E275" t="s">
        <v>163</v>
      </c>
      <c r="P275">
        <v>0</v>
      </c>
      <c r="Q275" t="s">
        <v>298</v>
      </c>
      <c r="V275" s="8"/>
      <c r="X275" s="8"/>
      <c r="Z275" t="s">
        <v>301</v>
      </c>
    </row>
    <row r="276" spans="1:26" x14ac:dyDescent="0.25">
      <c r="A276">
        <v>2030301</v>
      </c>
      <c r="B276" t="s">
        <v>92</v>
      </c>
      <c r="C276" t="s">
        <v>163</v>
      </c>
      <c r="D276" t="s">
        <v>163</v>
      </c>
      <c r="E276" t="s">
        <v>163</v>
      </c>
      <c r="P276">
        <v>0</v>
      </c>
      <c r="Q276" t="s">
        <v>298</v>
      </c>
      <c r="V276" s="8"/>
      <c r="X276" s="8"/>
      <c r="Z276" t="s">
        <v>301</v>
      </c>
    </row>
    <row r="277" spans="1:26" x14ac:dyDescent="0.25">
      <c r="A277">
        <v>2030302</v>
      </c>
      <c r="B277" t="s">
        <v>419</v>
      </c>
      <c r="C277" t="s">
        <v>163</v>
      </c>
      <c r="D277" t="s">
        <v>163</v>
      </c>
      <c r="E277" t="s">
        <v>163</v>
      </c>
      <c r="P277">
        <v>0</v>
      </c>
      <c r="Q277" t="s">
        <v>298</v>
      </c>
      <c r="V277" s="8"/>
      <c r="X277" s="8"/>
      <c r="Z277" t="s">
        <v>301</v>
      </c>
    </row>
    <row r="278" spans="1:26" x14ac:dyDescent="0.25">
      <c r="A278">
        <v>2030303</v>
      </c>
      <c r="B278" t="s">
        <v>129</v>
      </c>
      <c r="C278" t="s">
        <v>163</v>
      </c>
      <c r="D278" t="s">
        <v>163</v>
      </c>
      <c r="E278" t="s">
        <v>163</v>
      </c>
      <c r="P278">
        <v>0</v>
      </c>
      <c r="Q278" t="s">
        <v>298</v>
      </c>
      <c r="V278" s="8"/>
      <c r="X278" s="8"/>
      <c r="Z278" t="s">
        <v>317</v>
      </c>
    </row>
    <row r="279" spans="1:26" x14ac:dyDescent="0.25">
      <c r="A279">
        <v>2030304</v>
      </c>
      <c r="B279" t="s">
        <v>356</v>
      </c>
      <c r="C279" t="s">
        <v>163</v>
      </c>
      <c r="D279" t="s">
        <v>163</v>
      </c>
      <c r="E279" t="s">
        <v>163</v>
      </c>
      <c r="P279">
        <v>0</v>
      </c>
      <c r="Q279" t="s">
        <v>298</v>
      </c>
      <c r="R279" t="s">
        <v>13</v>
      </c>
      <c r="V279" s="8"/>
      <c r="X279" s="8"/>
      <c r="Z279" t="s">
        <v>299</v>
      </c>
    </row>
    <row r="280" spans="1:26" x14ac:dyDescent="0.25">
      <c r="A280">
        <v>2030305</v>
      </c>
      <c r="B280" t="s">
        <v>357</v>
      </c>
      <c r="C280" t="s">
        <v>163</v>
      </c>
      <c r="D280" t="s">
        <v>163</v>
      </c>
      <c r="E280" t="s">
        <v>163</v>
      </c>
      <c r="P280">
        <v>0</v>
      </c>
      <c r="Q280" t="s">
        <v>298</v>
      </c>
      <c r="V280" s="8"/>
      <c r="X280" s="8"/>
      <c r="Z280" t="s">
        <v>301</v>
      </c>
    </row>
    <row r="281" spans="1:26" x14ac:dyDescent="0.25">
      <c r="A281">
        <v>2030306</v>
      </c>
      <c r="B281" t="s">
        <v>91</v>
      </c>
      <c r="C281" t="s">
        <v>163</v>
      </c>
      <c r="D281" t="s">
        <v>163</v>
      </c>
      <c r="E281" t="s">
        <v>163</v>
      </c>
      <c r="P281">
        <v>0</v>
      </c>
      <c r="Q281" t="s">
        <v>298</v>
      </c>
      <c r="V281" s="8"/>
      <c r="X281" s="8"/>
      <c r="Z281" t="s">
        <v>301</v>
      </c>
    </row>
    <row r="282" spans="1:26" x14ac:dyDescent="0.25">
      <c r="A282">
        <v>2030307</v>
      </c>
      <c r="B282" t="s">
        <v>420</v>
      </c>
      <c r="C282" t="s">
        <v>163</v>
      </c>
      <c r="D282" t="s">
        <v>163</v>
      </c>
      <c r="E282" t="s">
        <v>163</v>
      </c>
      <c r="P282">
        <v>0</v>
      </c>
      <c r="Q282" t="s">
        <v>298</v>
      </c>
      <c r="R282" t="s">
        <v>13</v>
      </c>
      <c r="V282" s="8"/>
      <c r="X282" s="8"/>
      <c r="Z282" t="s">
        <v>299</v>
      </c>
    </row>
    <row r="283" spans="1:26" x14ac:dyDescent="0.25">
      <c r="A283">
        <v>2030308</v>
      </c>
      <c r="B283" t="s">
        <v>358</v>
      </c>
      <c r="C283" t="s">
        <v>163</v>
      </c>
      <c r="D283" t="s">
        <v>163</v>
      </c>
      <c r="E283" t="s">
        <v>163</v>
      </c>
      <c r="P283">
        <v>0</v>
      </c>
      <c r="Q283" t="s">
        <v>298</v>
      </c>
      <c r="R283" t="s">
        <v>13</v>
      </c>
      <c r="V283" s="8"/>
      <c r="X283" s="8"/>
      <c r="Z283" t="s">
        <v>301</v>
      </c>
    </row>
    <row r="284" spans="1:26" x14ac:dyDescent="0.25">
      <c r="A284">
        <v>2030309</v>
      </c>
      <c r="B284" t="s">
        <v>90</v>
      </c>
      <c r="C284" t="s">
        <v>163</v>
      </c>
      <c r="D284" t="s">
        <v>163</v>
      </c>
      <c r="E284" t="s">
        <v>163</v>
      </c>
      <c r="P284">
        <v>0</v>
      </c>
      <c r="Q284" t="s">
        <v>298</v>
      </c>
      <c r="V284" s="8"/>
      <c r="X284" s="8"/>
      <c r="Z284" t="s">
        <v>301</v>
      </c>
    </row>
    <row r="285" spans="1:26" x14ac:dyDescent="0.25">
      <c r="A285">
        <v>2030310</v>
      </c>
      <c r="B285" t="s">
        <v>110</v>
      </c>
      <c r="C285" t="s">
        <v>163</v>
      </c>
      <c r="D285" t="s">
        <v>163</v>
      </c>
      <c r="E285" t="s">
        <v>163</v>
      </c>
      <c r="P285">
        <v>0</v>
      </c>
      <c r="Q285" t="s">
        <v>298</v>
      </c>
      <c r="V285" s="8"/>
      <c r="X285" s="8"/>
      <c r="Z285" t="s">
        <v>301</v>
      </c>
    </row>
    <row r="286" spans="1:26" x14ac:dyDescent="0.25">
      <c r="A286">
        <v>2030401</v>
      </c>
      <c r="B286" t="s">
        <v>155</v>
      </c>
      <c r="C286" t="s">
        <v>163</v>
      </c>
      <c r="D286" t="s">
        <v>163</v>
      </c>
      <c r="E286" t="s">
        <v>163</v>
      </c>
      <c r="P286">
        <v>0</v>
      </c>
      <c r="Q286" t="s">
        <v>298</v>
      </c>
      <c r="V286" s="8"/>
      <c r="X286" s="8"/>
      <c r="Z286" t="s">
        <v>301</v>
      </c>
    </row>
    <row r="287" spans="1:26" x14ac:dyDescent="0.25">
      <c r="A287">
        <v>2030402</v>
      </c>
      <c r="B287" t="s">
        <v>422</v>
      </c>
      <c r="C287" t="s">
        <v>163</v>
      </c>
      <c r="D287" t="s">
        <v>163</v>
      </c>
      <c r="E287" t="s">
        <v>163</v>
      </c>
      <c r="P287">
        <v>0</v>
      </c>
      <c r="Q287" t="s">
        <v>298</v>
      </c>
      <c r="V287" s="8"/>
      <c r="X287" s="8"/>
      <c r="Z287" t="s">
        <v>301</v>
      </c>
    </row>
    <row r="288" spans="1:26" x14ac:dyDescent="0.25">
      <c r="A288">
        <v>2030501</v>
      </c>
      <c r="B288" t="s">
        <v>361</v>
      </c>
      <c r="C288" t="s">
        <v>163</v>
      </c>
      <c r="D288" t="s">
        <v>163</v>
      </c>
      <c r="E288" t="s">
        <v>163</v>
      </c>
      <c r="P288">
        <v>0</v>
      </c>
      <c r="Q288" t="s">
        <v>298</v>
      </c>
      <c r="V288" s="8"/>
      <c r="X288" s="8"/>
      <c r="Z288" t="s">
        <v>301</v>
      </c>
    </row>
    <row r="289" spans="1:31" x14ac:dyDescent="0.25">
      <c r="A289">
        <v>2030502</v>
      </c>
      <c r="B289" t="s">
        <v>362</v>
      </c>
      <c r="C289" t="s">
        <v>163</v>
      </c>
      <c r="D289" t="s">
        <v>163</v>
      </c>
      <c r="E289" t="s">
        <v>163</v>
      </c>
      <c r="P289">
        <v>0</v>
      </c>
      <c r="Q289" t="s">
        <v>298</v>
      </c>
      <c r="V289" s="8"/>
      <c r="X289" s="8"/>
      <c r="Z289" t="s">
        <v>301</v>
      </c>
    </row>
    <row r="290" spans="1:31" x14ac:dyDescent="0.25">
      <c r="A290">
        <v>2040001</v>
      </c>
      <c r="B290" t="s">
        <v>385</v>
      </c>
      <c r="C290" t="s">
        <v>163</v>
      </c>
      <c r="D290" t="s">
        <v>163</v>
      </c>
      <c r="E290" t="s">
        <v>163</v>
      </c>
      <c r="P290">
        <v>0</v>
      </c>
      <c r="Q290" t="s">
        <v>298</v>
      </c>
      <c r="V290" s="8"/>
      <c r="X290" s="8"/>
      <c r="Z290" t="s">
        <v>301</v>
      </c>
    </row>
    <row r="291" spans="1:31" x14ac:dyDescent="0.25">
      <c r="A291">
        <v>2010332</v>
      </c>
      <c r="B291" t="s">
        <v>468</v>
      </c>
      <c r="C291" t="s">
        <v>163</v>
      </c>
      <c r="D291" t="s">
        <v>163</v>
      </c>
      <c r="E291" t="s">
        <v>163</v>
      </c>
      <c r="P291">
        <v>0</v>
      </c>
      <c r="Q291" t="s">
        <v>298</v>
      </c>
      <c r="V291" s="8"/>
      <c r="X291" s="8"/>
      <c r="Z291" t="s">
        <v>301</v>
      </c>
    </row>
    <row r="292" spans="1:31" x14ac:dyDescent="0.25">
      <c r="A292">
        <v>2020225</v>
      </c>
      <c r="B292" t="s">
        <v>123</v>
      </c>
      <c r="C292" t="s">
        <v>163</v>
      </c>
      <c r="D292" t="s">
        <v>163</v>
      </c>
      <c r="E292" t="s">
        <v>163</v>
      </c>
      <c r="P292">
        <v>0</v>
      </c>
      <c r="Q292" t="s">
        <v>298</v>
      </c>
      <c r="V292" s="8"/>
      <c r="X292" s="8"/>
      <c r="Z292" t="s">
        <v>301</v>
      </c>
    </row>
    <row r="293" spans="1:31" x14ac:dyDescent="0.25">
      <c r="A293">
        <v>2030110</v>
      </c>
      <c r="B293" t="s">
        <v>469</v>
      </c>
      <c r="C293" t="s">
        <v>163</v>
      </c>
      <c r="D293" t="s">
        <v>163</v>
      </c>
      <c r="E293" t="s">
        <v>163</v>
      </c>
      <c r="P293">
        <v>0</v>
      </c>
      <c r="Q293" t="s">
        <v>298</v>
      </c>
      <c r="V293" s="8"/>
      <c r="X293" s="8"/>
      <c r="Z293" t="s">
        <v>301</v>
      </c>
    </row>
    <row r="294" spans="1:31" x14ac:dyDescent="0.25">
      <c r="A294">
        <v>2020130</v>
      </c>
      <c r="B294" t="s">
        <v>161</v>
      </c>
      <c r="C294" t="s">
        <v>163</v>
      </c>
      <c r="D294" t="s">
        <v>163</v>
      </c>
      <c r="E294" t="s">
        <v>163</v>
      </c>
      <c r="P294">
        <v>0</v>
      </c>
      <c r="Q294" t="s">
        <v>298</v>
      </c>
      <c r="V294" s="8"/>
      <c r="X294" s="8"/>
      <c r="Z294" t="s">
        <v>301</v>
      </c>
    </row>
    <row r="295" spans="1:31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>
        <f>SUM(V4:V294)</f>
        <v>24.349999999999994</v>
      </c>
      <c r="W295" s="9"/>
      <c r="X295" s="9">
        <f>SUM(X4:X294)</f>
        <v>114.19999999999997</v>
      </c>
      <c r="Y295" s="9"/>
      <c r="Z295" s="9"/>
      <c r="AA295" s="9"/>
      <c r="AB295" s="9"/>
      <c r="AC295" s="9"/>
      <c r="AD295" s="9"/>
      <c r="AE295" s="9"/>
    </row>
  </sheetData>
  <mergeCells count="2">
    <mergeCell ref="A1:F1"/>
    <mergeCell ref="G1:H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5DC5-7595-4A51-B346-90DFC4FB05B8}">
  <dimension ref="A1:L250"/>
  <sheetViews>
    <sheetView zoomScale="70" zoomScaleNormal="70" workbookViewId="0">
      <selection activeCell="H249" sqref="H249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27.140625" bestFit="1" customWidth="1"/>
    <col min="4" max="4" width="43" bestFit="1" customWidth="1"/>
    <col min="5" max="5" width="18.5703125" bestFit="1" customWidth="1"/>
    <col min="6" max="8" width="18.85546875" bestFit="1" customWidth="1"/>
    <col min="9" max="9" width="19.7109375" bestFit="1" customWidth="1"/>
    <col min="10" max="10" width="45.7109375" bestFit="1" customWidth="1"/>
    <col min="11" max="11" width="50.28515625" bestFit="1" customWidth="1"/>
    <col min="12" max="12" width="43" bestFit="1" customWidth="1"/>
  </cols>
  <sheetData>
    <row r="1" spans="1:12" x14ac:dyDescent="0.25">
      <c r="A1" t="s">
        <v>270</v>
      </c>
      <c r="B1" t="s">
        <v>271</v>
      </c>
      <c r="C1" t="s">
        <v>272</v>
      </c>
      <c r="D1" t="s">
        <v>3</v>
      </c>
      <c r="E1" t="s">
        <v>470</v>
      </c>
      <c r="F1" t="s">
        <v>471</v>
      </c>
      <c r="G1" t="s">
        <v>472</v>
      </c>
      <c r="H1" t="s">
        <v>473</v>
      </c>
      <c r="I1" t="s">
        <v>0</v>
      </c>
      <c r="J1" t="s">
        <v>1</v>
      </c>
      <c r="K1" t="s">
        <v>2</v>
      </c>
      <c r="L1" s="10" t="s">
        <v>757</v>
      </c>
    </row>
    <row r="2" spans="1:12" hidden="1" x14ac:dyDescent="0.25">
      <c r="A2" t="s">
        <v>163</v>
      </c>
      <c r="B2" t="s">
        <v>163</v>
      </c>
      <c r="C2" t="s">
        <v>163</v>
      </c>
      <c r="D2" t="s">
        <v>16</v>
      </c>
      <c r="E2" t="s">
        <v>474</v>
      </c>
      <c r="F2" t="s">
        <v>475</v>
      </c>
      <c r="G2" t="s">
        <v>476</v>
      </c>
      <c r="H2" t="s">
        <v>477</v>
      </c>
      <c r="I2" t="s">
        <v>396</v>
      </c>
      <c r="J2" t="s">
        <v>300</v>
      </c>
      <c r="K2" t="s">
        <v>302</v>
      </c>
      <c r="L2" t="str">
        <f>IFERROR(VLOOKUP(Tab_Naturezas_2[[#This Row],[Conta 4]],D_PlanoFinanceiro[Conta 4 (Atual],1,FALSE),"#CLASSIFICAR")</f>
        <v>Prestação de Serviço</v>
      </c>
    </row>
    <row r="3" spans="1:12" hidden="1" x14ac:dyDescent="0.25">
      <c r="A3" t="s">
        <v>163</v>
      </c>
      <c r="B3" t="s">
        <v>163</v>
      </c>
      <c r="C3" t="s">
        <v>163</v>
      </c>
      <c r="D3" t="s">
        <v>303</v>
      </c>
      <c r="E3" t="s">
        <v>474</v>
      </c>
      <c r="F3" t="s">
        <v>475</v>
      </c>
      <c r="G3" t="s">
        <v>476</v>
      </c>
      <c r="H3" t="s">
        <v>478</v>
      </c>
      <c r="I3" t="s">
        <v>396</v>
      </c>
      <c r="J3" t="s">
        <v>300</v>
      </c>
      <c r="K3" t="s">
        <v>302</v>
      </c>
      <c r="L3" t="str">
        <f>IFERROR(VLOOKUP(Tab_Naturezas_2[[#This Row],[Conta 4]],D_PlanoFinanceiro[Conta 4 (Atual],1,FALSE),"#CLASSIFICAR")</f>
        <v>Venda de industrialização</v>
      </c>
    </row>
    <row r="4" spans="1:12" hidden="1" x14ac:dyDescent="0.25">
      <c r="A4" t="s">
        <v>163</v>
      </c>
      <c r="B4" t="s">
        <v>163</v>
      </c>
      <c r="C4" t="s">
        <v>163</v>
      </c>
      <c r="D4" t="s">
        <v>391</v>
      </c>
      <c r="E4" t="s">
        <v>474</v>
      </c>
      <c r="F4" t="s">
        <v>475</v>
      </c>
      <c r="G4" t="s">
        <v>476</v>
      </c>
      <c r="H4" t="s">
        <v>479</v>
      </c>
      <c r="I4" t="s">
        <v>396</v>
      </c>
      <c r="J4" t="s">
        <v>300</v>
      </c>
      <c r="K4" t="s">
        <v>302</v>
      </c>
      <c r="L4" t="str">
        <f>IFERROR(VLOOKUP(Tab_Naturezas_2[[#This Row],[Conta 4]],D_PlanoFinanceiro[Conta 4 (Atual],1,FALSE),"#CLASSIFICAR")</f>
        <v>Revenda</v>
      </c>
    </row>
    <row r="5" spans="1:12" hidden="1" x14ac:dyDescent="0.25">
      <c r="A5" t="s">
        <v>163</v>
      </c>
      <c r="B5" t="s">
        <v>163</v>
      </c>
      <c r="C5" t="s">
        <v>163</v>
      </c>
      <c r="D5" t="s">
        <v>135</v>
      </c>
      <c r="E5" t="s">
        <v>474</v>
      </c>
      <c r="F5" t="s">
        <v>475</v>
      </c>
      <c r="G5" t="s">
        <v>476</v>
      </c>
      <c r="H5" t="s">
        <v>480</v>
      </c>
      <c r="I5" t="s">
        <v>396</v>
      </c>
      <c r="J5" t="s">
        <v>300</v>
      </c>
      <c r="K5" t="s">
        <v>302</v>
      </c>
      <c r="L5" t="str">
        <f>IFERROR(VLOOKUP(Tab_Naturezas_2[[#This Row],[Conta 4]],D_PlanoFinanceiro[Conta 4 (Atual],1,FALSE),"#CLASSIFICAR")</f>
        <v>Venda passe jogador</v>
      </c>
    </row>
    <row r="6" spans="1:12" hidden="1" x14ac:dyDescent="0.25">
      <c r="A6" t="s">
        <v>163</v>
      </c>
      <c r="B6" t="s">
        <v>163</v>
      </c>
      <c r="C6" t="s">
        <v>163</v>
      </c>
      <c r="D6" t="s">
        <v>306</v>
      </c>
      <c r="E6" t="s">
        <v>474</v>
      </c>
      <c r="F6" t="s">
        <v>475</v>
      </c>
      <c r="G6" t="s">
        <v>476</v>
      </c>
      <c r="H6" t="s">
        <v>481</v>
      </c>
      <c r="I6" t="s">
        <v>396</v>
      </c>
      <c r="J6" t="s">
        <v>300</v>
      </c>
      <c r="K6" t="s">
        <v>302</v>
      </c>
      <c r="L6" t="str">
        <f>IFERROR(VLOOKUP(Tab_Naturezas_2[[#This Row],[Conta 4]],D_PlanoFinanceiro[Conta 4 (Atual],1,FALSE),"#CLASSIFICAR")</f>
        <v>Receita de aluguel</v>
      </c>
    </row>
    <row r="7" spans="1:12" hidden="1" x14ac:dyDescent="0.25">
      <c r="A7" t="s">
        <v>163</v>
      </c>
      <c r="B7" t="s">
        <v>163</v>
      </c>
      <c r="C7" t="s">
        <v>163</v>
      </c>
      <c r="D7" t="s">
        <v>365</v>
      </c>
      <c r="E7" t="s">
        <v>474</v>
      </c>
      <c r="F7" t="s">
        <v>475</v>
      </c>
      <c r="G7" t="s">
        <v>476</v>
      </c>
      <c r="H7" t="s">
        <v>482</v>
      </c>
      <c r="I7" t="s">
        <v>396</v>
      </c>
      <c r="J7" t="s">
        <v>300</v>
      </c>
      <c r="K7" t="s">
        <v>302</v>
      </c>
      <c r="L7" t="str">
        <f>IFERROR(VLOOKUP(Tab_Naturezas_2[[#This Row],[Conta 4]],D_PlanoFinanceiro[Conta 4 (Atual],1,FALSE),"#CLASSIFICAR")</f>
        <v>Remessas e Outras Saidas</v>
      </c>
    </row>
    <row r="8" spans="1:12" hidden="1" x14ac:dyDescent="0.25">
      <c r="A8" t="s">
        <v>163</v>
      </c>
      <c r="B8" t="s">
        <v>163</v>
      </c>
      <c r="C8" t="s">
        <v>163</v>
      </c>
      <c r="D8" t="s">
        <v>151</v>
      </c>
      <c r="E8" t="s">
        <v>474</v>
      </c>
      <c r="F8" t="s">
        <v>475</v>
      </c>
      <c r="G8" t="s">
        <v>476</v>
      </c>
      <c r="H8" t="s">
        <v>483</v>
      </c>
      <c r="I8" t="s">
        <v>396</v>
      </c>
      <c r="J8" t="s">
        <v>300</v>
      </c>
      <c r="K8" t="s">
        <v>302</v>
      </c>
      <c r="L8" t="str">
        <f>IFERROR(VLOOKUP(Tab_Naturezas_2[[#This Row],[Conta 4]],D_PlanoFinanceiro[Conta 4 (Atual],1,FALSE),"#CLASSIFICAR")</f>
        <v>Venda de Ingressos</v>
      </c>
    </row>
    <row r="9" spans="1:12" hidden="1" x14ac:dyDescent="0.25">
      <c r="A9" t="s">
        <v>163</v>
      </c>
      <c r="B9" t="s">
        <v>163</v>
      </c>
      <c r="C9" t="s">
        <v>163</v>
      </c>
      <c r="D9" t="s">
        <v>19</v>
      </c>
      <c r="E9" t="s">
        <v>474</v>
      </c>
      <c r="F9" t="s">
        <v>484</v>
      </c>
      <c r="G9" t="s">
        <v>485</v>
      </c>
      <c r="H9" t="s">
        <v>486</v>
      </c>
      <c r="I9" t="s">
        <v>396</v>
      </c>
      <c r="J9" t="s">
        <v>397</v>
      </c>
      <c r="K9" t="s">
        <v>234</v>
      </c>
      <c r="L9" t="str">
        <f>IFERROR(VLOOKUP(Tab_Naturezas_2[[#This Row],[Conta 4]],D_PlanoFinanceiro[Conta 4 (Atual],1,FALSE),"#CLASSIFICAR")</f>
        <v>Rendimentos sobre Aplicação</v>
      </c>
    </row>
    <row r="10" spans="1:12" hidden="1" x14ac:dyDescent="0.25">
      <c r="A10" t="s">
        <v>163</v>
      </c>
      <c r="B10" t="s">
        <v>163</v>
      </c>
      <c r="C10" t="s">
        <v>163</v>
      </c>
      <c r="D10" t="s">
        <v>311</v>
      </c>
      <c r="E10" t="s">
        <v>474</v>
      </c>
      <c r="F10" t="s">
        <v>484</v>
      </c>
      <c r="G10" t="s">
        <v>485</v>
      </c>
      <c r="H10" t="s">
        <v>487</v>
      </c>
      <c r="I10" t="s">
        <v>396</v>
      </c>
      <c r="J10" t="s">
        <v>397</v>
      </c>
      <c r="K10" t="s">
        <v>234</v>
      </c>
      <c r="L10" t="str">
        <f>IFERROR(VLOOKUP(Tab_Naturezas_2[[#This Row],[Conta 4]],D_PlanoFinanceiro[Conta 4 (Atual],1,FALSE),"#CLASSIFICAR")</f>
        <v>Recuperação de Despesas Bancárias</v>
      </c>
    </row>
    <row r="11" spans="1:12" hidden="1" x14ac:dyDescent="0.25">
      <c r="A11" t="s">
        <v>163</v>
      </c>
      <c r="B11" t="s">
        <v>163</v>
      </c>
      <c r="C11" t="s">
        <v>4</v>
      </c>
      <c r="D11" t="s">
        <v>100</v>
      </c>
      <c r="E11" t="s">
        <v>474</v>
      </c>
      <c r="F11" t="s">
        <v>484</v>
      </c>
      <c r="G11" t="s">
        <v>485</v>
      </c>
      <c r="H11" t="s">
        <v>488</v>
      </c>
      <c r="I11" t="s">
        <v>396</v>
      </c>
      <c r="J11" t="s">
        <v>397</v>
      </c>
      <c r="K11" t="s">
        <v>234</v>
      </c>
      <c r="L11" t="str">
        <f>IFERROR(VLOOKUP(Tab_Naturezas_2[[#This Row],[Conta 4]],D_PlanoFinanceiro[Conta 4 (Atual],1,FALSE),"#CLASSIFICAR")</f>
        <v>Outras Receitas Financeiras</v>
      </c>
    </row>
    <row r="12" spans="1:12" hidden="1" x14ac:dyDescent="0.25">
      <c r="A12" t="s">
        <v>163</v>
      </c>
      <c r="B12" t="s">
        <v>163</v>
      </c>
      <c r="C12" t="s">
        <v>163</v>
      </c>
      <c r="D12" t="s">
        <v>111</v>
      </c>
      <c r="E12" t="s">
        <v>474</v>
      </c>
      <c r="F12" t="s">
        <v>484</v>
      </c>
      <c r="G12" t="s">
        <v>489</v>
      </c>
      <c r="H12" t="s">
        <v>490</v>
      </c>
      <c r="I12" t="s">
        <v>396</v>
      </c>
      <c r="J12" t="s">
        <v>397</v>
      </c>
      <c r="K12" t="s">
        <v>29</v>
      </c>
      <c r="L12" t="str">
        <f>IFERROR(VLOOKUP(Tab_Naturezas_2[[#This Row],[Conta 4]],D_PlanoFinanceiro[Conta 4 (Atual],1,FALSE),"#CLASSIFICAR")</f>
        <v>Aporte/Integralização de Capital</v>
      </c>
    </row>
    <row r="13" spans="1:12" hidden="1" x14ac:dyDescent="0.25">
      <c r="A13" t="s">
        <v>163</v>
      </c>
      <c r="B13" t="s">
        <v>163</v>
      </c>
      <c r="C13" t="s">
        <v>163</v>
      </c>
      <c r="D13" t="s">
        <v>398</v>
      </c>
      <c r="E13" t="s">
        <v>474</v>
      </c>
      <c r="F13" t="s">
        <v>484</v>
      </c>
      <c r="G13" t="s">
        <v>489</v>
      </c>
      <c r="H13" t="s">
        <v>491</v>
      </c>
      <c r="I13" t="s">
        <v>396</v>
      </c>
      <c r="J13" t="s">
        <v>397</v>
      </c>
      <c r="K13" t="s">
        <v>29</v>
      </c>
      <c r="L13" t="str">
        <f>IFERROR(VLOOKUP(Tab_Naturezas_2[[#This Row],[Conta 4]],D_PlanoFinanceiro[Conta 4 (Atual],1,FALSE),"#CLASSIFICAR")</f>
        <v>Emprestimo de Sócios</v>
      </c>
    </row>
    <row r="14" spans="1:12" hidden="1" x14ac:dyDescent="0.25">
      <c r="A14" t="s">
        <v>163</v>
      </c>
      <c r="B14" t="s">
        <v>163</v>
      </c>
      <c r="C14" t="s">
        <v>163</v>
      </c>
      <c r="D14" t="s">
        <v>312</v>
      </c>
      <c r="E14" t="s">
        <v>474</v>
      </c>
      <c r="F14" t="s">
        <v>484</v>
      </c>
      <c r="G14" t="s">
        <v>489</v>
      </c>
      <c r="H14" t="s">
        <v>492</v>
      </c>
      <c r="I14" t="s">
        <v>396</v>
      </c>
      <c r="J14" t="s">
        <v>397</v>
      </c>
      <c r="K14" t="s">
        <v>29</v>
      </c>
      <c r="L14" t="str">
        <f>IFERROR(VLOOKUP(Tab_Naturezas_2[[#This Row],[Conta 4]],D_PlanoFinanceiro[Conta 4 (Atual],1,FALSE),"#CLASSIFICAR")</f>
        <v>Venda de Ativo</v>
      </c>
    </row>
    <row r="15" spans="1:12" hidden="1" x14ac:dyDescent="0.25">
      <c r="A15" t="s">
        <v>163</v>
      </c>
      <c r="B15" t="s">
        <v>163</v>
      </c>
      <c r="C15" t="s">
        <v>163</v>
      </c>
      <c r="D15" t="s">
        <v>12</v>
      </c>
      <c r="E15" t="s">
        <v>474</v>
      </c>
      <c r="F15" t="s">
        <v>484</v>
      </c>
      <c r="G15" t="s">
        <v>489</v>
      </c>
      <c r="H15" t="s">
        <v>493</v>
      </c>
      <c r="I15" t="s">
        <v>396</v>
      </c>
      <c r="J15" t="s">
        <v>397</v>
      </c>
      <c r="K15" t="s">
        <v>29</v>
      </c>
      <c r="L15" t="str">
        <f>IFERROR(VLOOKUP(Tab_Naturezas_2[[#This Row],[Conta 4]],D_PlanoFinanceiro[Conta 4 (Atual],1,FALSE),"#CLASSIFICAR")</f>
        <v>Adiantamento de Clientes</v>
      </c>
    </row>
    <row r="16" spans="1:12" hidden="1" x14ac:dyDescent="0.25">
      <c r="A16" t="s">
        <v>163</v>
      </c>
      <c r="B16" t="s">
        <v>163</v>
      </c>
      <c r="C16" t="s">
        <v>163</v>
      </c>
      <c r="D16" t="s">
        <v>119</v>
      </c>
      <c r="E16" t="s">
        <v>474</v>
      </c>
      <c r="F16" t="s">
        <v>484</v>
      </c>
      <c r="G16" t="s">
        <v>489</v>
      </c>
      <c r="H16" t="s">
        <v>494</v>
      </c>
      <c r="I16" t="s">
        <v>396</v>
      </c>
      <c r="J16" t="s">
        <v>397</v>
      </c>
      <c r="K16" t="s">
        <v>29</v>
      </c>
      <c r="L16" t="str">
        <f>IFERROR(VLOOKUP(Tab_Naturezas_2[[#This Row],[Conta 4]],D_PlanoFinanceiro[Conta 4 (Atual],1,FALSE),"#CLASSIFICAR")</f>
        <v>Receita de Reembolso</v>
      </c>
    </row>
    <row r="17" spans="1:12" hidden="1" x14ac:dyDescent="0.25">
      <c r="A17" t="s">
        <v>163</v>
      </c>
      <c r="B17" t="s">
        <v>163</v>
      </c>
      <c r="C17" t="s">
        <v>163</v>
      </c>
      <c r="D17" t="s">
        <v>128</v>
      </c>
      <c r="E17" t="s">
        <v>474</v>
      </c>
      <c r="F17" t="s">
        <v>484</v>
      </c>
      <c r="G17" t="s">
        <v>489</v>
      </c>
      <c r="H17" t="s">
        <v>495</v>
      </c>
      <c r="I17" t="s">
        <v>396</v>
      </c>
      <c r="J17" t="s">
        <v>397</v>
      </c>
      <c r="K17" t="s">
        <v>29</v>
      </c>
      <c r="L17" t="str">
        <f>IFERROR(VLOOKUP(Tab_Naturezas_2[[#This Row],[Conta 4]],D_PlanoFinanceiro[Conta 4 (Atual],1,FALSE),"#CLASSIFICAR")</f>
        <v>Indevido</v>
      </c>
    </row>
    <row r="18" spans="1:12" hidden="1" x14ac:dyDescent="0.25">
      <c r="A18" t="s">
        <v>163</v>
      </c>
      <c r="B18" t="s">
        <v>163</v>
      </c>
      <c r="C18" t="s">
        <v>163</v>
      </c>
      <c r="D18" t="s">
        <v>313</v>
      </c>
      <c r="E18" t="s">
        <v>474</v>
      </c>
      <c r="F18" t="s">
        <v>484</v>
      </c>
      <c r="G18" t="s">
        <v>489</v>
      </c>
      <c r="H18" t="s">
        <v>496</v>
      </c>
      <c r="I18" t="s">
        <v>396</v>
      </c>
      <c r="J18" t="s">
        <v>397</v>
      </c>
      <c r="K18" t="s">
        <v>29</v>
      </c>
      <c r="L18" t="str">
        <f>IFERROR(VLOOKUP(Tab_Naturezas_2[[#This Row],[Conta 4]],D_PlanoFinanceiro[Conta 4 (Atual],1,FALSE),"#CLASSIFICAR")</f>
        <v>Recebimento de Emprestimo a Terceiros</v>
      </c>
    </row>
    <row r="19" spans="1:12" hidden="1" x14ac:dyDescent="0.25">
      <c r="A19" t="s">
        <v>163</v>
      </c>
      <c r="B19" t="s">
        <v>163</v>
      </c>
      <c r="C19" t="s">
        <v>163</v>
      </c>
      <c r="D19" t="s">
        <v>71</v>
      </c>
      <c r="E19" t="s">
        <v>474</v>
      </c>
      <c r="F19" t="s">
        <v>484</v>
      </c>
      <c r="G19" t="s">
        <v>489</v>
      </c>
      <c r="H19" t="s">
        <v>497</v>
      </c>
      <c r="I19" t="s">
        <v>396</v>
      </c>
      <c r="J19" t="s">
        <v>397</v>
      </c>
      <c r="K19" t="s">
        <v>29</v>
      </c>
      <c r="L19" t="str">
        <f>IFERROR(VLOOKUP(Tab_Naturezas_2[[#This Row],[Conta 4]],D_PlanoFinanceiro[Conta 4 (Atual],1,FALSE),"#CLASSIFICAR")</f>
        <v>Patrocinio</v>
      </c>
    </row>
    <row r="20" spans="1:12" hidden="1" x14ac:dyDescent="0.25">
      <c r="A20" t="s">
        <v>163</v>
      </c>
      <c r="B20" t="s">
        <v>163</v>
      </c>
      <c r="C20" t="s">
        <v>163</v>
      </c>
      <c r="D20" t="s">
        <v>30</v>
      </c>
      <c r="E20" t="s">
        <v>474</v>
      </c>
      <c r="F20" t="s">
        <v>484</v>
      </c>
      <c r="G20" t="s">
        <v>489</v>
      </c>
      <c r="H20" t="s">
        <v>498</v>
      </c>
      <c r="I20" t="s">
        <v>396</v>
      </c>
      <c r="J20" t="s">
        <v>397</v>
      </c>
      <c r="K20" t="s">
        <v>29</v>
      </c>
      <c r="L20" t="str">
        <f>IFERROR(VLOOKUP(Tab_Naturezas_2[[#This Row],[Conta 4]],D_PlanoFinanceiro[Conta 4 (Atual],1,FALSE),"#CLASSIFICAR")</f>
        <v>Receita de Empréstimo</v>
      </c>
    </row>
    <row r="21" spans="1:12" hidden="1" x14ac:dyDescent="0.25">
      <c r="A21" t="s">
        <v>163</v>
      </c>
      <c r="B21" t="s">
        <v>163</v>
      </c>
      <c r="C21" t="s">
        <v>163</v>
      </c>
      <c r="D21" t="s">
        <v>451</v>
      </c>
      <c r="E21" t="s">
        <v>474</v>
      </c>
      <c r="F21" t="s">
        <v>484</v>
      </c>
      <c r="G21" t="s">
        <v>489</v>
      </c>
      <c r="H21" t="s">
        <v>499</v>
      </c>
      <c r="I21" t="s">
        <v>396</v>
      </c>
      <c r="J21" t="s">
        <v>397</v>
      </c>
      <c r="K21" t="s">
        <v>29</v>
      </c>
      <c r="L21" t="str">
        <f>IFERROR(VLOOKUP(Tab_Naturezas_2[[#This Row],[Conta 4]],D_PlanoFinanceiro[Conta 4 (Atual],1,FALSE),"#CLASSIFICAR")</f>
        <v>Venda Sucata/Residuos</v>
      </c>
    </row>
    <row r="22" spans="1:12" hidden="1" x14ac:dyDescent="0.25">
      <c r="A22" t="s">
        <v>163</v>
      </c>
      <c r="B22" t="s">
        <v>163</v>
      </c>
      <c r="C22" t="s">
        <v>163</v>
      </c>
      <c r="D22" t="s">
        <v>460</v>
      </c>
      <c r="E22" t="s">
        <v>474</v>
      </c>
      <c r="F22" t="s">
        <v>484</v>
      </c>
      <c r="G22" t="s">
        <v>489</v>
      </c>
      <c r="H22" t="s">
        <v>500</v>
      </c>
      <c r="I22" t="s">
        <v>396</v>
      </c>
      <c r="J22" t="s">
        <v>397</v>
      </c>
      <c r="K22" t="s">
        <v>29</v>
      </c>
      <c r="L22" t="str">
        <f>IFERROR(VLOOKUP(Tab_Naturezas_2[[#This Row],[Conta 4]],D_PlanoFinanceiro[Conta 4 (Atual],1,FALSE),"#CLASSIFICAR")</f>
        <v>Receb. Distribuição Lucros</v>
      </c>
    </row>
    <row r="23" spans="1:12" hidden="1" x14ac:dyDescent="0.25">
      <c r="A23" t="s">
        <v>163</v>
      </c>
      <c r="B23" t="s">
        <v>163</v>
      </c>
      <c r="C23" t="s">
        <v>163</v>
      </c>
      <c r="D23" t="s">
        <v>462</v>
      </c>
      <c r="E23" t="s">
        <v>474</v>
      </c>
      <c r="F23" t="s">
        <v>484</v>
      </c>
      <c r="G23" t="s">
        <v>489</v>
      </c>
      <c r="H23" t="s">
        <v>501</v>
      </c>
      <c r="I23" t="s">
        <v>396</v>
      </c>
      <c r="J23" t="s">
        <v>397</v>
      </c>
      <c r="K23" t="s">
        <v>29</v>
      </c>
      <c r="L23" t="str">
        <f>IFERROR(VLOOKUP(Tab_Naturezas_2[[#This Row],[Conta 4]],D_PlanoFinanceiro[Conta 4 (Atual],1,FALSE),"#CLASSIFICAR")</f>
        <v>Devolução Depósito Judicial</v>
      </c>
    </row>
    <row r="24" spans="1:12" hidden="1" x14ac:dyDescent="0.25">
      <c r="A24" t="s">
        <v>163</v>
      </c>
      <c r="B24" t="s">
        <v>163</v>
      </c>
      <c r="C24" t="s">
        <v>163</v>
      </c>
      <c r="D24" t="s">
        <v>400</v>
      </c>
      <c r="E24" t="s">
        <v>502</v>
      </c>
      <c r="F24" t="s">
        <v>503</v>
      </c>
      <c r="G24" t="s">
        <v>504</v>
      </c>
      <c r="H24" t="s">
        <v>505</v>
      </c>
      <c r="I24" t="s">
        <v>399</v>
      </c>
      <c r="J24" t="s">
        <v>429</v>
      </c>
      <c r="K24" t="s">
        <v>430</v>
      </c>
      <c r="L24" t="str">
        <f>IFERROR(VLOOKUP(Tab_Naturezas_2[[#This Row],[Conta 4]],D_PlanoFinanceiro[Conta 4 (Atual],1,FALSE),"#CLASSIFICAR")</f>
        <v>Matéria Prima</v>
      </c>
    </row>
    <row r="25" spans="1:12" hidden="1" x14ac:dyDescent="0.25">
      <c r="A25" t="s">
        <v>163</v>
      </c>
      <c r="B25" t="s">
        <v>163</v>
      </c>
      <c r="C25" t="s">
        <v>163</v>
      </c>
      <c r="D25" t="s">
        <v>401</v>
      </c>
      <c r="E25" t="s">
        <v>502</v>
      </c>
      <c r="F25" t="s">
        <v>503</v>
      </c>
      <c r="G25" t="s">
        <v>504</v>
      </c>
      <c r="H25" t="s">
        <v>506</v>
      </c>
      <c r="I25" t="s">
        <v>399</v>
      </c>
      <c r="J25" t="s">
        <v>429</v>
      </c>
      <c r="K25" t="s">
        <v>430</v>
      </c>
      <c r="L25" t="str">
        <f>IFERROR(VLOOKUP(Tab_Naturezas_2[[#This Row],[Conta 4]],D_PlanoFinanceiro[Conta 4 (Atual],1,FALSE),"#CLASSIFICAR")</f>
        <v>Material Secundário</v>
      </c>
    </row>
    <row r="26" spans="1:12" hidden="1" x14ac:dyDescent="0.25">
      <c r="A26" t="s">
        <v>163</v>
      </c>
      <c r="B26" t="s">
        <v>163</v>
      </c>
      <c r="C26" t="s">
        <v>163</v>
      </c>
      <c r="D26" t="s">
        <v>443</v>
      </c>
      <c r="E26" t="s">
        <v>502</v>
      </c>
      <c r="F26" t="s">
        <v>503</v>
      </c>
      <c r="G26" t="s">
        <v>504</v>
      </c>
      <c r="H26" t="s">
        <v>507</v>
      </c>
      <c r="I26" t="s">
        <v>399</v>
      </c>
      <c r="J26" t="s">
        <v>429</v>
      </c>
      <c r="K26" t="s">
        <v>430</v>
      </c>
      <c r="L26" t="str">
        <f>IFERROR(VLOOKUP(Tab_Naturezas_2[[#This Row],[Conta 4]],D_PlanoFinanceiro[Conta 4 (Atual],1,FALSE),"#CLASSIFICAR")</f>
        <v>Produção Maely</v>
      </c>
    </row>
    <row r="27" spans="1:12" hidden="1" x14ac:dyDescent="0.25">
      <c r="A27" t="s">
        <v>163</v>
      </c>
      <c r="B27" t="s">
        <v>163</v>
      </c>
      <c r="C27" t="s">
        <v>163</v>
      </c>
      <c r="D27" t="s">
        <v>448</v>
      </c>
      <c r="E27" t="s">
        <v>502</v>
      </c>
      <c r="F27" t="s">
        <v>503</v>
      </c>
      <c r="G27" t="s">
        <v>504</v>
      </c>
      <c r="H27" t="s">
        <v>508</v>
      </c>
      <c r="I27" t="s">
        <v>399</v>
      </c>
      <c r="J27" t="s">
        <v>429</v>
      </c>
      <c r="K27" t="s">
        <v>430</v>
      </c>
      <c r="L27" t="str">
        <f>IFERROR(VLOOKUP(Tab_Naturezas_2[[#This Row],[Conta 4]],D_PlanoFinanceiro[Conta 4 (Atual],1,FALSE),"#CLASSIFICAR")</f>
        <v>Produção Visão</v>
      </c>
    </row>
    <row r="28" spans="1:12" hidden="1" x14ac:dyDescent="0.25">
      <c r="A28" t="s">
        <v>163</v>
      </c>
      <c r="B28" t="s">
        <v>163</v>
      </c>
      <c r="C28" t="s">
        <v>163</v>
      </c>
      <c r="D28" t="s">
        <v>314</v>
      </c>
      <c r="E28" t="s">
        <v>502</v>
      </c>
      <c r="F28" t="s">
        <v>503</v>
      </c>
      <c r="G28" t="s">
        <v>509</v>
      </c>
      <c r="H28" t="s">
        <v>510</v>
      </c>
      <c r="I28" t="s">
        <v>399</v>
      </c>
      <c r="J28" t="s">
        <v>429</v>
      </c>
      <c r="K28" t="s">
        <v>402</v>
      </c>
      <c r="L28" t="str">
        <f>IFERROR(VLOOKUP(Tab_Naturezas_2[[#This Row],[Conta 4]],D_PlanoFinanceiro[Conta 4 (Atual],1,FALSE),"#CLASSIFICAR")</f>
        <v>Impressão para Revenda</v>
      </c>
    </row>
    <row r="29" spans="1:12" hidden="1" x14ac:dyDescent="0.25">
      <c r="A29" t="s">
        <v>163</v>
      </c>
      <c r="B29" t="s">
        <v>163</v>
      </c>
      <c r="C29" t="s">
        <v>163</v>
      </c>
      <c r="D29" t="s">
        <v>428</v>
      </c>
      <c r="E29" t="s">
        <v>502</v>
      </c>
      <c r="F29" t="s">
        <v>503</v>
      </c>
      <c r="G29" t="s">
        <v>509</v>
      </c>
      <c r="H29" t="s">
        <v>511</v>
      </c>
      <c r="I29" t="s">
        <v>399</v>
      </c>
      <c r="J29" t="s">
        <v>429</v>
      </c>
      <c r="K29" t="s">
        <v>402</v>
      </c>
      <c r="L29" t="str">
        <f>IFERROR(VLOOKUP(Tab_Naturezas_2[[#This Row],[Conta 4]],D_PlanoFinanceiro[Conta 4 (Atual],1,FALSE),"#CLASSIFICAR")</f>
        <v>Material Esportivo Revenda</v>
      </c>
    </row>
    <row r="30" spans="1:12" hidden="1" x14ac:dyDescent="0.25">
      <c r="A30" t="s">
        <v>163</v>
      </c>
      <c r="B30" t="s">
        <v>163</v>
      </c>
      <c r="C30" t="s">
        <v>163</v>
      </c>
      <c r="D30" t="s">
        <v>68</v>
      </c>
      <c r="E30" t="s">
        <v>502</v>
      </c>
      <c r="F30" t="s">
        <v>503</v>
      </c>
      <c r="G30" t="s">
        <v>512</v>
      </c>
      <c r="H30" t="s">
        <v>513</v>
      </c>
      <c r="I30" t="s">
        <v>399</v>
      </c>
      <c r="J30" t="s">
        <v>429</v>
      </c>
      <c r="K30" t="s">
        <v>315</v>
      </c>
      <c r="L30" t="str">
        <f>IFERROR(VLOOKUP(Tab_Naturezas_2[[#This Row],[Conta 4]],D_PlanoFinanceiro[Conta 4 (Atual],1,FALSE),"#CLASSIFICAR")</f>
        <v>Locaçao Maq./Ferramentas/Equip.</v>
      </c>
    </row>
    <row r="31" spans="1:12" hidden="1" x14ac:dyDescent="0.25">
      <c r="A31" t="s">
        <v>163</v>
      </c>
      <c r="B31" t="s">
        <v>163</v>
      </c>
      <c r="C31" t="s">
        <v>163</v>
      </c>
      <c r="D31" t="s">
        <v>431</v>
      </c>
      <c r="E31" t="s">
        <v>502</v>
      </c>
      <c r="F31" t="s">
        <v>503</v>
      </c>
      <c r="G31" t="s">
        <v>512</v>
      </c>
      <c r="H31" t="s">
        <v>514</v>
      </c>
      <c r="I31" t="s">
        <v>399</v>
      </c>
      <c r="J31" t="s">
        <v>429</v>
      </c>
      <c r="K31" t="s">
        <v>315</v>
      </c>
      <c r="L31" t="str">
        <f>IFERROR(VLOOKUP(Tab_Naturezas_2[[#This Row],[Conta 4]],D_PlanoFinanceiro[Conta 4 (Atual],1,FALSE),"#CLASSIFICAR")</f>
        <v>Producao Estrutural Terceirizada</v>
      </c>
    </row>
    <row r="32" spans="1:12" hidden="1" x14ac:dyDescent="0.25">
      <c r="A32" t="s">
        <v>163</v>
      </c>
      <c r="B32" t="s">
        <v>163</v>
      </c>
      <c r="C32" t="s">
        <v>163</v>
      </c>
      <c r="D32" t="s">
        <v>432</v>
      </c>
      <c r="E32" t="s">
        <v>502</v>
      </c>
      <c r="F32" t="s">
        <v>503</v>
      </c>
      <c r="G32" t="s">
        <v>512</v>
      </c>
      <c r="H32" t="s">
        <v>515</v>
      </c>
      <c r="I32" t="s">
        <v>399</v>
      </c>
      <c r="J32" t="s">
        <v>429</v>
      </c>
      <c r="K32" t="s">
        <v>315</v>
      </c>
      <c r="L32" t="str">
        <f>IFERROR(VLOOKUP(Tab_Naturezas_2[[#This Row],[Conta 4]],D_PlanoFinanceiro[Conta 4 (Atual],1,FALSE),"#CLASSIFICAR")</f>
        <v>Impressao Terceirizada</v>
      </c>
    </row>
    <row r="33" spans="1:12" hidden="1" x14ac:dyDescent="0.25">
      <c r="A33" t="s">
        <v>163</v>
      </c>
      <c r="B33" t="s">
        <v>163</v>
      </c>
      <c r="C33" t="s">
        <v>163</v>
      </c>
      <c r="D33" t="s">
        <v>433</v>
      </c>
      <c r="E33" t="s">
        <v>502</v>
      </c>
      <c r="F33" t="s">
        <v>503</v>
      </c>
      <c r="G33" t="s">
        <v>512</v>
      </c>
      <c r="H33" t="s">
        <v>516</v>
      </c>
      <c r="I33" t="s">
        <v>399</v>
      </c>
      <c r="J33" t="s">
        <v>429</v>
      </c>
      <c r="K33" t="s">
        <v>315</v>
      </c>
      <c r="L33" t="str">
        <f>IFERROR(VLOOKUP(Tab_Naturezas_2[[#This Row],[Conta 4]],D_PlanoFinanceiro[Conta 4 (Atual],1,FALSE),"#CLASSIFICAR")</f>
        <v>Veiculação Terceirizada</v>
      </c>
    </row>
    <row r="34" spans="1:12" hidden="1" x14ac:dyDescent="0.25">
      <c r="A34" t="s">
        <v>163</v>
      </c>
      <c r="B34" t="s">
        <v>163</v>
      </c>
      <c r="C34" t="s">
        <v>163</v>
      </c>
      <c r="D34" t="s">
        <v>434</v>
      </c>
      <c r="E34" t="s">
        <v>502</v>
      </c>
      <c r="F34" t="s">
        <v>503</v>
      </c>
      <c r="G34" t="s">
        <v>512</v>
      </c>
      <c r="H34" t="s">
        <v>517</v>
      </c>
      <c r="I34" t="s">
        <v>399</v>
      </c>
      <c r="J34" t="s">
        <v>429</v>
      </c>
      <c r="K34" t="s">
        <v>315</v>
      </c>
      <c r="L34" t="str">
        <f>IFERROR(VLOOKUP(Tab_Naturezas_2[[#This Row],[Conta 4]],D_PlanoFinanceiro[Conta 4 (Atual],1,FALSE),"#CLASSIFICAR")</f>
        <v>Instalação Terceirizada</v>
      </c>
    </row>
    <row r="35" spans="1:12" hidden="1" x14ac:dyDescent="0.25">
      <c r="A35" t="s">
        <v>163</v>
      </c>
      <c r="B35" t="s">
        <v>163</v>
      </c>
      <c r="C35" t="s">
        <v>163</v>
      </c>
      <c r="D35" t="s">
        <v>435</v>
      </c>
      <c r="E35" t="s">
        <v>502</v>
      </c>
      <c r="F35" t="s">
        <v>503</v>
      </c>
      <c r="G35" t="s">
        <v>512</v>
      </c>
      <c r="H35" t="s">
        <v>518</v>
      </c>
      <c r="I35" t="s">
        <v>399</v>
      </c>
      <c r="J35" t="s">
        <v>429</v>
      </c>
      <c r="K35" t="s">
        <v>315</v>
      </c>
      <c r="L35" t="str">
        <f>IFERROR(VLOOKUP(Tab_Naturezas_2[[#This Row],[Conta 4]],D_PlanoFinanceiro[Conta 4 (Atual],1,FALSE),"#CLASSIFICAR")</f>
        <v>Frete de Mercadorias</v>
      </c>
    </row>
    <row r="36" spans="1:12" hidden="1" x14ac:dyDescent="0.25">
      <c r="A36" t="s">
        <v>163</v>
      </c>
      <c r="B36" t="s">
        <v>163</v>
      </c>
      <c r="C36" t="s">
        <v>163</v>
      </c>
      <c r="D36" t="s">
        <v>152</v>
      </c>
      <c r="E36" t="s">
        <v>502</v>
      </c>
      <c r="F36" t="s">
        <v>503</v>
      </c>
      <c r="G36" t="s">
        <v>512</v>
      </c>
      <c r="H36" t="s">
        <v>519</v>
      </c>
      <c r="I36" t="s">
        <v>399</v>
      </c>
      <c r="J36" t="s">
        <v>429</v>
      </c>
      <c r="K36" t="s">
        <v>315</v>
      </c>
      <c r="L36" t="str">
        <f>IFERROR(VLOOKUP(Tab_Naturezas_2[[#This Row],[Conta 4]],D_PlanoFinanceiro[Conta 4 (Atual],1,FALSE),"#CLASSIFICAR")</f>
        <v>Despesas com parceiros</v>
      </c>
    </row>
    <row r="37" spans="1:12" hidden="1" x14ac:dyDescent="0.25">
      <c r="A37" t="s">
        <v>163</v>
      </c>
      <c r="B37" t="s">
        <v>163</v>
      </c>
      <c r="C37" t="s">
        <v>163</v>
      </c>
      <c r="D37" t="s">
        <v>403</v>
      </c>
      <c r="E37" t="s">
        <v>502</v>
      </c>
      <c r="F37" t="s">
        <v>503</v>
      </c>
      <c r="G37" t="s">
        <v>512</v>
      </c>
      <c r="H37" t="s">
        <v>520</v>
      </c>
      <c r="I37" t="s">
        <v>399</v>
      </c>
      <c r="J37" t="s">
        <v>429</v>
      </c>
      <c r="K37" t="s">
        <v>315</v>
      </c>
      <c r="L37" t="str">
        <f>IFERROR(VLOOKUP(Tab_Naturezas_2[[#This Row],[Conta 4]],D_PlanoFinanceiro[Conta 4 (Atual],1,FALSE),"#CLASSIFICAR")</f>
        <v>Aluguel de Terreno PJ</v>
      </c>
    </row>
    <row r="38" spans="1:12" hidden="1" x14ac:dyDescent="0.25">
      <c r="A38" t="s">
        <v>163</v>
      </c>
      <c r="B38" t="s">
        <v>163</v>
      </c>
      <c r="C38" t="s">
        <v>163</v>
      </c>
      <c r="D38" t="s">
        <v>438</v>
      </c>
      <c r="E38" t="s">
        <v>502</v>
      </c>
      <c r="F38" t="s">
        <v>503</v>
      </c>
      <c r="G38" t="s">
        <v>512</v>
      </c>
      <c r="H38" t="s">
        <v>521</v>
      </c>
      <c r="I38" t="s">
        <v>399</v>
      </c>
      <c r="J38" t="s">
        <v>429</v>
      </c>
      <c r="K38" t="s">
        <v>315</v>
      </c>
      <c r="L38" t="str">
        <f>IFERROR(VLOOKUP(Tab_Naturezas_2[[#This Row],[Conta 4]],D_PlanoFinanceiro[Conta 4 (Atual],1,FALSE),"#CLASSIFICAR")</f>
        <v>Aluguel de Terreno PF</v>
      </c>
    </row>
    <row r="39" spans="1:12" hidden="1" x14ac:dyDescent="0.25">
      <c r="A39" t="s">
        <v>163</v>
      </c>
      <c r="B39" t="s">
        <v>163</v>
      </c>
      <c r="C39" t="s">
        <v>163</v>
      </c>
      <c r="D39" t="s">
        <v>405</v>
      </c>
      <c r="E39" t="s">
        <v>502</v>
      </c>
      <c r="F39" t="s">
        <v>503</v>
      </c>
      <c r="G39" t="s">
        <v>512</v>
      </c>
      <c r="H39" t="s">
        <v>522</v>
      </c>
      <c r="I39" t="s">
        <v>399</v>
      </c>
      <c r="J39" t="s">
        <v>429</v>
      </c>
      <c r="K39" t="s">
        <v>315</v>
      </c>
      <c r="L39" t="str">
        <f>IFERROR(VLOOKUP(Tab_Naturezas_2[[#This Row],[Conta 4]],D_PlanoFinanceiro[Conta 4 (Atual],1,FALSE),"#CLASSIFICAR")</f>
        <v>IRPF aluguel de terreno</v>
      </c>
    </row>
    <row r="40" spans="1:12" hidden="1" x14ac:dyDescent="0.25">
      <c r="A40" t="s">
        <v>163</v>
      </c>
      <c r="B40" t="s">
        <v>163</v>
      </c>
      <c r="C40" t="s">
        <v>163</v>
      </c>
      <c r="D40" t="s">
        <v>316</v>
      </c>
      <c r="E40" t="s">
        <v>502</v>
      </c>
      <c r="F40" t="s">
        <v>503</v>
      </c>
      <c r="G40" t="s">
        <v>512</v>
      </c>
      <c r="H40" t="s">
        <v>523</v>
      </c>
      <c r="I40" t="s">
        <v>399</v>
      </c>
      <c r="J40" t="s">
        <v>429</v>
      </c>
      <c r="K40" t="s">
        <v>315</v>
      </c>
      <c r="L40" t="str">
        <f>IFERROR(VLOOKUP(Tab_Naturezas_2[[#This Row],[Conta 4]],D_PlanoFinanceiro[Conta 4 (Atual],1,FALSE),"#CLASSIFICAR")</f>
        <v>Alvará Publicidade</v>
      </c>
    </row>
    <row r="41" spans="1:12" hidden="1" x14ac:dyDescent="0.25">
      <c r="A41" t="s">
        <v>163</v>
      </c>
      <c r="B41" t="s">
        <v>163</v>
      </c>
      <c r="C41" t="s">
        <v>163</v>
      </c>
      <c r="D41" t="s">
        <v>318</v>
      </c>
      <c r="E41" t="s">
        <v>502</v>
      </c>
      <c r="F41" t="s">
        <v>503</v>
      </c>
      <c r="G41" t="s">
        <v>512</v>
      </c>
      <c r="H41" t="s">
        <v>524</v>
      </c>
      <c r="I41" t="s">
        <v>399</v>
      </c>
      <c r="J41" t="s">
        <v>429</v>
      </c>
      <c r="K41" t="s">
        <v>315</v>
      </c>
      <c r="L41" t="str">
        <f>IFERROR(VLOOKUP(Tab_Naturezas_2[[#This Row],[Conta 4]],D_PlanoFinanceiro[Conta 4 (Atual],1,FALSE),"#CLASSIFICAR")</f>
        <v>ART Estruturas/ Taxa CREA</v>
      </c>
    </row>
    <row r="42" spans="1:12" hidden="1" x14ac:dyDescent="0.25">
      <c r="A42" t="s">
        <v>163</v>
      </c>
      <c r="B42" t="s">
        <v>163</v>
      </c>
      <c r="C42" t="s">
        <v>163</v>
      </c>
      <c r="D42" t="s">
        <v>319</v>
      </c>
      <c r="E42" t="s">
        <v>502</v>
      </c>
      <c r="F42" t="s">
        <v>503</v>
      </c>
      <c r="G42" t="s">
        <v>512</v>
      </c>
      <c r="H42" t="s">
        <v>525</v>
      </c>
      <c r="I42" t="s">
        <v>399</v>
      </c>
      <c r="J42" t="s">
        <v>429</v>
      </c>
      <c r="K42" t="s">
        <v>315</v>
      </c>
      <c r="L42" t="str">
        <f>IFERROR(VLOOKUP(Tab_Naturezas_2[[#This Row],[Conta 4]],D_PlanoFinanceiro[Conta 4 (Atual],1,FALSE),"#CLASSIFICAR")</f>
        <v>Energia Mídias</v>
      </c>
    </row>
    <row r="43" spans="1:12" hidden="1" x14ac:dyDescent="0.25">
      <c r="A43" t="s">
        <v>163</v>
      </c>
      <c r="B43" t="s">
        <v>163</v>
      </c>
      <c r="C43" t="s">
        <v>163</v>
      </c>
      <c r="D43" t="s">
        <v>320</v>
      </c>
      <c r="E43" t="s">
        <v>502</v>
      </c>
      <c r="F43" t="s">
        <v>503</v>
      </c>
      <c r="G43" t="s">
        <v>512</v>
      </c>
      <c r="H43" t="s">
        <v>526</v>
      </c>
      <c r="I43" t="s">
        <v>399</v>
      </c>
      <c r="J43" t="s">
        <v>429</v>
      </c>
      <c r="K43" t="s">
        <v>315</v>
      </c>
      <c r="L43" t="str">
        <f>IFERROR(VLOOKUP(Tab_Naturezas_2[[#This Row],[Conta 4]],D_PlanoFinanceiro[Conta 4 (Atual],1,FALSE),"#CLASSIFICAR")</f>
        <v>Material Utilzado na Prestação de Serviç</v>
      </c>
    </row>
    <row r="44" spans="1:12" hidden="1" x14ac:dyDescent="0.25">
      <c r="A44" t="s">
        <v>163</v>
      </c>
      <c r="B44" t="s">
        <v>163</v>
      </c>
      <c r="C44" t="s">
        <v>163</v>
      </c>
      <c r="D44" t="s">
        <v>377</v>
      </c>
      <c r="E44" t="s">
        <v>502</v>
      </c>
      <c r="F44" t="s">
        <v>503</v>
      </c>
      <c r="G44" t="s">
        <v>512</v>
      </c>
      <c r="H44" t="s">
        <v>527</v>
      </c>
      <c r="I44" t="s">
        <v>399</v>
      </c>
      <c r="J44" t="s">
        <v>429</v>
      </c>
      <c r="K44" t="s">
        <v>315</v>
      </c>
      <c r="L44" t="str">
        <f>IFERROR(VLOOKUP(Tab_Naturezas_2[[#This Row],[Conta 4]],D_PlanoFinanceiro[Conta 4 (Atual],1,FALSE),"#CLASSIFICAR")</f>
        <v>Comissão de Agência</v>
      </c>
    </row>
    <row r="45" spans="1:12" hidden="1" x14ac:dyDescent="0.25">
      <c r="A45" t="s">
        <v>163</v>
      </c>
      <c r="B45" t="s">
        <v>163</v>
      </c>
      <c r="C45" t="s">
        <v>163</v>
      </c>
      <c r="D45" t="s">
        <v>441</v>
      </c>
      <c r="E45" t="s">
        <v>502</v>
      </c>
      <c r="F45" t="s">
        <v>503</v>
      </c>
      <c r="G45" t="s">
        <v>512</v>
      </c>
      <c r="H45" t="s">
        <v>528</v>
      </c>
      <c r="I45" t="s">
        <v>399</v>
      </c>
      <c r="J45" t="s">
        <v>429</v>
      </c>
      <c r="K45" t="s">
        <v>315</v>
      </c>
      <c r="L45" t="str">
        <f>IFERROR(VLOOKUP(Tab_Naturezas_2[[#This Row],[Conta 4]],D_PlanoFinanceiro[Conta 4 (Atual],1,FALSE),"#CLASSIFICAR")</f>
        <v>Internet Mídias</v>
      </c>
    </row>
    <row r="46" spans="1:12" hidden="1" x14ac:dyDescent="0.25">
      <c r="A46" t="s">
        <v>163</v>
      </c>
      <c r="B46" t="s">
        <v>163</v>
      </c>
      <c r="C46" t="s">
        <v>163</v>
      </c>
      <c r="D46" t="s">
        <v>379</v>
      </c>
      <c r="E46" t="s">
        <v>502</v>
      </c>
      <c r="F46" t="s">
        <v>503</v>
      </c>
      <c r="G46" t="s">
        <v>512</v>
      </c>
      <c r="H46" t="s">
        <v>529</v>
      </c>
      <c r="I46" t="s">
        <v>399</v>
      </c>
      <c r="J46" t="s">
        <v>429</v>
      </c>
      <c r="K46" t="s">
        <v>315</v>
      </c>
      <c r="L46" t="str">
        <f>IFERROR(VLOOKUP(Tab_Naturezas_2[[#This Row],[Conta 4]],D_PlanoFinanceiro[Conta 4 (Atual],1,FALSE),"#CLASSIFICAR")</f>
        <v>Material de Fixação Midias</v>
      </c>
    </row>
    <row r="47" spans="1:12" hidden="1" x14ac:dyDescent="0.25">
      <c r="A47" t="s">
        <v>163</v>
      </c>
      <c r="B47" t="s">
        <v>163</v>
      </c>
      <c r="C47" t="s">
        <v>163</v>
      </c>
      <c r="D47" t="s">
        <v>367</v>
      </c>
      <c r="E47" t="s">
        <v>502</v>
      </c>
      <c r="F47" t="s">
        <v>503</v>
      </c>
      <c r="G47" t="s">
        <v>512</v>
      </c>
      <c r="H47" t="s">
        <v>530</v>
      </c>
      <c r="I47" t="s">
        <v>399</v>
      </c>
      <c r="J47" t="s">
        <v>429</v>
      </c>
      <c r="K47" t="s">
        <v>315</v>
      </c>
      <c r="L47" t="str">
        <f>IFERROR(VLOOKUP(Tab_Naturezas_2[[#This Row],[Conta 4]],D_PlanoFinanceiro[Conta 4 (Atual],1,FALSE),"#CLASSIFICAR")</f>
        <v>Seguro de Midias</v>
      </c>
    </row>
    <row r="48" spans="1:12" hidden="1" x14ac:dyDescent="0.25">
      <c r="A48" t="s">
        <v>163</v>
      </c>
      <c r="B48" t="s">
        <v>163</v>
      </c>
      <c r="C48" t="s">
        <v>163</v>
      </c>
      <c r="D48" t="s">
        <v>370</v>
      </c>
      <c r="E48" t="s">
        <v>502</v>
      </c>
      <c r="F48" t="s">
        <v>503</v>
      </c>
      <c r="G48" t="s">
        <v>512</v>
      </c>
      <c r="H48" t="s">
        <v>531</v>
      </c>
      <c r="I48" t="s">
        <v>399</v>
      </c>
      <c r="J48" t="s">
        <v>429</v>
      </c>
      <c r="K48" t="s">
        <v>315</v>
      </c>
      <c r="L48" t="str">
        <f>IFERROR(VLOOKUP(Tab_Naturezas_2[[#This Row],[Conta 4]],D_PlanoFinanceiro[Conta 4 (Atual],1,FALSE),"#CLASSIFICAR")</f>
        <v>BV Bonificacão por Volume</v>
      </c>
    </row>
    <row r="49" spans="1:12" hidden="1" x14ac:dyDescent="0.25">
      <c r="A49" t="s">
        <v>163</v>
      </c>
      <c r="B49" t="s">
        <v>163</v>
      </c>
      <c r="C49" t="s">
        <v>163</v>
      </c>
      <c r="D49" t="s">
        <v>121</v>
      </c>
      <c r="E49" t="s">
        <v>502</v>
      </c>
      <c r="F49" t="s">
        <v>503</v>
      </c>
      <c r="G49" t="s">
        <v>512</v>
      </c>
      <c r="H49" t="s">
        <v>532</v>
      </c>
      <c r="I49" t="s">
        <v>399</v>
      </c>
      <c r="J49" t="s">
        <v>429</v>
      </c>
      <c r="K49" t="s">
        <v>315</v>
      </c>
      <c r="L49" t="str">
        <f>IFERROR(VLOOKUP(Tab_Naturezas_2[[#This Row],[Conta 4]],D_PlanoFinanceiro[Conta 4 (Atual],1,FALSE),"#CLASSIFICAR")</f>
        <v>Movimentação e Transporte</v>
      </c>
    </row>
    <row r="50" spans="1:12" hidden="1" x14ac:dyDescent="0.25">
      <c r="A50" t="s">
        <v>163</v>
      </c>
      <c r="B50" t="s">
        <v>163</v>
      </c>
      <c r="C50" t="s">
        <v>163</v>
      </c>
      <c r="D50" t="s">
        <v>386</v>
      </c>
      <c r="E50" t="s">
        <v>502</v>
      </c>
      <c r="F50" t="s">
        <v>503</v>
      </c>
      <c r="G50" t="s">
        <v>512</v>
      </c>
      <c r="H50" t="s">
        <v>533</v>
      </c>
      <c r="I50" t="s">
        <v>399</v>
      </c>
      <c r="J50" t="s">
        <v>429</v>
      </c>
      <c r="K50" t="s">
        <v>315</v>
      </c>
      <c r="L50" t="str">
        <f>IFERROR(VLOOKUP(Tab_Naturezas_2[[#This Row],[Conta 4]],D_PlanoFinanceiro[Conta 4 (Atual],1,FALSE),"#CLASSIFICAR")</f>
        <v>Calibração</v>
      </c>
    </row>
    <row r="51" spans="1:12" hidden="1" x14ac:dyDescent="0.25">
      <c r="A51" t="s">
        <v>163</v>
      </c>
      <c r="B51" t="s">
        <v>163</v>
      </c>
      <c r="C51" t="s">
        <v>163</v>
      </c>
      <c r="D51" t="s">
        <v>142</v>
      </c>
      <c r="E51" t="s">
        <v>502</v>
      </c>
      <c r="F51" t="s">
        <v>503</v>
      </c>
      <c r="G51" t="s">
        <v>512</v>
      </c>
      <c r="H51" t="s">
        <v>534</v>
      </c>
      <c r="I51" t="s">
        <v>399</v>
      </c>
      <c r="J51" t="s">
        <v>429</v>
      </c>
      <c r="K51" t="s">
        <v>315</v>
      </c>
      <c r="L51" t="str">
        <f>IFERROR(VLOOKUP(Tab_Naturezas_2[[#This Row],[Conta 4]],D_PlanoFinanceiro[Conta 4 (Atual],1,FALSE),"#CLASSIFICAR")</f>
        <v>Lavanderia</v>
      </c>
    </row>
    <row r="52" spans="1:12" hidden="1" x14ac:dyDescent="0.25">
      <c r="A52" t="s">
        <v>163</v>
      </c>
      <c r="B52" t="s">
        <v>163</v>
      </c>
      <c r="C52" t="s">
        <v>163</v>
      </c>
      <c r="D52" t="s">
        <v>454</v>
      </c>
      <c r="E52" t="s">
        <v>502</v>
      </c>
      <c r="F52" t="s">
        <v>503</v>
      </c>
      <c r="G52" t="s">
        <v>512</v>
      </c>
      <c r="H52" t="s">
        <v>535</v>
      </c>
      <c r="I52" t="s">
        <v>399</v>
      </c>
      <c r="J52" t="s">
        <v>429</v>
      </c>
      <c r="K52" t="s">
        <v>315</v>
      </c>
      <c r="L52" t="str">
        <f>IFERROR(VLOOKUP(Tab_Naturezas_2[[#This Row],[Conta 4]],D_PlanoFinanceiro[Conta 4 (Atual],1,FALSE),"#CLASSIFICAR")</f>
        <v>Serviços Médicos PJ</v>
      </c>
    </row>
    <row r="53" spans="1:12" hidden="1" x14ac:dyDescent="0.25">
      <c r="A53" t="s">
        <v>163</v>
      </c>
      <c r="B53" t="s">
        <v>163</v>
      </c>
      <c r="C53" t="s">
        <v>163</v>
      </c>
      <c r="D53" t="s">
        <v>456</v>
      </c>
      <c r="E53" t="s">
        <v>502</v>
      </c>
      <c r="F53" t="s">
        <v>503</v>
      </c>
      <c r="G53" t="s">
        <v>512</v>
      </c>
      <c r="H53" t="s">
        <v>536</v>
      </c>
      <c r="I53" t="s">
        <v>399</v>
      </c>
      <c r="J53" t="s">
        <v>429</v>
      </c>
      <c r="K53" t="s">
        <v>315</v>
      </c>
      <c r="L53" t="str">
        <f>IFERROR(VLOOKUP(Tab_Naturezas_2[[#This Row],[Conta 4]],D_PlanoFinanceiro[Conta 4 (Atual],1,FALSE),"#CLASSIFICAR")</f>
        <v>Remoção Terceirizada</v>
      </c>
    </row>
    <row r="54" spans="1:12" hidden="1" x14ac:dyDescent="0.25">
      <c r="A54" t="s">
        <v>163</v>
      </c>
      <c r="B54" t="s">
        <v>163</v>
      </c>
      <c r="C54" t="s">
        <v>163</v>
      </c>
      <c r="D54" t="s">
        <v>388</v>
      </c>
      <c r="E54" t="s">
        <v>502</v>
      </c>
      <c r="F54" t="s">
        <v>503</v>
      </c>
      <c r="G54" t="s">
        <v>512</v>
      </c>
      <c r="H54" t="s">
        <v>537</v>
      </c>
      <c r="I54" t="s">
        <v>399</v>
      </c>
      <c r="J54" t="s">
        <v>429</v>
      </c>
      <c r="K54" t="s">
        <v>315</v>
      </c>
      <c r="L54" t="str">
        <f>IFERROR(VLOOKUP(Tab_Naturezas_2[[#This Row],[Conta 4]],D_PlanoFinanceiro[Conta 4 (Atual],1,FALSE),"#CLASSIFICAR")</f>
        <v>Autonomos (Enfermeiros/Socorristas/Cond)</v>
      </c>
    </row>
    <row r="55" spans="1:12" hidden="1" x14ac:dyDescent="0.25">
      <c r="A55" t="s">
        <v>163</v>
      </c>
      <c r="B55" t="s">
        <v>163</v>
      </c>
      <c r="C55" t="s">
        <v>163</v>
      </c>
      <c r="D55" t="s">
        <v>466</v>
      </c>
      <c r="E55" t="s">
        <v>502</v>
      </c>
      <c r="F55" t="s">
        <v>503</v>
      </c>
      <c r="G55" t="s">
        <v>512</v>
      </c>
      <c r="H55" t="s">
        <v>538</v>
      </c>
      <c r="I55" t="s">
        <v>399</v>
      </c>
      <c r="J55" t="s">
        <v>429</v>
      </c>
      <c r="K55" t="s">
        <v>315</v>
      </c>
      <c r="L55" t="str">
        <f>IFERROR(VLOOKUP(Tab_Naturezas_2[[#This Row],[Conta 4]],D_PlanoFinanceiro[Conta 4 (Atual],1,FALSE),"#CLASSIFICAR")</f>
        <v>Materiais Infraestrutura e Conectividade</v>
      </c>
    </row>
    <row r="56" spans="1:12" hidden="1" x14ac:dyDescent="0.25">
      <c r="A56" t="s">
        <v>163</v>
      </c>
      <c r="B56" t="s">
        <v>163</v>
      </c>
      <c r="C56" t="s">
        <v>163</v>
      </c>
      <c r="D56" t="s">
        <v>467</v>
      </c>
      <c r="E56" t="s">
        <v>502</v>
      </c>
      <c r="F56" t="s">
        <v>503</v>
      </c>
      <c r="G56" t="s">
        <v>512</v>
      </c>
      <c r="H56" t="s">
        <v>539</v>
      </c>
      <c r="I56" t="s">
        <v>399</v>
      </c>
      <c r="J56" t="s">
        <v>429</v>
      </c>
      <c r="K56" t="s">
        <v>315</v>
      </c>
      <c r="L56" t="str">
        <f>IFERROR(VLOOKUP(Tab_Naturezas_2[[#This Row],[Conta 4]],D_PlanoFinanceiro[Conta 4 (Atual],1,FALSE),"#CLASSIFICAR")</f>
        <v>Aluguel de Terreno PJ Esporádico</v>
      </c>
    </row>
    <row r="57" spans="1:12" hidden="1" x14ac:dyDescent="0.25">
      <c r="A57" t="s">
        <v>163</v>
      </c>
      <c r="B57" t="s">
        <v>163</v>
      </c>
      <c r="C57" t="s">
        <v>163</v>
      </c>
      <c r="D57" t="s">
        <v>468</v>
      </c>
      <c r="E57" t="s">
        <v>502</v>
      </c>
      <c r="F57" t="s">
        <v>503</v>
      </c>
      <c r="G57" t="s">
        <v>512</v>
      </c>
      <c r="H57" t="s">
        <v>540</v>
      </c>
      <c r="I57" t="s">
        <v>399</v>
      </c>
      <c r="J57" t="s">
        <v>429</v>
      </c>
      <c r="K57" t="s">
        <v>315</v>
      </c>
      <c r="L57" t="str">
        <f>IFERROR(VLOOKUP(Tab_Naturezas_2[[#This Row],[Conta 4]],D_PlanoFinanceiro[Conta 4 (Atual],1,FALSE),"#CLASSIFICAR")</f>
        <v>Aluguel de Terreno PF Esporádico</v>
      </c>
    </row>
    <row r="58" spans="1:12" hidden="1" x14ac:dyDescent="0.25">
      <c r="A58" t="s">
        <v>163</v>
      </c>
      <c r="B58" t="s">
        <v>163</v>
      </c>
      <c r="C58" t="s">
        <v>163</v>
      </c>
      <c r="D58" t="s">
        <v>468</v>
      </c>
      <c r="E58" t="s">
        <v>502</v>
      </c>
      <c r="F58" t="s">
        <v>503</v>
      </c>
      <c r="G58" t="s">
        <v>512</v>
      </c>
      <c r="H58" t="s">
        <v>540</v>
      </c>
      <c r="I58" t="s">
        <v>399</v>
      </c>
      <c r="J58" t="s">
        <v>429</v>
      </c>
      <c r="K58" t="s">
        <v>315</v>
      </c>
      <c r="L58" t="str">
        <f>IFERROR(VLOOKUP(Tab_Naturezas_2[[#This Row],[Conta 4]],D_PlanoFinanceiro[Conta 4 (Atual],1,FALSE),"#CLASSIFICAR")</f>
        <v>Aluguel de Terreno PF Esporádico</v>
      </c>
    </row>
    <row r="59" spans="1:12" hidden="1" x14ac:dyDescent="0.25">
      <c r="A59" t="s">
        <v>163</v>
      </c>
      <c r="B59" t="s">
        <v>163</v>
      </c>
      <c r="C59" t="s">
        <v>163</v>
      </c>
      <c r="D59" t="s">
        <v>31</v>
      </c>
      <c r="E59" t="s">
        <v>502</v>
      </c>
      <c r="F59" t="s">
        <v>503</v>
      </c>
      <c r="G59" t="s">
        <v>541</v>
      </c>
      <c r="H59" t="s">
        <v>542</v>
      </c>
      <c r="I59" t="s">
        <v>399</v>
      </c>
      <c r="J59" t="s">
        <v>429</v>
      </c>
      <c r="K59" t="s">
        <v>406</v>
      </c>
      <c r="L59" t="str">
        <f>IFERROR(VLOOKUP(Tab_Naturezas_2[[#This Row],[Conta 4]],D_PlanoFinanceiro[Conta 4 (Atual],1,FALSE),"#CLASSIFICAR")</f>
        <v>Aluguel de Campo</v>
      </c>
    </row>
    <row r="60" spans="1:12" hidden="1" x14ac:dyDescent="0.25">
      <c r="A60" t="s">
        <v>163</v>
      </c>
      <c r="B60" t="s">
        <v>163</v>
      </c>
      <c r="C60" t="s">
        <v>163</v>
      </c>
      <c r="D60" t="s">
        <v>67</v>
      </c>
      <c r="E60" t="s">
        <v>502</v>
      </c>
      <c r="F60" t="s">
        <v>503</v>
      </c>
      <c r="G60" t="s">
        <v>541</v>
      </c>
      <c r="H60" t="s">
        <v>543</v>
      </c>
      <c r="I60" t="s">
        <v>399</v>
      </c>
      <c r="J60" t="s">
        <v>429</v>
      </c>
      <c r="K60" t="s">
        <v>406</v>
      </c>
      <c r="L60" t="str">
        <f>IFERROR(VLOOKUP(Tab_Naturezas_2[[#This Row],[Conta 4]],D_PlanoFinanceiro[Conta 4 (Atual],1,FALSE),"#CLASSIFICAR")</f>
        <v>Massagista</v>
      </c>
    </row>
    <row r="61" spans="1:12" hidden="1" x14ac:dyDescent="0.25">
      <c r="A61" t="s">
        <v>163</v>
      </c>
      <c r="B61" t="s">
        <v>163</v>
      </c>
      <c r="C61" t="s">
        <v>163</v>
      </c>
      <c r="D61" t="s">
        <v>439</v>
      </c>
      <c r="E61" t="s">
        <v>502</v>
      </c>
      <c r="F61" t="s">
        <v>503</v>
      </c>
      <c r="G61" t="s">
        <v>541</v>
      </c>
      <c r="H61" t="s">
        <v>544</v>
      </c>
      <c r="I61" t="s">
        <v>399</v>
      </c>
      <c r="J61" t="s">
        <v>429</v>
      </c>
      <c r="K61" t="s">
        <v>406</v>
      </c>
      <c r="L61" t="str">
        <f>IFERROR(VLOOKUP(Tab_Naturezas_2[[#This Row],[Conta 4]],D_PlanoFinanceiro[Conta 4 (Atual],1,FALSE),"#CLASSIFICAR")</f>
        <v>Arbitragem</v>
      </c>
    </row>
    <row r="62" spans="1:12" hidden="1" x14ac:dyDescent="0.25">
      <c r="A62" t="s">
        <v>163</v>
      </c>
      <c r="B62" t="s">
        <v>163</v>
      </c>
      <c r="C62" t="s">
        <v>163</v>
      </c>
      <c r="D62" t="s">
        <v>324</v>
      </c>
      <c r="E62" t="s">
        <v>502</v>
      </c>
      <c r="F62" t="s">
        <v>503</v>
      </c>
      <c r="G62" t="s">
        <v>541</v>
      </c>
      <c r="H62" t="s">
        <v>545</v>
      </c>
      <c r="I62" t="s">
        <v>399</v>
      </c>
      <c r="J62" t="s">
        <v>429</v>
      </c>
      <c r="K62" t="s">
        <v>406</v>
      </c>
      <c r="L62" t="str">
        <f>IFERROR(VLOOKUP(Tab_Naturezas_2[[#This Row],[Conta 4]],D_PlanoFinanceiro[Conta 4 (Atual],1,FALSE),"#CLASSIFICAR")</f>
        <v>Aluguel de ônibus</v>
      </c>
    </row>
    <row r="63" spans="1:12" hidden="1" x14ac:dyDescent="0.25">
      <c r="A63" t="s">
        <v>163</v>
      </c>
      <c r="B63" t="s">
        <v>163</v>
      </c>
      <c r="C63" t="s">
        <v>163</v>
      </c>
      <c r="D63" t="s">
        <v>107</v>
      </c>
      <c r="E63" t="s">
        <v>502</v>
      </c>
      <c r="F63" t="s">
        <v>503</v>
      </c>
      <c r="G63" t="s">
        <v>541</v>
      </c>
      <c r="H63" t="s">
        <v>546</v>
      </c>
      <c r="I63" t="s">
        <v>399</v>
      </c>
      <c r="J63" t="s">
        <v>429</v>
      </c>
      <c r="K63" t="s">
        <v>406</v>
      </c>
      <c r="L63" t="str">
        <f>IFERROR(VLOOKUP(Tab_Naturezas_2[[#This Row],[Conta 4]],D_PlanoFinanceiro[Conta 4 (Atual],1,FALSE),"#CLASSIFICAR")</f>
        <v>Transporte de materiais esportivos</v>
      </c>
    </row>
    <row r="64" spans="1:12" hidden="1" x14ac:dyDescent="0.25">
      <c r="A64" t="s">
        <v>163</v>
      </c>
      <c r="B64" t="s">
        <v>163</v>
      </c>
      <c r="C64" t="s">
        <v>163</v>
      </c>
      <c r="D64" t="s">
        <v>84</v>
      </c>
      <c r="E64" t="s">
        <v>502</v>
      </c>
      <c r="F64" t="s">
        <v>503</v>
      </c>
      <c r="G64" t="s">
        <v>541</v>
      </c>
      <c r="H64" t="s">
        <v>547</v>
      </c>
      <c r="I64" t="s">
        <v>399</v>
      </c>
      <c r="J64" t="s">
        <v>429</v>
      </c>
      <c r="K64" t="s">
        <v>406</v>
      </c>
      <c r="L64" t="str">
        <f>IFERROR(VLOOKUP(Tab_Naturezas_2[[#This Row],[Conta 4]],D_PlanoFinanceiro[Conta 4 (Atual],1,FALSE),"#CLASSIFICAR")</f>
        <v>Filmagem e Sonorização</v>
      </c>
    </row>
    <row r="65" spans="1:12" hidden="1" x14ac:dyDescent="0.25">
      <c r="A65" t="s">
        <v>163</v>
      </c>
      <c r="B65" t="s">
        <v>163</v>
      </c>
      <c r="C65" t="s">
        <v>163</v>
      </c>
      <c r="D65" t="s">
        <v>85</v>
      </c>
      <c r="E65" t="s">
        <v>502</v>
      </c>
      <c r="F65" t="s">
        <v>503</v>
      </c>
      <c r="G65" t="s">
        <v>541</v>
      </c>
      <c r="H65" t="s">
        <v>548</v>
      </c>
      <c r="I65" t="s">
        <v>399</v>
      </c>
      <c r="J65" t="s">
        <v>429</v>
      </c>
      <c r="K65" t="s">
        <v>406</v>
      </c>
      <c r="L65" t="str">
        <f>IFERROR(VLOOKUP(Tab_Naturezas_2[[#This Row],[Conta 4]],D_PlanoFinanceiro[Conta 4 (Atual],1,FALSE),"#CLASSIFICAR")</f>
        <v>Outras Despesas com Jogos</v>
      </c>
    </row>
    <row r="66" spans="1:12" hidden="1" x14ac:dyDescent="0.25">
      <c r="A66" t="s">
        <v>163</v>
      </c>
      <c r="B66" t="s">
        <v>163</v>
      </c>
      <c r="C66" t="s">
        <v>163</v>
      </c>
      <c r="D66" t="s">
        <v>77</v>
      </c>
      <c r="E66" t="s">
        <v>502</v>
      </c>
      <c r="F66" t="s">
        <v>503</v>
      </c>
      <c r="G66" t="s">
        <v>549</v>
      </c>
      <c r="H66" t="s">
        <v>550</v>
      </c>
      <c r="I66" t="s">
        <v>399</v>
      </c>
      <c r="J66" t="s">
        <v>429</v>
      </c>
      <c r="K66" t="s">
        <v>325</v>
      </c>
      <c r="L66" t="str">
        <f>IFERROR(VLOOKUP(Tab_Naturezas_2[[#This Row],[Conta 4]],D_PlanoFinanceiro[Conta 4 (Atual],1,FALSE),"#CLASSIFICAR")</f>
        <v>Taxa de Federação</v>
      </c>
    </row>
    <row r="67" spans="1:12" hidden="1" x14ac:dyDescent="0.25">
      <c r="A67" t="s">
        <v>163</v>
      </c>
      <c r="B67" t="s">
        <v>163</v>
      </c>
      <c r="C67" t="s">
        <v>163</v>
      </c>
      <c r="D67" t="s">
        <v>116</v>
      </c>
      <c r="E67" t="s">
        <v>502</v>
      </c>
      <c r="F67" t="s">
        <v>503</v>
      </c>
      <c r="G67" t="s">
        <v>549</v>
      </c>
      <c r="H67" t="s">
        <v>551</v>
      </c>
      <c r="I67" t="s">
        <v>399</v>
      </c>
      <c r="J67" t="s">
        <v>429</v>
      </c>
      <c r="K67" t="s">
        <v>325</v>
      </c>
      <c r="L67" t="str">
        <f>IFERROR(VLOOKUP(Tab_Naturezas_2[[#This Row],[Conta 4]],D_PlanoFinanceiro[Conta 4 (Atual],1,FALSE),"#CLASSIFICAR")</f>
        <v>Taxa de Transferência de Jogador</v>
      </c>
    </row>
    <row r="68" spans="1:12" hidden="1" x14ac:dyDescent="0.25">
      <c r="A68" t="s">
        <v>163</v>
      </c>
      <c r="B68" t="s">
        <v>163</v>
      </c>
      <c r="C68" t="s">
        <v>163</v>
      </c>
      <c r="D68" t="s">
        <v>27</v>
      </c>
      <c r="E68" t="s">
        <v>502</v>
      </c>
      <c r="F68" t="s">
        <v>503</v>
      </c>
      <c r="G68" t="s">
        <v>549</v>
      </c>
      <c r="H68" t="s">
        <v>552</v>
      </c>
      <c r="I68" t="s">
        <v>399</v>
      </c>
      <c r="J68" t="s">
        <v>429</v>
      </c>
      <c r="K68" t="s">
        <v>325</v>
      </c>
      <c r="L68" t="str">
        <f>IFERROR(VLOOKUP(Tab_Naturezas_2[[#This Row],[Conta 4]],D_PlanoFinanceiro[Conta 4 (Atual],1,FALSE),"#CLASSIFICAR")</f>
        <v>Alimentação de Atleta</v>
      </c>
    </row>
    <row r="69" spans="1:12" hidden="1" x14ac:dyDescent="0.25">
      <c r="A69" t="s">
        <v>163</v>
      </c>
      <c r="B69" t="s">
        <v>163</v>
      </c>
      <c r="C69" t="s">
        <v>163</v>
      </c>
      <c r="D69" t="s">
        <v>50</v>
      </c>
      <c r="E69" t="s">
        <v>502</v>
      </c>
      <c r="F69" t="s">
        <v>503</v>
      </c>
      <c r="G69" t="s">
        <v>549</v>
      </c>
      <c r="H69" t="s">
        <v>553</v>
      </c>
      <c r="I69" t="s">
        <v>399</v>
      </c>
      <c r="J69" t="s">
        <v>429</v>
      </c>
      <c r="K69" t="s">
        <v>325</v>
      </c>
      <c r="L69" t="str">
        <f>IFERROR(VLOOKUP(Tab_Naturezas_2[[#This Row],[Conta 4]],D_PlanoFinanceiro[Conta 4 (Atual],1,FALSE),"#CLASSIFICAR")</f>
        <v>Exames de Avaliação</v>
      </c>
    </row>
    <row r="70" spans="1:12" hidden="1" x14ac:dyDescent="0.25">
      <c r="A70" t="s">
        <v>163</v>
      </c>
      <c r="B70" t="s">
        <v>163</v>
      </c>
      <c r="C70" t="s">
        <v>163</v>
      </c>
      <c r="D70" t="s">
        <v>18</v>
      </c>
      <c r="E70" t="s">
        <v>502</v>
      </c>
      <c r="F70" t="s">
        <v>503</v>
      </c>
      <c r="G70" t="s">
        <v>549</v>
      </c>
      <c r="H70" t="s">
        <v>554</v>
      </c>
      <c r="I70" t="s">
        <v>399</v>
      </c>
      <c r="J70" t="s">
        <v>429</v>
      </c>
      <c r="K70" t="s">
        <v>325</v>
      </c>
      <c r="L70" t="str">
        <f>IFERROR(VLOOKUP(Tab_Naturezas_2[[#This Row],[Conta 4]],D_PlanoFinanceiro[Conta 4 (Atual],1,FALSE),"#CLASSIFICAR")</f>
        <v>Ajuda de Custo</v>
      </c>
    </row>
    <row r="71" spans="1:12" hidden="1" x14ac:dyDescent="0.25">
      <c r="A71" t="s">
        <v>163</v>
      </c>
      <c r="B71" t="s">
        <v>163</v>
      </c>
      <c r="C71" t="s">
        <v>163</v>
      </c>
      <c r="D71" t="s">
        <v>41</v>
      </c>
      <c r="E71" t="s">
        <v>502</v>
      </c>
      <c r="F71" t="s">
        <v>503</v>
      </c>
      <c r="G71" t="s">
        <v>549</v>
      </c>
      <c r="H71" t="s">
        <v>555</v>
      </c>
      <c r="I71" t="s">
        <v>399</v>
      </c>
      <c r="J71" t="s">
        <v>429</v>
      </c>
      <c r="K71" t="s">
        <v>325</v>
      </c>
      <c r="L71" t="str">
        <f>IFERROR(VLOOKUP(Tab_Naturezas_2[[#This Row],[Conta 4]],D_PlanoFinanceiro[Conta 4 (Atual],1,FALSE),"#CLASSIFICAR")</f>
        <v>Fisioterapia</v>
      </c>
    </row>
    <row r="72" spans="1:12" hidden="1" x14ac:dyDescent="0.25">
      <c r="A72" t="s">
        <v>163</v>
      </c>
      <c r="B72" t="s">
        <v>163</v>
      </c>
      <c r="C72" t="s">
        <v>163</v>
      </c>
      <c r="D72" t="s">
        <v>34</v>
      </c>
      <c r="E72" t="s">
        <v>502</v>
      </c>
      <c r="F72" t="s">
        <v>503</v>
      </c>
      <c r="G72" t="s">
        <v>549</v>
      </c>
      <c r="H72" t="s">
        <v>556</v>
      </c>
      <c r="I72" t="s">
        <v>399</v>
      </c>
      <c r="J72" t="s">
        <v>429</v>
      </c>
      <c r="K72" t="s">
        <v>325</v>
      </c>
      <c r="L72" t="str">
        <f>IFERROR(VLOOKUP(Tab_Naturezas_2[[#This Row],[Conta 4]],D_PlanoFinanceiro[Conta 4 (Atual],1,FALSE),"#CLASSIFICAR")</f>
        <v>Bolsa Atleta</v>
      </c>
    </row>
    <row r="73" spans="1:12" hidden="1" x14ac:dyDescent="0.25">
      <c r="A73" t="s">
        <v>163</v>
      </c>
      <c r="B73" t="s">
        <v>163</v>
      </c>
      <c r="C73" t="s">
        <v>163</v>
      </c>
      <c r="D73" t="s">
        <v>47</v>
      </c>
      <c r="E73" t="s">
        <v>502</v>
      </c>
      <c r="F73" t="s">
        <v>503</v>
      </c>
      <c r="G73" t="s">
        <v>549</v>
      </c>
      <c r="H73" t="s">
        <v>557</v>
      </c>
      <c r="I73" t="s">
        <v>399</v>
      </c>
      <c r="J73" t="s">
        <v>429</v>
      </c>
      <c r="K73" t="s">
        <v>325</v>
      </c>
      <c r="L73" t="str">
        <f>IFERROR(VLOOKUP(Tab_Naturezas_2[[#This Row],[Conta 4]],D_PlanoFinanceiro[Conta 4 (Atual],1,FALSE),"#CLASSIFICAR")</f>
        <v>Direito de Imagem</v>
      </c>
    </row>
    <row r="74" spans="1:12" hidden="1" x14ac:dyDescent="0.25">
      <c r="A74" t="s">
        <v>163</v>
      </c>
      <c r="B74" t="s">
        <v>163</v>
      </c>
      <c r="C74" t="s">
        <v>163</v>
      </c>
      <c r="D74" t="s">
        <v>425</v>
      </c>
      <c r="E74" t="s">
        <v>502</v>
      </c>
      <c r="F74" t="s">
        <v>503</v>
      </c>
      <c r="G74" t="s">
        <v>549</v>
      </c>
      <c r="H74" t="s">
        <v>558</v>
      </c>
      <c r="I74" t="s">
        <v>399</v>
      </c>
      <c r="J74" t="s">
        <v>429</v>
      </c>
      <c r="K74" t="s">
        <v>325</v>
      </c>
      <c r="L74" t="str">
        <f>IFERROR(VLOOKUP(Tab_Naturezas_2[[#This Row],[Conta 4]],D_PlanoFinanceiro[Conta 4 (Atual],1,FALSE),"#CLASSIFICAR")</f>
        <v>Recreação / Monitores</v>
      </c>
    </row>
    <row r="75" spans="1:12" hidden="1" x14ac:dyDescent="0.25">
      <c r="A75" t="s">
        <v>163</v>
      </c>
      <c r="B75" t="s">
        <v>163</v>
      </c>
      <c r="C75" t="s">
        <v>163</v>
      </c>
      <c r="D75" t="s">
        <v>327</v>
      </c>
      <c r="E75" t="s">
        <v>502</v>
      </c>
      <c r="F75" t="s">
        <v>503</v>
      </c>
      <c r="G75" t="s">
        <v>559</v>
      </c>
      <c r="H75" t="s">
        <v>560</v>
      </c>
      <c r="I75" t="s">
        <v>399</v>
      </c>
      <c r="J75" t="s">
        <v>429</v>
      </c>
      <c r="K75" t="s">
        <v>326</v>
      </c>
      <c r="L75" t="str">
        <f>IFERROR(VLOOKUP(Tab_Naturezas_2[[#This Row],[Conta 4]],D_PlanoFinanceiro[Conta 4 (Atual],1,FALSE),"#CLASSIFICAR")</f>
        <v>Manutenção de Terrenos</v>
      </c>
    </row>
    <row r="76" spans="1:12" hidden="1" x14ac:dyDescent="0.25">
      <c r="A76" t="s">
        <v>163</v>
      </c>
      <c r="B76" t="s">
        <v>163</v>
      </c>
      <c r="C76" t="s">
        <v>163</v>
      </c>
      <c r="D76" t="s">
        <v>328</v>
      </c>
      <c r="E76" t="s">
        <v>502</v>
      </c>
      <c r="F76" t="s">
        <v>503</v>
      </c>
      <c r="G76" t="s">
        <v>559</v>
      </c>
      <c r="H76" t="s">
        <v>561</v>
      </c>
      <c r="I76" t="s">
        <v>399</v>
      </c>
      <c r="J76" t="s">
        <v>429</v>
      </c>
      <c r="K76" t="s">
        <v>326</v>
      </c>
      <c r="L76" t="str">
        <f>IFERROR(VLOOKUP(Tab_Naturezas_2[[#This Row],[Conta 4]],D_PlanoFinanceiro[Conta 4 (Atual],1,FALSE),"#CLASSIFICAR")</f>
        <v>Manutenção em Produtos Comerciais</v>
      </c>
    </row>
    <row r="77" spans="1:12" hidden="1" x14ac:dyDescent="0.25">
      <c r="A77" t="s">
        <v>163</v>
      </c>
      <c r="B77" t="s">
        <v>163</v>
      </c>
      <c r="C77" t="s">
        <v>163</v>
      </c>
      <c r="D77" t="s">
        <v>329</v>
      </c>
      <c r="E77" t="s">
        <v>502</v>
      </c>
      <c r="F77" t="s">
        <v>503</v>
      </c>
      <c r="G77" t="s">
        <v>559</v>
      </c>
      <c r="H77" t="s">
        <v>562</v>
      </c>
      <c r="I77" t="s">
        <v>399</v>
      </c>
      <c r="J77" t="s">
        <v>429</v>
      </c>
      <c r="K77" t="s">
        <v>326</v>
      </c>
      <c r="L77" t="str">
        <f>IFERROR(VLOOKUP(Tab_Naturezas_2[[#This Row],[Conta 4]],D_PlanoFinanceiro[Conta 4 (Atual],1,FALSE),"#CLASSIFICAR")</f>
        <v>Despesas com Retrabalho</v>
      </c>
    </row>
    <row r="78" spans="1:12" hidden="1" x14ac:dyDescent="0.25">
      <c r="A78" t="s">
        <v>163</v>
      </c>
      <c r="B78" t="s">
        <v>163</v>
      </c>
      <c r="C78" t="s">
        <v>163</v>
      </c>
      <c r="D78" t="s">
        <v>330</v>
      </c>
      <c r="E78" t="s">
        <v>502</v>
      </c>
      <c r="F78" t="s">
        <v>503</v>
      </c>
      <c r="G78" t="s">
        <v>559</v>
      </c>
      <c r="H78" t="s">
        <v>563</v>
      </c>
      <c r="I78" t="s">
        <v>399</v>
      </c>
      <c r="J78" t="s">
        <v>429</v>
      </c>
      <c r="K78" t="s">
        <v>326</v>
      </c>
      <c r="L78" t="str">
        <f>IFERROR(VLOOKUP(Tab_Naturezas_2[[#This Row],[Conta 4]],D_PlanoFinanceiro[Conta 4 (Atual],1,FALSE),"#CLASSIFICAR")</f>
        <v>Conserto de Materiais Esportivos</v>
      </c>
    </row>
    <row r="79" spans="1:12" hidden="1" x14ac:dyDescent="0.25">
      <c r="A79" t="s">
        <v>163</v>
      </c>
      <c r="B79" t="s">
        <v>163</v>
      </c>
      <c r="C79" t="s">
        <v>163</v>
      </c>
      <c r="D79" t="s">
        <v>381</v>
      </c>
      <c r="E79" t="s">
        <v>502</v>
      </c>
      <c r="F79" t="s">
        <v>503</v>
      </c>
      <c r="G79" t="s">
        <v>559</v>
      </c>
      <c r="H79" t="s">
        <v>564</v>
      </c>
      <c r="I79" t="s">
        <v>399</v>
      </c>
      <c r="J79" t="s">
        <v>429</v>
      </c>
      <c r="K79" t="s">
        <v>326</v>
      </c>
      <c r="L79" t="str">
        <f>IFERROR(VLOOKUP(Tab_Naturezas_2[[#This Row],[Conta 4]],D_PlanoFinanceiro[Conta 4 (Atual],1,FALSE),"#CLASSIFICAR")</f>
        <v>Manutenção em Produtos de Terceiros</v>
      </c>
    </row>
    <row r="80" spans="1:12" hidden="1" x14ac:dyDescent="0.25">
      <c r="A80" t="s">
        <v>163</v>
      </c>
      <c r="B80" t="s">
        <v>163</v>
      </c>
      <c r="C80" t="s">
        <v>163</v>
      </c>
      <c r="D80" t="s">
        <v>444</v>
      </c>
      <c r="E80" t="s">
        <v>502</v>
      </c>
      <c r="F80" t="s">
        <v>503</v>
      </c>
      <c r="G80" t="s">
        <v>559</v>
      </c>
      <c r="H80" t="s">
        <v>565</v>
      </c>
      <c r="I80" t="s">
        <v>399</v>
      </c>
      <c r="J80" t="s">
        <v>429</v>
      </c>
      <c r="K80" t="s">
        <v>326</v>
      </c>
      <c r="L80" t="str">
        <f>IFERROR(VLOOKUP(Tab_Naturezas_2[[#This Row],[Conta 4]],D_PlanoFinanceiro[Conta 4 (Atual],1,FALSE),"#CLASSIFICAR")</f>
        <v>Manutenção de Ferramentas</v>
      </c>
    </row>
    <row r="81" spans="1:12" hidden="1" x14ac:dyDescent="0.25">
      <c r="A81" t="s">
        <v>163</v>
      </c>
      <c r="B81" t="s">
        <v>163</v>
      </c>
      <c r="C81" t="s">
        <v>163</v>
      </c>
      <c r="D81" t="s">
        <v>102</v>
      </c>
      <c r="E81" t="s">
        <v>502</v>
      </c>
      <c r="F81" t="s">
        <v>503</v>
      </c>
      <c r="G81" t="s">
        <v>559</v>
      </c>
      <c r="H81" t="s">
        <v>566</v>
      </c>
      <c r="I81" t="s">
        <v>399</v>
      </c>
      <c r="J81" t="s">
        <v>429</v>
      </c>
      <c r="K81" t="s">
        <v>326</v>
      </c>
      <c r="L81" t="str">
        <f>IFERROR(VLOOKUP(Tab_Naturezas_2[[#This Row],[Conta 4]],D_PlanoFinanceiro[Conta 4 (Atual],1,FALSE),"#CLASSIFICAR")</f>
        <v>Manutenção de Campo Futebol</v>
      </c>
    </row>
    <row r="82" spans="1:12" hidden="1" x14ac:dyDescent="0.25">
      <c r="A82" t="s">
        <v>163</v>
      </c>
      <c r="B82" t="s">
        <v>163</v>
      </c>
      <c r="C82" t="s">
        <v>163</v>
      </c>
      <c r="D82" t="s">
        <v>89</v>
      </c>
      <c r="E82" t="s">
        <v>502</v>
      </c>
      <c r="F82" t="s">
        <v>503</v>
      </c>
      <c r="G82" t="s">
        <v>559</v>
      </c>
      <c r="H82" t="s">
        <v>567</v>
      </c>
      <c r="I82" t="s">
        <v>399</v>
      </c>
      <c r="J82" t="s">
        <v>429</v>
      </c>
      <c r="K82" t="s">
        <v>326</v>
      </c>
      <c r="L82" t="str">
        <f>IFERROR(VLOOKUP(Tab_Naturezas_2[[#This Row],[Conta 4]],D_PlanoFinanceiro[Conta 4 (Atual],1,FALSE),"#CLASSIFICAR")</f>
        <v>Manutenção de Máquinas e Equipamentos</v>
      </c>
    </row>
    <row r="83" spans="1:12" hidden="1" x14ac:dyDescent="0.25">
      <c r="A83" t="s">
        <v>163</v>
      </c>
      <c r="B83" t="s">
        <v>163</v>
      </c>
      <c r="C83" t="s">
        <v>163</v>
      </c>
      <c r="D83" t="s">
        <v>440</v>
      </c>
      <c r="E83" t="s">
        <v>502</v>
      </c>
      <c r="F83" t="s">
        <v>503</v>
      </c>
      <c r="G83" t="s">
        <v>568</v>
      </c>
      <c r="H83" t="s">
        <v>569</v>
      </c>
      <c r="I83" t="s">
        <v>399</v>
      </c>
      <c r="J83" t="s">
        <v>429</v>
      </c>
      <c r="K83" t="s">
        <v>363</v>
      </c>
      <c r="L83" t="str">
        <f>IFERROR(VLOOKUP(Tab_Naturezas_2[[#This Row],[Conta 4]],D_PlanoFinanceiro[Conta 4 (Atual],1,FALSE),"#CLASSIFICAR")</f>
        <v>Ferramentas para Operacao</v>
      </c>
    </row>
    <row r="84" spans="1:12" hidden="1" x14ac:dyDescent="0.25">
      <c r="A84" t="s">
        <v>163</v>
      </c>
      <c r="B84" t="s">
        <v>163</v>
      </c>
      <c r="C84" t="s">
        <v>163</v>
      </c>
      <c r="D84" t="s">
        <v>374</v>
      </c>
      <c r="E84" t="s">
        <v>502</v>
      </c>
      <c r="F84" t="s">
        <v>503</v>
      </c>
      <c r="G84" t="s">
        <v>570</v>
      </c>
      <c r="H84" t="s">
        <v>571</v>
      </c>
      <c r="I84" t="s">
        <v>399</v>
      </c>
      <c r="J84" t="s">
        <v>429</v>
      </c>
      <c r="K84" t="s">
        <v>426</v>
      </c>
      <c r="L84" t="str">
        <f>IFERROR(VLOOKUP(Tab_Naturezas_2[[#This Row],[Conta 4]],D_PlanoFinanceiro[Conta 4 (Atual],1,FALSE),"#CLASSIFICAR")</f>
        <v>Saque Prêmio eConto</v>
      </c>
    </row>
    <row r="85" spans="1:12" hidden="1" x14ac:dyDescent="0.25">
      <c r="A85" t="s">
        <v>163</v>
      </c>
      <c r="B85" t="s">
        <v>163</v>
      </c>
      <c r="C85" t="s">
        <v>163</v>
      </c>
      <c r="D85" t="s">
        <v>162</v>
      </c>
      <c r="E85" t="s">
        <v>502</v>
      </c>
      <c r="F85" t="s">
        <v>572</v>
      </c>
      <c r="G85" t="s">
        <v>573</v>
      </c>
      <c r="H85" t="s">
        <v>574</v>
      </c>
      <c r="I85" t="s">
        <v>399</v>
      </c>
      <c r="J85" t="s">
        <v>175</v>
      </c>
      <c r="K85" t="s">
        <v>355</v>
      </c>
      <c r="L85" t="str">
        <f>IFERROR(VLOOKUP(Tab_Naturezas_2[[#This Row],[Conta 4]],D_PlanoFinanceiro[Conta 4 (Atual],1,FALSE),"#CLASSIFICAR")</f>
        <v>13º Salarios</v>
      </c>
    </row>
    <row r="86" spans="1:12" hidden="1" x14ac:dyDescent="0.25">
      <c r="A86" t="s">
        <v>163</v>
      </c>
      <c r="B86" t="s">
        <v>163</v>
      </c>
      <c r="C86" t="s">
        <v>163</v>
      </c>
      <c r="D86" t="s">
        <v>48</v>
      </c>
      <c r="E86" t="s">
        <v>502</v>
      </c>
      <c r="F86" t="s">
        <v>572</v>
      </c>
      <c r="G86" t="s">
        <v>573</v>
      </c>
      <c r="H86" t="s">
        <v>575</v>
      </c>
      <c r="I86" t="s">
        <v>399</v>
      </c>
      <c r="J86" t="s">
        <v>175</v>
      </c>
      <c r="K86" t="s">
        <v>355</v>
      </c>
      <c r="L86" t="str">
        <f>IFERROR(VLOOKUP(Tab_Naturezas_2[[#This Row],[Conta 4]],D_PlanoFinanceiro[Conta 4 (Atual],1,FALSE),"#CLASSIFICAR")</f>
        <v>Salarios</v>
      </c>
    </row>
    <row r="87" spans="1:12" hidden="1" x14ac:dyDescent="0.25">
      <c r="A87" t="s">
        <v>163</v>
      </c>
      <c r="B87" t="s">
        <v>163</v>
      </c>
      <c r="C87" t="s">
        <v>163</v>
      </c>
      <c r="D87" t="s">
        <v>101</v>
      </c>
      <c r="E87" t="s">
        <v>502</v>
      </c>
      <c r="F87" t="s">
        <v>572</v>
      </c>
      <c r="G87" t="s">
        <v>573</v>
      </c>
      <c r="H87" t="s">
        <v>576</v>
      </c>
      <c r="I87" t="s">
        <v>399</v>
      </c>
      <c r="J87" t="s">
        <v>175</v>
      </c>
      <c r="K87" t="s">
        <v>355</v>
      </c>
      <c r="L87" t="str">
        <f>IFERROR(VLOOKUP(Tab_Naturezas_2[[#This Row],[Conta 4]],D_PlanoFinanceiro[Conta 4 (Atual],1,FALSE),"#CLASSIFICAR")</f>
        <v>Vale Transporte/Combustível</v>
      </c>
    </row>
    <row r="88" spans="1:12" hidden="1" x14ac:dyDescent="0.25">
      <c r="A88" t="s">
        <v>163</v>
      </c>
      <c r="B88" t="s">
        <v>163</v>
      </c>
      <c r="C88" t="s">
        <v>163</v>
      </c>
      <c r="D88" t="s">
        <v>133</v>
      </c>
      <c r="E88" t="s">
        <v>502</v>
      </c>
      <c r="F88" t="s">
        <v>572</v>
      </c>
      <c r="G88" t="s">
        <v>573</v>
      </c>
      <c r="H88" t="s">
        <v>577</v>
      </c>
      <c r="I88" t="s">
        <v>399</v>
      </c>
      <c r="J88" t="s">
        <v>175</v>
      </c>
      <c r="K88" t="s">
        <v>355</v>
      </c>
      <c r="L88" t="str">
        <f>IFERROR(VLOOKUP(Tab_Naturezas_2[[#This Row],[Conta 4]],D_PlanoFinanceiro[Conta 4 (Atual],1,FALSE),"#CLASSIFICAR")</f>
        <v>Uniformes</v>
      </c>
    </row>
    <row r="89" spans="1:12" hidden="1" x14ac:dyDescent="0.25">
      <c r="A89" t="s">
        <v>163</v>
      </c>
      <c r="B89" t="s">
        <v>163</v>
      </c>
      <c r="C89" t="s">
        <v>163</v>
      </c>
      <c r="D89" t="s">
        <v>72</v>
      </c>
      <c r="E89" t="s">
        <v>502</v>
      </c>
      <c r="F89" t="s">
        <v>572</v>
      </c>
      <c r="G89" t="s">
        <v>573</v>
      </c>
      <c r="H89" t="s">
        <v>578</v>
      </c>
      <c r="I89" t="s">
        <v>399</v>
      </c>
      <c r="J89" t="s">
        <v>175</v>
      </c>
      <c r="K89" t="s">
        <v>355</v>
      </c>
      <c r="L89" t="str">
        <f>IFERROR(VLOOKUP(Tab_Naturezas_2[[#This Row],[Conta 4]],D_PlanoFinanceiro[Conta 4 (Atual],1,FALSE),"#CLASSIFICAR")</f>
        <v>Ferias</v>
      </c>
    </row>
    <row r="90" spans="1:12" hidden="1" x14ac:dyDescent="0.25">
      <c r="A90" t="s">
        <v>163</v>
      </c>
      <c r="B90" t="s">
        <v>163</v>
      </c>
      <c r="C90" t="s">
        <v>163</v>
      </c>
      <c r="D90" t="s">
        <v>35</v>
      </c>
      <c r="E90" t="s">
        <v>502</v>
      </c>
      <c r="F90" t="s">
        <v>572</v>
      </c>
      <c r="G90" t="s">
        <v>573</v>
      </c>
      <c r="H90" t="s">
        <v>579</v>
      </c>
      <c r="I90" t="s">
        <v>399</v>
      </c>
      <c r="J90" t="s">
        <v>175</v>
      </c>
      <c r="K90" t="s">
        <v>355</v>
      </c>
      <c r="L90" t="str">
        <f>IFERROR(VLOOKUP(Tab_Naturezas_2[[#This Row],[Conta 4]],D_PlanoFinanceiro[Conta 4 (Atual],1,FALSE),"#CLASSIFICAR")</f>
        <v>Encargos (INSS/FGTS)</v>
      </c>
    </row>
    <row r="91" spans="1:12" hidden="1" x14ac:dyDescent="0.25">
      <c r="A91" t="s">
        <v>163</v>
      </c>
      <c r="B91" t="s">
        <v>163</v>
      </c>
      <c r="C91" t="s">
        <v>163</v>
      </c>
      <c r="D91" t="s">
        <v>40</v>
      </c>
      <c r="E91" t="s">
        <v>502</v>
      </c>
      <c r="F91" t="s">
        <v>572</v>
      </c>
      <c r="G91" t="s">
        <v>573</v>
      </c>
      <c r="H91" t="s">
        <v>580</v>
      </c>
      <c r="I91" t="s">
        <v>399</v>
      </c>
      <c r="J91" t="s">
        <v>175</v>
      </c>
      <c r="K91" t="s">
        <v>355</v>
      </c>
      <c r="L91" t="str">
        <f>IFERROR(VLOOKUP(Tab_Naturezas_2[[#This Row],[Conta 4]],D_PlanoFinanceiro[Conta 4 (Atual],1,FALSE),"#CLASSIFICAR")</f>
        <v>Vale Refeiçao</v>
      </c>
    </row>
    <row r="92" spans="1:12" hidden="1" x14ac:dyDescent="0.25">
      <c r="A92" t="s">
        <v>163</v>
      </c>
      <c r="B92" t="s">
        <v>163</v>
      </c>
      <c r="C92" t="s">
        <v>163</v>
      </c>
      <c r="D92" t="s">
        <v>70</v>
      </c>
      <c r="E92" t="s">
        <v>502</v>
      </c>
      <c r="F92" t="s">
        <v>572</v>
      </c>
      <c r="G92" t="s">
        <v>573</v>
      </c>
      <c r="H92" t="s">
        <v>581</v>
      </c>
      <c r="I92" t="s">
        <v>399</v>
      </c>
      <c r="J92" t="s">
        <v>175</v>
      </c>
      <c r="K92" t="s">
        <v>355</v>
      </c>
      <c r="L92" t="str">
        <f>IFERROR(VLOOKUP(Tab_Naturezas_2[[#This Row],[Conta 4]],D_PlanoFinanceiro[Conta 4 (Atual],1,FALSE),"#CLASSIFICAR")</f>
        <v>Plano Odontológico</v>
      </c>
    </row>
    <row r="93" spans="1:12" hidden="1" x14ac:dyDescent="0.25">
      <c r="A93" t="s">
        <v>163</v>
      </c>
      <c r="B93" t="s">
        <v>163</v>
      </c>
      <c r="C93" t="s">
        <v>163</v>
      </c>
      <c r="D93" t="s">
        <v>94</v>
      </c>
      <c r="E93" t="s">
        <v>502</v>
      </c>
      <c r="F93" t="s">
        <v>572</v>
      </c>
      <c r="G93" t="s">
        <v>573</v>
      </c>
      <c r="H93" t="s">
        <v>582</v>
      </c>
      <c r="I93" t="s">
        <v>399</v>
      </c>
      <c r="J93" t="s">
        <v>175</v>
      </c>
      <c r="K93" t="s">
        <v>355</v>
      </c>
      <c r="L93" t="str">
        <f>IFERROR(VLOOKUP(Tab_Naturezas_2[[#This Row],[Conta 4]],D_PlanoFinanceiro[Conta 4 (Atual],1,FALSE),"#CLASSIFICAR")</f>
        <v>IRPF</v>
      </c>
    </row>
    <row r="94" spans="1:12" hidden="1" x14ac:dyDescent="0.25">
      <c r="A94" t="s">
        <v>163</v>
      </c>
      <c r="B94" t="s">
        <v>163</v>
      </c>
      <c r="C94" t="s">
        <v>163</v>
      </c>
      <c r="D94" t="s">
        <v>66</v>
      </c>
      <c r="E94" t="s">
        <v>502</v>
      </c>
      <c r="F94" t="s">
        <v>572</v>
      </c>
      <c r="G94" t="s">
        <v>573</v>
      </c>
      <c r="H94" t="s">
        <v>583</v>
      </c>
      <c r="I94" t="s">
        <v>399</v>
      </c>
      <c r="J94" t="s">
        <v>175</v>
      </c>
      <c r="K94" t="s">
        <v>355</v>
      </c>
      <c r="L94" t="str">
        <f>IFERROR(VLOOKUP(Tab_Naturezas_2[[#This Row],[Conta 4]],D_PlanoFinanceiro[Conta 4 (Atual],1,FALSE),"#CLASSIFICAR")</f>
        <v>Farmacia</v>
      </c>
    </row>
    <row r="95" spans="1:12" hidden="1" x14ac:dyDescent="0.25">
      <c r="A95" t="s">
        <v>163</v>
      </c>
      <c r="B95" t="s">
        <v>163</v>
      </c>
      <c r="C95" t="s">
        <v>163</v>
      </c>
      <c r="D95" t="s">
        <v>96</v>
      </c>
      <c r="E95" t="s">
        <v>502</v>
      </c>
      <c r="F95" t="s">
        <v>572</v>
      </c>
      <c r="G95" t="s">
        <v>573</v>
      </c>
      <c r="H95" t="s">
        <v>584</v>
      </c>
      <c r="I95" t="s">
        <v>399</v>
      </c>
      <c r="J95" t="s">
        <v>175</v>
      </c>
      <c r="K95" t="s">
        <v>355</v>
      </c>
      <c r="L95" t="str">
        <f>IFERROR(VLOOKUP(Tab_Naturezas_2[[#This Row],[Conta 4]],D_PlanoFinanceiro[Conta 4 (Atual],1,FALSE),"#CLASSIFICAR")</f>
        <v>Cursos e Treinamentos</v>
      </c>
    </row>
    <row r="96" spans="1:12" hidden="1" x14ac:dyDescent="0.25">
      <c r="A96" t="s">
        <v>163</v>
      </c>
      <c r="B96" t="s">
        <v>163</v>
      </c>
      <c r="C96" t="s">
        <v>163</v>
      </c>
      <c r="D96" t="s">
        <v>331</v>
      </c>
      <c r="E96" t="s">
        <v>502</v>
      </c>
      <c r="F96" t="s">
        <v>572</v>
      </c>
      <c r="G96" t="s">
        <v>573</v>
      </c>
      <c r="H96" t="s">
        <v>585</v>
      </c>
      <c r="I96" t="s">
        <v>399</v>
      </c>
      <c r="J96" t="s">
        <v>175</v>
      </c>
      <c r="K96" t="s">
        <v>355</v>
      </c>
      <c r="L96" t="str">
        <f>IFERROR(VLOOKUP(Tab_Naturezas_2[[#This Row],[Conta 4]],D_PlanoFinanceiro[Conta 4 (Atual],1,FALSE),"#CLASSIFICAR")</f>
        <v>Contribuiçao Sindical</v>
      </c>
    </row>
    <row r="97" spans="1:12" hidden="1" x14ac:dyDescent="0.25">
      <c r="A97" t="s">
        <v>163</v>
      </c>
      <c r="B97" t="s">
        <v>163</v>
      </c>
      <c r="C97" t="s">
        <v>163</v>
      </c>
      <c r="D97" t="s">
        <v>58</v>
      </c>
      <c r="E97" t="s">
        <v>502</v>
      </c>
      <c r="F97" t="s">
        <v>572</v>
      </c>
      <c r="G97" t="s">
        <v>573</v>
      </c>
      <c r="H97" t="s">
        <v>586</v>
      </c>
      <c r="I97" t="s">
        <v>399</v>
      </c>
      <c r="J97" t="s">
        <v>175</v>
      </c>
      <c r="K97" t="s">
        <v>355</v>
      </c>
      <c r="L97" t="str">
        <f>IFERROR(VLOOKUP(Tab_Naturezas_2[[#This Row],[Conta 4]],D_PlanoFinanceiro[Conta 4 (Atual],1,FALSE),"#CLASSIFICAR")</f>
        <v>Rescisoes/ GRRF</v>
      </c>
    </row>
    <row r="98" spans="1:12" hidden="1" x14ac:dyDescent="0.25">
      <c r="A98" t="s">
        <v>163</v>
      </c>
      <c r="B98" t="s">
        <v>163</v>
      </c>
      <c r="C98" t="s">
        <v>163</v>
      </c>
      <c r="D98" t="s">
        <v>26</v>
      </c>
      <c r="E98" t="s">
        <v>502</v>
      </c>
      <c r="F98" t="s">
        <v>572</v>
      </c>
      <c r="G98" t="s">
        <v>573</v>
      </c>
      <c r="H98" t="s">
        <v>587</v>
      </c>
      <c r="I98" t="s">
        <v>399</v>
      </c>
      <c r="J98" t="s">
        <v>175</v>
      </c>
      <c r="K98" t="s">
        <v>355</v>
      </c>
      <c r="L98" t="str">
        <f>IFERROR(VLOOKUP(Tab_Naturezas_2[[#This Row],[Conta 4]],D_PlanoFinanceiro[Conta 4 (Atual],1,FALSE),"#CLASSIFICAR")</f>
        <v>Plano de Saude</v>
      </c>
    </row>
    <row r="99" spans="1:12" hidden="1" x14ac:dyDescent="0.25">
      <c r="A99" t="s">
        <v>163</v>
      </c>
      <c r="B99" t="s">
        <v>163</v>
      </c>
      <c r="C99" t="s">
        <v>163</v>
      </c>
      <c r="D99" t="s">
        <v>332</v>
      </c>
      <c r="E99" t="s">
        <v>502</v>
      </c>
      <c r="F99" t="s">
        <v>572</v>
      </c>
      <c r="G99" t="s">
        <v>573</v>
      </c>
      <c r="H99" t="s">
        <v>588</v>
      </c>
      <c r="I99" t="s">
        <v>399</v>
      </c>
      <c r="J99" t="s">
        <v>175</v>
      </c>
      <c r="K99" t="s">
        <v>355</v>
      </c>
      <c r="L99" t="str">
        <f>IFERROR(VLOOKUP(Tab_Naturezas_2[[#This Row],[Conta 4]],D_PlanoFinanceiro[Conta 4 (Atual],1,FALSE),"#CLASSIFICAR")</f>
        <v>Participaçao no Resultado</v>
      </c>
    </row>
    <row r="100" spans="1:12" hidden="1" x14ac:dyDescent="0.25">
      <c r="A100" t="s">
        <v>163</v>
      </c>
      <c r="B100" t="s">
        <v>163</v>
      </c>
      <c r="C100" t="s">
        <v>163</v>
      </c>
      <c r="D100" t="s">
        <v>86</v>
      </c>
      <c r="E100" t="s">
        <v>502</v>
      </c>
      <c r="F100" t="s">
        <v>572</v>
      </c>
      <c r="G100" t="s">
        <v>573</v>
      </c>
      <c r="H100" t="s">
        <v>589</v>
      </c>
      <c r="I100" t="s">
        <v>399</v>
      </c>
      <c r="J100" t="s">
        <v>175</v>
      </c>
      <c r="K100" t="s">
        <v>355</v>
      </c>
      <c r="L100" t="str">
        <f>IFERROR(VLOOKUP(Tab_Naturezas_2[[#This Row],[Conta 4]],D_PlanoFinanceiro[Conta 4 (Atual],1,FALSE),"#CLASSIFICAR")</f>
        <v>Exames (Admissionais/Demissionais e Peri</v>
      </c>
    </row>
    <row r="101" spans="1:12" hidden="1" x14ac:dyDescent="0.25">
      <c r="A101" t="s">
        <v>163</v>
      </c>
      <c r="B101" t="s">
        <v>163</v>
      </c>
      <c r="C101" t="s">
        <v>163</v>
      </c>
      <c r="D101" t="s">
        <v>158</v>
      </c>
      <c r="E101" t="s">
        <v>502</v>
      </c>
      <c r="F101" t="s">
        <v>572</v>
      </c>
      <c r="G101" t="s">
        <v>573</v>
      </c>
      <c r="H101" t="s">
        <v>590</v>
      </c>
      <c r="I101" t="s">
        <v>399</v>
      </c>
      <c r="J101" t="s">
        <v>175</v>
      </c>
      <c r="K101" t="s">
        <v>355</v>
      </c>
      <c r="L101" t="str">
        <f>IFERROR(VLOOKUP(Tab_Naturezas_2[[#This Row],[Conta 4]],D_PlanoFinanceiro[Conta 4 (Atual],1,FALSE),"#CLASSIFICAR")</f>
        <v>Pensao Alimenticia</v>
      </c>
    </row>
    <row r="102" spans="1:12" hidden="1" x14ac:dyDescent="0.25">
      <c r="A102" t="s">
        <v>163</v>
      </c>
      <c r="B102" t="s">
        <v>163</v>
      </c>
      <c r="C102" t="s">
        <v>163</v>
      </c>
      <c r="D102" t="s">
        <v>79</v>
      </c>
      <c r="E102" t="s">
        <v>502</v>
      </c>
      <c r="F102" t="s">
        <v>572</v>
      </c>
      <c r="G102" t="s">
        <v>573</v>
      </c>
      <c r="H102" t="s">
        <v>591</v>
      </c>
      <c r="I102" t="s">
        <v>399</v>
      </c>
      <c r="J102" t="s">
        <v>175</v>
      </c>
      <c r="K102" t="s">
        <v>355</v>
      </c>
      <c r="L102" t="str">
        <f>IFERROR(VLOOKUP(Tab_Naturezas_2[[#This Row],[Conta 4]],D_PlanoFinanceiro[Conta 4 (Atual],1,FALSE),"#CLASSIFICAR")</f>
        <v>Seguro de Vida</v>
      </c>
    </row>
    <row r="103" spans="1:12" hidden="1" x14ac:dyDescent="0.25">
      <c r="A103" t="s">
        <v>163</v>
      </c>
      <c r="B103" t="s">
        <v>163</v>
      </c>
      <c r="C103" t="s">
        <v>163</v>
      </c>
      <c r="D103" t="s">
        <v>87</v>
      </c>
      <c r="E103" t="s">
        <v>502</v>
      </c>
      <c r="F103" t="s">
        <v>572</v>
      </c>
      <c r="G103" t="s">
        <v>573</v>
      </c>
      <c r="H103" t="s">
        <v>592</v>
      </c>
      <c r="I103" t="s">
        <v>399</v>
      </c>
      <c r="J103" t="s">
        <v>175</v>
      </c>
      <c r="K103" t="s">
        <v>355</v>
      </c>
      <c r="L103" t="str">
        <f>IFERROR(VLOOKUP(Tab_Naturezas_2[[#This Row],[Conta 4]],D_PlanoFinanceiro[Conta 4 (Atual],1,FALSE),"#CLASSIFICAR")</f>
        <v>Bonificaçao/Premio</v>
      </c>
    </row>
    <row r="104" spans="1:12" hidden="1" x14ac:dyDescent="0.25">
      <c r="A104" t="s">
        <v>163</v>
      </c>
      <c r="B104" t="s">
        <v>163</v>
      </c>
      <c r="C104" t="s">
        <v>163</v>
      </c>
      <c r="D104" t="s">
        <v>392</v>
      </c>
      <c r="E104" t="s">
        <v>502</v>
      </c>
      <c r="F104" t="s">
        <v>572</v>
      </c>
      <c r="G104" t="s">
        <v>573</v>
      </c>
      <c r="H104" t="s">
        <v>593</v>
      </c>
      <c r="I104" t="s">
        <v>399</v>
      </c>
      <c r="J104" t="s">
        <v>175</v>
      </c>
      <c r="K104" t="s">
        <v>355</v>
      </c>
      <c r="L104" t="str">
        <f>IFERROR(VLOOKUP(Tab_Naturezas_2[[#This Row],[Conta 4]],D_PlanoFinanceiro[Conta 4 (Atual],1,FALSE),"#CLASSIFICAR")</f>
        <v>Auxilio Universidade</v>
      </c>
    </row>
    <row r="105" spans="1:12" hidden="1" x14ac:dyDescent="0.25">
      <c r="A105" t="s">
        <v>163</v>
      </c>
      <c r="B105" t="s">
        <v>163</v>
      </c>
      <c r="C105" t="s">
        <v>163</v>
      </c>
      <c r="D105" t="s">
        <v>144</v>
      </c>
      <c r="E105" t="s">
        <v>502</v>
      </c>
      <c r="F105" t="s">
        <v>572</v>
      </c>
      <c r="G105" t="s">
        <v>573</v>
      </c>
      <c r="H105" t="s">
        <v>594</v>
      </c>
      <c r="I105" t="s">
        <v>399</v>
      </c>
      <c r="J105" t="s">
        <v>175</v>
      </c>
      <c r="K105" t="s">
        <v>355</v>
      </c>
      <c r="L105" t="str">
        <f>IFERROR(VLOOKUP(Tab_Naturezas_2[[#This Row],[Conta 4]],D_PlanoFinanceiro[Conta 4 (Atual],1,FALSE),"#CLASSIFICAR")</f>
        <v>Indenizaçao e Despesas Trabalhistas</v>
      </c>
    </row>
    <row r="106" spans="1:12" hidden="1" x14ac:dyDescent="0.25">
      <c r="A106" t="s">
        <v>163</v>
      </c>
      <c r="B106" t="s">
        <v>163</v>
      </c>
      <c r="C106" t="s">
        <v>163</v>
      </c>
      <c r="D106" t="s">
        <v>118</v>
      </c>
      <c r="E106" t="s">
        <v>502</v>
      </c>
      <c r="F106" t="s">
        <v>572</v>
      </c>
      <c r="G106" t="s">
        <v>573</v>
      </c>
      <c r="H106" t="s">
        <v>595</v>
      </c>
      <c r="I106" t="s">
        <v>399</v>
      </c>
      <c r="J106" t="s">
        <v>175</v>
      </c>
      <c r="K106" t="s">
        <v>355</v>
      </c>
      <c r="L106" t="str">
        <f>IFERROR(VLOOKUP(Tab_Naturezas_2[[#This Row],[Conta 4]],D_PlanoFinanceiro[Conta 4 (Atual],1,FALSE),"#CLASSIFICAR")</f>
        <v>Açoes do RH</v>
      </c>
    </row>
    <row r="107" spans="1:12" hidden="1" x14ac:dyDescent="0.25">
      <c r="A107" t="s">
        <v>163</v>
      </c>
      <c r="B107" t="s">
        <v>163</v>
      </c>
      <c r="C107" t="s">
        <v>163</v>
      </c>
      <c r="D107" t="s">
        <v>333</v>
      </c>
      <c r="E107" t="s">
        <v>502</v>
      </c>
      <c r="F107" t="s">
        <v>572</v>
      </c>
      <c r="G107" t="s">
        <v>573</v>
      </c>
      <c r="H107" t="s">
        <v>596</v>
      </c>
      <c r="I107" t="s">
        <v>399</v>
      </c>
      <c r="J107" t="s">
        <v>175</v>
      </c>
      <c r="K107" t="s">
        <v>355</v>
      </c>
      <c r="L107" t="str">
        <f>IFERROR(VLOOKUP(Tab_Naturezas_2[[#This Row],[Conta 4]],D_PlanoFinanceiro[Conta 4 (Atual],1,FALSE),"#CLASSIFICAR")</f>
        <v>Comissoes Vendedor</v>
      </c>
    </row>
    <row r="108" spans="1:12" hidden="1" x14ac:dyDescent="0.25">
      <c r="A108" t="s">
        <v>163</v>
      </c>
      <c r="B108" t="s">
        <v>163</v>
      </c>
      <c r="C108" t="s">
        <v>163</v>
      </c>
      <c r="D108" t="s">
        <v>49</v>
      </c>
      <c r="E108" t="s">
        <v>502</v>
      </c>
      <c r="F108" t="s">
        <v>572</v>
      </c>
      <c r="G108" t="s">
        <v>573</v>
      </c>
      <c r="H108" t="s">
        <v>597</v>
      </c>
      <c r="I108" t="s">
        <v>399</v>
      </c>
      <c r="J108" t="s">
        <v>175</v>
      </c>
      <c r="K108" t="s">
        <v>355</v>
      </c>
      <c r="L108" t="str">
        <f>IFERROR(VLOOKUP(Tab_Naturezas_2[[#This Row],[Conta 4]],D_PlanoFinanceiro[Conta 4 (Atual],1,FALSE),"#CLASSIFICAR")</f>
        <v>Pro Labore</v>
      </c>
    </row>
    <row r="109" spans="1:12" hidden="1" x14ac:dyDescent="0.25">
      <c r="A109" t="s">
        <v>163</v>
      </c>
      <c r="B109" t="s">
        <v>163</v>
      </c>
      <c r="C109" t="s">
        <v>163</v>
      </c>
      <c r="D109" t="s">
        <v>334</v>
      </c>
      <c r="E109" t="s">
        <v>502</v>
      </c>
      <c r="F109" t="s">
        <v>572</v>
      </c>
      <c r="G109" t="s">
        <v>573</v>
      </c>
      <c r="H109" t="s">
        <v>598</v>
      </c>
      <c r="I109" t="s">
        <v>399</v>
      </c>
      <c r="J109" t="s">
        <v>175</v>
      </c>
      <c r="K109" t="s">
        <v>355</v>
      </c>
      <c r="L109" t="str">
        <f>IFERROR(VLOOKUP(Tab_Naturezas_2[[#This Row],[Conta 4]],D_PlanoFinanceiro[Conta 4 (Atual],1,FALSE),"#CLASSIFICAR")</f>
        <v>Pagt Distribuiçao de Lucros</v>
      </c>
    </row>
    <row r="110" spans="1:12" hidden="1" x14ac:dyDescent="0.25">
      <c r="A110" t="s">
        <v>163</v>
      </c>
      <c r="B110" t="s">
        <v>163</v>
      </c>
      <c r="C110" t="s">
        <v>163</v>
      </c>
      <c r="D110" t="s">
        <v>62</v>
      </c>
      <c r="E110" t="s">
        <v>502</v>
      </c>
      <c r="F110" t="s">
        <v>572</v>
      </c>
      <c r="G110" t="s">
        <v>573</v>
      </c>
      <c r="H110" t="s">
        <v>599</v>
      </c>
      <c r="I110" t="s">
        <v>399</v>
      </c>
      <c r="J110" t="s">
        <v>175</v>
      </c>
      <c r="K110" t="s">
        <v>355</v>
      </c>
      <c r="L110" t="str">
        <f>IFERROR(VLOOKUP(Tab_Naturezas_2[[#This Row],[Conta 4]],D_PlanoFinanceiro[Conta 4 (Atual],1,FALSE),"#CLASSIFICAR")</f>
        <v>Saude e Segurança Ocupacional</v>
      </c>
    </row>
    <row r="111" spans="1:12" hidden="1" x14ac:dyDescent="0.25">
      <c r="A111" t="s">
        <v>163</v>
      </c>
      <c r="B111" t="s">
        <v>163</v>
      </c>
      <c r="C111" t="s">
        <v>163</v>
      </c>
      <c r="D111" t="s">
        <v>393</v>
      </c>
      <c r="E111" t="s">
        <v>502</v>
      </c>
      <c r="F111" t="s">
        <v>572</v>
      </c>
      <c r="G111" t="s">
        <v>573</v>
      </c>
      <c r="H111" t="s">
        <v>600</v>
      </c>
      <c r="I111" t="s">
        <v>399</v>
      </c>
      <c r="J111" t="s">
        <v>175</v>
      </c>
      <c r="K111" t="s">
        <v>355</v>
      </c>
      <c r="L111" t="str">
        <f>IFERROR(VLOOKUP(Tab_Naturezas_2[[#This Row],[Conta 4]],D_PlanoFinanceiro[Conta 4 (Atual],1,FALSE),"#CLASSIFICAR")</f>
        <v>EPI</v>
      </c>
    </row>
    <row r="112" spans="1:12" hidden="1" x14ac:dyDescent="0.25">
      <c r="A112" t="s">
        <v>163</v>
      </c>
      <c r="B112" t="s">
        <v>163</v>
      </c>
      <c r="C112" t="s">
        <v>163</v>
      </c>
      <c r="D112" t="s">
        <v>457</v>
      </c>
      <c r="E112" t="s">
        <v>502</v>
      </c>
      <c r="F112" t="s">
        <v>572</v>
      </c>
      <c r="G112" t="s">
        <v>573</v>
      </c>
      <c r="H112" t="s">
        <v>601</v>
      </c>
      <c r="I112" t="s">
        <v>399</v>
      </c>
      <c r="J112" t="s">
        <v>175</v>
      </c>
      <c r="K112" t="s">
        <v>355</v>
      </c>
      <c r="L112" t="str">
        <f>IFERROR(VLOOKUP(Tab_Naturezas_2[[#This Row],[Conta 4]],D_PlanoFinanceiro[Conta 4 (Atual],1,FALSE),"#CLASSIFICAR")</f>
        <v>Menor Aprendiz / Estagiário</v>
      </c>
    </row>
    <row r="113" spans="1:12" hidden="1" x14ac:dyDescent="0.25">
      <c r="A113" t="s">
        <v>163</v>
      </c>
      <c r="B113" t="s">
        <v>163</v>
      </c>
      <c r="C113" t="s">
        <v>163</v>
      </c>
      <c r="D113" t="s">
        <v>46</v>
      </c>
      <c r="E113" t="s">
        <v>502</v>
      </c>
      <c r="F113" t="s">
        <v>572</v>
      </c>
      <c r="G113" t="s">
        <v>573</v>
      </c>
      <c r="H113" t="s">
        <v>602</v>
      </c>
      <c r="I113" t="s">
        <v>399</v>
      </c>
      <c r="J113" t="s">
        <v>175</v>
      </c>
      <c r="K113" t="s">
        <v>355</v>
      </c>
      <c r="L113" t="str">
        <f>IFERROR(VLOOKUP(Tab_Naturezas_2[[#This Row],[Conta 4]],D_PlanoFinanceiro[Conta 4 (Atual],1,FALSE),"#CLASSIFICAR")</f>
        <v>Despesas Médicas</v>
      </c>
    </row>
    <row r="114" spans="1:12" hidden="1" x14ac:dyDescent="0.25">
      <c r="A114" t="s">
        <v>163</v>
      </c>
      <c r="B114" t="s">
        <v>163</v>
      </c>
      <c r="C114" t="s">
        <v>163</v>
      </c>
      <c r="D114" t="s">
        <v>161</v>
      </c>
      <c r="E114" t="s">
        <v>502</v>
      </c>
      <c r="F114" t="s">
        <v>572</v>
      </c>
      <c r="G114" t="s">
        <v>573</v>
      </c>
      <c r="H114" t="s">
        <v>603</v>
      </c>
      <c r="I114" t="s">
        <v>399</v>
      </c>
      <c r="J114" t="s">
        <v>175</v>
      </c>
      <c r="K114" t="s">
        <v>355</v>
      </c>
      <c r="L114" t="str">
        <f>IFERROR(VLOOKUP(Tab_Naturezas_2[[#This Row],[Conta 4]],D_PlanoFinanceiro[Conta 4 (Atual],1,FALSE),"#CLASSIFICAR")</f>
        <v>Benefícios Bem-Estar e Saúde</v>
      </c>
    </row>
    <row r="115" spans="1:12" hidden="1" x14ac:dyDescent="0.25">
      <c r="A115" t="s">
        <v>163</v>
      </c>
      <c r="B115" t="s">
        <v>163</v>
      </c>
      <c r="C115" t="s">
        <v>163</v>
      </c>
      <c r="D115" t="s">
        <v>161</v>
      </c>
      <c r="E115" t="s">
        <v>502</v>
      </c>
      <c r="F115" t="s">
        <v>572</v>
      </c>
      <c r="G115" t="s">
        <v>573</v>
      </c>
      <c r="H115" t="s">
        <v>603</v>
      </c>
      <c r="I115" t="s">
        <v>399</v>
      </c>
      <c r="J115" t="s">
        <v>175</v>
      </c>
      <c r="K115" t="s">
        <v>355</v>
      </c>
      <c r="L115" t="str">
        <f>IFERROR(VLOOKUP(Tab_Naturezas_2[[#This Row],[Conta 4]],D_PlanoFinanceiro[Conta 4 (Atual],1,FALSE),"#CLASSIFICAR")</f>
        <v>Benefícios Bem-Estar e Saúde</v>
      </c>
    </row>
    <row r="116" spans="1:12" hidden="1" x14ac:dyDescent="0.25">
      <c r="A116" t="s">
        <v>163</v>
      </c>
      <c r="B116" t="s">
        <v>163</v>
      </c>
      <c r="C116" t="s">
        <v>163</v>
      </c>
      <c r="D116" t="s">
        <v>464</v>
      </c>
      <c r="E116" t="s">
        <v>502</v>
      </c>
      <c r="F116" t="s">
        <v>572</v>
      </c>
      <c r="G116" t="s">
        <v>573</v>
      </c>
      <c r="H116" t="s">
        <v>604</v>
      </c>
      <c r="I116" t="s">
        <v>399</v>
      </c>
      <c r="J116" t="s">
        <v>175</v>
      </c>
      <c r="K116" t="s">
        <v>355</v>
      </c>
      <c r="L116" t="str">
        <f>IFERROR(VLOOKUP(Tab_Naturezas_2[[#This Row],[Conta 4]],D_PlanoFinanceiro[Conta 4 (Atual],1,FALSE),"#CLASSIFICAR")</f>
        <v>Emprestimo Consignado</v>
      </c>
    </row>
    <row r="117" spans="1:12" hidden="1" x14ac:dyDescent="0.25">
      <c r="A117" t="s">
        <v>163</v>
      </c>
      <c r="B117" t="s">
        <v>163</v>
      </c>
      <c r="C117" t="s">
        <v>163</v>
      </c>
      <c r="D117" t="s">
        <v>105</v>
      </c>
      <c r="E117" t="s">
        <v>502</v>
      </c>
      <c r="F117" t="s">
        <v>572</v>
      </c>
      <c r="G117" t="s">
        <v>605</v>
      </c>
      <c r="H117" t="s">
        <v>606</v>
      </c>
      <c r="I117" t="s">
        <v>399</v>
      </c>
      <c r="J117" t="s">
        <v>175</v>
      </c>
      <c r="K117" t="s">
        <v>335</v>
      </c>
      <c r="L117" t="str">
        <f>IFERROR(VLOOKUP(Tab_Naturezas_2[[#This Row],[Conta 4]],D_PlanoFinanceiro[Conta 4 (Atual],1,FALSE),"#CLASSIFICAR")</f>
        <v>Manutencao de Software</v>
      </c>
    </row>
    <row r="118" spans="1:12" hidden="1" x14ac:dyDescent="0.25">
      <c r="A118" t="s">
        <v>163</v>
      </c>
      <c r="B118" t="s">
        <v>163</v>
      </c>
      <c r="C118" t="s">
        <v>163</v>
      </c>
      <c r="D118" t="s">
        <v>93</v>
      </c>
      <c r="E118" t="s">
        <v>502</v>
      </c>
      <c r="F118" t="s">
        <v>572</v>
      </c>
      <c r="G118" t="s">
        <v>605</v>
      </c>
      <c r="H118" t="s">
        <v>607</v>
      </c>
      <c r="I118" t="s">
        <v>399</v>
      </c>
      <c r="J118" t="s">
        <v>175</v>
      </c>
      <c r="K118" t="s">
        <v>335</v>
      </c>
      <c r="L118" t="str">
        <f>IFERROR(VLOOKUP(Tab_Naturezas_2[[#This Row],[Conta 4]],D_PlanoFinanceiro[Conta 4 (Atual],1,FALSE),"#CLASSIFICAR")</f>
        <v>IRF de Terceiros</v>
      </c>
    </row>
    <row r="119" spans="1:12" hidden="1" x14ac:dyDescent="0.25">
      <c r="A119" t="s">
        <v>163</v>
      </c>
      <c r="B119" t="s">
        <v>163</v>
      </c>
      <c r="C119" t="s">
        <v>163</v>
      </c>
      <c r="D119" t="s">
        <v>394</v>
      </c>
      <c r="E119" t="s">
        <v>502</v>
      </c>
      <c r="F119" t="s">
        <v>572</v>
      </c>
      <c r="G119" t="s">
        <v>605</v>
      </c>
      <c r="H119" t="s">
        <v>608</v>
      </c>
      <c r="I119" t="s">
        <v>399</v>
      </c>
      <c r="J119" t="s">
        <v>175</v>
      </c>
      <c r="K119" t="s">
        <v>335</v>
      </c>
      <c r="L119" t="str">
        <f>IFERROR(VLOOKUP(Tab_Naturezas_2[[#This Row],[Conta 4]],D_PlanoFinanceiro[Conta 4 (Atual],1,FALSE),"#CLASSIFICAR")</f>
        <v>CSL/PIS/COFINS de terceiros</v>
      </c>
    </row>
    <row r="120" spans="1:12" hidden="1" x14ac:dyDescent="0.25">
      <c r="A120" t="s">
        <v>163</v>
      </c>
      <c r="B120" t="s">
        <v>163</v>
      </c>
      <c r="C120" t="s">
        <v>163</v>
      </c>
      <c r="D120" t="s">
        <v>124</v>
      </c>
      <c r="E120" t="s">
        <v>502</v>
      </c>
      <c r="F120" t="s">
        <v>572</v>
      </c>
      <c r="G120" t="s">
        <v>605</v>
      </c>
      <c r="H120" t="s">
        <v>609</v>
      </c>
      <c r="I120" t="s">
        <v>399</v>
      </c>
      <c r="J120" t="s">
        <v>175</v>
      </c>
      <c r="K120" t="s">
        <v>335</v>
      </c>
      <c r="L120" t="str">
        <f>IFERROR(VLOOKUP(Tab_Naturezas_2[[#This Row],[Conta 4]],D_PlanoFinanceiro[Conta 4 (Atual],1,FALSE),"#CLASSIFICAR")</f>
        <v>INSS de Terceiros</v>
      </c>
    </row>
    <row r="121" spans="1:12" hidden="1" x14ac:dyDescent="0.25">
      <c r="A121" t="s">
        <v>163</v>
      </c>
      <c r="B121" t="s">
        <v>163</v>
      </c>
      <c r="C121" t="s">
        <v>163</v>
      </c>
      <c r="D121" t="s">
        <v>75</v>
      </c>
      <c r="E121" t="s">
        <v>502</v>
      </c>
      <c r="F121" t="s">
        <v>572</v>
      </c>
      <c r="G121" t="s">
        <v>605</v>
      </c>
      <c r="H121" t="s">
        <v>610</v>
      </c>
      <c r="I121" t="s">
        <v>399</v>
      </c>
      <c r="J121" t="s">
        <v>175</v>
      </c>
      <c r="K121" t="s">
        <v>335</v>
      </c>
      <c r="L121" t="str">
        <f>IFERROR(VLOOKUP(Tab_Naturezas_2[[#This Row],[Conta 4]],D_PlanoFinanceiro[Conta 4 (Atual],1,FALSE),"#CLASSIFICAR")</f>
        <v>ISS de Terceiros</v>
      </c>
    </row>
    <row r="122" spans="1:12" hidden="1" x14ac:dyDescent="0.25">
      <c r="A122" t="s">
        <v>163</v>
      </c>
      <c r="B122" t="s">
        <v>163</v>
      </c>
      <c r="C122" t="s">
        <v>163</v>
      </c>
      <c r="D122" t="s">
        <v>6</v>
      </c>
      <c r="E122" t="s">
        <v>502</v>
      </c>
      <c r="F122" t="s">
        <v>572</v>
      </c>
      <c r="G122" t="s">
        <v>605</v>
      </c>
      <c r="H122" t="s">
        <v>611</v>
      </c>
      <c r="I122" t="s">
        <v>399</v>
      </c>
      <c r="J122" t="s">
        <v>175</v>
      </c>
      <c r="K122" t="s">
        <v>335</v>
      </c>
      <c r="L122" t="str">
        <f>IFERROR(VLOOKUP(Tab_Naturezas_2[[#This Row],[Conta 4]],D_PlanoFinanceiro[Conta 4 (Atual],1,FALSE),"#CLASSIFICAR")</f>
        <v>Adiantamento a Fornecedor</v>
      </c>
    </row>
    <row r="123" spans="1:12" hidden="1" x14ac:dyDescent="0.25">
      <c r="A123" t="s">
        <v>163</v>
      </c>
      <c r="B123" t="s">
        <v>163</v>
      </c>
      <c r="C123" t="s">
        <v>163</v>
      </c>
      <c r="D123" t="s">
        <v>45</v>
      </c>
      <c r="E123" t="s">
        <v>502</v>
      </c>
      <c r="F123" t="s">
        <v>572</v>
      </c>
      <c r="G123" t="s">
        <v>605</v>
      </c>
      <c r="H123" t="s">
        <v>612</v>
      </c>
      <c r="I123" t="s">
        <v>399</v>
      </c>
      <c r="J123" t="s">
        <v>175</v>
      </c>
      <c r="K123" t="s">
        <v>335</v>
      </c>
      <c r="L123" t="str">
        <f>IFERROR(VLOOKUP(Tab_Naturezas_2[[#This Row],[Conta 4]],D_PlanoFinanceiro[Conta 4 (Atual],1,FALSE),"#CLASSIFICAR")</f>
        <v>Servicos de Terceiros</v>
      </c>
    </row>
    <row r="124" spans="1:12" hidden="1" x14ac:dyDescent="0.25">
      <c r="A124" t="s">
        <v>163</v>
      </c>
      <c r="B124" t="s">
        <v>163</v>
      </c>
      <c r="C124" t="s">
        <v>163</v>
      </c>
      <c r="D124" t="s">
        <v>336</v>
      </c>
      <c r="E124" t="s">
        <v>502</v>
      </c>
      <c r="F124" t="s">
        <v>572</v>
      </c>
      <c r="G124" t="s">
        <v>605</v>
      </c>
      <c r="H124" t="s">
        <v>613</v>
      </c>
      <c r="I124" t="s">
        <v>399</v>
      </c>
      <c r="J124" t="s">
        <v>175</v>
      </c>
      <c r="K124" t="s">
        <v>335</v>
      </c>
      <c r="L124" t="str">
        <f>IFERROR(VLOOKUP(Tab_Naturezas_2[[#This Row],[Conta 4]],D_PlanoFinanceiro[Conta 4 (Atual],1,FALSE),"#CLASSIFICAR")</f>
        <v>Auditorias</v>
      </c>
    </row>
    <row r="125" spans="1:12" hidden="1" x14ac:dyDescent="0.25">
      <c r="A125" t="s">
        <v>163</v>
      </c>
      <c r="B125" t="s">
        <v>163</v>
      </c>
      <c r="C125" t="s">
        <v>163</v>
      </c>
      <c r="D125" t="s">
        <v>60</v>
      </c>
      <c r="E125" t="s">
        <v>502</v>
      </c>
      <c r="F125" t="s">
        <v>572</v>
      </c>
      <c r="G125" t="s">
        <v>605</v>
      </c>
      <c r="H125" t="s">
        <v>614</v>
      </c>
      <c r="I125" t="s">
        <v>399</v>
      </c>
      <c r="J125" t="s">
        <v>175</v>
      </c>
      <c r="K125" t="s">
        <v>335</v>
      </c>
      <c r="L125" t="str">
        <f>IFERROR(VLOOKUP(Tab_Naturezas_2[[#This Row],[Conta 4]],D_PlanoFinanceiro[Conta 4 (Atual],1,FALSE),"#CLASSIFICAR")</f>
        <v>Advogados</v>
      </c>
    </row>
    <row r="126" spans="1:12" hidden="1" x14ac:dyDescent="0.25">
      <c r="A126" t="s">
        <v>163</v>
      </c>
      <c r="B126" t="s">
        <v>163</v>
      </c>
      <c r="C126" t="s">
        <v>163</v>
      </c>
      <c r="D126" t="s">
        <v>42</v>
      </c>
      <c r="E126" t="s">
        <v>502</v>
      </c>
      <c r="F126" t="s">
        <v>572</v>
      </c>
      <c r="G126" t="s">
        <v>605</v>
      </c>
      <c r="H126" t="s">
        <v>615</v>
      </c>
      <c r="I126" t="s">
        <v>399</v>
      </c>
      <c r="J126" t="s">
        <v>175</v>
      </c>
      <c r="K126" t="s">
        <v>335</v>
      </c>
      <c r="L126" t="str">
        <f>IFERROR(VLOOKUP(Tab_Naturezas_2[[#This Row],[Conta 4]],D_PlanoFinanceiro[Conta 4 (Atual],1,FALSE),"#CLASSIFICAR")</f>
        <v>Assessoria e Consultoria</v>
      </c>
    </row>
    <row r="127" spans="1:12" hidden="1" x14ac:dyDescent="0.25">
      <c r="A127" t="s">
        <v>163</v>
      </c>
      <c r="B127" t="s">
        <v>163</v>
      </c>
      <c r="C127" t="s">
        <v>163</v>
      </c>
      <c r="D127" t="s">
        <v>69</v>
      </c>
      <c r="E127" t="s">
        <v>502</v>
      </c>
      <c r="F127" t="s">
        <v>572</v>
      </c>
      <c r="G127" t="s">
        <v>605</v>
      </c>
      <c r="H127" t="s">
        <v>616</v>
      </c>
      <c r="I127" t="s">
        <v>399</v>
      </c>
      <c r="J127" t="s">
        <v>175</v>
      </c>
      <c r="K127" t="s">
        <v>335</v>
      </c>
      <c r="L127" t="str">
        <f>IFERROR(VLOOKUP(Tab_Naturezas_2[[#This Row],[Conta 4]],D_PlanoFinanceiro[Conta 4 (Atual],1,FALSE),"#CLASSIFICAR")</f>
        <v>Motoboy</v>
      </c>
    </row>
    <row r="128" spans="1:12" hidden="1" x14ac:dyDescent="0.25">
      <c r="A128" t="s">
        <v>163</v>
      </c>
      <c r="B128" t="s">
        <v>163</v>
      </c>
      <c r="C128" t="s">
        <v>163</v>
      </c>
      <c r="D128" t="s">
        <v>9</v>
      </c>
      <c r="E128" t="s">
        <v>502</v>
      </c>
      <c r="F128" t="s">
        <v>572</v>
      </c>
      <c r="G128" t="s">
        <v>605</v>
      </c>
      <c r="H128" t="s">
        <v>617</v>
      </c>
      <c r="I128" t="s">
        <v>399</v>
      </c>
      <c r="J128" t="s">
        <v>175</v>
      </c>
      <c r="K128" t="s">
        <v>335</v>
      </c>
      <c r="L128" t="str">
        <f>IFERROR(VLOOKUP(Tab_Naturezas_2[[#This Row],[Conta 4]],D_PlanoFinanceiro[Conta 4 (Atual],1,FALSE),"#CLASSIFICAR")</f>
        <v>Contador</v>
      </c>
    </row>
    <row r="129" spans="1:12" hidden="1" x14ac:dyDescent="0.25">
      <c r="A129" t="s">
        <v>163</v>
      </c>
      <c r="B129" t="s">
        <v>163</v>
      </c>
      <c r="C129" t="s">
        <v>163</v>
      </c>
      <c r="D129" t="s">
        <v>82</v>
      </c>
      <c r="E129" t="s">
        <v>502</v>
      </c>
      <c r="F129" t="s">
        <v>572</v>
      </c>
      <c r="G129" t="s">
        <v>605</v>
      </c>
      <c r="H129" t="s">
        <v>618</v>
      </c>
      <c r="I129" t="s">
        <v>399</v>
      </c>
      <c r="J129" t="s">
        <v>175</v>
      </c>
      <c r="K129" t="s">
        <v>335</v>
      </c>
      <c r="L129" t="str">
        <f>IFERROR(VLOOKUP(Tab_Naturezas_2[[#This Row],[Conta 4]],D_PlanoFinanceiro[Conta 4 (Atual],1,FALSE),"#CLASSIFICAR")</f>
        <v>limpeza e conservacao</v>
      </c>
    </row>
    <row r="130" spans="1:12" hidden="1" x14ac:dyDescent="0.25">
      <c r="A130" t="s">
        <v>163</v>
      </c>
      <c r="B130" t="s">
        <v>163</v>
      </c>
      <c r="C130" t="s">
        <v>163</v>
      </c>
      <c r="D130" t="s">
        <v>53</v>
      </c>
      <c r="E130" t="s">
        <v>502</v>
      </c>
      <c r="F130" t="s">
        <v>572</v>
      </c>
      <c r="G130" t="s">
        <v>605</v>
      </c>
      <c r="H130" t="s">
        <v>619</v>
      </c>
      <c r="I130" t="s">
        <v>399</v>
      </c>
      <c r="J130" t="s">
        <v>175</v>
      </c>
      <c r="K130" t="s">
        <v>335</v>
      </c>
      <c r="L130" t="str">
        <f>IFERROR(VLOOKUP(Tab_Naturezas_2[[#This Row],[Conta 4]],D_PlanoFinanceiro[Conta 4 (Atual],1,FALSE),"#CLASSIFICAR")</f>
        <v>Licença e Consseção de Software</v>
      </c>
    </row>
    <row r="131" spans="1:12" hidden="1" x14ac:dyDescent="0.25">
      <c r="A131" t="s">
        <v>163</v>
      </c>
      <c r="B131" t="s">
        <v>163</v>
      </c>
      <c r="C131" t="s">
        <v>163</v>
      </c>
      <c r="D131" t="s">
        <v>51</v>
      </c>
      <c r="E131" t="s">
        <v>502</v>
      </c>
      <c r="F131" t="s">
        <v>572</v>
      </c>
      <c r="G131" t="s">
        <v>605</v>
      </c>
      <c r="H131" t="s">
        <v>620</v>
      </c>
      <c r="I131" t="s">
        <v>399</v>
      </c>
      <c r="J131" t="s">
        <v>175</v>
      </c>
      <c r="K131" t="s">
        <v>335</v>
      </c>
      <c r="L131" t="str">
        <f>IFERROR(VLOOKUP(Tab_Naturezas_2[[#This Row],[Conta 4]],D_PlanoFinanceiro[Conta 4 (Atual],1,FALSE),"#CLASSIFICAR")</f>
        <v>Treinador Futebol</v>
      </c>
    </row>
    <row r="132" spans="1:12" hidden="1" x14ac:dyDescent="0.25">
      <c r="A132" t="s">
        <v>163</v>
      </c>
      <c r="B132" t="s">
        <v>163</v>
      </c>
      <c r="C132" t="s">
        <v>163</v>
      </c>
      <c r="D132" t="s">
        <v>39</v>
      </c>
      <c r="E132" t="s">
        <v>502</v>
      </c>
      <c r="F132" t="s">
        <v>572</v>
      </c>
      <c r="G132" t="s">
        <v>605</v>
      </c>
      <c r="H132" t="s">
        <v>621</v>
      </c>
      <c r="I132" t="s">
        <v>399</v>
      </c>
      <c r="J132" t="s">
        <v>175</v>
      </c>
      <c r="K132" t="s">
        <v>335</v>
      </c>
      <c r="L132" t="str">
        <f>IFERROR(VLOOKUP(Tab_Naturezas_2[[#This Row],[Conta 4]],D_PlanoFinanceiro[Conta 4 (Atual],1,FALSE),"#CLASSIFICAR")</f>
        <v>Assessoria de Imprensa</v>
      </c>
    </row>
    <row r="133" spans="1:12" hidden="1" x14ac:dyDescent="0.25">
      <c r="A133" t="s">
        <v>163</v>
      </c>
      <c r="B133" t="s">
        <v>163</v>
      </c>
      <c r="C133" t="s">
        <v>163</v>
      </c>
      <c r="D133" t="s">
        <v>38</v>
      </c>
      <c r="E133" t="s">
        <v>502</v>
      </c>
      <c r="F133" t="s">
        <v>572</v>
      </c>
      <c r="G133" t="s">
        <v>605</v>
      </c>
      <c r="H133" t="s">
        <v>622</v>
      </c>
      <c r="I133" t="s">
        <v>399</v>
      </c>
      <c r="J133" t="s">
        <v>175</v>
      </c>
      <c r="K133" t="s">
        <v>335</v>
      </c>
      <c r="L133" t="str">
        <f>IFERROR(VLOOKUP(Tab_Naturezas_2[[#This Row],[Conta 4]],D_PlanoFinanceiro[Conta 4 (Atual],1,FALSE),"#CLASSIFICAR")</f>
        <v>Coordenador Futebol</v>
      </c>
    </row>
    <row r="134" spans="1:12" hidden="1" x14ac:dyDescent="0.25">
      <c r="A134" t="s">
        <v>163</v>
      </c>
      <c r="B134" t="s">
        <v>163</v>
      </c>
      <c r="C134" t="s">
        <v>163</v>
      </c>
      <c r="D134" t="s">
        <v>148</v>
      </c>
      <c r="E134" t="s">
        <v>502</v>
      </c>
      <c r="F134" t="s">
        <v>572</v>
      </c>
      <c r="G134" t="s">
        <v>605</v>
      </c>
      <c r="H134" t="s">
        <v>623</v>
      </c>
      <c r="I134" t="s">
        <v>399</v>
      </c>
      <c r="J134" t="s">
        <v>175</v>
      </c>
      <c r="K134" t="s">
        <v>335</v>
      </c>
      <c r="L134" t="str">
        <f>IFERROR(VLOOKUP(Tab_Naturezas_2[[#This Row],[Conta 4]],D_PlanoFinanceiro[Conta 4 (Atual],1,FALSE),"#CLASSIFICAR")</f>
        <v>Dominio e Hospedagem</v>
      </c>
    </row>
    <row r="135" spans="1:12" hidden="1" x14ac:dyDescent="0.25">
      <c r="A135" t="s">
        <v>163</v>
      </c>
      <c r="B135" t="s">
        <v>163</v>
      </c>
      <c r="C135" t="s">
        <v>163</v>
      </c>
      <c r="D135" t="s">
        <v>97</v>
      </c>
      <c r="E135" t="s">
        <v>502</v>
      </c>
      <c r="F135" t="s">
        <v>572</v>
      </c>
      <c r="G135" t="s">
        <v>605</v>
      </c>
      <c r="H135" t="s">
        <v>624</v>
      </c>
      <c r="I135" t="s">
        <v>399</v>
      </c>
      <c r="J135" t="s">
        <v>175</v>
      </c>
      <c r="K135" t="s">
        <v>335</v>
      </c>
      <c r="L135" t="str">
        <f>IFERROR(VLOOKUP(Tab_Naturezas_2[[#This Row],[Conta 4]],D_PlanoFinanceiro[Conta 4 (Atual],1,FALSE),"#CLASSIFICAR")</f>
        <v>Preparador Físico</v>
      </c>
    </row>
    <row r="136" spans="1:12" hidden="1" x14ac:dyDescent="0.25">
      <c r="A136" t="s">
        <v>163</v>
      </c>
      <c r="B136" t="s">
        <v>163</v>
      </c>
      <c r="C136" t="s">
        <v>163</v>
      </c>
      <c r="D136" t="s">
        <v>95</v>
      </c>
      <c r="E136" t="s">
        <v>502</v>
      </c>
      <c r="F136" t="s">
        <v>572</v>
      </c>
      <c r="G136" t="s">
        <v>605</v>
      </c>
      <c r="H136" t="s">
        <v>625</v>
      </c>
      <c r="I136" t="s">
        <v>399</v>
      </c>
      <c r="J136" t="s">
        <v>175</v>
      </c>
      <c r="K136" t="s">
        <v>335</v>
      </c>
      <c r="L136" t="str">
        <f>IFERROR(VLOOKUP(Tab_Naturezas_2[[#This Row],[Conta 4]],D_PlanoFinanceiro[Conta 4 (Atual],1,FALSE),"#CLASSIFICAR")</f>
        <v>Treinador de Goleiro</v>
      </c>
    </row>
    <row r="137" spans="1:12" hidden="1" x14ac:dyDescent="0.25">
      <c r="A137" t="s">
        <v>163</v>
      </c>
      <c r="B137" t="s">
        <v>163</v>
      </c>
      <c r="C137" t="s">
        <v>163</v>
      </c>
      <c r="D137" t="s">
        <v>447</v>
      </c>
      <c r="E137" t="s">
        <v>502</v>
      </c>
      <c r="F137" t="s">
        <v>572</v>
      </c>
      <c r="G137" t="s">
        <v>605</v>
      </c>
      <c r="H137" t="s">
        <v>626</v>
      </c>
      <c r="I137" t="s">
        <v>399</v>
      </c>
      <c r="J137" t="s">
        <v>175</v>
      </c>
      <c r="K137" t="s">
        <v>335</v>
      </c>
      <c r="L137" t="str">
        <f>IFERROR(VLOOKUP(Tab_Naturezas_2[[#This Row],[Conta 4]],D_PlanoFinanceiro[Conta 4 (Atual],1,FALSE),"#CLASSIFICAR")</f>
        <v>Tecnico Futebol</v>
      </c>
    </row>
    <row r="138" spans="1:12" hidden="1" x14ac:dyDescent="0.25">
      <c r="A138" t="s">
        <v>163</v>
      </c>
      <c r="B138" t="s">
        <v>163</v>
      </c>
      <c r="C138" t="s">
        <v>163</v>
      </c>
      <c r="D138" t="s">
        <v>371</v>
      </c>
      <c r="E138" t="s">
        <v>502</v>
      </c>
      <c r="F138" t="s">
        <v>572</v>
      </c>
      <c r="G138" t="s">
        <v>605</v>
      </c>
      <c r="H138" t="s">
        <v>627</v>
      </c>
      <c r="I138" t="s">
        <v>399</v>
      </c>
      <c r="J138" t="s">
        <v>175</v>
      </c>
      <c r="K138" t="s">
        <v>335</v>
      </c>
      <c r="L138" t="str">
        <f>IFERROR(VLOOKUP(Tab_Naturezas_2[[#This Row],[Conta 4]],D_PlanoFinanceiro[Conta 4 (Atual],1,FALSE),"#CLASSIFICAR")</f>
        <v>Supervisor Técnico</v>
      </c>
    </row>
    <row r="139" spans="1:12" hidden="1" x14ac:dyDescent="0.25">
      <c r="A139" t="s">
        <v>163</v>
      </c>
      <c r="B139" t="s">
        <v>163</v>
      </c>
      <c r="C139" t="s">
        <v>163</v>
      </c>
      <c r="D139" t="s">
        <v>156</v>
      </c>
      <c r="E139" t="s">
        <v>502</v>
      </c>
      <c r="F139" t="s">
        <v>572</v>
      </c>
      <c r="G139" t="s">
        <v>605</v>
      </c>
      <c r="H139" t="s">
        <v>628</v>
      </c>
      <c r="I139" t="s">
        <v>399</v>
      </c>
      <c r="J139" t="s">
        <v>175</v>
      </c>
      <c r="K139" t="s">
        <v>335</v>
      </c>
      <c r="L139" t="str">
        <f>IFERROR(VLOOKUP(Tab_Naturezas_2[[#This Row],[Conta 4]],D_PlanoFinanceiro[Conta 4 (Atual],1,FALSE),"#CLASSIFICAR")</f>
        <v>Captador de Atleta</v>
      </c>
    </row>
    <row r="140" spans="1:12" hidden="1" x14ac:dyDescent="0.25">
      <c r="A140" t="s">
        <v>163</v>
      </c>
      <c r="B140" t="s">
        <v>163</v>
      </c>
      <c r="C140" t="s">
        <v>163</v>
      </c>
      <c r="D140" t="s">
        <v>450</v>
      </c>
      <c r="E140" t="s">
        <v>502</v>
      </c>
      <c r="F140" t="s">
        <v>572</v>
      </c>
      <c r="G140" t="s">
        <v>605</v>
      </c>
      <c r="H140" t="s">
        <v>629</v>
      </c>
      <c r="I140" t="s">
        <v>399</v>
      </c>
      <c r="J140" t="s">
        <v>175</v>
      </c>
      <c r="K140" t="s">
        <v>335</v>
      </c>
      <c r="L140" t="str">
        <f>IFERROR(VLOOKUP(Tab_Naturezas_2[[#This Row],[Conta 4]],D_PlanoFinanceiro[Conta 4 (Atual],1,FALSE),"#CLASSIFICAR")</f>
        <v>Conselho Consultivo</v>
      </c>
    </row>
    <row r="141" spans="1:12" hidden="1" x14ac:dyDescent="0.25">
      <c r="A141" t="s">
        <v>163</v>
      </c>
      <c r="B141" t="s">
        <v>163</v>
      </c>
      <c r="C141" t="s">
        <v>163</v>
      </c>
      <c r="D141" t="s">
        <v>123</v>
      </c>
      <c r="E141" t="s">
        <v>502</v>
      </c>
      <c r="F141" t="s">
        <v>572</v>
      </c>
      <c r="G141" t="s">
        <v>605</v>
      </c>
      <c r="H141" t="s">
        <v>630</v>
      </c>
      <c r="I141" t="s">
        <v>399</v>
      </c>
      <c r="J141" t="s">
        <v>175</v>
      </c>
      <c r="K141" t="s">
        <v>335</v>
      </c>
      <c r="L141" t="str">
        <f>IFERROR(VLOOKUP(Tab_Naturezas_2[[#This Row],[Conta 4]],D_PlanoFinanceiro[Conta 4 (Atual],1,FALSE),"#CLASSIFICAR")</f>
        <v>Nutricionista</v>
      </c>
    </row>
    <row r="142" spans="1:12" hidden="1" x14ac:dyDescent="0.25">
      <c r="A142" t="s">
        <v>163</v>
      </c>
      <c r="B142" t="s">
        <v>163</v>
      </c>
      <c r="C142" t="s">
        <v>163</v>
      </c>
      <c r="D142" t="s">
        <v>123</v>
      </c>
      <c r="E142" t="s">
        <v>502</v>
      </c>
      <c r="F142" t="s">
        <v>572</v>
      </c>
      <c r="G142" t="s">
        <v>605</v>
      </c>
      <c r="H142" t="s">
        <v>630</v>
      </c>
      <c r="I142" t="s">
        <v>399</v>
      </c>
      <c r="J142" t="s">
        <v>175</v>
      </c>
      <c r="K142" t="s">
        <v>335</v>
      </c>
      <c r="L142" t="str">
        <f>IFERROR(VLOOKUP(Tab_Naturezas_2[[#This Row],[Conta 4]],D_PlanoFinanceiro[Conta 4 (Atual],1,FALSE),"#CLASSIFICAR")</f>
        <v>Nutricionista</v>
      </c>
    </row>
    <row r="143" spans="1:12" hidden="1" x14ac:dyDescent="0.25">
      <c r="A143" t="s">
        <v>163</v>
      </c>
      <c r="B143" t="s">
        <v>163</v>
      </c>
      <c r="C143" t="s">
        <v>163</v>
      </c>
      <c r="D143" t="s">
        <v>25</v>
      </c>
      <c r="E143" t="s">
        <v>502</v>
      </c>
      <c r="F143" t="s">
        <v>572</v>
      </c>
      <c r="G143" t="s">
        <v>631</v>
      </c>
      <c r="H143" t="s">
        <v>632</v>
      </c>
      <c r="I143" t="s">
        <v>399</v>
      </c>
      <c r="J143" t="s">
        <v>175</v>
      </c>
      <c r="K143" t="s">
        <v>395</v>
      </c>
      <c r="L143" t="str">
        <f>IFERROR(VLOOKUP(Tab_Naturezas_2[[#This Row],[Conta 4]],D_PlanoFinanceiro[Conta 4 (Atual],1,FALSE),"#CLASSIFICAR")</f>
        <v>Aluguel</v>
      </c>
    </row>
    <row r="144" spans="1:12" hidden="1" x14ac:dyDescent="0.25">
      <c r="A144" t="s">
        <v>163</v>
      </c>
      <c r="B144" t="s">
        <v>163</v>
      </c>
      <c r="C144" t="s">
        <v>163</v>
      </c>
      <c r="D144" t="s">
        <v>81</v>
      </c>
      <c r="E144" t="s">
        <v>502</v>
      </c>
      <c r="F144" t="s">
        <v>572</v>
      </c>
      <c r="G144" t="s">
        <v>631</v>
      </c>
      <c r="H144" t="s">
        <v>633</v>
      </c>
      <c r="I144" t="s">
        <v>399</v>
      </c>
      <c r="J144" t="s">
        <v>175</v>
      </c>
      <c r="K144" t="s">
        <v>395</v>
      </c>
      <c r="L144" t="str">
        <f>IFERROR(VLOOKUP(Tab_Naturezas_2[[#This Row],[Conta 4]],D_PlanoFinanceiro[Conta 4 (Atual],1,FALSE),"#CLASSIFICAR")</f>
        <v>Condominio</v>
      </c>
    </row>
    <row r="145" spans="1:12" hidden="1" x14ac:dyDescent="0.25">
      <c r="A145" t="s">
        <v>163</v>
      </c>
      <c r="B145" t="s">
        <v>163</v>
      </c>
      <c r="C145" t="s">
        <v>163</v>
      </c>
      <c r="D145" t="s">
        <v>54</v>
      </c>
      <c r="E145" t="s">
        <v>502</v>
      </c>
      <c r="F145" t="s">
        <v>572</v>
      </c>
      <c r="G145" t="s">
        <v>631</v>
      </c>
      <c r="H145" t="s">
        <v>634</v>
      </c>
      <c r="I145" t="s">
        <v>399</v>
      </c>
      <c r="J145" t="s">
        <v>175</v>
      </c>
      <c r="K145" t="s">
        <v>395</v>
      </c>
      <c r="L145" t="str">
        <f>IFERROR(VLOOKUP(Tab_Naturezas_2[[#This Row],[Conta 4]],D_PlanoFinanceiro[Conta 4 (Atual],1,FALSE),"#CLASSIFICAR")</f>
        <v>Telefonia Movel</v>
      </c>
    </row>
    <row r="146" spans="1:12" hidden="1" x14ac:dyDescent="0.25">
      <c r="A146" t="s">
        <v>163</v>
      </c>
      <c r="B146" t="s">
        <v>163</v>
      </c>
      <c r="C146" t="s">
        <v>163</v>
      </c>
      <c r="D146" t="s">
        <v>120</v>
      </c>
      <c r="E146" t="s">
        <v>502</v>
      </c>
      <c r="F146" t="s">
        <v>572</v>
      </c>
      <c r="G146" t="s">
        <v>631</v>
      </c>
      <c r="H146" t="s">
        <v>635</v>
      </c>
      <c r="I146" t="s">
        <v>399</v>
      </c>
      <c r="J146" t="s">
        <v>175</v>
      </c>
      <c r="K146" t="s">
        <v>395</v>
      </c>
      <c r="L146" t="str">
        <f>IFERROR(VLOOKUP(Tab_Naturezas_2[[#This Row],[Conta 4]],D_PlanoFinanceiro[Conta 4 (Atual],1,FALSE),"#CLASSIFICAR")</f>
        <v>Telefonia Fixa</v>
      </c>
    </row>
    <row r="147" spans="1:12" hidden="1" x14ac:dyDescent="0.25">
      <c r="A147" t="s">
        <v>163</v>
      </c>
      <c r="B147" t="s">
        <v>163</v>
      </c>
      <c r="C147" t="s">
        <v>163</v>
      </c>
      <c r="D147" t="s">
        <v>80</v>
      </c>
      <c r="E147" t="s">
        <v>502</v>
      </c>
      <c r="F147" t="s">
        <v>572</v>
      </c>
      <c r="G147" t="s">
        <v>631</v>
      </c>
      <c r="H147" t="s">
        <v>636</v>
      </c>
      <c r="I147" t="s">
        <v>399</v>
      </c>
      <c r="J147" t="s">
        <v>175</v>
      </c>
      <c r="K147" t="s">
        <v>395</v>
      </c>
      <c r="L147" t="str">
        <f>IFERROR(VLOOKUP(Tab_Naturezas_2[[#This Row],[Conta 4]],D_PlanoFinanceiro[Conta 4 (Atual],1,FALSE),"#CLASSIFICAR")</f>
        <v>Energia do Imovel</v>
      </c>
    </row>
    <row r="148" spans="1:12" hidden="1" x14ac:dyDescent="0.25">
      <c r="A148" t="s">
        <v>163</v>
      </c>
      <c r="B148" t="s">
        <v>163</v>
      </c>
      <c r="C148" t="s">
        <v>163</v>
      </c>
      <c r="D148" t="s">
        <v>21</v>
      </c>
      <c r="E148" t="s">
        <v>502</v>
      </c>
      <c r="F148" t="s">
        <v>572</v>
      </c>
      <c r="G148" t="s">
        <v>631</v>
      </c>
      <c r="H148" t="s">
        <v>637</v>
      </c>
      <c r="I148" t="s">
        <v>399</v>
      </c>
      <c r="J148" t="s">
        <v>175</v>
      </c>
      <c r="K148" t="s">
        <v>395</v>
      </c>
      <c r="L148" t="str">
        <f>IFERROR(VLOOKUP(Tab_Naturezas_2[[#This Row],[Conta 4]],D_PlanoFinanceiro[Conta 4 (Atual],1,FALSE),"#CLASSIFICAR")</f>
        <v>Agua e Esgoto</v>
      </c>
    </row>
    <row r="149" spans="1:12" hidden="1" x14ac:dyDescent="0.25">
      <c r="A149" t="s">
        <v>163</v>
      </c>
      <c r="B149" t="s">
        <v>163</v>
      </c>
      <c r="C149" t="s">
        <v>163</v>
      </c>
      <c r="D149" t="s">
        <v>65</v>
      </c>
      <c r="E149" t="s">
        <v>502</v>
      </c>
      <c r="F149" t="s">
        <v>572</v>
      </c>
      <c r="G149" t="s">
        <v>631</v>
      </c>
      <c r="H149" t="s">
        <v>638</v>
      </c>
      <c r="I149" t="s">
        <v>399</v>
      </c>
      <c r="J149" t="s">
        <v>175</v>
      </c>
      <c r="K149" t="s">
        <v>395</v>
      </c>
      <c r="L149" t="str">
        <f>IFERROR(VLOOKUP(Tab_Naturezas_2[[#This Row],[Conta 4]],D_PlanoFinanceiro[Conta 4 (Atual],1,FALSE),"#CLASSIFICAR")</f>
        <v>Internet</v>
      </c>
    </row>
    <row r="150" spans="1:12" hidden="1" x14ac:dyDescent="0.25">
      <c r="A150" t="s">
        <v>163</v>
      </c>
      <c r="B150" t="s">
        <v>163</v>
      </c>
      <c r="C150" t="s">
        <v>163</v>
      </c>
      <c r="D150" t="s">
        <v>157</v>
      </c>
      <c r="E150" t="s">
        <v>502</v>
      </c>
      <c r="F150" t="s">
        <v>572</v>
      </c>
      <c r="G150" t="s">
        <v>631</v>
      </c>
      <c r="H150" t="s">
        <v>639</v>
      </c>
      <c r="I150" t="s">
        <v>399</v>
      </c>
      <c r="J150" t="s">
        <v>175</v>
      </c>
      <c r="K150" t="s">
        <v>395</v>
      </c>
      <c r="L150" t="str">
        <f>IFERROR(VLOOKUP(Tab_Naturezas_2[[#This Row],[Conta 4]],D_PlanoFinanceiro[Conta 4 (Atual],1,FALSE),"#CLASSIFICAR")</f>
        <v>Segurança/Monitoramento</v>
      </c>
    </row>
    <row r="151" spans="1:12" hidden="1" x14ac:dyDescent="0.25">
      <c r="A151" t="s">
        <v>163</v>
      </c>
      <c r="B151" t="s">
        <v>163</v>
      </c>
      <c r="C151" t="s">
        <v>163</v>
      </c>
      <c r="D151" t="s">
        <v>122</v>
      </c>
      <c r="E151" t="s">
        <v>502</v>
      </c>
      <c r="F151" t="s">
        <v>572</v>
      </c>
      <c r="G151" t="s">
        <v>631</v>
      </c>
      <c r="H151" t="s">
        <v>640</v>
      </c>
      <c r="I151" t="s">
        <v>399</v>
      </c>
      <c r="J151" t="s">
        <v>175</v>
      </c>
      <c r="K151" t="s">
        <v>395</v>
      </c>
      <c r="L151" t="str">
        <f>IFERROR(VLOOKUP(Tab_Naturezas_2[[#This Row],[Conta 4]],D_PlanoFinanceiro[Conta 4 (Atual],1,FALSE),"#CLASSIFICAR")</f>
        <v>Licenças/ Alvarás - Ocupação</v>
      </c>
    </row>
    <row r="152" spans="1:12" hidden="1" x14ac:dyDescent="0.25">
      <c r="A152" t="s">
        <v>163</v>
      </c>
      <c r="B152" t="s">
        <v>163</v>
      </c>
      <c r="C152" t="s">
        <v>163</v>
      </c>
      <c r="D152" t="s">
        <v>137</v>
      </c>
      <c r="E152" t="s">
        <v>502</v>
      </c>
      <c r="F152" t="s">
        <v>572</v>
      </c>
      <c r="G152" t="s">
        <v>631</v>
      </c>
      <c r="H152" t="s">
        <v>641</v>
      </c>
      <c r="I152" t="s">
        <v>399</v>
      </c>
      <c r="J152" t="s">
        <v>175</v>
      </c>
      <c r="K152" t="s">
        <v>395</v>
      </c>
      <c r="L152" t="str">
        <f>IFERROR(VLOOKUP(Tab_Naturezas_2[[#This Row],[Conta 4]],D_PlanoFinanceiro[Conta 4 (Atual],1,FALSE),"#CLASSIFICAR")</f>
        <v>Seguro do Imovel</v>
      </c>
    </row>
    <row r="153" spans="1:12" hidden="1" x14ac:dyDescent="0.25">
      <c r="A153" t="s">
        <v>163</v>
      </c>
      <c r="B153" t="s">
        <v>163</v>
      </c>
      <c r="C153" t="s">
        <v>163</v>
      </c>
      <c r="D153" t="s">
        <v>140</v>
      </c>
      <c r="E153" t="s">
        <v>502</v>
      </c>
      <c r="F153" t="s">
        <v>572</v>
      </c>
      <c r="G153" t="s">
        <v>631</v>
      </c>
      <c r="H153" t="s">
        <v>642</v>
      </c>
      <c r="I153" t="s">
        <v>399</v>
      </c>
      <c r="J153" t="s">
        <v>175</v>
      </c>
      <c r="K153" t="s">
        <v>395</v>
      </c>
      <c r="L153" t="str">
        <f>IFERROR(VLOOKUP(Tab_Naturezas_2[[#This Row],[Conta 4]],D_PlanoFinanceiro[Conta 4 (Atual],1,FALSE),"#CLASSIFICAR")</f>
        <v>IPTU</v>
      </c>
    </row>
    <row r="154" spans="1:12" hidden="1" x14ac:dyDescent="0.25">
      <c r="A154" t="s">
        <v>163</v>
      </c>
      <c r="B154" t="s">
        <v>163</v>
      </c>
      <c r="C154" t="s">
        <v>163</v>
      </c>
      <c r="D154" t="s">
        <v>106</v>
      </c>
      <c r="E154" t="s">
        <v>502</v>
      </c>
      <c r="F154" t="s">
        <v>572</v>
      </c>
      <c r="G154" t="s">
        <v>631</v>
      </c>
      <c r="H154" t="s">
        <v>643</v>
      </c>
      <c r="I154" t="s">
        <v>399</v>
      </c>
      <c r="J154" t="s">
        <v>175</v>
      </c>
      <c r="K154" t="s">
        <v>395</v>
      </c>
      <c r="L154" t="str">
        <f>IFERROR(VLOOKUP(Tab_Naturezas_2[[#This Row],[Conta 4]],D_PlanoFinanceiro[Conta 4 (Atual],1,FALSE),"#CLASSIFICAR")</f>
        <v>TV por Assinatura</v>
      </c>
    </row>
    <row r="155" spans="1:12" hidden="1" x14ac:dyDescent="0.25">
      <c r="A155" t="s">
        <v>163</v>
      </c>
      <c r="B155" t="s">
        <v>163</v>
      </c>
      <c r="C155" t="s">
        <v>163</v>
      </c>
      <c r="D155" t="s">
        <v>55</v>
      </c>
      <c r="E155" t="s">
        <v>502</v>
      </c>
      <c r="F155" t="s">
        <v>572</v>
      </c>
      <c r="G155" t="s">
        <v>631</v>
      </c>
      <c r="H155" t="s">
        <v>644</v>
      </c>
      <c r="I155" t="s">
        <v>399</v>
      </c>
      <c r="J155" t="s">
        <v>175</v>
      </c>
      <c r="K155" t="s">
        <v>395</v>
      </c>
      <c r="L155" t="str">
        <f>IFERROR(VLOOKUP(Tab_Naturezas_2[[#This Row],[Conta 4]],D_PlanoFinanceiro[Conta 4 (Atual],1,FALSE),"#CLASSIFICAR")</f>
        <v>Monitoramento e Vigilancia</v>
      </c>
    </row>
    <row r="156" spans="1:12" hidden="1" x14ac:dyDescent="0.25">
      <c r="A156" t="s">
        <v>163</v>
      </c>
      <c r="B156" t="s">
        <v>163</v>
      </c>
      <c r="C156" t="s">
        <v>163</v>
      </c>
      <c r="D156" t="s">
        <v>78</v>
      </c>
      <c r="E156" t="s">
        <v>502</v>
      </c>
      <c r="F156" t="s">
        <v>572</v>
      </c>
      <c r="G156" t="s">
        <v>645</v>
      </c>
      <c r="H156" t="s">
        <v>646</v>
      </c>
      <c r="I156" t="s">
        <v>399</v>
      </c>
      <c r="J156" t="s">
        <v>175</v>
      </c>
      <c r="K156" t="s">
        <v>407</v>
      </c>
      <c r="L156" t="str">
        <f>IFERROR(VLOOKUP(Tab_Naturezas_2[[#This Row],[Conta 4]],D_PlanoFinanceiro[Conta 4 (Atual],1,FALSE),"#CLASSIFICAR")</f>
        <v>Combustiveis/Lubrificantes</v>
      </c>
    </row>
    <row r="157" spans="1:12" hidden="1" x14ac:dyDescent="0.25">
      <c r="A157" t="s">
        <v>163</v>
      </c>
      <c r="B157" t="s">
        <v>163</v>
      </c>
      <c r="C157" t="s">
        <v>163</v>
      </c>
      <c r="D157" t="s">
        <v>44</v>
      </c>
      <c r="E157" t="s">
        <v>502</v>
      </c>
      <c r="F157" t="s">
        <v>572</v>
      </c>
      <c r="G157" t="s">
        <v>645</v>
      </c>
      <c r="H157" t="s">
        <v>647</v>
      </c>
      <c r="I157" t="s">
        <v>399</v>
      </c>
      <c r="J157" t="s">
        <v>175</v>
      </c>
      <c r="K157" t="s">
        <v>407</v>
      </c>
      <c r="L157" t="str">
        <f>IFERROR(VLOOKUP(Tab_Naturezas_2[[#This Row],[Conta 4]],D_PlanoFinanceiro[Conta 4 (Atual],1,FALSE),"#CLASSIFICAR")</f>
        <v>Manutencao de Veiculos</v>
      </c>
    </row>
    <row r="158" spans="1:12" hidden="1" x14ac:dyDescent="0.25">
      <c r="A158" t="s">
        <v>163</v>
      </c>
      <c r="B158" t="s">
        <v>163</v>
      </c>
      <c r="C158" t="s">
        <v>163</v>
      </c>
      <c r="D158" t="s">
        <v>134</v>
      </c>
      <c r="E158" t="s">
        <v>502</v>
      </c>
      <c r="F158" t="s">
        <v>572</v>
      </c>
      <c r="G158" t="s">
        <v>645</v>
      </c>
      <c r="H158" t="s">
        <v>648</v>
      </c>
      <c r="I158" t="s">
        <v>399</v>
      </c>
      <c r="J158" t="s">
        <v>175</v>
      </c>
      <c r="K158" t="s">
        <v>407</v>
      </c>
      <c r="L158" t="str">
        <f>IFERROR(VLOOKUP(Tab_Naturezas_2[[#This Row],[Conta 4]],D_PlanoFinanceiro[Conta 4 (Atual],1,FALSE),"#CLASSIFICAR")</f>
        <v>IPVA/Licenciamento/DPVAT/Infraero</v>
      </c>
    </row>
    <row r="159" spans="1:12" hidden="1" x14ac:dyDescent="0.25">
      <c r="A159" t="s">
        <v>163</v>
      </c>
      <c r="B159" t="s">
        <v>163</v>
      </c>
      <c r="C159" t="s">
        <v>163</v>
      </c>
      <c r="D159" t="s">
        <v>146</v>
      </c>
      <c r="E159" t="s">
        <v>502</v>
      </c>
      <c r="F159" t="s">
        <v>572</v>
      </c>
      <c r="G159" t="s">
        <v>645</v>
      </c>
      <c r="H159" t="s">
        <v>649</v>
      </c>
      <c r="I159" t="s">
        <v>399</v>
      </c>
      <c r="J159" t="s">
        <v>175</v>
      </c>
      <c r="K159" t="s">
        <v>407</v>
      </c>
      <c r="L159" t="str">
        <f>IFERROR(VLOOKUP(Tab_Naturezas_2[[#This Row],[Conta 4]],D_PlanoFinanceiro[Conta 4 (Atual],1,FALSE),"#CLASSIFICAR")</f>
        <v>Multas de Transito</v>
      </c>
    </row>
    <row r="160" spans="1:12" hidden="1" x14ac:dyDescent="0.25">
      <c r="A160" t="s">
        <v>163</v>
      </c>
      <c r="B160" t="s">
        <v>163</v>
      </c>
      <c r="C160" t="s">
        <v>163</v>
      </c>
      <c r="D160" t="s">
        <v>115</v>
      </c>
      <c r="E160" t="s">
        <v>502</v>
      </c>
      <c r="F160" t="s">
        <v>572</v>
      </c>
      <c r="G160" t="s">
        <v>645</v>
      </c>
      <c r="H160" t="s">
        <v>650</v>
      </c>
      <c r="I160" t="s">
        <v>399</v>
      </c>
      <c r="J160" t="s">
        <v>175</v>
      </c>
      <c r="K160" t="s">
        <v>407</v>
      </c>
      <c r="L160" t="str">
        <f>IFERROR(VLOOKUP(Tab_Naturezas_2[[#This Row],[Conta 4]],D_PlanoFinanceiro[Conta 4 (Atual],1,FALSE),"#CLASSIFICAR")</f>
        <v>Seguros de Veiculos</v>
      </c>
    </row>
    <row r="161" spans="1:12" hidden="1" x14ac:dyDescent="0.25">
      <c r="A161" t="s">
        <v>163</v>
      </c>
      <c r="B161" t="s">
        <v>163</v>
      </c>
      <c r="C161" t="s">
        <v>163</v>
      </c>
      <c r="D161" t="s">
        <v>15</v>
      </c>
      <c r="E161" t="s">
        <v>502</v>
      </c>
      <c r="F161" t="s">
        <v>572</v>
      </c>
      <c r="G161" t="s">
        <v>645</v>
      </c>
      <c r="H161" t="s">
        <v>651</v>
      </c>
      <c r="I161" t="s">
        <v>399</v>
      </c>
      <c r="J161" t="s">
        <v>175</v>
      </c>
      <c r="K161" t="s">
        <v>407</v>
      </c>
      <c r="L161" t="str">
        <f>IFERROR(VLOOKUP(Tab_Naturezas_2[[#This Row],[Conta 4]],D_PlanoFinanceiro[Conta 4 (Atual],1,FALSE),"#CLASSIFICAR")</f>
        <v>Aluguel de Veiculos</v>
      </c>
    </row>
    <row r="162" spans="1:12" hidden="1" x14ac:dyDescent="0.25">
      <c r="A162" t="s">
        <v>163</v>
      </c>
      <c r="B162" t="s">
        <v>163</v>
      </c>
      <c r="C162" t="s">
        <v>163</v>
      </c>
      <c r="D162" t="s">
        <v>338</v>
      </c>
      <c r="E162" t="s">
        <v>502</v>
      </c>
      <c r="F162" t="s">
        <v>572</v>
      </c>
      <c r="G162" t="s">
        <v>645</v>
      </c>
      <c r="H162" t="s">
        <v>652</v>
      </c>
      <c r="I162" t="s">
        <v>399</v>
      </c>
      <c r="J162" t="s">
        <v>175</v>
      </c>
      <c r="K162" t="s">
        <v>407</v>
      </c>
      <c r="L162" t="str">
        <f>IFERROR(VLOOKUP(Tab_Naturezas_2[[#This Row],[Conta 4]],D_PlanoFinanceiro[Conta 4 (Atual],1,FALSE),"#CLASSIFICAR")</f>
        <v>Rastreador de Veículos</v>
      </c>
    </row>
    <row r="163" spans="1:12" hidden="1" x14ac:dyDescent="0.25">
      <c r="A163" t="s">
        <v>163</v>
      </c>
      <c r="B163" t="s">
        <v>163</v>
      </c>
      <c r="C163" t="s">
        <v>163</v>
      </c>
      <c r="D163" t="s">
        <v>59</v>
      </c>
      <c r="E163" t="s">
        <v>502</v>
      </c>
      <c r="F163" t="s">
        <v>572</v>
      </c>
      <c r="G163" t="s">
        <v>645</v>
      </c>
      <c r="H163" t="s">
        <v>653</v>
      </c>
      <c r="I163" t="s">
        <v>399</v>
      </c>
      <c r="J163" t="s">
        <v>175</v>
      </c>
      <c r="K163" t="s">
        <v>407</v>
      </c>
      <c r="L163" t="str">
        <f>IFERROR(VLOOKUP(Tab_Naturezas_2[[#This Row],[Conta 4]],D_PlanoFinanceiro[Conta 4 (Atual],1,FALSE),"#CLASSIFICAR")</f>
        <v>Pedagio</v>
      </c>
    </row>
    <row r="164" spans="1:12" hidden="1" x14ac:dyDescent="0.25">
      <c r="A164" t="s">
        <v>163</v>
      </c>
      <c r="B164" t="s">
        <v>163</v>
      </c>
      <c r="C164" t="s">
        <v>163</v>
      </c>
      <c r="D164" t="s">
        <v>382</v>
      </c>
      <c r="E164" t="s">
        <v>502</v>
      </c>
      <c r="F164" t="s">
        <v>572</v>
      </c>
      <c r="G164" t="s">
        <v>645</v>
      </c>
      <c r="H164" t="s">
        <v>654</v>
      </c>
      <c r="I164" t="s">
        <v>399</v>
      </c>
      <c r="J164" t="s">
        <v>175</v>
      </c>
      <c r="K164" t="s">
        <v>407</v>
      </c>
      <c r="L164" t="str">
        <f>IFERROR(VLOOKUP(Tab_Naturezas_2[[#This Row],[Conta 4]],D_PlanoFinanceiro[Conta 4 (Atual],1,FALSE),"#CLASSIFICAR")</f>
        <v>Motorista</v>
      </c>
    </row>
    <row r="165" spans="1:12" hidden="1" x14ac:dyDescent="0.25">
      <c r="A165" t="s">
        <v>163</v>
      </c>
      <c r="B165" t="s">
        <v>163</v>
      </c>
      <c r="C165" t="s">
        <v>163</v>
      </c>
      <c r="D165" t="s">
        <v>452</v>
      </c>
      <c r="E165" t="s">
        <v>502</v>
      </c>
      <c r="F165" t="s">
        <v>572</v>
      </c>
      <c r="G165" t="s">
        <v>645</v>
      </c>
      <c r="H165" t="s">
        <v>655</v>
      </c>
      <c r="I165" t="s">
        <v>399</v>
      </c>
      <c r="J165" t="s">
        <v>175</v>
      </c>
      <c r="K165" t="s">
        <v>407</v>
      </c>
      <c r="L165" t="str">
        <f>IFERROR(VLOOKUP(Tab_Naturezas_2[[#This Row],[Conta 4]],D_PlanoFinanceiro[Conta 4 (Atual],1,FALSE),"#CLASSIFICAR")</f>
        <v>Transformação de Veículo</v>
      </c>
    </row>
    <row r="166" spans="1:12" hidden="1" x14ac:dyDescent="0.25">
      <c r="A166" t="s">
        <v>163</v>
      </c>
      <c r="B166" t="s">
        <v>163</v>
      </c>
      <c r="C166" t="s">
        <v>163</v>
      </c>
      <c r="D166" t="s">
        <v>424</v>
      </c>
      <c r="E166" t="s">
        <v>502</v>
      </c>
      <c r="F166" t="s">
        <v>572</v>
      </c>
      <c r="G166" t="s">
        <v>645</v>
      </c>
      <c r="H166" t="s">
        <v>656</v>
      </c>
      <c r="I166" t="s">
        <v>399</v>
      </c>
      <c r="J166" t="s">
        <v>175</v>
      </c>
      <c r="K166" t="s">
        <v>407</v>
      </c>
      <c r="L166" t="str">
        <f>IFERROR(VLOOKUP(Tab_Naturezas_2[[#This Row],[Conta 4]],D_PlanoFinanceiro[Conta 4 (Atual],1,FALSE),"#CLASSIFICAR")</f>
        <v>Lavgem Veículo</v>
      </c>
    </row>
    <row r="167" spans="1:12" hidden="1" x14ac:dyDescent="0.25">
      <c r="A167" t="s">
        <v>163</v>
      </c>
      <c r="B167" t="s">
        <v>163</v>
      </c>
      <c r="C167" t="s">
        <v>163</v>
      </c>
      <c r="D167" t="s">
        <v>465</v>
      </c>
      <c r="E167" t="s">
        <v>502</v>
      </c>
      <c r="F167" t="s">
        <v>572</v>
      </c>
      <c r="G167" t="s">
        <v>645</v>
      </c>
      <c r="H167" t="s">
        <v>657</v>
      </c>
      <c r="I167" t="s">
        <v>399</v>
      </c>
      <c r="J167" t="s">
        <v>175</v>
      </c>
      <c r="K167" t="s">
        <v>407</v>
      </c>
      <c r="L167" t="str">
        <f>IFERROR(VLOOKUP(Tab_Naturezas_2[[#This Row],[Conta 4]],D_PlanoFinanceiro[Conta 4 (Atual],1,FALSE),"#CLASSIFICAR")</f>
        <v>Despachante de Veículos</v>
      </c>
    </row>
    <row r="168" spans="1:12" hidden="1" x14ac:dyDescent="0.25">
      <c r="A168" t="s">
        <v>163</v>
      </c>
      <c r="B168" t="s">
        <v>163</v>
      </c>
      <c r="C168" t="s">
        <v>163</v>
      </c>
      <c r="D168" t="s">
        <v>88</v>
      </c>
      <c r="E168" t="s">
        <v>502</v>
      </c>
      <c r="F168" t="s">
        <v>572</v>
      </c>
      <c r="G168" t="s">
        <v>658</v>
      </c>
      <c r="H168" t="s">
        <v>659</v>
      </c>
      <c r="I168" t="s">
        <v>399</v>
      </c>
      <c r="J168" t="s">
        <v>175</v>
      </c>
      <c r="K168" t="s">
        <v>339</v>
      </c>
      <c r="L168" t="str">
        <f>IFERROR(VLOOKUP(Tab_Naturezas_2[[#This Row],[Conta 4]],D_PlanoFinanceiro[Conta 4 (Atual],1,FALSE),"#CLASSIFICAR")</f>
        <v>Material de Escritorio</v>
      </c>
    </row>
    <row r="169" spans="1:12" hidden="1" x14ac:dyDescent="0.25">
      <c r="A169" t="s">
        <v>163</v>
      </c>
      <c r="B169" t="s">
        <v>163</v>
      </c>
      <c r="C169" t="s">
        <v>163</v>
      </c>
      <c r="D169" t="s">
        <v>11</v>
      </c>
      <c r="E169" t="s">
        <v>502</v>
      </c>
      <c r="F169" t="s">
        <v>572</v>
      </c>
      <c r="G169" t="s">
        <v>658</v>
      </c>
      <c r="H169" t="s">
        <v>660</v>
      </c>
      <c r="I169" t="s">
        <v>399</v>
      </c>
      <c r="J169" t="s">
        <v>175</v>
      </c>
      <c r="K169" t="s">
        <v>339</v>
      </c>
      <c r="L169" t="str">
        <f>IFERROR(VLOOKUP(Tab_Naturezas_2[[#This Row],[Conta 4]],D_PlanoFinanceiro[Conta 4 (Atual],1,FALSE),"#CLASSIFICAR")</f>
        <v>Material de Copa/Cozinha</v>
      </c>
    </row>
    <row r="170" spans="1:12" hidden="1" x14ac:dyDescent="0.25">
      <c r="A170" t="s">
        <v>163</v>
      </c>
      <c r="B170" t="s">
        <v>163</v>
      </c>
      <c r="C170" t="s">
        <v>163</v>
      </c>
      <c r="D170" t="s">
        <v>99</v>
      </c>
      <c r="E170" t="s">
        <v>502</v>
      </c>
      <c r="F170" t="s">
        <v>572</v>
      </c>
      <c r="G170" t="s">
        <v>658</v>
      </c>
      <c r="H170" t="s">
        <v>661</v>
      </c>
      <c r="I170" t="s">
        <v>399</v>
      </c>
      <c r="J170" t="s">
        <v>175</v>
      </c>
      <c r="K170" t="s">
        <v>339</v>
      </c>
      <c r="L170" t="str">
        <f>IFERROR(VLOOKUP(Tab_Naturezas_2[[#This Row],[Conta 4]],D_PlanoFinanceiro[Conta 4 (Atual],1,FALSE),"#CLASSIFICAR")</f>
        <v>Material de Informatica</v>
      </c>
    </row>
    <row r="171" spans="1:12" hidden="1" x14ac:dyDescent="0.25">
      <c r="A171" t="s">
        <v>163</v>
      </c>
      <c r="B171" t="s">
        <v>163</v>
      </c>
      <c r="C171" t="s">
        <v>163</v>
      </c>
      <c r="D171" t="s">
        <v>36</v>
      </c>
      <c r="E171" t="s">
        <v>502</v>
      </c>
      <c r="F171" t="s">
        <v>572</v>
      </c>
      <c r="G171" t="s">
        <v>658</v>
      </c>
      <c r="H171" t="s">
        <v>662</v>
      </c>
      <c r="I171" t="s">
        <v>399</v>
      </c>
      <c r="J171" t="s">
        <v>175</v>
      </c>
      <c r="K171" t="s">
        <v>339</v>
      </c>
      <c r="L171" t="str">
        <f>IFERROR(VLOOKUP(Tab_Naturezas_2[[#This Row],[Conta 4]],D_PlanoFinanceiro[Conta 4 (Atual],1,FALSE),"#CLASSIFICAR")</f>
        <v>Material Esportivo</v>
      </c>
    </row>
    <row r="172" spans="1:12" hidden="1" x14ac:dyDescent="0.25">
      <c r="A172" t="s">
        <v>163</v>
      </c>
      <c r="B172" t="s">
        <v>163</v>
      </c>
      <c r="C172" t="s">
        <v>163</v>
      </c>
      <c r="D172" t="s">
        <v>63</v>
      </c>
      <c r="E172" t="s">
        <v>502</v>
      </c>
      <c r="F172" t="s">
        <v>572</v>
      </c>
      <c r="G172" t="s">
        <v>658</v>
      </c>
      <c r="H172" t="s">
        <v>663</v>
      </c>
      <c r="I172" t="s">
        <v>399</v>
      </c>
      <c r="J172" t="s">
        <v>175</v>
      </c>
      <c r="K172" t="s">
        <v>339</v>
      </c>
      <c r="L172" t="str">
        <f>IFERROR(VLOOKUP(Tab_Naturezas_2[[#This Row],[Conta 4]],D_PlanoFinanceiro[Conta 4 (Atual],1,FALSE),"#CLASSIFICAR")</f>
        <v>Material de Limpeza</v>
      </c>
    </row>
    <row r="173" spans="1:12" hidden="1" x14ac:dyDescent="0.25">
      <c r="A173" t="s">
        <v>163</v>
      </c>
      <c r="B173" t="s">
        <v>163</v>
      </c>
      <c r="C173" t="s">
        <v>163</v>
      </c>
      <c r="D173" t="s">
        <v>459</v>
      </c>
      <c r="E173" t="s">
        <v>502</v>
      </c>
      <c r="F173" t="s">
        <v>572</v>
      </c>
      <c r="G173" t="s">
        <v>658</v>
      </c>
      <c r="H173" t="s">
        <v>664</v>
      </c>
      <c r="I173" t="s">
        <v>399</v>
      </c>
      <c r="J173" t="s">
        <v>175</v>
      </c>
      <c r="K173" t="s">
        <v>339</v>
      </c>
      <c r="L173" t="str">
        <f>IFERROR(VLOOKUP(Tab_Naturezas_2[[#This Row],[Conta 4]],D_PlanoFinanceiro[Conta 4 (Atual],1,FALSE),"#CLASSIFICAR")</f>
        <v>Material para Embalagem</v>
      </c>
    </row>
    <row r="174" spans="1:12" hidden="1" x14ac:dyDescent="0.25">
      <c r="A174" t="s">
        <v>163</v>
      </c>
      <c r="B174" t="s">
        <v>163</v>
      </c>
      <c r="C174" t="s">
        <v>163</v>
      </c>
      <c r="D174" t="s">
        <v>376</v>
      </c>
      <c r="E174" t="s">
        <v>502</v>
      </c>
      <c r="F174" t="s">
        <v>572</v>
      </c>
      <c r="G174" t="s">
        <v>658</v>
      </c>
      <c r="H174" t="s">
        <v>665</v>
      </c>
      <c r="I174" t="s">
        <v>399</v>
      </c>
      <c r="J174" t="s">
        <v>175</v>
      </c>
      <c r="K174" t="s">
        <v>339</v>
      </c>
      <c r="L174" t="str">
        <f>IFERROR(VLOOKUP(Tab_Naturezas_2[[#This Row],[Conta 4]],D_PlanoFinanceiro[Conta 4 (Atual],1,FALSE),"#CLASSIFICAR")</f>
        <v>Desenvolvimento de Tecnologias</v>
      </c>
    </row>
    <row r="175" spans="1:12" hidden="1" x14ac:dyDescent="0.25">
      <c r="A175" t="s">
        <v>163</v>
      </c>
      <c r="B175" t="s">
        <v>163</v>
      </c>
      <c r="C175" t="s">
        <v>163</v>
      </c>
      <c r="D175" t="s">
        <v>138</v>
      </c>
      <c r="E175" t="s">
        <v>502</v>
      </c>
      <c r="F175" t="s">
        <v>572</v>
      </c>
      <c r="G175" t="s">
        <v>666</v>
      </c>
      <c r="H175" t="s">
        <v>667</v>
      </c>
      <c r="I175" t="s">
        <v>399</v>
      </c>
      <c r="J175" t="s">
        <v>175</v>
      </c>
      <c r="K175" t="s">
        <v>340</v>
      </c>
      <c r="L175" t="str">
        <f>IFERROR(VLOOKUP(Tab_Naturezas_2[[#This Row],[Conta 4]],D_PlanoFinanceiro[Conta 4 (Atual],1,FALSE),"#CLASSIFICAR")</f>
        <v>Manutencao de Moveis e Utensilios</v>
      </c>
    </row>
    <row r="176" spans="1:12" hidden="1" x14ac:dyDescent="0.25">
      <c r="A176" t="s">
        <v>163</v>
      </c>
      <c r="B176" t="s">
        <v>163</v>
      </c>
      <c r="C176" t="s">
        <v>163</v>
      </c>
      <c r="D176" t="s">
        <v>364</v>
      </c>
      <c r="E176" t="s">
        <v>502</v>
      </c>
      <c r="F176" t="s">
        <v>572</v>
      </c>
      <c r="G176" t="s">
        <v>666</v>
      </c>
      <c r="H176" t="s">
        <v>668</v>
      </c>
      <c r="I176" t="s">
        <v>399</v>
      </c>
      <c r="J176" t="s">
        <v>175</v>
      </c>
      <c r="K176" t="s">
        <v>340</v>
      </c>
      <c r="L176" t="str">
        <f>IFERROR(VLOOKUP(Tab_Naturezas_2[[#This Row],[Conta 4]],D_PlanoFinanceiro[Conta 4 (Atual],1,FALSE),"#CLASSIFICAR")</f>
        <v>ITR - Imposto Territorial Rural</v>
      </c>
    </row>
    <row r="177" spans="1:12" hidden="1" x14ac:dyDescent="0.25">
      <c r="A177" t="s">
        <v>163</v>
      </c>
      <c r="B177" t="s">
        <v>163</v>
      </c>
      <c r="C177" t="s">
        <v>163</v>
      </c>
      <c r="D177" t="s">
        <v>383</v>
      </c>
      <c r="E177" t="s">
        <v>502</v>
      </c>
      <c r="F177" t="s">
        <v>572</v>
      </c>
      <c r="G177" t="s">
        <v>666</v>
      </c>
      <c r="H177" t="s">
        <v>669</v>
      </c>
      <c r="I177" t="s">
        <v>399</v>
      </c>
      <c r="J177" t="s">
        <v>175</v>
      </c>
      <c r="K177" t="s">
        <v>340</v>
      </c>
      <c r="L177" t="str">
        <f>IFERROR(VLOOKUP(Tab_Naturezas_2[[#This Row],[Conta 4]],D_PlanoFinanceiro[Conta 4 (Atual],1,FALSE),"#CLASSIFICAR")</f>
        <v>ART Imóveis</v>
      </c>
    </row>
    <row r="178" spans="1:12" hidden="1" x14ac:dyDescent="0.25">
      <c r="A178" t="s">
        <v>163</v>
      </c>
      <c r="B178" t="s">
        <v>163</v>
      </c>
      <c r="C178" t="s">
        <v>163</v>
      </c>
      <c r="D178" t="s">
        <v>33</v>
      </c>
      <c r="E178" t="s">
        <v>502</v>
      </c>
      <c r="F178" t="s">
        <v>572</v>
      </c>
      <c r="G178" t="s">
        <v>666</v>
      </c>
      <c r="H178" t="s">
        <v>670</v>
      </c>
      <c r="I178" t="s">
        <v>399</v>
      </c>
      <c r="J178" t="s">
        <v>175</v>
      </c>
      <c r="K178" t="s">
        <v>340</v>
      </c>
      <c r="L178" t="str">
        <f>IFERROR(VLOOKUP(Tab_Naturezas_2[[#This Row],[Conta 4]],D_PlanoFinanceiro[Conta 4 (Atual],1,FALSE),"#CLASSIFICAR")</f>
        <v>Manutencao Predial</v>
      </c>
    </row>
    <row r="179" spans="1:12" hidden="1" x14ac:dyDescent="0.25">
      <c r="A179" t="s">
        <v>163</v>
      </c>
      <c r="B179" t="s">
        <v>163</v>
      </c>
      <c r="C179" t="s">
        <v>163</v>
      </c>
      <c r="D179" t="s">
        <v>409</v>
      </c>
      <c r="E179" t="s">
        <v>502</v>
      </c>
      <c r="F179" t="s">
        <v>572</v>
      </c>
      <c r="G179" t="s">
        <v>671</v>
      </c>
      <c r="H179" t="s">
        <v>672</v>
      </c>
      <c r="I179" t="s">
        <v>399</v>
      </c>
      <c r="J179" t="s">
        <v>175</v>
      </c>
      <c r="K179" t="s">
        <v>408</v>
      </c>
      <c r="L179" t="str">
        <f>IFERROR(VLOOKUP(Tab_Naturezas_2[[#This Row],[Conta 4]],D_PlanoFinanceiro[Conta 4 (Atual],1,FALSE),"#CLASSIFICAR")</f>
        <v>Brindes</v>
      </c>
    </row>
    <row r="180" spans="1:12" hidden="1" x14ac:dyDescent="0.25">
      <c r="A180" t="s">
        <v>163</v>
      </c>
      <c r="B180" t="s">
        <v>163</v>
      </c>
      <c r="C180" t="s">
        <v>163</v>
      </c>
      <c r="D180" t="s">
        <v>159</v>
      </c>
      <c r="E180" t="s">
        <v>502</v>
      </c>
      <c r="F180" t="s">
        <v>572</v>
      </c>
      <c r="G180" t="s">
        <v>671</v>
      </c>
      <c r="H180" t="s">
        <v>673</v>
      </c>
      <c r="I180" t="s">
        <v>399</v>
      </c>
      <c r="J180" t="s">
        <v>175</v>
      </c>
      <c r="K180" t="s">
        <v>408</v>
      </c>
      <c r="L180" t="str">
        <f>IFERROR(VLOOKUP(Tab_Naturezas_2[[#This Row],[Conta 4]],D_PlanoFinanceiro[Conta 4 (Atual],1,FALSE),"#CLASSIFICAR")</f>
        <v>Correios</v>
      </c>
    </row>
    <row r="181" spans="1:12" hidden="1" x14ac:dyDescent="0.25">
      <c r="A181" t="s">
        <v>163</v>
      </c>
      <c r="B181" t="s">
        <v>163</v>
      </c>
      <c r="C181" t="s">
        <v>163</v>
      </c>
      <c r="D181" t="s">
        <v>23</v>
      </c>
      <c r="E181" t="s">
        <v>502</v>
      </c>
      <c r="F181" t="s">
        <v>572</v>
      </c>
      <c r="G181" t="s">
        <v>671</v>
      </c>
      <c r="H181" t="s">
        <v>674</v>
      </c>
      <c r="I181" t="s">
        <v>399</v>
      </c>
      <c r="J181" t="s">
        <v>175</v>
      </c>
      <c r="K181" t="s">
        <v>408</v>
      </c>
      <c r="L181" t="str">
        <f>IFERROR(VLOOKUP(Tab_Naturezas_2[[#This Row],[Conta 4]],D_PlanoFinanceiro[Conta 4 (Atual],1,FALSE),"#CLASSIFICAR")</f>
        <v>Viagens e estadias</v>
      </c>
    </row>
    <row r="182" spans="1:12" hidden="1" x14ac:dyDescent="0.25">
      <c r="A182" t="s">
        <v>163</v>
      </c>
      <c r="B182" t="s">
        <v>163</v>
      </c>
      <c r="C182" t="s">
        <v>163</v>
      </c>
      <c r="D182" t="s">
        <v>341</v>
      </c>
      <c r="E182" t="s">
        <v>502</v>
      </c>
      <c r="F182" t="s">
        <v>572</v>
      </c>
      <c r="G182" t="s">
        <v>671</v>
      </c>
      <c r="H182" t="s">
        <v>675</v>
      </c>
      <c r="I182" t="s">
        <v>399</v>
      </c>
      <c r="J182" t="s">
        <v>175</v>
      </c>
      <c r="K182" t="s">
        <v>408</v>
      </c>
      <c r="L182" t="str">
        <f>IFERROR(VLOOKUP(Tab_Naturezas_2[[#This Row],[Conta 4]],D_PlanoFinanceiro[Conta 4 (Atual],1,FALSE),"#CLASSIFICAR")</f>
        <v>Ass. Jornais/Revistas</v>
      </c>
    </row>
    <row r="183" spans="1:12" hidden="1" x14ac:dyDescent="0.25">
      <c r="A183" t="s">
        <v>163</v>
      </c>
      <c r="B183" t="s">
        <v>163</v>
      </c>
      <c r="C183" t="s">
        <v>163</v>
      </c>
      <c r="D183" t="s">
        <v>83</v>
      </c>
      <c r="E183" t="s">
        <v>502</v>
      </c>
      <c r="F183" t="s">
        <v>572</v>
      </c>
      <c r="G183" t="s">
        <v>671</v>
      </c>
      <c r="H183" t="s">
        <v>676</v>
      </c>
      <c r="I183" t="s">
        <v>399</v>
      </c>
      <c r="J183" t="s">
        <v>175</v>
      </c>
      <c r="K183" t="s">
        <v>408</v>
      </c>
      <c r="L183" t="str">
        <f>IFERROR(VLOOKUP(Tab_Naturezas_2[[#This Row],[Conta 4]],D_PlanoFinanceiro[Conta 4 (Atual],1,FALSE),"#CLASSIFICAR")</f>
        <v>Confraternizações e Eventos</v>
      </c>
    </row>
    <row r="184" spans="1:12" hidden="1" x14ac:dyDescent="0.25">
      <c r="A184" t="s">
        <v>163</v>
      </c>
      <c r="B184" t="s">
        <v>163</v>
      </c>
      <c r="C184" t="s">
        <v>163</v>
      </c>
      <c r="D184" t="s">
        <v>342</v>
      </c>
      <c r="E184" t="s">
        <v>502</v>
      </c>
      <c r="F184" t="s">
        <v>572</v>
      </c>
      <c r="G184" t="s">
        <v>671</v>
      </c>
      <c r="H184" t="s">
        <v>677</v>
      </c>
      <c r="I184" t="s">
        <v>399</v>
      </c>
      <c r="J184" t="s">
        <v>175</v>
      </c>
      <c r="K184" t="s">
        <v>408</v>
      </c>
      <c r="L184" t="str">
        <f>IFERROR(VLOOKUP(Tab_Naturezas_2[[#This Row],[Conta 4]],D_PlanoFinanceiro[Conta 4 (Atual],1,FALSE),"#CLASSIFICAR")</f>
        <v>Despesas com Licitações</v>
      </c>
    </row>
    <row r="185" spans="1:12" hidden="1" x14ac:dyDescent="0.25">
      <c r="A185" t="s">
        <v>163</v>
      </c>
      <c r="B185" t="s">
        <v>163</v>
      </c>
      <c r="C185" t="s">
        <v>163</v>
      </c>
      <c r="D185" t="s">
        <v>98</v>
      </c>
      <c r="E185" t="s">
        <v>502</v>
      </c>
      <c r="F185" t="s">
        <v>572</v>
      </c>
      <c r="G185" t="s">
        <v>671</v>
      </c>
      <c r="H185" t="s">
        <v>678</v>
      </c>
      <c r="I185" t="s">
        <v>399</v>
      </c>
      <c r="J185" t="s">
        <v>175</v>
      </c>
      <c r="K185" t="s">
        <v>408</v>
      </c>
      <c r="L185" t="str">
        <f>IFERROR(VLOOKUP(Tab_Naturezas_2[[#This Row],[Conta 4]],D_PlanoFinanceiro[Conta 4 (Atual],1,FALSE),"#CLASSIFICAR")</f>
        <v>Gráfica</v>
      </c>
    </row>
    <row r="186" spans="1:12" hidden="1" x14ac:dyDescent="0.25">
      <c r="A186" t="s">
        <v>163</v>
      </c>
      <c r="B186" t="s">
        <v>163</v>
      </c>
      <c r="C186" t="s">
        <v>163</v>
      </c>
      <c r="D186" t="s">
        <v>131</v>
      </c>
      <c r="E186" t="s">
        <v>502</v>
      </c>
      <c r="F186" t="s">
        <v>572</v>
      </c>
      <c r="G186" t="s">
        <v>671</v>
      </c>
      <c r="H186" t="s">
        <v>679</v>
      </c>
      <c r="I186" t="s">
        <v>399</v>
      </c>
      <c r="J186" t="s">
        <v>175</v>
      </c>
      <c r="K186" t="s">
        <v>408</v>
      </c>
      <c r="L186" t="str">
        <f>IFERROR(VLOOKUP(Tab_Naturezas_2[[#This Row],[Conta 4]],D_PlanoFinanceiro[Conta 4 (Atual],1,FALSE),"#CLASSIFICAR")</f>
        <v>Anúncios/ Publicações</v>
      </c>
    </row>
    <row r="187" spans="1:12" hidden="1" x14ac:dyDescent="0.25">
      <c r="A187" t="s">
        <v>163</v>
      </c>
      <c r="B187" t="s">
        <v>163</v>
      </c>
      <c r="C187" t="s">
        <v>163</v>
      </c>
      <c r="D187" t="s">
        <v>343</v>
      </c>
      <c r="E187" t="s">
        <v>502</v>
      </c>
      <c r="F187" t="s">
        <v>572</v>
      </c>
      <c r="G187" t="s">
        <v>671</v>
      </c>
      <c r="H187" t="s">
        <v>680</v>
      </c>
      <c r="I187" t="s">
        <v>399</v>
      </c>
      <c r="J187" t="s">
        <v>175</v>
      </c>
      <c r="K187" t="s">
        <v>408</v>
      </c>
      <c r="L187" t="str">
        <f>IFERROR(VLOOKUP(Tab_Naturezas_2[[#This Row],[Conta 4]],D_PlanoFinanceiro[Conta 4 (Atual],1,FALSE),"#CLASSIFICAR")</f>
        <v>Pesquisas</v>
      </c>
    </row>
    <row r="188" spans="1:12" hidden="1" x14ac:dyDescent="0.25">
      <c r="A188" t="s">
        <v>163</v>
      </c>
      <c r="B188" t="s">
        <v>163</v>
      </c>
      <c r="C188" t="s">
        <v>163</v>
      </c>
      <c r="D188" t="s">
        <v>132</v>
      </c>
      <c r="E188" t="s">
        <v>502</v>
      </c>
      <c r="F188" t="s">
        <v>572</v>
      </c>
      <c r="G188" t="s">
        <v>671</v>
      </c>
      <c r="H188" t="s">
        <v>681</v>
      </c>
      <c r="I188" t="s">
        <v>399</v>
      </c>
      <c r="J188" t="s">
        <v>175</v>
      </c>
      <c r="K188" t="s">
        <v>408</v>
      </c>
      <c r="L188" t="str">
        <f>IFERROR(VLOOKUP(Tab_Naturezas_2[[#This Row],[Conta 4]],D_PlanoFinanceiro[Conta 4 (Atual],1,FALSE),"#CLASSIFICAR")</f>
        <v>Cartório</v>
      </c>
    </row>
    <row r="189" spans="1:12" hidden="1" x14ac:dyDescent="0.25">
      <c r="A189" t="s">
        <v>163</v>
      </c>
      <c r="B189" t="s">
        <v>163</v>
      </c>
      <c r="C189" t="s">
        <v>163</v>
      </c>
      <c r="D189" t="s">
        <v>141</v>
      </c>
      <c r="E189" t="s">
        <v>502</v>
      </c>
      <c r="F189" t="s">
        <v>572</v>
      </c>
      <c r="G189" t="s">
        <v>671</v>
      </c>
      <c r="H189" t="s">
        <v>682</v>
      </c>
      <c r="I189" t="s">
        <v>399</v>
      </c>
      <c r="J189" t="s">
        <v>175</v>
      </c>
      <c r="K189" t="s">
        <v>408</v>
      </c>
      <c r="L189" t="str">
        <f>IFERROR(VLOOKUP(Tab_Naturezas_2[[#This Row],[Conta 4]],D_PlanoFinanceiro[Conta 4 (Atual],1,FALSE),"#CLASSIFICAR")</f>
        <v>Custas Processuais</v>
      </c>
    </row>
    <row r="190" spans="1:12" hidden="1" x14ac:dyDescent="0.25">
      <c r="A190" t="s">
        <v>163</v>
      </c>
      <c r="B190" t="s">
        <v>163</v>
      </c>
      <c r="C190" t="s">
        <v>163</v>
      </c>
      <c r="D190" t="s">
        <v>143</v>
      </c>
      <c r="E190" t="s">
        <v>502</v>
      </c>
      <c r="F190" t="s">
        <v>572</v>
      </c>
      <c r="G190" t="s">
        <v>671</v>
      </c>
      <c r="H190" t="s">
        <v>683</v>
      </c>
      <c r="I190" t="s">
        <v>399</v>
      </c>
      <c r="J190" t="s">
        <v>175</v>
      </c>
      <c r="K190" t="s">
        <v>408</v>
      </c>
      <c r="L190" t="str">
        <f>IFERROR(VLOOKUP(Tab_Naturezas_2[[#This Row],[Conta 4]],D_PlanoFinanceiro[Conta 4 (Atual],1,FALSE),"#CLASSIFICAR")</f>
        <v>Associações/Orgão regulamentadores</v>
      </c>
    </row>
    <row r="191" spans="1:12" hidden="1" x14ac:dyDescent="0.25">
      <c r="A191" t="s">
        <v>163</v>
      </c>
      <c r="B191" t="s">
        <v>163</v>
      </c>
      <c r="C191" t="s">
        <v>163</v>
      </c>
      <c r="D191" t="s">
        <v>344</v>
      </c>
      <c r="E191" t="s">
        <v>502</v>
      </c>
      <c r="F191" t="s">
        <v>572</v>
      </c>
      <c r="G191" t="s">
        <v>671</v>
      </c>
      <c r="H191" t="s">
        <v>684</v>
      </c>
      <c r="I191" t="s">
        <v>399</v>
      </c>
      <c r="J191" t="s">
        <v>175</v>
      </c>
      <c r="K191" t="s">
        <v>408</v>
      </c>
      <c r="L191" t="str">
        <f>IFERROR(VLOOKUP(Tab_Naturezas_2[[#This Row],[Conta 4]],D_PlanoFinanceiro[Conta 4 (Atual],1,FALSE),"#CLASSIFICAR")</f>
        <v>Doações</v>
      </c>
    </row>
    <row r="192" spans="1:12" hidden="1" x14ac:dyDescent="0.25">
      <c r="A192" t="s">
        <v>163</v>
      </c>
      <c r="B192" t="s">
        <v>163</v>
      </c>
      <c r="C192" t="s">
        <v>163</v>
      </c>
      <c r="D192" t="s">
        <v>442</v>
      </c>
      <c r="E192" t="s">
        <v>502</v>
      </c>
      <c r="F192" t="s">
        <v>572</v>
      </c>
      <c r="G192" t="s">
        <v>671</v>
      </c>
      <c r="H192" t="s">
        <v>685</v>
      </c>
      <c r="I192" t="s">
        <v>399</v>
      </c>
      <c r="J192" t="s">
        <v>175</v>
      </c>
      <c r="K192" t="s">
        <v>408</v>
      </c>
      <c r="L192" t="str">
        <f>IFERROR(VLOOKUP(Tab_Naturezas_2[[#This Row],[Conta 4]],D_PlanoFinanceiro[Conta 4 (Atual],1,FALSE),"#CLASSIFICAR")</f>
        <v>Comissão e Corretagem</v>
      </c>
    </row>
    <row r="193" spans="1:12" hidden="1" x14ac:dyDescent="0.25">
      <c r="A193" t="s">
        <v>163</v>
      </c>
      <c r="B193" t="s">
        <v>163</v>
      </c>
      <c r="C193" t="s">
        <v>163</v>
      </c>
      <c r="D193" t="s">
        <v>136</v>
      </c>
      <c r="E193" t="s">
        <v>502</v>
      </c>
      <c r="F193" t="s">
        <v>572</v>
      </c>
      <c r="G193" t="s">
        <v>671</v>
      </c>
      <c r="H193" t="s">
        <v>686</v>
      </c>
      <c r="I193" t="s">
        <v>399</v>
      </c>
      <c r="J193" t="s">
        <v>175</v>
      </c>
      <c r="K193" t="s">
        <v>408</v>
      </c>
      <c r="L193" t="str">
        <f>IFERROR(VLOOKUP(Tab_Naturezas_2[[#This Row],[Conta 4]],D_PlanoFinanceiro[Conta 4 (Atual],1,FALSE),"#CLASSIFICAR")</f>
        <v>Estacionamento</v>
      </c>
    </row>
    <row r="194" spans="1:12" hidden="1" x14ac:dyDescent="0.25">
      <c r="A194" t="s">
        <v>163</v>
      </c>
      <c r="B194" t="s">
        <v>163</v>
      </c>
      <c r="C194" t="s">
        <v>163</v>
      </c>
      <c r="D194" t="s">
        <v>446</v>
      </c>
      <c r="E194" t="s">
        <v>502</v>
      </c>
      <c r="F194" t="s">
        <v>572</v>
      </c>
      <c r="G194" t="s">
        <v>671</v>
      </c>
      <c r="H194" t="s">
        <v>687</v>
      </c>
      <c r="I194" t="s">
        <v>399</v>
      </c>
      <c r="J194" t="s">
        <v>175</v>
      </c>
      <c r="K194" t="s">
        <v>408</v>
      </c>
      <c r="L194" t="str">
        <f>IFERROR(VLOOKUP(Tab_Naturezas_2[[#This Row],[Conta 4]],D_PlanoFinanceiro[Conta 4 (Atual],1,FALSE),"#CLASSIFICAR")</f>
        <v>Ações com Clientes</v>
      </c>
    </row>
    <row r="195" spans="1:12" hidden="1" x14ac:dyDescent="0.25">
      <c r="A195" t="s">
        <v>163</v>
      </c>
      <c r="B195" t="s">
        <v>163</v>
      </c>
      <c r="C195" t="s">
        <v>163</v>
      </c>
      <c r="D195" t="s">
        <v>366</v>
      </c>
      <c r="E195" t="s">
        <v>502</v>
      </c>
      <c r="F195" t="s">
        <v>572</v>
      </c>
      <c r="G195" t="s">
        <v>671</v>
      </c>
      <c r="H195" t="s">
        <v>688</v>
      </c>
      <c r="I195" t="s">
        <v>399</v>
      </c>
      <c r="J195" t="s">
        <v>175</v>
      </c>
      <c r="K195" t="s">
        <v>408</v>
      </c>
      <c r="L195" t="str">
        <f>IFERROR(VLOOKUP(Tab_Naturezas_2[[#This Row],[Conta 4]],D_PlanoFinanceiro[Conta 4 (Atual],1,FALSE),"#CLASSIFICAR")</f>
        <v>Bloqueio Judicial</v>
      </c>
    </row>
    <row r="196" spans="1:12" hidden="1" x14ac:dyDescent="0.25">
      <c r="A196" t="s">
        <v>163</v>
      </c>
      <c r="B196" t="s">
        <v>163</v>
      </c>
      <c r="C196" t="s">
        <v>163</v>
      </c>
      <c r="D196" t="s">
        <v>458</v>
      </c>
      <c r="E196" t="s">
        <v>502</v>
      </c>
      <c r="F196" t="s">
        <v>572</v>
      </c>
      <c r="G196" t="s">
        <v>671</v>
      </c>
      <c r="H196" t="s">
        <v>689</v>
      </c>
      <c r="I196" t="s">
        <v>399</v>
      </c>
      <c r="J196" t="s">
        <v>175</v>
      </c>
      <c r="K196" t="s">
        <v>408</v>
      </c>
      <c r="L196" t="str">
        <f>IFERROR(VLOOKUP(Tab_Naturezas_2[[#This Row],[Conta 4]],D_PlanoFinanceiro[Conta 4 (Atual],1,FALSE),"#CLASSIFICAR")</f>
        <v>Depósito Judicial</v>
      </c>
    </row>
    <row r="197" spans="1:12" hidden="1" x14ac:dyDescent="0.25">
      <c r="A197" t="s">
        <v>163</v>
      </c>
      <c r="B197" t="s">
        <v>163</v>
      </c>
      <c r="C197" t="s">
        <v>163</v>
      </c>
      <c r="D197" t="s">
        <v>375</v>
      </c>
      <c r="E197" t="s">
        <v>502</v>
      </c>
      <c r="F197" t="s">
        <v>572</v>
      </c>
      <c r="G197" t="s">
        <v>671</v>
      </c>
      <c r="H197" t="s">
        <v>690</v>
      </c>
      <c r="I197" t="s">
        <v>399</v>
      </c>
      <c r="J197" t="s">
        <v>175</v>
      </c>
      <c r="K197" t="s">
        <v>408</v>
      </c>
      <c r="L197" t="str">
        <f>IFERROR(VLOOKUP(Tab_Naturezas_2[[#This Row],[Conta 4]],D_PlanoFinanceiro[Conta 4 (Atual],1,FALSE),"#CLASSIFICAR")</f>
        <v>Armazenamento de Bens</v>
      </c>
    </row>
    <row r="198" spans="1:12" hidden="1" x14ac:dyDescent="0.25">
      <c r="A198" t="s">
        <v>163</v>
      </c>
      <c r="B198" t="s">
        <v>163</v>
      </c>
      <c r="C198" t="s">
        <v>163</v>
      </c>
      <c r="D198" t="s">
        <v>154</v>
      </c>
      <c r="E198" t="s">
        <v>502</v>
      </c>
      <c r="F198" t="s">
        <v>572</v>
      </c>
      <c r="G198" t="s">
        <v>671</v>
      </c>
      <c r="H198" t="s">
        <v>691</v>
      </c>
      <c r="I198" t="s">
        <v>399</v>
      </c>
      <c r="J198" t="s">
        <v>175</v>
      </c>
      <c r="K198" t="s">
        <v>408</v>
      </c>
      <c r="L198" t="str">
        <f>IFERROR(VLOOKUP(Tab_Naturezas_2[[#This Row],[Conta 4]],D_PlanoFinanceiro[Conta 4 (Atual],1,FALSE),"#CLASSIFICAR")</f>
        <v>Diretor</v>
      </c>
    </row>
    <row r="199" spans="1:12" hidden="1" x14ac:dyDescent="0.25">
      <c r="A199" t="s">
        <v>163</v>
      </c>
      <c r="B199" t="s">
        <v>163</v>
      </c>
      <c r="C199" t="s">
        <v>163</v>
      </c>
      <c r="D199" t="s">
        <v>389</v>
      </c>
      <c r="E199" t="s">
        <v>502</v>
      </c>
      <c r="F199" t="s">
        <v>572</v>
      </c>
      <c r="G199" t="s">
        <v>671</v>
      </c>
      <c r="H199" t="s">
        <v>692</v>
      </c>
      <c r="I199" t="s">
        <v>399</v>
      </c>
      <c r="J199" t="s">
        <v>175</v>
      </c>
      <c r="K199" t="s">
        <v>408</v>
      </c>
      <c r="L199" t="str">
        <f>IFERROR(VLOOKUP(Tab_Naturezas_2[[#This Row],[Conta 4]],D_PlanoFinanceiro[Conta 4 (Atual],1,FALSE),"#CLASSIFICAR")</f>
        <v>Gerente</v>
      </c>
    </row>
    <row r="200" spans="1:12" hidden="1" x14ac:dyDescent="0.25">
      <c r="A200" t="s">
        <v>163</v>
      </c>
      <c r="B200" t="s">
        <v>163</v>
      </c>
      <c r="C200" t="s">
        <v>163</v>
      </c>
      <c r="D200" t="s">
        <v>461</v>
      </c>
      <c r="E200" t="s">
        <v>502</v>
      </c>
      <c r="F200" t="s">
        <v>572</v>
      </c>
      <c r="G200" t="s">
        <v>671</v>
      </c>
      <c r="H200" t="s">
        <v>693</v>
      </c>
      <c r="I200" t="s">
        <v>399</v>
      </c>
      <c r="J200" t="s">
        <v>175</v>
      </c>
      <c r="K200" t="s">
        <v>408</v>
      </c>
      <c r="L200" t="str">
        <f>IFERROR(VLOOKUP(Tab_Naturezas_2[[#This Row],[Conta 4]],D_PlanoFinanceiro[Conta 4 (Atual],1,FALSE),"#CLASSIFICAR")</f>
        <v>Despesas com Devoluções</v>
      </c>
    </row>
    <row r="201" spans="1:12" hidden="1" x14ac:dyDescent="0.25">
      <c r="A201" t="s">
        <v>163</v>
      </c>
      <c r="B201" t="s">
        <v>163</v>
      </c>
      <c r="C201" t="s">
        <v>163</v>
      </c>
      <c r="D201" t="s">
        <v>32</v>
      </c>
      <c r="E201" t="s">
        <v>502</v>
      </c>
      <c r="F201" t="s">
        <v>572</v>
      </c>
      <c r="G201" t="s">
        <v>671</v>
      </c>
      <c r="H201" t="s">
        <v>694</v>
      </c>
      <c r="I201" t="s">
        <v>399</v>
      </c>
      <c r="J201" t="s">
        <v>175</v>
      </c>
      <c r="K201" t="s">
        <v>408</v>
      </c>
      <c r="L201" t="str">
        <f>IFERROR(VLOOKUP(Tab_Naturezas_2[[#This Row],[Conta 4]],D_PlanoFinanceiro[Conta 4 (Atual],1,FALSE),"#CLASSIFICAR")</f>
        <v>Pagamento de Reembolso</v>
      </c>
    </row>
    <row r="202" spans="1:12" hidden="1" x14ac:dyDescent="0.25">
      <c r="A202" t="s">
        <v>163</v>
      </c>
      <c r="B202" t="s">
        <v>163</v>
      </c>
      <c r="C202" t="s">
        <v>163</v>
      </c>
      <c r="D202" t="s">
        <v>37</v>
      </c>
      <c r="E202" t="s">
        <v>502</v>
      </c>
      <c r="F202" t="s">
        <v>572</v>
      </c>
      <c r="G202" t="s">
        <v>671</v>
      </c>
      <c r="H202" t="s">
        <v>695</v>
      </c>
      <c r="I202" t="s">
        <v>399</v>
      </c>
      <c r="J202" t="s">
        <v>175</v>
      </c>
      <c r="K202" t="s">
        <v>408</v>
      </c>
      <c r="L202" t="str">
        <f>IFERROR(VLOOKUP(Tab_Naturezas_2[[#This Row],[Conta 4]],D_PlanoFinanceiro[Conta 4 (Atual],1,FALSE),"#CLASSIFICAR")</f>
        <v>Transporte de Pessoas</v>
      </c>
    </row>
    <row r="203" spans="1:12" hidden="1" x14ac:dyDescent="0.25">
      <c r="A203" t="s">
        <v>163</v>
      </c>
      <c r="B203" t="s">
        <v>163</v>
      </c>
      <c r="C203" t="s">
        <v>163</v>
      </c>
      <c r="D203" t="s">
        <v>127</v>
      </c>
      <c r="E203" t="s">
        <v>502</v>
      </c>
      <c r="F203" t="s">
        <v>572</v>
      </c>
      <c r="G203" t="s">
        <v>671</v>
      </c>
      <c r="H203" t="s">
        <v>696</v>
      </c>
      <c r="I203" t="s">
        <v>399</v>
      </c>
      <c r="J203" t="s">
        <v>175</v>
      </c>
      <c r="K203" t="s">
        <v>408</v>
      </c>
      <c r="L203" t="str">
        <f>IFERROR(VLOOKUP(Tab_Naturezas_2[[#This Row],[Conta 4]],D_PlanoFinanceiro[Conta 4 (Atual],1,FALSE),"#CLASSIFICAR")</f>
        <v>Despesas com Site</v>
      </c>
    </row>
    <row r="204" spans="1:12" hidden="1" x14ac:dyDescent="0.25">
      <c r="A204" t="s">
        <v>163</v>
      </c>
      <c r="B204" t="s">
        <v>163</v>
      </c>
      <c r="C204" t="s">
        <v>163</v>
      </c>
      <c r="D204" t="s">
        <v>103</v>
      </c>
      <c r="E204" t="s">
        <v>502</v>
      </c>
      <c r="F204" t="s">
        <v>572</v>
      </c>
      <c r="G204" t="s">
        <v>697</v>
      </c>
      <c r="H204" t="s">
        <v>698</v>
      </c>
      <c r="I204" t="s">
        <v>399</v>
      </c>
      <c r="J204" t="s">
        <v>175</v>
      </c>
      <c r="K204" t="s">
        <v>410</v>
      </c>
      <c r="L204" t="str">
        <f>IFERROR(VLOOKUP(Tab_Naturezas_2[[#This Row],[Conta 4]],D_PlanoFinanceiro[Conta 4 (Atual],1,FALSE),"#CLASSIFICAR")</f>
        <v>PIS</v>
      </c>
    </row>
    <row r="205" spans="1:12" hidden="1" x14ac:dyDescent="0.25">
      <c r="A205" t="s">
        <v>163</v>
      </c>
      <c r="B205" t="s">
        <v>163</v>
      </c>
      <c r="C205" t="s">
        <v>163</v>
      </c>
      <c r="D205" t="s">
        <v>104</v>
      </c>
      <c r="E205" t="s">
        <v>502</v>
      </c>
      <c r="F205" t="s">
        <v>572</v>
      </c>
      <c r="G205" t="s">
        <v>697</v>
      </c>
      <c r="H205" t="s">
        <v>699</v>
      </c>
      <c r="I205" t="s">
        <v>399</v>
      </c>
      <c r="J205" t="s">
        <v>175</v>
      </c>
      <c r="K205" t="s">
        <v>410</v>
      </c>
      <c r="L205" t="str">
        <f>IFERROR(VLOOKUP(Tab_Naturezas_2[[#This Row],[Conta 4]],D_PlanoFinanceiro[Conta 4 (Atual],1,FALSE),"#CLASSIFICAR")</f>
        <v>COFINS</v>
      </c>
    </row>
    <row r="206" spans="1:12" hidden="1" x14ac:dyDescent="0.25">
      <c r="A206" t="s">
        <v>163</v>
      </c>
      <c r="B206" t="s">
        <v>163</v>
      </c>
      <c r="C206" t="s">
        <v>163</v>
      </c>
      <c r="D206" t="s">
        <v>416</v>
      </c>
      <c r="E206" t="s">
        <v>502</v>
      </c>
      <c r="F206" t="s">
        <v>572</v>
      </c>
      <c r="G206" t="s">
        <v>697</v>
      </c>
      <c r="H206" t="s">
        <v>700</v>
      </c>
      <c r="I206" t="s">
        <v>399</v>
      </c>
      <c r="J206" t="s">
        <v>175</v>
      </c>
      <c r="K206" t="s">
        <v>410</v>
      </c>
      <c r="L206" t="str">
        <f>IFERROR(VLOOKUP(Tab_Naturezas_2[[#This Row],[Conta 4]],D_PlanoFinanceiro[Conta 4 (Atual],1,FALSE),"#CLASSIFICAR")</f>
        <v>ICMS S/ VENDA</v>
      </c>
    </row>
    <row r="207" spans="1:12" hidden="1" x14ac:dyDescent="0.25">
      <c r="A207" t="s">
        <v>163</v>
      </c>
      <c r="B207" t="s">
        <v>163</v>
      </c>
      <c r="C207" t="s">
        <v>163</v>
      </c>
      <c r="D207" t="s">
        <v>20</v>
      </c>
      <c r="E207" t="s">
        <v>502</v>
      </c>
      <c r="F207" t="s">
        <v>572</v>
      </c>
      <c r="G207" t="s">
        <v>697</v>
      </c>
      <c r="H207" t="s">
        <v>701</v>
      </c>
      <c r="I207" t="s">
        <v>399</v>
      </c>
      <c r="J207" t="s">
        <v>175</v>
      </c>
      <c r="K207" t="s">
        <v>410</v>
      </c>
      <c r="L207" t="str">
        <f>IFERROR(VLOOKUP(Tab_Naturezas_2[[#This Row],[Conta 4]],D_PlanoFinanceiro[Conta 4 (Atual],1,FALSE),"#CLASSIFICAR")</f>
        <v>IRRF - Imposto Renda Retido na Fonte</v>
      </c>
    </row>
    <row r="208" spans="1:12" hidden="1" x14ac:dyDescent="0.25">
      <c r="A208" t="s">
        <v>163</v>
      </c>
      <c r="B208" t="s">
        <v>163</v>
      </c>
      <c r="C208" t="s">
        <v>163</v>
      </c>
      <c r="D208" t="s">
        <v>147</v>
      </c>
      <c r="E208" t="s">
        <v>502</v>
      </c>
      <c r="F208" t="s">
        <v>572</v>
      </c>
      <c r="G208" t="s">
        <v>697</v>
      </c>
      <c r="H208" t="s">
        <v>702</v>
      </c>
      <c r="I208" t="s">
        <v>399</v>
      </c>
      <c r="J208" t="s">
        <v>175</v>
      </c>
      <c r="K208" t="s">
        <v>410</v>
      </c>
      <c r="L208" t="str">
        <f>IFERROR(VLOOKUP(Tab_Naturezas_2[[#This Row],[Conta 4]],D_PlanoFinanceiro[Conta 4 (Atual],1,FALSE),"#CLASSIFICAR")</f>
        <v>ISS - Imposto Sobre Serviço</v>
      </c>
    </row>
    <row r="209" spans="1:12" hidden="1" x14ac:dyDescent="0.25">
      <c r="A209" t="s">
        <v>163</v>
      </c>
      <c r="B209" t="s">
        <v>163</v>
      </c>
      <c r="C209" t="s">
        <v>163</v>
      </c>
      <c r="D209" t="s">
        <v>417</v>
      </c>
      <c r="E209" t="s">
        <v>502</v>
      </c>
      <c r="F209" t="s">
        <v>572</v>
      </c>
      <c r="G209" t="s">
        <v>697</v>
      </c>
      <c r="H209" t="s">
        <v>703</v>
      </c>
      <c r="I209" t="s">
        <v>399</v>
      </c>
      <c r="J209" t="s">
        <v>175</v>
      </c>
      <c r="K209" t="s">
        <v>410</v>
      </c>
      <c r="L209" t="str">
        <f>IFERROR(VLOOKUP(Tab_Naturezas_2[[#This Row],[Conta 4]],D_PlanoFinanceiro[Conta 4 (Atual],1,FALSE),"#CLASSIFICAR")</f>
        <v>Simples Nacional</v>
      </c>
    </row>
    <row r="210" spans="1:12" hidden="1" x14ac:dyDescent="0.25">
      <c r="A210" t="s">
        <v>163</v>
      </c>
      <c r="B210" t="s">
        <v>163</v>
      </c>
      <c r="C210" t="s">
        <v>163</v>
      </c>
      <c r="D210" t="s">
        <v>109</v>
      </c>
      <c r="E210" t="s">
        <v>502</v>
      </c>
      <c r="F210" t="s">
        <v>572</v>
      </c>
      <c r="G210" t="s">
        <v>704</v>
      </c>
      <c r="H210" t="s">
        <v>705</v>
      </c>
      <c r="I210" t="s">
        <v>399</v>
      </c>
      <c r="J210" t="s">
        <v>175</v>
      </c>
      <c r="K210" t="s">
        <v>348</v>
      </c>
      <c r="L210" t="str">
        <f>IFERROR(VLOOKUP(Tab_Naturezas_2[[#This Row],[Conta 4]],D_PlanoFinanceiro[Conta 4 (Atual],1,FALSE),"#CLASSIFICAR")</f>
        <v>IRPJ - Imposto Renda Pessoa Jurídica</v>
      </c>
    </row>
    <row r="211" spans="1:12" hidden="1" x14ac:dyDescent="0.25">
      <c r="A211" t="s">
        <v>163</v>
      </c>
      <c r="B211" t="s">
        <v>163</v>
      </c>
      <c r="C211" t="s">
        <v>163</v>
      </c>
      <c r="D211" t="s">
        <v>108</v>
      </c>
      <c r="E211" t="s">
        <v>502</v>
      </c>
      <c r="F211" t="s">
        <v>572</v>
      </c>
      <c r="G211" t="s">
        <v>704</v>
      </c>
      <c r="H211" t="s">
        <v>706</v>
      </c>
      <c r="I211" t="s">
        <v>399</v>
      </c>
      <c r="J211" t="s">
        <v>175</v>
      </c>
      <c r="K211" t="s">
        <v>348</v>
      </c>
      <c r="L211" t="str">
        <f>IFERROR(VLOOKUP(Tab_Naturezas_2[[#This Row],[Conta 4]],D_PlanoFinanceiro[Conta 4 (Atual],1,FALSE),"#CLASSIFICAR")</f>
        <v>CSLL - Contrib. Social Lucro Liquido</v>
      </c>
    </row>
    <row r="212" spans="1:12" hidden="1" x14ac:dyDescent="0.25">
      <c r="A212" t="s">
        <v>163</v>
      </c>
      <c r="B212" t="s">
        <v>163</v>
      </c>
      <c r="C212" t="s">
        <v>163</v>
      </c>
      <c r="D212" t="s">
        <v>149</v>
      </c>
      <c r="E212" t="s">
        <v>502</v>
      </c>
      <c r="F212" t="s">
        <v>572</v>
      </c>
      <c r="G212" t="s">
        <v>707</v>
      </c>
      <c r="H212" t="s">
        <v>708</v>
      </c>
      <c r="I212" t="s">
        <v>399</v>
      </c>
      <c r="J212" t="s">
        <v>175</v>
      </c>
      <c r="K212" t="s">
        <v>349</v>
      </c>
      <c r="L212" t="str">
        <f>IFERROR(VLOOKUP(Tab_Naturezas_2[[#This Row],[Conta 4]],D_PlanoFinanceiro[Conta 4 (Atual],1,FALSE),"#CLASSIFICAR")</f>
        <v>Junta Comercial</v>
      </c>
    </row>
    <row r="213" spans="1:12" hidden="1" x14ac:dyDescent="0.25">
      <c r="A213" t="s">
        <v>163</v>
      </c>
      <c r="B213" t="s">
        <v>163</v>
      </c>
      <c r="C213" t="s">
        <v>163</v>
      </c>
      <c r="D213" t="s">
        <v>76</v>
      </c>
      <c r="E213" t="s">
        <v>502</v>
      </c>
      <c r="F213" t="s">
        <v>572</v>
      </c>
      <c r="G213" t="s">
        <v>707</v>
      </c>
      <c r="H213" t="s">
        <v>709</v>
      </c>
      <c r="I213" t="s">
        <v>399</v>
      </c>
      <c r="J213" t="s">
        <v>175</v>
      </c>
      <c r="K213" t="s">
        <v>349</v>
      </c>
      <c r="L213" t="str">
        <f>IFERROR(VLOOKUP(Tab_Naturezas_2[[#This Row],[Conta 4]],D_PlanoFinanceiro[Conta 4 (Atual],1,FALSE),"#CLASSIFICAR")</f>
        <v>SEFAZ</v>
      </c>
    </row>
    <row r="214" spans="1:12" hidden="1" x14ac:dyDescent="0.25">
      <c r="A214" t="s">
        <v>163</v>
      </c>
      <c r="B214" t="s">
        <v>163</v>
      </c>
      <c r="C214" t="s">
        <v>163</v>
      </c>
      <c r="D214" t="s">
        <v>378</v>
      </c>
      <c r="E214" t="s">
        <v>502</v>
      </c>
      <c r="F214" t="s">
        <v>572</v>
      </c>
      <c r="G214" t="s">
        <v>707</v>
      </c>
      <c r="H214" t="s">
        <v>710</v>
      </c>
      <c r="I214" t="s">
        <v>399</v>
      </c>
      <c r="J214" t="s">
        <v>175</v>
      </c>
      <c r="K214" t="s">
        <v>349</v>
      </c>
      <c r="L214" t="str">
        <f>IFERROR(VLOOKUP(Tab_Naturezas_2[[#This Row],[Conta 4]],D_PlanoFinanceiro[Conta 4 (Atual],1,FALSE),"#CLASSIFICAR")</f>
        <v>Parcelamentos</v>
      </c>
    </row>
    <row r="215" spans="1:12" hidden="1" x14ac:dyDescent="0.25">
      <c r="A215" t="s">
        <v>163</v>
      </c>
      <c r="B215" t="s">
        <v>163</v>
      </c>
      <c r="C215" t="s">
        <v>163</v>
      </c>
      <c r="D215" t="s">
        <v>139</v>
      </c>
      <c r="E215" t="s">
        <v>502</v>
      </c>
      <c r="F215" t="s">
        <v>572</v>
      </c>
      <c r="G215" t="s">
        <v>707</v>
      </c>
      <c r="H215" t="s">
        <v>711</v>
      </c>
      <c r="I215" t="s">
        <v>399</v>
      </c>
      <c r="J215" t="s">
        <v>175</v>
      </c>
      <c r="K215" t="s">
        <v>349</v>
      </c>
      <c r="L215" t="str">
        <f>IFERROR(VLOOKUP(Tab_Naturezas_2[[#This Row],[Conta 4]],D_PlanoFinanceiro[Conta 4 (Atual],1,FALSE),"#CLASSIFICAR")</f>
        <v>Taxas - Ocupação</v>
      </c>
    </row>
    <row r="216" spans="1:12" hidden="1" x14ac:dyDescent="0.25">
      <c r="A216" t="s">
        <v>163</v>
      </c>
      <c r="B216" t="s">
        <v>163</v>
      </c>
      <c r="C216" t="s">
        <v>163</v>
      </c>
      <c r="D216" t="s">
        <v>412</v>
      </c>
      <c r="E216" t="s">
        <v>502</v>
      </c>
      <c r="F216" t="s">
        <v>712</v>
      </c>
      <c r="G216" t="s">
        <v>713</v>
      </c>
      <c r="H216" t="s">
        <v>714</v>
      </c>
      <c r="I216" t="s">
        <v>399</v>
      </c>
      <c r="J216" t="s">
        <v>411</v>
      </c>
      <c r="K216" t="s">
        <v>345</v>
      </c>
      <c r="L216" t="str">
        <f>IFERROR(VLOOKUP(Tab_Naturezas_2[[#This Row],[Conta 4]],D_PlanoFinanceiro[Conta 4 (Atual],1,FALSE),"#CLASSIFICAR")</f>
        <v>IOF</v>
      </c>
    </row>
    <row r="217" spans="1:12" hidden="1" x14ac:dyDescent="0.25">
      <c r="A217" t="s">
        <v>163</v>
      </c>
      <c r="B217" t="s">
        <v>163</v>
      </c>
      <c r="C217" t="s">
        <v>163</v>
      </c>
      <c r="D217" t="s">
        <v>413</v>
      </c>
      <c r="E217" t="s">
        <v>502</v>
      </c>
      <c r="F217" t="s">
        <v>712</v>
      </c>
      <c r="G217" t="s">
        <v>713</v>
      </c>
      <c r="H217" t="s">
        <v>715</v>
      </c>
      <c r="I217" t="s">
        <v>399</v>
      </c>
      <c r="J217" t="s">
        <v>411</v>
      </c>
      <c r="K217" t="s">
        <v>345</v>
      </c>
      <c r="L217" t="str">
        <f>IFERROR(VLOOKUP(Tab_Naturezas_2[[#This Row],[Conta 4]],D_PlanoFinanceiro[Conta 4 (Atual],1,FALSE),"#CLASSIFICAR")</f>
        <v>TED/DOC</v>
      </c>
    </row>
    <row r="218" spans="1:12" hidden="1" x14ac:dyDescent="0.25">
      <c r="A218" t="s">
        <v>163</v>
      </c>
      <c r="B218" t="s">
        <v>163</v>
      </c>
      <c r="C218" t="s">
        <v>163</v>
      </c>
      <c r="D218" t="s">
        <v>57</v>
      </c>
      <c r="E218" t="s">
        <v>502</v>
      </c>
      <c r="F218" t="s">
        <v>712</v>
      </c>
      <c r="G218" t="s">
        <v>713</v>
      </c>
      <c r="H218" t="s">
        <v>716</v>
      </c>
      <c r="I218" t="s">
        <v>399</v>
      </c>
      <c r="J218" t="s">
        <v>411</v>
      </c>
      <c r="K218" t="s">
        <v>345</v>
      </c>
      <c r="L218" t="str">
        <f>IFERROR(VLOOKUP(Tab_Naturezas_2[[#This Row],[Conta 4]],D_PlanoFinanceiro[Conta 4 (Atual],1,FALSE),"#CLASSIFICAR")</f>
        <v>Despesas Bancárias</v>
      </c>
    </row>
    <row r="219" spans="1:12" hidden="1" x14ac:dyDescent="0.25">
      <c r="A219" t="s">
        <v>163</v>
      </c>
      <c r="B219" t="s">
        <v>163</v>
      </c>
      <c r="C219" t="s">
        <v>163</v>
      </c>
      <c r="D219" t="s">
        <v>346</v>
      </c>
      <c r="E219" t="s">
        <v>502</v>
      </c>
      <c r="F219" t="s">
        <v>712</v>
      </c>
      <c r="G219" t="s">
        <v>713</v>
      </c>
      <c r="H219" t="s">
        <v>717</v>
      </c>
      <c r="I219" t="s">
        <v>399</v>
      </c>
      <c r="J219" t="s">
        <v>411</v>
      </c>
      <c r="K219" t="s">
        <v>345</v>
      </c>
      <c r="L219" t="str">
        <f>IFERROR(VLOOKUP(Tab_Naturezas_2[[#This Row],[Conta 4]],D_PlanoFinanceiro[Conta 4 (Atual],1,FALSE),"#CLASSIFICAR")</f>
        <v>Juros sobre Emprestimos</v>
      </c>
    </row>
    <row r="220" spans="1:12" hidden="1" x14ac:dyDescent="0.25">
      <c r="A220" t="s">
        <v>163</v>
      </c>
      <c r="B220" t="s">
        <v>163</v>
      </c>
      <c r="C220" t="s">
        <v>163</v>
      </c>
      <c r="D220" t="s">
        <v>414</v>
      </c>
      <c r="E220" t="s">
        <v>502</v>
      </c>
      <c r="F220" t="s">
        <v>712</v>
      </c>
      <c r="G220" t="s">
        <v>713</v>
      </c>
      <c r="H220" t="s">
        <v>718</v>
      </c>
      <c r="I220" t="s">
        <v>399</v>
      </c>
      <c r="J220" t="s">
        <v>411</v>
      </c>
      <c r="K220" t="s">
        <v>345</v>
      </c>
      <c r="L220" t="str">
        <f>IFERROR(VLOOKUP(Tab_Naturezas_2[[#This Row],[Conta 4]],D_PlanoFinanceiro[Conta 4 (Atual],1,FALSE),"#CLASSIFICAR")</f>
        <v>Despesas Com Cobrança</v>
      </c>
    </row>
    <row r="221" spans="1:12" hidden="1" x14ac:dyDescent="0.25">
      <c r="A221" t="s">
        <v>163</v>
      </c>
      <c r="B221" t="s">
        <v>163</v>
      </c>
      <c r="C221" t="s">
        <v>163</v>
      </c>
      <c r="D221" t="s">
        <v>347</v>
      </c>
      <c r="E221" t="s">
        <v>502</v>
      </c>
      <c r="F221" t="s">
        <v>712</v>
      </c>
      <c r="G221" t="s">
        <v>713</v>
      </c>
      <c r="H221" t="s">
        <v>719</v>
      </c>
      <c r="I221" t="s">
        <v>399</v>
      </c>
      <c r="J221" t="s">
        <v>411</v>
      </c>
      <c r="K221" t="s">
        <v>345</v>
      </c>
      <c r="L221" t="str">
        <f>IFERROR(VLOOKUP(Tab_Naturezas_2[[#This Row],[Conta 4]],D_PlanoFinanceiro[Conta 4 (Atual],1,FALSE),"#CLASSIFICAR")</f>
        <v>Debito por Recebimento indevido</v>
      </c>
    </row>
    <row r="222" spans="1:12" hidden="1" x14ac:dyDescent="0.25">
      <c r="A222" t="s">
        <v>163</v>
      </c>
      <c r="B222" t="s">
        <v>163</v>
      </c>
      <c r="C222" t="s">
        <v>163</v>
      </c>
      <c r="D222" t="s">
        <v>351</v>
      </c>
      <c r="E222" t="s">
        <v>502</v>
      </c>
      <c r="F222" t="s">
        <v>712</v>
      </c>
      <c r="G222" t="s">
        <v>713</v>
      </c>
      <c r="H222" t="s">
        <v>720</v>
      </c>
      <c r="I222" t="s">
        <v>399</v>
      </c>
      <c r="J222" t="s">
        <v>411</v>
      </c>
      <c r="K222" t="s">
        <v>345</v>
      </c>
      <c r="L222" t="str">
        <f>IFERROR(VLOOKUP(Tab_Naturezas_2[[#This Row],[Conta 4]],D_PlanoFinanceiro[Conta 4 (Atual],1,FALSE),"#CLASSIFICAR")</f>
        <v>Juros sobre Financiamentos</v>
      </c>
    </row>
    <row r="223" spans="1:12" hidden="1" x14ac:dyDescent="0.25">
      <c r="A223" t="s">
        <v>163</v>
      </c>
      <c r="B223" t="s">
        <v>163</v>
      </c>
      <c r="C223" t="s">
        <v>163</v>
      </c>
      <c r="D223" t="s">
        <v>74</v>
      </c>
      <c r="E223" t="s">
        <v>502</v>
      </c>
      <c r="F223" t="s">
        <v>712</v>
      </c>
      <c r="G223" t="s">
        <v>713</v>
      </c>
      <c r="H223" t="s">
        <v>721</v>
      </c>
      <c r="I223" t="s">
        <v>399</v>
      </c>
      <c r="J223" t="s">
        <v>411</v>
      </c>
      <c r="K223" t="s">
        <v>345</v>
      </c>
      <c r="L223" t="str">
        <f>IFERROR(VLOOKUP(Tab_Naturezas_2[[#This Row],[Conta 4]],D_PlanoFinanceiro[Conta 4 (Atual],1,FALSE),"#CLASSIFICAR")</f>
        <v>Debito Indevido</v>
      </c>
    </row>
    <row r="224" spans="1:12" hidden="1" x14ac:dyDescent="0.25">
      <c r="A224" t="s">
        <v>163</v>
      </c>
      <c r="B224" t="s">
        <v>163</v>
      </c>
      <c r="C224" t="s">
        <v>163</v>
      </c>
      <c r="D224" t="s">
        <v>427</v>
      </c>
      <c r="E224" t="s">
        <v>502</v>
      </c>
      <c r="F224" t="s">
        <v>712</v>
      </c>
      <c r="G224" t="s">
        <v>713</v>
      </c>
      <c r="H224" t="s">
        <v>722</v>
      </c>
      <c r="I224" t="s">
        <v>399</v>
      </c>
      <c r="J224" t="s">
        <v>411</v>
      </c>
      <c r="K224" t="s">
        <v>345</v>
      </c>
      <c r="L224" t="str">
        <f>IFERROR(VLOOKUP(Tab_Naturezas_2[[#This Row],[Conta 4]],D_PlanoFinanceiro[Conta 4 (Atual],1,FALSE),"#CLASSIFICAR")</f>
        <v>Tarifa Cartão de Crédito/Débito</v>
      </c>
    </row>
    <row r="225" spans="1:12" hidden="1" x14ac:dyDescent="0.25">
      <c r="A225" t="s">
        <v>163</v>
      </c>
      <c r="B225" t="s">
        <v>163</v>
      </c>
      <c r="C225" t="s">
        <v>163</v>
      </c>
      <c r="D225" t="s">
        <v>469</v>
      </c>
      <c r="E225" t="s">
        <v>502</v>
      </c>
      <c r="F225" t="s">
        <v>712</v>
      </c>
      <c r="G225" t="s">
        <v>713</v>
      </c>
      <c r="H225" t="s">
        <v>723</v>
      </c>
      <c r="I225" t="s">
        <v>399</v>
      </c>
      <c r="J225" t="s">
        <v>411</v>
      </c>
      <c r="K225" t="s">
        <v>345</v>
      </c>
      <c r="L225" t="str">
        <f>IFERROR(VLOOKUP(Tab_Naturezas_2[[#This Row],[Conta 4]],D_PlanoFinanceiro[Conta 4 (Atual],1,FALSE),"#CLASSIFICAR")</f>
        <v>Aluguel Máquina de Cartão</v>
      </c>
    </row>
    <row r="226" spans="1:12" hidden="1" x14ac:dyDescent="0.25">
      <c r="A226" t="s">
        <v>163</v>
      </c>
      <c r="B226" t="s">
        <v>163</v>
      </c>
      <c r="C226" t="s">
        <v>163</v>
      </c>
      <c r="D226" t="s">
        <v>469</v>
      </c>
      <c r="E226" t="s">
        <v>502</v>
      </c>
      <c r="F226" t="s">
        <v>712</v>
      </c>
      <c r="G226" t="s">
        <v>713</v>
      </c>
      <c r="H226" t="s">
        <v>723</v>
      </c>
      <c r="I226" t="s">
        <v>399</v>
      </c>
      <c r="J226" t="s">
        <v>411</v>
      </c>
      <c r="K226" t="s">
        <v>345</v>
      </c>
      <c r="L226" t="str">
        <f>IFERROR(VLOOKUP(Tab_Naturezas_2[[#This Row],[Conta 4]],D_PlanoFinanceiro[Conta 4 (Atual],1,FALSE),"#CLASSIFICAR")</f>
        <v>Aluguel Máquina de Cartão</v>
      </c>
    </row>
    <row r="227" spans="1:12" hidden="1" x14ac:dyDescent="0.25">
      <c r="A227" t="s">
        <v>163</v>
      </c>
      <c r="B227" t="s">
        <v>163</v>
      </c>
      <c r="C227" t="s">
        <v>163</v>
      </c>
      <c r="D227" t="s">
        <v>415</v>
      </c>
      <c r="E227" t="s">
        <v>502</v>
      </c>
      <c r="F227" t="s">
        <v>712</v>
      </c>
      <c r="G227" t="s">
        <v>724</v>
      </c>
      <c r="H227" t="s">
        <v>725</v>
      </c>
      <c r="I227" t="s">
        <v>399</v>
      </c>
      <c r="J227" t="s">
        <v>411</v>
      </c>
      <c r="K227" t="s">
        <v>352</v>
      </c>
      <c r="L227" t="str">
        <f>IFERROR(VLOOKUP(Tab_Naturezas_2[[#This Row],[Conta 4]],D_PlanoFinanceiro[Conta 4 (Atual],1,FALSE),"#CLASSIFICAR")</f>
        <v>Pagamento de Mútuo</v>
      </c>
    </row>
    <row r="228" spans="1:12" hidden="1" x14ac:dyDescent="0.25">
      <c r="A228" t="s">
        <v>163</v>
      </c>
      <c r="B228" t="s">
        <v>163</v>
      </c>
      <c r="C228" t="s">
        <v>163</v>
      </c>
      <c r="D228" t="s">
        <v>353</v>
      </c>
      <c r="E228" t="s">
        <v>502</v>
      </c>
      <c r="F228" t="s">
        <v>712</v>
      </c>
      <c r="G228" t="s">
        <v>724</v>
      </c>
      <c r="H228" t="s">
        <v>726</v>
      </c>
      <c r="I228" t="s">
        <v>399</v>
      </c>
      <c r="J228" t="s">
        <v>411</v>
      </c>
      <c r="K228" t="s">
        <v>352</v>
      </c>
      <c r="L228" t="str">
        <f>IFERROR(VLOOKUP(Tab_Naturezas_2[[#This Row],[Conta 4]],D_PlanoFinanceiro[Conta 4 (Atual],1,FALSE),"#CLASSIFICAR")</f>
        <v>Pagamento de Empréstimo Bancário</v>
      </c>
    </row>
    <row r="229" spans="1:12" hidden="1" x14ac:dyDescent="0.25">
      <c r="A229" t="s">
        <v>163</v>
      </c>
      <c r="B229" t="s">
        <v>163</v>
      </c>
      <c r="C229" t="s">
        <v>163</v>
      </c>
      <c r="D229" t="s">
        <v>354</v>
      </c>
      <c r="E229" t="s">
        <v>502</v>
      </c>
      <c r="F229" t="s">
        <v>712</v>
      </c>
      <c r="G229" t="s">
        <v>724</v>
      </c>
      <c r="H229" t="s">
        <v>727</v>
      </c>
      <c r="I229" t="s">
        <v>399</v>
      </c>
      <c r="J229" t="s">
        <v>411</v>
      </c>
      <c r="K229" t="s">
        <v>352</v>
      </c>
      <c r="L229" t="str">
        <f>IFERROR(VLOOKUP(Tab_Naturezas_2[[#This Row],[Conta 4]],D_PlanoFinanceiro[Conta 4 (Atual],1,FALSE),"#CLASSIFICAR")</f>
        <v>Pagamento de Financiamento</v>
      </c>
    </row>
    <row r="230" spans="1:12" hidden="1" x14ac:dyDescent="0.25">
      <c r="A230" t="s">
        <v>163</v>
      </c>
      <c r="B230" t="s">
        <v>163</v>
      </c>
      <c r="C230" t="s">
        <v>163</v>
      </c>
      <c r="D230" t="s">
        <v>56</v>
      </c>
      <c r="E230" t="s">
        <v>502</v>
      </c>
      <c r="F230" t="s">
        <v>712</v>
      </c>
      <c r="G230" t="s">
        <v>724</v>
      </c>
      <c r="H230" t="s">
        <v>728</v>
      </c>
      <c r="I230" t="s">
        <v>399</v>
      </c>
      <c r="J230" t="s">
        <v>411</v>
      </c>
      <c r="K230" t="s">
        <v>352</v>
      </c>
      <c r="L230" t="str">
        <f>IFERROR(VLOOKUP(Tab_Naturezas_2[[#This Row],[Conta 4]],D_PlanoFinanceiro[Conta 4 (Atual],1,FALSE),"#CLASSIFICAR")</f>
        <v>Emprestimo a Terceiros</v>
      </c>
    </row>
    <row r="231" spans="1:12" hidden="1" x14ac:dyDescent="0.25">
      <c r="A231" t="s">
        <v>163</v>
      </c>
      <c r="B231" t="s">
        <v>163</v>
      </c>
      <c r="C231" t="s">
        <v>163</v>
      </c>
      <c r="D231" t="s">
        <v>126</v>
      </c>
      <c r="E231" t="s">
        <v>502</v>
      </c>
      <c r="F231" t="s">
        <v>712</v>
      </c>
      <c r="G231" t="s">
        <v>724</v>
      </c>
      <c r="H231" t="s">
        <v>729</v>
      </c>
      <c r="I231" t="s">
        <v>399</v>
      </c>
      <c r="J231" t="s">
        <v>411</v>
      </c>
      <c r="K231" t="s">
        <v>352</v>
      </c>
      <c r="L231" t="str">
        <f>IFERROR(VLOOKUP(Tab_Naturezas_2[[#This Row],[Conta 4]],D_PlanoFinanceiro[Conta 4 (Atual],1,FALSE),"#CLASSIFICAR")</f>
        <v>Pagamento Emprestimo</v>
      </c>
    </row>
    <row r="232" spans="1:12" hidden="1" x14ac:dyDescent="0.25">
      <c r="A232" t="s">
        <v>163</v>
      </c>
      <c r="B232" t="s">
        <v>163</v>
      </c>
      <c r="C232" t="s">
        <v>163</v>
      </c>
      <c r="D232" t="s">
        <v>368</v>
      </c>
      <c r="E232" t="s">
        <v>502</v>
      </c>
      <c r="F232" t="s">
        <v>712</v>
      </c>
      <c r="G232" t="s">
        <v>724</v>
      </c>
      <c r="H232" t="s">
        <v>730</v>
      </c>
      <c r="I232" t="s">
        <v>399</v>
      </c>
      <c r="J232" t="s">
        <v>411</v>
      </c>
      <c r="K232" t="s">
        <v>352</v>
      </c>
      <c r="L232" t="str">
        <f>IFERROR(VLOOKUP(Tab_Naturezas_2[[#This Row],[Conta 4]],D_PlanoFinanceiro[Conta 4 (Atual],1,FALSE),"#CLASSIFICAR")</f>
        <v>Despesas Emprestimos e Financiamentos</v>
      </c>
    </row>
    <row r="233" spans="1:12" hidden="1" x14ac:dyDescent="0.25">
      <c r="A233" t="s">
        <v>163</v>
      </c>
      <c r="B233" t="s">
        <v>163</v>
      </c>
      <c r="C233" t="s">
        <v>163</v>
      </c>
      <c r="D233" t="s">
        <v>92</v>
      </c>
      <c r="E233" t="s">
        <v>502</v>
      </c>
      <c r="F233" t="s">
        <v>712</v>
      </c>
      <c r="G233" t="s">
        <v>731</v>
      </c>
      <c r="H233" t="s">
        <v>732</v>
      </c>
      <c r="I233" t="s">
        <v>399</v>
      </c>
      <c r="J233" t="s">
        <v>411</v>
      </c>
      <c r="K233" t="s">
        <v>418</v>
      </c>
      <c r="L233" t="str">
        <f>IFERROR(VLOOKUP(Tab_Naturezas_2[[#This Row],[Conta 4]],D_PlanoFinanceiro[Conta 4 (Atual],1,FALSE),"#CLASSIFICAR")</f>
        <v>Aquisicao de Moveis e Utensilios</v>
      </c>
    </row>
    <row r="234" spans="1:12" hidden="1" x14ac:dyDescent="0.25">
      <c r="A234" t="s">
        <v>163</v>
      </c>
      <c r="B234" t="s">
        <v>163</v>
      </c>
      <c r="C234" t="s">
        <v>163</v>
      </c>
      <c r="D234" t="s">
        <v>419</v>
      </c>
      <c r="E234" t="s">
        <v>502</v>
      </c>
      <c r="F234" t="s">
        <v>712</v>
      </c>
      <c r="G234" t="s">
        <v>731</v>
      </c>
      <c r="H234" t="s">
        <v>733</v>
      </c>
      <c r="I234" t="s">
        <v>399</v>
      </c>
      <c r="J234" t="s">
        <v>411</v>
      </c>
      <c r="K234" t="s">
        <v>418</v>
      </c>
      <c r="L234" t="str">
        <f>IFERROR(VLOOKUP(Tab_Naturezas_2[[#This Row],[Conta 4]],D_PlanoFinanceiro[Conta 4 (Atual],1,FALSE),"#CLASSIFICAR")</f>
        <v>Aquisicao de Maquinas e Equipamentos</v>
      </c>
    </row>
    <row r="235" spans="1:12" hidden="1" x14ac:dyDescent="0.25">
      <c r="A235" t="s">
        <v>163</v>
      </c>
      <c r="B235" t="s">
        <v>163</v>
      </c>
      <c r="C235" t="s">
        <v>163</v>
      </c>
      <c r="D235" t="s">
        <v>129</v>
      </c>
      <c r="E235" t="s">
        <v>502</v>
      </c>
      <c r="F235" t="s">
        <v>712</v>
      </c>
      <c r="G235" t="s">
        <v>731</v>
      </c>
      <c r="H235" t="s">
        <v>734</v>
      </c>
      <c r="I235" t="s">
        <v>399</v>
      </c>
      <c r="J235" t="s">
        <v>411</v>
      </c>
      <c r="K235" t="s">
        <v>418</v>
      </c>
      <c r="L235" t="str">
        <f>IFERROR(VLOOKUP(Tab_Naturezas_2[[#This Row],[Conta 4]],D_PlanoFinanceiro[Conta 4 (Atual],1,FALSE),"#CLASSIFICAR")</f>
        <v>Aquisicao de Veiculos</v>
      </c>
    </row>
    <row r="236" spans="1:12" hidden="1" x14ac:dyDescent="0.25">
      <c r="A236" t="s">
        <v>163</v>
      </c>
      <c r="B236" t="s">
        <v>163</v>
      </c>
      <c r="C236" t="s">
        <v>163</v>
      </c>
      <c r="D236" t="s">
        <v>356</v>
      </c>
      <c r="E236" t="s">
        <v>502</v>
      </c>
      <c r="F236" t="s">
        <v>712</v>
      </c>
      <c r="G236" t="s">
        <v>731</v>
      </c>
      <c r="H236" t="s">
        <v>735</v>
      </c>
      <c r="I236" t="s">
        <v>399</v>
      </c>
      <c r="J236" t="s">
        <v>411</v>
      </c>
      <c r="K236" t="s">
        <v>418</v>
      </c>
      <c r="L236" t="str">
        <f>IFERROR(VLOOKUP(Tab_Naturezas_2[[#This Row],[Conta 4]],D_PlanoFinanceiro[Conta 4 (Atual],1,FALSE),"#CLASSIFICAR")</f>
        <v>Consorcios</v>
      </c>
    </row>
    <row r="237" spans="1:12" hidden="1" x14ac:dyDescent="0.25">
      <c r="A237" t="s">
        <v>163</v>
      </c>
      <c r="B237" t="s">
        <v>163</v>
      </c>
      <c r="C237" t="s">
        <v>163</v>
      </c>
      <c r="D237" t="s">
        <v>357</v>
      </c>
      <c r="E237" t="s">
        <v>502</v>
      </c>
      <c r="F237" t="s">
        <v>712</v>
      </c>
      <c r="G237" t="s">
        <v>731</v>
      </c>
      <c r="H237" t="s">
        <v>736</v>
      </c>
      <c r="I237" t="s">
        <v>399</v>
      </c>
      <c r="J237" t="s">
        <v>411</v>
      </c>
      <c r="K237" t="s">
        <v>418</v>
      </c>
      <c r="L237" t="str">
        <f>IFERROR(VLOOKUP(Tab_Naturezas_2[[#This Row],[Conta 4]],D_PlanoFinanceiro[Conta 4 (Atual],1,FALSE),"#CLASSIFICAR")</f>
        <v>Leasing</v>
      </c>
    </row>
    <row r="238" spans="1:12" hidden="1" x14ac:dyDescent="0.25">
      <c r="A238" t="s">
        <v>163</v>
      </c>
      <c r="B238" t="s">
        <v>163</v>
      </c>
      <c r="C238" t="s">
        <v>163</v>
      </c>
      <c r="D238" t="s">
        <v>91</v>
      </c>
      <c r="E238" t="s">
        <v>502</v>
      </c>
      <c r="F238" t="s">
        <v>712</v>
      </c>
      <c r="G238" t="s">
        <v>731</v>
      </c>
      <c r="H238" t="s">
        <v>737</v>
      </c>
      <c r="I238" t="s">
        <v>399</v>
      </c>
      <c r="J238" t="s">
        <v>411</v>
      </c>
      <c r="K238" t="s">
        <v>418</v>
      </c>
      <c r="L238" t="str">
        <f>IFERROR(VLOOKUP(Tab_Naturezas_2[[#This Row],[Conta 4]],D_PlanoFinanceiro[Conta 4 (Atual],1,FALSE),"#CLASSIFICAR")</f>
        <v>Aquisicao de Software</v>
      </c>
    </row>
    <row r="239" spans="1:12" hidden="1" x14ac:dyDescent="0.25">
      <c r="A239" t="s">
        <v>163</v>
      </c>
      <c r="B239" t="s">
        <v>163</v>
      </c>
      <c r="C239" t="s">
        <v>163</v>
      </c>
      <c r="D239" t="s">
        <v>420</v>
      </c>
      <c r="E239" t="s">
        <v>502</v>
      </c>
      <c r="F239" t="s">
        <v>712</v>
      </c>
      <c r="G239" t="s">
        <v>731</v>
      </c>
      <c r="H239" t="s">
        <v>738</v>
      </c>
      <c r="I239" t="s">
        <v>399</v>
      </c>
      <c r="J239" t="s">
        <v>411</v>
      </c>
      <c r="K239" t="s">
        <v>418</v>
      </c>
      <c r="L239" t="str">
        <f>IFERROR(VLOOKUP(Tab_Naturezas_2[[#This Row],[Conta 4]],D_PlanoFinanceiro[Conta 4 (Atual],1,FALSE),"#CLASSIFICAR")</f>
        <v>Imoveis  (terrenos, salas, lotes)</v>
      </c>
    </row>
    <row r="240" spans="1:12" hidden="1" x14ac:dyDescent="0.25">
      <c r="A240" t="s">
        <v>163</v>
      </c>
      <c r="B240" t="s">
        <v>163</v>
      </c>
      <c r="C240" t="s">
        <v>163</v>
      </c>
      <c r="D240" t="s">
        <v>358</v>
      </c>
      <c r="E240" t="s">
        <v>502</v>
      </c>
      <c r="F240" t="s">
        <v>712</v>
      </c>
      <c r="G240" t="s">
        <v>731</v>
      </c>
      <c r="H240" t="s">
        <v>739</v>
      </c>
      <c r="I240" t="s">
        <v>399</v>
      </c>
      <c r="J240" t="s">
        <v>411</v>
      </c>
      <c r="K240" t="s">
        <v>418</v>
      </c>
      <c r="L240" t="str">
        <f>IFERROR(VLOOKUP(Tab_Naturezas_2[[#This Row],[Conta 4]],D_PlanoFinanceiro[Conta 4 (Atual],1,FALSE),"#CLASSIFICAR")</f>
        <v>Estruturas Comerciais (paineis, outdoor)</v>
      </c>
    </row>
    <row r="241" spans="1:12" hidden="1" x14ac:dyDescent="0.25">
      <c r="A241" t="s">
        <v>163</v>
      </c>
      <c r="B241" t="s">
        <v>163</v>
      </c>
      <c r="C241" t="s">
        <v>163</v>
      </c>
      <c r="D241" t="s">
        <v>90</v>
      </c>
      <c r="E241" t="s">
        <v>502</v>
      </c>
      <c r="F241" t="s">
        <v>712</v>
      </c>
      <c r="G241" t="s">
        <v>731</v>
      </c>
      <c r="H241" t="s">
        <v>740</v>
      </c>
      <c r="I241" t="s">
        <v>399</v>
      </c>
      <c r="J241" t="s">
        <v>411</v>
      </c>
      <c r="K241" t="s">
        <v>418</v>
      </c>
      <c r="L241" t="str">
        <f>IFERROR(VLOOKUP(Tab_Naturezas_2[[#This Row],[Conta 4]],D_PlanoFinanceiro[Conta 4 (Atual],1,FALSE),"#CLASSIFICAR")</f>
        <v>Computadores e Periféricos</v>
      </c>
    </row>
    <row r="242" spans="1:12" hidden="1" x14ac:dyDescent="0.25">
      <c r="A242" t="s">
        <v>163</v>
      </c>
      <c r="B242" t="s">
        <v>163</v>
      </c>
      <c r="C242" t="s">
        <v>163</v>
      </c>
      <c r="D242" t="s">
        <v>110</v>
      </c>
      <c r="E242" t="s">
        <v>502</v>
      </c>
      <c r="F242" t="s">
        <v>712</v>
      </c>
      <c r="G242" t="s">
        <v>731</v>
      </c>
      <c r="H242" t="s">
        <v>741</v>
      </c>
      <c r="I242" t="s">
        <v>399</v>
      </c>
      <c r="J242" t="s">
        <v>411</v>
      </c>
      <c r="K242" t="s">
        <v>418</v>
      </c>
      <c r="L242" t="str">
        <f>IFERROR(VLOOKUP(Tab_Naturezas_2[[#This Row],[Conta 4]],D_PlanoFinanceiro[Conta 4 (Atual],1,FALSE),"#CLASSIFICAR")</f>
        <v>Marcas e Patentes</v>
      </c>
    </row>
    <row r="243" spans="1:12" hidden="1" x14ac:dyDescent="0.25">
      <c r="A243" t="s">
        <v>163</v>
      </c>
      <c r="B243" t="s">
        <v>163</v>
      </c>
      <c r="C243" t="s">
        <v>163</v>
      </c>
      <c r="D243" t="s">
        <v>155</v>
      </c>
      <c r="E243" t="s">
        <v>502</v>
      </c>
      <c r="F243" t="s">
        <v>712</v>
      </c>
      <c r="G243" t="s">
        <v>742</v>
      </c>
      <c r="H243" t="s">
        <v>743</v>
      </c>
      <c r="I243" t="s">
        <v>399</v>
      </c>
      <c r="J243" t="s">
        <v>411</v>
      </c>
      <c r="K243" t="s">
        <v>421</v>
      </c>
      <c r="L243" t="str">
        <f>IFERROR(VLOOKUP(Tab_Naturezas_2[[#This Row],[Conta 4]],D_PlanoFinanceiro[Conta 4 (Atual],1,FALSE),"#CLASSIFICAR")</f>
        <v>Benfeitorias em Imóveis de Terceiros</v>
      </c>
    </row>
    <row r="244" spans="1:12" hidden="1" x14ac:dyDescent="0.25">
      <c r="A244" t="s">
        <v>163</v>
      </c>
      <c r="B244" t="s">
        <v>163</v>
      </c>
      <c r="C244" t="s">
        <v>163</v>
      </c>
      <c r="D244" t="s">
        <v>422</v>
      </c>
      <c r="E244" t="s">
        <v>502</v>
      </c>
      <c r="F244" t="s">
        <v>712</v>
      </c>
      <c r="G244" t="s">
        <v>742</v>
      </c>
      <c r="H244" t="s">
        <v>744</v>
      </c>
      <c r="I244" t="s">
        <v>399</v>
      </c>
      <c r="J244" t="s">
        <v>411</v>
      </c>
      <c r="K244" t="s">
        <v>421</v>
      </c>
      <c r="L244" t="str">
        <f>IFERROR(VLOOKUP(Tab_Naturezas_2[[#This Row],[Conta 4]],D_PlanoFinanceiro[Conta 4 (Atual],1,FALSE),"#CLASSIFICAR")</f>
        <v>Benfeitorias em Imóveis Próprios</v>
      </c>
    </row>
    <row r="245" spans="1:12" hidden="1" x14ac:dyDescent="0.25">
      <c r="A245" t="s">
        <v>163</v>
      </c>
      <c r="B245" t="s">
        <v>163</v>
      </c>
      <c r="C245" t="s">
        <v>163</v>
      </c>
      <c r="D245" t="s">
        <v>361</v>
      </c>
      <c r="E245" t="s">
        <v>502</v>
      </c>
      <c r="F245" t="s">
        <v>712</v>
      </c>
      <c r="G245" t="s">
        <v>745</v>
      </c>
      <c r="H245" t="s">
        <v>746</v>
      </c>
      <c r="I245" t="s">
        <v>399</v>
      </c>
      <c r="J245" t="s">
        <v>411</v>
      </c>
      <c r="K245" t="s">
        <v>423</v>
      </c>
      <c r="L245" t="str">
        <f>IFERROR(VLOOKUP(Tab_Naturezas_2[[#This Row],[Conta 4]],D_PlanoFinanceiro[Conta 4 (Atual],1,FALSE),"#CLASSIFICAR")</f>
        <v>Aplicacao Financeira</v>
      </c>
    </row>
    <row r="246" spans="1:12" hidden="1" x14ac:dyDescent="0.25">
      <c r="A246" t="s">
        <v>163</v>
      </c>
      <c r="B246" t="s">
        <v>163</v>
      </c>
      <c r="C246" t="s">
        <v>163</v>
      </c>
      <c r="D246" t="s">
        <v>362</v>
      </c>
      <c r="E246" t="s">
        <v>502</v>
      </c>
      <c r="F246" t="s">
        <v>712</v>
      </c>
      <c r="G246" t="s">
        <v>745</v>
      </c>
      <c r="H246" t="s">
        <v>747</v>
      </c>
      <c r="I246" t="s">
        <v>399</v>
      </c>
      <c r="J246" t="s">
        <v>411</v>
      </c>
      <c r="K246" t="s">
        <v>423</v>
      </c>
      <c r="L246" t="str">
        <f>IFERROR(VLOOKUP(Tab_Naturezas_2[[#This Row],[Conta 4]],D_PlanoFinanceiro[Conta 4 (Atual],1,FALSE),"#CLASSIFICAR")</f>
        <v>Ações</v>
      </c>
    </row>
    <row r="247" spans="1:12" hidden="1" x14ac:dyDescent="0.25">
      <c r="A247" t="s">
        <v>163</v>
      </c>
      <c r="B247" t="s">
        <v>163</v>
      </c>
      <c r="C247" t="s">
        <v>163</v>
      </c>
      <c r="D247" t="s">
        <v>463</v>
      </c>
      <c r="E247" t="s">
        <v>502</v>
      </c>
      <c r="F247" t="s">
        <v>712</v>
      </c>
      <c r="G247" t="s">
        <v>748</v>
      </c>
      <c r="H247" t="s">
        <v>748</v>
      </c>
      <c r="I247" t="s">
        <v>399</v>
      </c>
      <c r="J247" t="s">
        <v>411</v>
      </c>
      <c r="K247" t="s">
        <v>463</v>
      </c>
      <c r="L247" t="str">
        <f>IFERROR(VLOOKUP(Tab_Naturezas_2[[#This Row],[Conta 4]],D_PlanoFinanceiro[Conta 4 (Atual],1,FALSE),"#CLASSIFICAR")</f>
        <v>Controle Permuta Avulsa</v>
      </c>
    </row>
    <row r="248" spans="1:12" hidden="1" x14ac:dyDescent="0.25">
      <c r="A248" t="s">
        <v>163</v>
      </c>
      <c r="B248" t="s">
        <v>163</v>
      </c>
      <c r="C248" t="s">
        <v>163</v>
      </c>
      <c r="D248" t="s">
        <v>385</v>
      </c>
      <c r="E248" t="s">
        <v>502</v>
      </c>
      <c r="F248" t="s">
        <v>749</v>
      </c>
      <c r="G248" t="s">
        <v>749</v>
      </c>
      <c r="H248" t="s">
        <v>750</v>
      </c>
      <c r="I248" t="s">
        <v>399</v>
      </c>
      <c r="J248" t="s">
        <v>384</v>
      </c>
      <c r="K248" t="s">
        <v>384</v>
      </c>
      <c r="L248" t="str">
        <f>IFERROR(VLOOKUP(Tab_Naturezas_2[[#This Row],[Conta 4]],D_PlanoFinanceiro[Conta 4 (Atual],1,FALSE),"#CLASSIFICAR")</f>
        <v>Engenheiro/ Arquiteto</v>
      </c>
    </row>
    <row r="249" spans="1:12" x14ac:dyDescent="0.25">
      <c r="A249" t="s">
        <v>163</v>
      </c>
      <c r="B249" t="s">
        <v>163</v>
      </c>
      <c r="C249" t="s">
        <v>4</v>
      </c>
      <c r="D249" t="s">
        <v>369</v>
      </c>
      <c r="E249" t="s">
        <v>751</v>
      </c>
      <c r="F249" t="s">
        <v>751</v>
      </c>
      <c r="G249" t="s">
        <v>751</v>
      </c>
      <c r="H249" t="s">
        <v>751</v>
      </c>
      <c r="I249" t="s">
        <v>369</v>
      </c>
      <c r="J249" t="s">
        <v>369</v>
      </c>
      <c r="K249" t="s">
        <v>369</v>
      </c>
      <c r="L249" t="str">
        <f>IFERROR(VLOOKUP(Tab_Naturezas_2[[#This Row],[Conta 4]],D_PlanoFinanceiro[Conta 4 (Atual],1,FALSE),"#CLASSIFICAR")</f>
        <v>#CLASSIFICAR</v>
      </c>
    </row>
    <row r="250" spans="1:12" hidden="1" x14ac:dyDescent="0.25">
      <c r="A250" t="s">
        <v>163</v>
      </c>
      <c r="B250" t="s">
        <v>163</v>
      </c>
      <c r="C250" t="s">
        <v>163</v>
      </c>
      <c r="D250" t="s">
        <v>117</v>
      </c>
      <c r="E250" t="s">
        <v>752</v>
      </c>
      <c r="F250" t="s">
        <v>752</v>
      </c>
      <c r="G250" t="s">
        <v>752</v>
      </c>
      <c r="H250" t="s">
        <v>752</v>
      </c>
      <c r="I250" t="s">
        <v>117</v>
      </c>
      <c r="J250" t="s">
        <v>117</v>
      </c>
      <c r="K250" t="s">
        <v>117</v>
      </c>
      <c r="L250" t="str">
        <f>IFERROR(VLOOKUP(Tab_Naturezas_2[[#This Row],[Conta 4]],D_PlanoFinanceiro[Conta 4 (Atual],1,FALSE),"#CLASSIFICAR")</f>
        <v>Importação de XML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2384-8E41-4A2B-B958-945446078C23}">
  <dimension ref="A3:A16"/>
  <sheetViews>
    <sheetView showGridLines="0" zoomScale="130" zoomScaleNormal="130" workbookViewId="0">
      <selection activeCell="A11" activeCellId="1" sqref="A5:A6 A8:A11 A13 A15"/>
    </sheetView>
  </sheetViews>
  <sheetFormatPr defaultRowHeight="15" x14ac:dyDescent="0.25"/>
  <cols>
    <col min="1" max="1" width="44" bestFit="1" customWidth="1"/>
  </cols>
  <sheetData>
    <row r="3" spans="1:1" x14ac:dyDescent="0.25">
      <c r="A3" s="1" t="s">
        <v>164</v>
      </c>
    </row>
    <row r="4" spans="1:1" x14ac:dyDescent="0.25">
      <c r="A4" s="2" t="s">
        <v>396</v>
      </c>
    </row>
    <row r="5" spans="1:1" x14ac:dyDescent="0.25">
      <c r="A5" s="5" t="s">
        <v>300</v>
      </c>
    </row>
    <row r="6" spans="1:1" x14ac:dyDescent="0.25">
      <c r="A6" s="5" t="s">
        <v>397</v>
      </c>
    </row>
    <row r="7" spans="1:1" x14ac:dyDescent="0.25">
      <c r="A7" s="2" t="s">
        <v>399</v>
      </c>
    </row>
    <row r="8" spans="1:1" x14ac:dyDescent="0.25">
      <c r="A8" s="5" t="s">
        <v>175</v>
      </c>
    </row>
    <row r="9" spans="1:1" x14ac:dyDescent="0.25">
      <c r="A9" s="5" t="s">
        <v>429</v>
      </c>
    </row>
    <row r="10" spans="1:1" x14ac:dyDescent="0.25">
      <c r="A10" s="5" t="s">
        <v>384</v>
      </c>
    </row>
    <row r="11" spans="1:1" x14ac:dyDescent="0.25">
      <c r="A11" s="5" t="s">
        <v>411</v>
      </c>
    </row>
    <row r="12" spans="1:1" x14ac:dyDescent="0.25">
      <c r="A12" s="2" t="s">
        <v>369</v>
      </c>
    </row>
    <row r="13" spans="1:1" x14ac:dyDescent="0.25">
      <c r="A13" s="5" t="s">
        <v>369</v>
      </c>
    </row>
    <row r="14" spans="1:1" x14ac:dyDescent="0.25">
      <c r="A14" s="2" t="s">
        <v>117</v>
      </c>
    </row>
    <row r="15" spans="1:1" x14ac:dyDescent="0.25">
      <c r="A15" s="5" t="s">
        <v>117</v>
      </c>
    </row>
    <row r="16" spans="1:1" x14ac:dyDescent="0.25">
      <c r="A16" s="2" t="s">
        <v>165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65FC-4B20-4EBF-8823-7779A5E1C3AC}">
  <dimension ref="A1:R278"/>
  <sheetViews>
    <sheetView showGridLines="0" topLeftCell="F106" zoomScale="85" zoomScaleNormal="85" workbookViewId="0">
      <selection activeCell="L24" sqref="L24"/>
    </sheetView>
  </sheetViews>
  <sheetFormatPr defaultRowHeight="15" x14ac:dyDescent="0.25"/>
  <cols>
    <col min="1" max="3" width="16.7109375" bestFit="1" customWidth="1"/>
    <col min="4" max="4" width="16" bestFit="1" customWidth="1"/>
    <col min="5" max="5" width="18.140625" bestFit="1" customWidth="1"/>
    <col min="6" max="6" width="26.28515625" bestFit="1" customWidth="1"/>
    <col min="7" max="7" width="30.5703125" customWidth="1"/>
    <col min="8" max="8" width="32.85546875" customWidth="1"/>
    <col min="9" max="11" width="14.28515625" bestFit="1" customWidth="1"/>
    <col min="12" max="12" width="12.42578125" customWidth="1"/>
    <col min="13" max="13" width="34.42578125" bestFit="1" customWidth="1"/>
    <col min="14" max="14" width="30.5703125" customWidth="1"/>
    <col min="15" max="15" width="26.85546875" customWidth="1"/>
    <col min="16" max="16" width="41.42578125" customWidth="1"/>
    <col min="17" max="17" width="69.7109375" customWidth="1"/>
    <col min="18" max="18" width="33.28515625" customWidth="1"/>
  </cols>
  <sheetData>
    <row r="1" spans="1:18" x14ac:dyDescent="0.25">
      <c r="A1" s="15" t="s">
        <v>904</v>
      </c>
      <c r="B1" s="16" t="s">
        <v>905</v>
      </c>
      <c r="C1" s="16" t="s">
        <v>906</v>
      </c>
      <c r="D1" s="16" t="s">
        <v>907</v>
      </c>
      <c r="E1" s="3" t="s">
        <v>753</v>
      </c>
      <c r="F1" s="3" t="s">
        <v>754</v>
      </c>
      <c r="G1" s="3" t="s">
        <v>755</v>
      </c>
      <c r="H1" s="3" t="s">
        <v>756</v>
      </c>
      <c r="I1" t="s">
        <v>470</v>
      </c>
      <c r="J1" t="s">
        <v>471</v>
      </c>
      <c r="K1" t="s">
        <v>472</v>
      </c>
      <c r="L1" t="s">
        <v>473</v>
      </c>
      <c r="M1" t="s">
        <v>0</v>
      </c>
      <c r="N1" t="s">
        <v>1</v>
      </c>
      <c r="O1" t="s">
        <v>2</v>
      </c>
      <c r="P1" t="s">
        <v>3</v>
      </c>
      <c r="Q1" s="10" t="s">
        <v>166</v>
      </c>
      <c r="R1" s="10" t="s">
        <v>167</v>
      </c>
    </row>
    <row r="2" spans="1:18" x14ac:dyDescent="0.25">
      <c r="A2" t="s">
        <v>474</v>
      </c>
      <c r="B2" t="s">
        <v>475</v>
      </c>
      <c r="C2" t="s">
        <v>476</v>
      </c>
      <c r="D2" t="s">
        <v>477</v>
      </c>
      <c r="E2" t="s">
        <v>396</v>
      </c>
      <c r="F2" t="s">
        <v>300</v>
      </c>
      <c r="G2" t="s">
        <v>302</v>
      </c>
      <c r="H2" t="s">
        <v>16</v>
      </c>
      <c r="I2">
        <v>1</v>
      </c>
      <c r="J2" t="s">
        <v>1185</v>
      </c>
      <c r="K2" t="s">
        <v>1250</v>
      </c>
      <c r="M2" t="s">
        <v>168</v>
      </c>
      <c r="N2" t="s">
        <v>249</v>
      </c>
      <c r="O2" t="s">
        <v>1103</v>
      </c>
      <c r="P2" t="s">
        <v>16</v>
      </c>
      <c r="Q2" s="6" t="s">
        <v>899</v>
      </c>
      <c r="R2" t="str">
        <f>IF(D_PlanoFinanceiro[[#This Row],[Conta 4]]=D_PlanoFinanceiro[[#This Row],[Conta 4 (Atual]],"-","VALIDAR AJUSTE")</f>
        <v>-</v>
      </c>
    </row>
    <row r="3" spans="1:18" x14ac:dyDescent="0.25">
      <c r="A3" t="s">
        <v>474</v>
      </c>
      <c r="B3" t="s">
        <v>475</v>
      </c>
      <c r="C3" t="s">
        <v>476</v>
      </c>
      <c r="D3" t="s">
        <v>478</v>
      </c>
      <c r="E3" t="s">
        <v>396</v>
      </c>
      <c r="F3" t="s">
        <v>300</v>
      </c>
      <c r="G3" t="s">
        <v>302</v>
      </c>
      <c r="H3" t="s">
        <v>303</v>
      </c>
      <c r="I3">
        <v>1</v>
      </c>
      <c r="J3" t="s">
        <v>1185</v>
      </c>
      <c r="K3" t="s">
        <v>1257</v>
      </c>
      <c r="M3" t="s">
        <v>168</v>
      </c>
      <c r="N3" t="s">
        <v>249</v>
      </c>
      <c r="O3" t="s">
        <v>1102</v>
      </c>
      <c r="P3" t="s">
        <v>1154</v>
      </c>
      <c r="R3" t="str">
        <f>IF(D_PlanoFinanceiro[[#This Row],[Conta 4]]=D_PlanoFinanceiro[[#This Row],[Conta 4 (Atual]],"-","VALIDAR AJUSTE")</f>
        <v>-</v>
      </c>
    </row>
    <row r="4" spans="1:18" x14ac:dyDescent="0.25">
      <c r="A4" t="s">
        <v>474</v>
      </c>
      <c r="B4" t="s">
        <v>475</v>
      </c>
      <c r="C4" t="s">
        <v>476</v>
      </c>
      <c r="D4" t="s">
        <v>479</v>
      </c>
      <c r="E4" t="s">
        <v>396</v>
      </c>
      <c r="F4" t="s">
        <v>300</v>
      </c>
      <c r="G4" t="s">
        <v>302</v>
      </c>
      <c r="H4" t="s">
        <v>391</v>
      </c>
      <c r="I4">
        <v>1</v>
      </c>
      <c r="J4" t="s">
        <v>1185</v>
      </c>
      <c r="K4" t="s">
        <v>1257</v>
      </c>
      <c r="M4" t="s">
        <v>168</v>
      </c>
      <c r="N4" t="s">
        <v>249</v>
      </c>
      <c r="O4" t="s">
        <v>1102</v>
      </c>
      <c r="P4" t="s">
        <v>391</v>
      </c>
      <c r="R4" t="str">
        <f>IF(D_PlanoFinanceiro[[#This Row],[Conta 4]]=D_PlanoFinanceiro[[#This Row],[Conta 4 (Atual]],"-","VALIDAR AJUSTE")</f>
        <v>-</v>
      </c>
    </row>
    <row r="5" spans="1:18" x14ac:dyDescent="0.25">
      <c r="A5" t="s">
        <v>474</v>
      </c>
      <c r="B5" t="s">
        <v>475</v>
      </c>
      <c r="C5" t="s">
        <v>476</v>
      </c>
      <c r="D5" t="s">
        <v>482</v>
      </c>
      <c r="E5" t="s">
        <v>396</v>
      </c>
      <c r="F5" t="s">
        <v>300</v>
      </c>
      <c r="G5" t="s">
        <v>302</v>
      </c>
      <c r="H5" t="s">
        <v>365</v>
      </c>
      <c r="I5">
        <v>1</v>
      </c>
      <c r="J5" t="s">
        <v>1185</v>
      </c>
      <c r="K5" t="s">
        <v>1257</v>
      </c>
      <c r="M5" t="s">
        <v>168</v>
      </c>
      <c r="N5" t="s">
        <v>249</v>
      </c>
      <c r="O5" t="s">
        <v>1102</v>
      </c>
      <c r="P5" t="s">
        <v>1156</v>
      </c>
      <c r="R5" t="str">
        <f>IF(D_PlanoFinanceiro[[#This Row],[Conta 4]]=D_PlanoFinanceiro[[#This Row],[Conta 4 (Atual]],"-","VALIDAR AJUSTE")</f>
        <v>VALIDAR AJUSTE</v>
      </c>
    </row>
    <row r="6" spans="1:18" x14ac:dyDescent="0.25">
      <c r="A6" t="s">
        <v>474</v>
      </c>
      <c r="B6" t="s">
        <v>475</v>
      </c>
      <c r="C6" t="s">
        <v>476</v>
      </c>
      <c r="D6" t="s">
        <v>481</v>
      </c>
      <c r="E6" t="s">
        <v>396</v>
      </c>
      <c r="F6" t="s">
        <v>300</v>
      </c>
      <c r="G6" t="s">
        <v>302</v>
      </c>
      <c r="H6" t="s">
        <v>306</v>
      </c>
      <c r="I6">
        <v>1</v>
      </c>
      <c r="J6" t="s">
        <v>1185</v>
      </c>
      <c r="K6" t="s">
        <v>1258</v>
      </c>
      <c r="M6" t="s">
        <v>168</v>
      </c>
      <c r="N6" t="s">
        <v>249</v>
      </c>
      <c r="O6" t="s">
        <v>1101</v>
      </c>
      <c r="P6" t="s">
        <v>1155</v>
      </c>
      <c r="R6" t="str">
        <f>IF(D_PlanoFinanceiro[[#This Row],[Conta 4]]=D_PlanoFinanceiro[[#This Row],[Conta 4 (Atual]],"-","VALIDAR AJUSTE")</f>
        <v>-</v>
      </c>
    </row>
    <row r="7" spans="1:18" x14ac:dyDescent="0.25">
      <c r="A7" t="s">
        <v>474</v>
      </c>
      <c r="B7" t="s">
        <v>475</v>
      </c>
      <c r="C7" t="s">
        <v>476</v>
      </c>
      <c r="D7" t="s">
        <v>483</v>
      </c>
      <c r="E7" t="s">
        <v>396</v>
      </c>
      <c r="F7" t="s">
        <v>300</v>
      </c>
      <c r="G7" t="s">
        <v>302</v>
      </c>
      <c r="H7" t="s">
        <v>151</v>
      </c>
      <c r="I7">
        <v>1</v>
      </c>
      <c r="J7" t="s">
        <v>1185</v>
      </c>
      <c r="K7" t="s">
        <v>1254</v>
      </c>
      <c r="M7" t="s">
        <v>168</v>
      </c>
      <c r="N7" t="s">
        <v>249</v>
      </c>
      <c r="O7" t="s">
        <v>894</v>
      </c>
      <c r="P7" t="s">
        <v>1140</v>
      </c>
      <c r="R7" t="str">
        <f>IF(D_PlanoFinanceiro[[#This Row],[Conta 4]]=D_PlanoFinanceiro[[#This Row],[Conta 4 (Atual]],"-","VALIDAR AJUSTE")</f>
        <v>VALIDAR AJUSTE</v>
      </c>
    </row>
    <row r="8" spans="1:18" x14ac:dyDescent="0.25">
      <c r="I8">
        <v>1</v>
      </c>
      <c r="J8" t="s">
        <v>1185</v>
      </c>
      <c r="K8" t="s">
        <v>1254</v>
      </c>
      <c r="M8" t="s">
        <v>168</v>
      </c>
      <c r="N8" t="s">
        <v>249</v>
      </c>
      <c r="O8" t="s">
        <v>894</v>
      </c>
      <c r="P8" t="s">
        <v>901</v>
      </c>
      <c r="Q8" t="s">
        <v>1099</v>
      </c>
      <c r="R8" t="str">
        <f>IF(D_PlanoFinanceiro[[#This Row],[Conta 4]]=D_PlanoFinanceiro[[#This Row],[Conta 4 (Atual]],"-","VALIDAR AJUSTE")</f>
        <v>VALIDAR AJUSTE</v>
      </c>
    </row>
    <row r="9" spans="1:18" x14ac:dyDescent="0.25">
      <c r="I9">
        <v>1</v>
      </c>
      <c r="J9" t="s">
        <v>1185</v>
      </c>
      <c r="K9" t="s">
        <v>1254</v>
      </c>
      <c r="M9" t="s">
        <v>168</v>
      </c>
      <c r="N9" t="s">
        <v>249</v>
      </c>
      <c r="O9" t="s">
        <v>894</v>
      </c>
      <c r="P9" t="s">
        <v>895</v>
      </c>
      <c r="R9" t="str">
        <f>IF(D_PlanoFinanceiro[[#This Row],[Conta 4]]=D_PlanoFinanceiro[[#This Row],[Conta 4 (Atual]],"-","VALIDAR AJUSTE")</f>
        <v>VALIDAR AJUSTE</v>
      </c>
    </row>
    <row r="10" spans="1:18" x14ac:dyDescent="0.25">
      <c r="I10">
        <v>1</v>
      </c>
      <c r="J10" t="s">
        <v>1185</v>
      </c>
      <c r="K10" t="s">
        <v>1254</v>
      </c>
      <c r="M10" t="s">
        <v>168</v>
      </c>
      <c r="N10" t="s">
        <v>249</v>
      </c>
      <c r="O10" t="s">
        <v>894</v>
      </c>
      <c r="P10" t="s">
        <v>1143</v>
      </c>
      <c r="R10" t="str">
        <f>IF(D_PlanoFinanceiro[[#This Row],[Conta 4]]=D_PlanoFinanceiro[[#This Row],[Conta 4 (Atual]],"-","VALIDAR AJUSTE")</f>
        <v>VALIDAR AJUSTE</v>
      </c>
    </row>
    <row r="11" spans="1:18" x14ac:dyDescent="0.25">
      <c r="I11">
        <v>1</v>
      </c>
      <c r="J11" t="s">
        <v>1185</v>
      </c>
      <c r="K11" t="s">
        <v>1254</v>
      </c>
      <c r="M11" t="s">
        <v>168</v>
      </c>
      <c r="N11" t="s">
        <v>249</v>
      </c>
      <c r="O11" t="s">
        <v>894</v>
      </c>
      <c r="P11" t="s">
        <v>1144</v>
      </c>
      <c r="R11" t="str">
        <f>IF(D_PlanoFinanceiro[[#This Row],[Conta 4]]=D_PlanoFinanceiro[[#This Row],[Conta 4 (Atual]],"-","VALIDAR AJUSTE")</f>
        <v>VALIDAR AJUSTE</v>
      </c>
    </row>
    <row r="12" spans="1:18" x14ac:dyDescent="0.25">
      <c r="A12" t="s">
        <v>474</v>
      </c>
      <c r="B12" t="s">
        <v>475</v>
      </c>
      <c r="C12" t="s">
        <v>476</v>
      </c>
      <c r="D12" t="s">
        <v>480</v>
      </c>
      <c r="E12" t="s">
        <v>396</v>
      </c>
      <c r="F12" t="s">
        <v>300</v>
      </c>
      <c r="G12" t="s">
        <v>302</v>
      </c>
      <c r="H12" t="s">
        <v>135</v>
      </c>
      <c r="I12">
        <v>1</v>
      </c>
      <c r="J12" t="s">
        <v>1185</v>
      </c>
      <c r="K12" t="s">
        <v>1255</v>
      </c>
      <c r="M12" t="s">
        <v>168</v>
      </c>
      <c r="N12" t="s">
        <v>249</v>
      </c>
      <c r="O12" t="s">
        <v>898</v>
      </c>
      <c r="P12" t="s">
        <v>1141</v>
      </c>
      <c r="R12" t="str">
        <f>IF(D_PlanoFinanceiro[[#This Row],[Conta 4]]=D_PlanoFinanceiro[[#This Row],[Conta 4 (Atual]],"-","VALIDAR AJUSTE")</f>
        <v>VALIDAR AJUSTE</v>
      </c>
    </row>
    <row r="13" spans="1:18" x14ac:dyDescent="0.25">
      <c r="I13">
        <v>1</v>
      </c>
      <c r="J13" t="s">
        <v>1185</v>
      </c>
      <c r="K13" t="s">
        <v>1255</v>
      </c>
      <c r="M13" t="s">
        <v>168</v>
      </c>
      <c r="N13" t="s">
        <v>249</v>
      </c>
      <c r="O13" t="s">
        <v>898</v>
      </c>
      <c r="P13" t="s">
        <v>1145</v>
      </c>
      <c r="R13" t="str">
        <f>IF(D_PlanoFinanceiro[[#This Row],[Conta 4]]=D_PlanoFinanceiro[[#This Row],[Conta 4 (Atual]],"-","VALIDAR AJUSTE")</f>
        <v>VALIDAR AJUSTE</v>
      </c>
    </row>
    <row r="14" spans="1:18" x14ac:dyDescent="0.25">
      <c r="I14">
        <v>1</v>
      </c>
      <c r="J14" t="s">
        <v>1185</v>
      </c>
      <c r="K14" t="s">
        <v>1255</v>
      </c>
      <c r="M14" t="s">
        <v>168</v>
      </c>
      <c r="N14" t="s">
        <v>249</v>
      </c>
      <c r="O14" t="s">
        <v>898</v>
      </c>
      <c r="P14" t="s">
        <v>1146</v>
      </c>
      <c r="R14" t="str">
        <f>IF(D_PlanoFinanceiro[[#This Row],[Conta 4]]=D_PlanoFinanceiro[[#This Row],[Conta 4 (Atual]],"-","VALIDAR AJUSTE")</f>
        <v>VALIDAR AJUSTE</v>
      </c>
    </row>
    <row r="15" spans="1:18" x14ac:dyDescent="0.25">
      <c r="I15">
        <v>1</v>
      </c>
      <c r="J15" t="s">
        <v>1185</v>
      </c>
      <c r="K15" t="s">
        <v>1255</v>
      </c>
      <c r="M15" t="s">
        <v>168</v>
      </c>
      <c r="N15" t="s">
        <v>249</v>
      </c>
      <c r="O15" t="s">
        <v>898</v>
      </c>
      <c r="P15" t="s">
        <v>1147</v>
      </c>
      <c r="R15" t="str">
        <f>IF(D_PlanoFinanceiro[[#This Row],[Conta 4]]=D_PlanoFinanceiro[[#This Row],[Conta 4 (Atual]],"-","VALIDAR AJUSTE")</f>
        <v>VALIDAR AJUSTE</v>
      </c>
    </row>
    <row r="16" spans="1:18" x14ac:dyDescent="0.25">
      <c r="I16">
        <v>1</v>
      </c>
      <c r="J16" t="s">
        <v>1185</v>
      </c>
      <c r="K16" t="s">
        <v>1255</v>
      </c>
      <c r="M16" t="s">
        <v>168</v>
      </c>
      <c r="N16" t="s">
        <v>249</v>
      </c>
      <c r="O16" t="s">
        <v>898</v>
      </c>
      <c r="P16" t="s">
        <v>897</v>
      </c>
      <c r="Q16" t="s">
        <v>1099</v>
      </c>
      <c r="R16" t="str">
        <f>IF(D_PlanoFinanceiro[[#This Row],[Conta 4]]=D_PlanoFinanceiro[[#This Row],[Conta 4 (Atual]],"-","VALIDAR AJUSTE")</f>
        <v>VALIDAR AJUSTE</v>
      </c>
    </row>
    <row r="17" spans="1:18" x14ac:dyDescent="0.25">
      <c r="A17" t="s">
        <v>474</v>
      </c>
      <c r="B17" t="s">
        <v>484</v>
      </c>
      <c r="C17" t="s">
        <v>489</v>
      </c>
      <c r="D17" t="s">
        <v>497</v>
      </c>
      <c r="E17" t="s">
        <v>396</v>
      </c>
      <c r="F17" t="s">
        <v>397</v>
      </c>
      <c r="G17" t="s">
        <v>29</v>
      </c>
      <c r="H17" t="s">
        <v>71</v>
      </c>
      <c r="I17">
        <v>1</v>
      </c>
      <c r="J17" t="s">
        <v>1185</v>
      </c>
      <c r="K17" t="s">
        <v>1249</v>
      </c>
      <c r="M17" t="s">
        <v>168</v>
      </c>
      <c r="N17" t="s">
        <v>249</v>
      </c>
      <c r="O17" t="s">
        <v>1100</v>
      </c>
      <c r="P17" t="s">
        <v>250</v>
      </c>
      <c r="R17" t="str">
        <f>IF(D_PlanoFinanceiro[[#This Row],[Conta 4]]=D_PlanoFinanceiro[[#This Row],[Conta 4 (Atual]],"-","VALIDAR AJUSTE")</f>
        <v>VALIDAR AJUSTE</v>
      </c>
    </row>
    <row r="18" spans="1:18" x14ac:dyDescent="0.25">
      <c r="I18">
        <v>1</v>
      </c>
      <c r="J18" t="s">
        <v>1185</v>
      </c>
      <c r="K18" t="s">
        <v>1249</v>
      </c>
      <c r="M18" t="s">
        <v>168</v>
      </c>
      <c r="N18" t="s">
        <v>249</v>
      </c>
      <c r="O18" t="s">
        <v>1100</v>
      </c>
      <c r="P18" t="s">
        <v>265</v>
      </c>
      <c r="R18" t="str">
        <f>IF(D_PlanoFinanceiro[[#This Row],[Conta 4]]=D_PlanoFinanceiro[[#This Row],[Conta 4 (Atual]],"-","VALIDAR AJUSTE")</f>
        <v>VALIDAR AJUSTE</v>
      </c>
    </row>
    <row r="19" spans="1:18" x14ac:dyDescent="0.25">
      <c r="I19">
        <v>1</v>
      </c>
      <c r="J19" t="s">
        <v>1185</v>
      </c>
      <c r="K19" t="s">
        <v>1249</v>
      </c>
      <c r="M19" t="s">
        <v>168</v>
      </c>
      <c r="N19" t="s">
        <v>249</v>
      </c>
      <c r="O19" t="s">
        <v>1100</v>
      </c>
      <c r="P19" t="s">
        <v>896</v>
      </c>
      <c r="R19" t="str">
        <f>IF(D_PlanoFinanceiro[[#This Row],[Conta 4]]=D_PlanoFinanceiro[[#This Row],[Conta 4 (Atual]],"-","VALIDAR AJUSTE")</f>
        <v>VALIDAR AJUSTE</v>
      </c>
    </row>
    <row r="20" spans="1:18" x14ac:dyDescent="0.25">
      <c r="A20" t="s">
        <v>502</v>
      </c>
      <c r="B20" t="s">
        <v>572</v>
      </c>
      <c r="C20" t="s">
        <v>697</v>
      </c>
      <c r="D20" t="s">
        <v>702</v>
      </c>
      <c r="E20" t="s">
        <v>399</v>
      </c>
      <c r="F20" t="s">
        <v>175</v>
      </c>
      <c r="G20" t="s">
        <v>410</v>
      </c>
      <c r="H20" t="s">
        <v>147</v>
      </c>
      <c r="I20">
        <v>1</v>
      </c>
      <c r="J20" t="s">
        <v>1186</v>
      </c>
      <c r="K20" t="s">
        <v>1229</v>
      </c>
      <c r="L20" t="s">
        <v>1329</v>
      </c>
      <c r="M20" t="s">
        <v>168</v>
      </c>
      <c r="N20" t="s">
        <v>199</v>
      </c>
      <c r="O20" t="s">
        <v>199</v>
      </c>
      <c r="P20" t="s">
        <v>147</v>
      </c>
      <c r="R20" t="str">
        <f>IF(D_PlanoFinanceiro[[#This Row],[Conta 4]]=D_PlanoFinanceiro[[#This Row],[Conta 4 (Atual]],"-","VALIDAR AJUSTE")</f>
        <v>-</v>
      </c>
    </row>
    <row r="21" spans="1:18" x14ac:dyDescent="0.25">
      <c r="A21" t="s">
        <v>502</v>
      </c>
      <c r="B21" t="s">
        <v>572</v>
      </c>
      <c r="C21" t="s">
        <v>697</v>
      </c>
      <c r="D21" t="s">
        <v>698</v>
      </c>
      <c r="E21" t="s">
        <v>399</v>
      </c>
      <c r="F21" t="s">
        <v>175</v>
      </c>
      <c r="G21" t="s">
        <v>410</v>
      </c>
      <c r="H21" t="s">
        <v>103</v>
      </c>
      <c r="I21">
        <v>1</v>
      </c>
      <c r="J21" t="s">
        <v>1186</v>
      </c>
      <c r="K21" t="s">
        <v>1229</v>
      </c>
      <c r="L21" t="s">
        <v>1330</v>
      </c>
      <c r="M21" t="s">
        <v>168</v>
      </c>
      <c r="N21" t="s">
        <v>199</v>
      </c>
      <c r="O21" t="s">
        <v>199</v>
      </c>
      <c r="P21" t="s">
        <v>103</v>
      </c>
      <c r="R21" t="str">
        <f>IF(D_PlanoFinanceiro[[#This Row],[Conta 4]]=D_PlanoFinanceiro[[#This Row],[Conta 4 (Atual]],"-","VALIDAR AJUSTE")</f>
        <v>-</v>
      </c>
    </row>
    <row r="22" spans="1:18" x14ac:dyDescent="0.25">
      <c r="A22" t="s">
        <v>502</v>
      </c>
      <c r="B22" t="s">
        <v>572</v>
      </c>
      <c r="C22" t="s">
        <v>697</v>
      </c>
      <c r="D22" t="s">
        <v>699</v>
      </c>
      <c r="E22" t="s">
        <v>399</v>
      </c>
      <c r="F22" t="s">
        <v>175</v>
      </c>
      <c r="G22" t="s">
        <v>410</v>
      </c>
      <c r="H22" t="s">
        <v>104</v>
      </c>
      <c r="I22">
        <v>1</v>
      </c>
      <c r="J22" t="s">
        <v>1186</v>
      </c>
      <c r="K22" t="s">
        <v>1229</v>
      </c>
      <c r="L22" t="s">
        <v>1331</v>
      </c>
      <c r="M22" t="s">
        <v>168</v>
      </c>
      <c r="N22" t="s">
        <v>199</v>
      </c>
      <c r="O22" t="s">
        <v>199</v>
      </c>
      <c r="P22" t="s">
        <v>104</v>
      </c>
      <c r="R22" t="str">
        <f>IF(D_PlanoFinanceiro[[#This Row],[Conta 4]]=D_PlanoFinanceiro[[#This Row],[Conta 4 (Atual]],"-","VALIDAR AJUSTE")</f>
        <v>-</v>
      </c>
    </row>
    <row r="23" spans="1:18" x14ac:dyDescent="0.25">
      <c r="A23" t="s">
        <v>502</v>
      </c>
      <c r="B23" t="s">
        <v>572</v>
      </c>
      <c r="C23" t="s">
        <v>697</v>
      </c>
      <c r="D23" t="s">
        <v>703</v>
      </c>
      <c r="E23" t="s">
        <v>399</v>
      </c>
      <c r="F23" t="s">
        <v>175</v>
      </c>
      <c r="G23" t="s">
        <v>410</v>
      </c>
      <c r="H23" t="s">
        <v>417</v>
      </c>
      <c r="I23">
        <v>1</v>
      </c>
      <c r="J23" t="s">
        <v>1186</v>
      </c>
      <c r="K23" t="s">
        <v>1229</v>
      </c>
      <c r="L23" t="s">
        <v>1332</v>
      </c>
      <c r="M23" t="s">
        <v>168</v>
      </c>
      <c r="N23" t="s">
        <v>199</v>
      </c>
      <c r="O23" t="s">
        <v>199</v>
      </c>
      <c r="P23" t="s">
        <v>417</v>
      </c>
      <c r="R23" t="str">
        <f>IF(D_PlanoFinanceiro[[#This Row],[Conta 4]]=D_PlanoFinanceiro[[#This Row],[Conta 4 (Atual]],"-","VALIDAR AJUSTE")</f>
        <v>-</v>
      </c>
    </row>
    <row r="24" spans="1:18" x14ac:dyDescent="0.25">
      <c r="A24" t="s">
        <v>502</v>
      </c>
      <c r="B24" t="s">
        <v>572</v>
      </c>
      <c r="C24" t="s">
        <v>697</v>
      </c>
      <c r="D24" t="s">
        <v>700</v>
      </c>
      <c r="E24" t="s">
        <v>399</v>
      </c>
      <c r="F24" t="s">
        <v>175</v>
      </c>
      <c r="G24" t="s">
        <v>410</v>
      </c>
      <c r="H24" t="s">
        <v>416</v>
      </c>
      <c r="I24">
        <v>1</v>
      </c>
      <c r="J24" t="s">
        <v>1186</v>
      </c>
      <c r="K24" t="s">
        <v>1229</v>
      </c>
      <c r="L24" t="s">
        <v>1333</v>
      </c>
      <c r="M24" t="s">
        <v>168</v>
      </c>
      <c r="N24" t="s">
        <v>199</v>
      </c>
      <c r="O24" t="s">
        <v>199</v>
      </c>
      <c r="P24" t="s">
        <v>416</v>
      </c>
      <c r="R24" t="str">
        <f>IF(D_PlanoFinanceiro[[#This Row],[Conta 4]]=D_PlanoFinanceiro[[#This Row],[Conta 4 (Atual]],"-","VALIDAR AJUSTE")</f>
        <v>-</v>
      </c>
    </row>
    <row r="25" spans="1:18" x14ac:dyDescent="0.25">
      <c r="A25" t="s">
        <v>502</v>
      </c>
      <c r="B25" t="s">
        <v>503</v>
      </c>
      <c r="C25" t="s">
        <v>512</v>
      </c>
      <c r="D25" t="s">
        <v>519</v>
      </c>
      <c r="E25" t="s">
        <v>399</v>
      </c>
      <c r="F25" t="s">
        <v>429</v>
      </c>
      <c r="G25" t="s">
        <v>315</v>
      </c>
      <c r="H25" t="s">
        <v>152</v>
      </c>
      <c r="I25">
        <v>1</v>
      </c>
      <c r="J25" t="s">
        <v>1187</v>
      </c>
      <c r="K25" t="s">
        <v>1235</v>
      </c>
      <c r="M25" t="s">
        <v>168</v>
      </c>
      <c r="N25" t="s">
        <v>1105</v>
      </c>
      <c r="O25" t="s">
        <v>1108</v>
      </c>
      <c r="P25" t="s">
        <v>1132</v>
      </c>
      <c r="Q25" s="6" t="s">
        <v>909</v>
      </c>
      <c r="R25" t="str">
        <f>IF(D_PlanoFinanceiro[[#This Row],[Conta 4]]=D_PlanoFinanceiro[[#This Row],[Conta 4 (Atual]],"-","VALIDAR AJUSTE")</f>
        <v>-</v>
      </c>
    </row>
    <row r="26" spans="1:18" x14ac:dyDescent="0.25">
      <c r="A26" t="s">
        <v>502</v>
      </c>
      <c r="B26" t="s">
        <v>503</v>
      </c>
      <c r="C26" t="s">
        <v>512</v>
      </c>
      <c r="D26" t="s">
        <v>514</v>
      </c>
      <c r="E26" t="s">
        <v>399</v>
      </c>
      <c r="F26" t="s">
        <v>429</v>
      </c>
      <c r="G26" t="s">
        <v>315</v>
      </c>
      <c r="H26" t="s">
        <v>431</v>
      </c>
      <c r="I26">
        <v>1</v>
      </c>
      <c r="J26" t="s">
        <v>1187</v>
      </c>
      <c r="K26" t="s">
        <v>1235</v>
      </c>
      <c r="M26" t="s">
        <v>168</v>
      </c>
      <c r="N26" t="s">
        <v>1105</v>
      </c>
      <c r="O26" t="s">
        <v>1108</v>
      </c>
      <c r="P26" t="s">
        <v>1158</v>
      </c>
      <c r="R26" t="str">
        <f>IF(D_PlanoFinanceiro[[#This Row],[Conta 4]]=D_PlanoFinanceiro[[#This Row],[Conta 4 (Atual]],"-","VALIDAR AJUSTE")</f>
        <v>VALIDAR AJUSTE</v>
      </c>
    </row>
    <row r="27" spans="1:18" x14ac:dyDescent="0.25">
      <c r="A27" t="s">
        <v>502</v>
      </c>
      <c r="B27" t="s">
        <v>503</v>
      </c>
      <c r="C27" t="s">
        <v>512</v>
      </c>
      <c r="D27" t="s">
        <v>515</v>
      </c>
      <c r="E27" t="s">
        <v>399</v>
      </c>
      <c r="F27" t="s">
        <v>429</v>
      </c>
      <c r="G27" t="s">
        <v>315</v>
      </c>
      <c r="H27" t="s">
        <v>432</v>
      </c>
      <c r="I27">
        <v>1</v>
      </c>
      <c r="J27" t="s">
        <v>1187</v>
      </c>
      <c r="K27" t="s">
        <v>1235</v>
      </c>
      <c r="M27" t="s">
        <v>168</v>
      </c>
      <c r="N27" t="s">
        <v>1105</v>
      </c>
      <c r="O27" t="s">
        <v>1108</v>
      </c>
      <c r="P27" t="s">
        <v>1159</v>
      </c>
      <c r="R27" t="str">
        <f>IF(D_PlanoFinanceiro[[#This Row],[Conta 4]]=D_PlanoFinanceiro[[#This Row],[Conta 4 (Atual]],"-","VALIDAR AJUSTE")</f>
        <v>VALIDAR AJUSTE</v>
      </c>
    </row>
    <row r="28" spans="1:18" x14ac:dyDescent="0.25">
      <c r="A28" t="s">
        <v>502</v>
      </c>
      <c r="B28" t="s">
        <v>503</v>
      </c>
      <c r="C28" t="s">
        <v>512</v>
      </c>
      <c r="D28" t="s">
        <v>516</v>
      </c>
      <c r="E28" t="s">
        <v>399</v>
      </c>
      <c r="F28" t="s">
        <v>429</v>
      </c>
      <c r="G28" t="s">
        <v>315</v>
      </c>
      <c r="H28" t="s">
        <v>433</v>
      </c>
      <c r="I28">
        <v>1</v>
      </c>
      <c r="J28" t="s">
        <v>1187</v>
      </c>
      <c r="K28" t="s">
        <v>1235</v>
      </c>
      <c r="M28" t="s">
        <v>168</v>
      </c>
      <c r="N28" t="s">
        <v>1105</v>
      </c>
      <c r="O28" t="s">
        <v>1108</v>
      </c>
      <c r="P28" t="s">
        <v>433</v>
      </c>
      <c r="R28" t="str">
        <f>IF(D_PlanoFinanceiro[[#This Row],[Conta 4]]=D_PlanoFinanceiro[[#This Row],[Conta 4 (Atual]],"-","VALIDAR AJUSTE")</f>
        <v>-</v>
      </c>
    </row>
    <row r="29" spans="1:18" x14ac:dyDescent="0.25">
      <c r="A29" t="s">
        <v>502</v>
      </c>
      <c r="B29" t="s">
        <v>503</v>
      </c>
      <c r="C29" t="s">
        <v>512</v>
      </c>
      <c r="D29" t="s">
        <v>517</v>
      </c>
      <c r="E29" t="s">
        <v>399</v>
      </c>
      <c r="F29" t="s">
        <v>429</v>
      </c>
      <c r="G29" t="s">
        <v>315</v>
      </c>
      <c r="H29" t="s">
        <v>434</v>
      </c>
      <c r="I29">
        <v>1</v>
      </c>
      <c r="J29" t="s">
        <v>1187</v>
      </c>
      <c r="K29" t="s">
        <v>1235</v>
      </c>
      <c r="M29" t="s">
        <v>168</v>
      </c>
      <c r="N29" t="s">
        <v>1105</v>
      </c>
      <c r="O29" t="s">
        <v>1108</v>
      </c>
      <c r="P29" t="s">
        <v>434</v>
      </c>
      <c r="R29" t="str">
        <f>IF(D_PlanoFinanceiro[[#This Row],[Conta 4]]=D_PlanoFinanceiro[[#This Row],[Conta 4 (Atual]],"-","VALIDAR AJUSTE")</f>
        <v>-</v>
      </c>
    </row>
    <row r="30" spans="1:18" x14ac:dyDescent="0.25">
      <c r="A30" t="s">
        <v>502</v>
      </c>
      <c r="B30" t="s">
        <v>503</v>
      </c>
      <c r="C30" t="s">
        <v>512</v>
      </c>
      <c r="D30" t="s">
        <v>523</v>
      </c>
      <c r="E30" t="s">
        <v>399</v>
      </c>
      <c r="F30" t="s">
        <v>429</v>
      </c>
      <c r="G30" t="s">
        <v>315</v>
      </c>
      <c r="H30" t="s">
        <v>316</v>
      </c>
      <c r="I30">
        <v>1</v>
      </c>
      <c r="J30" t="s">
        <v>1187</v>
      </c>
      <c r="K30" t="s">
        <v>1235</v>
      </c>
      <c r="M30" t="s">
        <v>168</v>
      </c>
      <c r="N30" t="s">
        <v>1105</v>
      </c>
      <c r="O30" t="s">
        <v>1108</v>
      </c>
      <c r="P30" t="s">
        <v>316</v>
      </c>
      <c r="R30" t="str">
        <f>IF(D_PlanoFinanceiro[[#This Row],[Conta 4]]=D_PlanoFinanceiro[[#This Row],[Conta 4 (Atual]],"-","VALIDAR AJUSTE")</f>
        <v>-</v>
      </c>
    </row>
    <row r="31" spans="1:18" x14ac:dyDescent="0.25">
      <c r="A31" t="s">
        <v>502</v>
      </c>
      <c r="B31" t="s">
        <v>503</v>
      </c>
      <c r="C31" t="s">
        <v>512</v>
      </c>
      <c r="D31" t="s">
        <v>525</v>
      </c>
      <c r="E31" t="s">
        <v>399</v>
      </c>
      <c r="F31" t="s">
        <v>429</v>
      </c>
      <c r="G31" t="s">
        <v>315</v>
      </c>
      <c r="H31" t="s">
        <v>319</v>
      </c>
      <c r="I31">
        <v>1</v>
      </c>
      <c r="J31" t="s">
        <v>1187</v>
      </c>
      <c r="K31" t="s">
        <v>1235</v>
      </c>
      <c r="M31" t="s">
        <v>168</v>
      </c>
      <c r="N31" t="s">
        <v>1105</v>
      </c>
      <c r="O31" t="s">
        <v>1108</v>
      </c>
      <c r="P31" t="s">
        <v>319</v>
      </c>
      <c r="R31" t="str">
        <f>IF(D_PlanoFinanceiro[[#This Row],[Conta 4]]=D_PlanoFinanceiro[[#This Row],[Conta 4 (Atual]],"-","VALIDAR AJUSTE")</f>
        <v>-</v>
      </c>
    </row>
    <row r="32" spans="1:18" x14ac:dyDescent="0.25">
      <c r="A32" t="s">
        <v>502</v>
      </c>
      <c r="B32" t="s">
        <v>503</v>
      </c>
      <c r="C32" t="s">
        <v>512</v>
      </c>
      <c r="D32" t="s">
        <v>528</v>
      </c>
      <c r="E32" t="s">
        <v>399</v>
      </c>
      <c r="F32" t="s">
        <v>429</v>
      </c>
      <c r="G32" t="s">
        <v>315</v>
      </c>
      <c r="H32" t="s">
        <v>441</v>
      </c>
      <c r="I32">
        <v>1</v>
      </c>
      <c r="J32" t="s">
        <v>1187</v>
      </c>
      <c r="K32" t="s">
        <v>1235</v>
      </c>
      <c r="M32" t="s">
        <v>168</v>
      </c>
      <c r="N32" t="s">
        <v>1105</v>
      </c>
      <c r="O32" t="s">
        <v>1108</v>
      </c>
      <c r="P32" t="s">
        <v>441</v>
      </c>
      <c r="R32" t="str">
        <f>IF(D_PlanoFinanceiro[[#This Row],[Conta 4]]=D_PlanoFinanceiro[[#This Row],[Conta 4 (Atual]],"-","VALIDAR AJUSTE")</f>
        <v>-</v>
      </c>
    </row>
    <row r="33" spans="1:18" x14ac:dyDescent="0.25">
      <c r="A33" t="s">
        <v>502</v>
      </c>
      <c r="B33" t="s">
        <v>503</v>
      </c>
      <c r="C33" t="s">
        <v>512</v>
      </c>
      <c r="D33" t="s">
        <v>529</v>
      </c>
      <c r="E33" t="s">
        <v>399</v>
      </c>
      <c r="F33" t="s">
        <v>429</v>
      </c>
      <c r="G33" t="s">
        <v>315</v>
      </c>
      <c r="H33" t="s">
        <v>379</v>
      </c>
      <c r="I33">
        <v>1</v>
      </c>
      <c r="J33" t="s">
        <v>1187</v>
      </c>
      <c r="K33" t="s">
        <v>1235</v>
      </c>
      <c r="M33" t="s">
        <v>168</v>
      </c>
      <c r="N33" t="s">
        <v>1105</v>
      </c>
      <c r="O33" t="s">
        <v>1108</v>
      </c>
      <c r="P33" t="s">
        <v>1161</v>
      </c>
      <c r="R33" t="str">
        <f>IF(D_PlanoFinanceiro[[#This Row],[Conta 4]]=D_PlanoFinanceiro[[#This Row],[Conta 4 (Atual]],"-","VALIDAR AJUSTE")</f>
        <v>VALIDAR AJUSTE</v>
      </c>
    </row>
    <row r="34" spans="1:18" x14ac:dyDescent="0.25">
      <c r="A34" t="s">
        <v>502</v>
      </c>
      <c r="B34" t="s">
        <v>503</v>
      </c>
      <c r="C34" t="s">
        <v>512</v>
      </c>
      <c r="D34" t="s">
        <v>530</v>
      </c>
      <c r="E34" t="s">
        <v>399</v>
      </c>
      <c r="F34" t="s">
        <v>429</v>
      </c>
      <c r="G34" t="s">
        <v>315</v>
      </c>
      <c r="H34" t="s">
        <v>367</v>
      </c>
      <c r="I34">
        <v>1</v>
      </c>
      <c r="J34" t="s">
        <v>1187</v>
      </c>
      <c r="K34" t="s">
        <v>1235</v>
      </c>
      <c r="M34" t="s">
        <v>168</v>
      </c>
      <c r="N34" t="s">
        <v>1105</v>
      </c>
      <c r="O34" t="s">
        <v>1108</v>
      </c>
      <c r="P34" t="s">
        <v>1162</v>
      </c>
      <c r="R34" t="str">
        <f>IF(D_PlanoFinanceiro[[#This Row],[Conta 4]]=D_PlanoFinanceiro[[#This Row],[Conta 4 (Atual]],"-","VALIDAR AJUSTE")</f>
        <v>VALIDAR AJUSTE</v>
      </c>
    </row>
    <row r="35" spans="1:18" x14ac:dyDescent="0.25">
      <c r="A35" t="s">
        <v>502</v>
      </c>
      <c r="B35" t="s">
        <v>503</v>
      </c>
      <c r="C35" t="s">
        <v>559</v>
      </c>
      <c r="D35" t="s">
        <v>561</v>
      </c>
      <c r="E35" t="s">
        <v>399</v>
      </c>
      <c r="F35" t="s">
        <v>429</v>
      </c>
      <c r="G35" t="s">
        <v>326</v>
      </c>
      <c r="H35" t="s">
        <v>328</v>
      </c>
      <c r="I35">
        <v>1</v>
      </c>
      <c r="J35" t="s">
        <v>1187</v>
      </c>
      <c r="K35" t="s">
        <v>1235</v>
      </c>
      <c r="M35" t="s">
        <v>168</v>
      </c>
      <c r="N35" t="s">
        <v>1105</v>
      </c>
      <c r="O35" t="s">
        <v>1108</v>
      </c>
      <c r="P35" t="s">
        <v>328</v>
      </c>
      <c r="R35" t="str">
        <f>IF(D_PlanoFinanceiro[[#This Row],[Conta 4]]=D_PlanoFinanceiro[[#This Row],[Conta 4 (Atual]],"-","VALIDAR AJUSTE")</f>
        <v>-</v>
      </c>
    </row>
    <row r="36" spans="1:18" x14ac:dyDescent="0.25">
      <c r="A36" t="s">
        <v>502</v>
      </c>
      <c r="B36" t="s">
        <v>503</v>
      </c>
      <c r="C36" t="s">
        <v>512</v>
      </c>
      <c r="D36" t="s">
        <v>520</v>
      </c>
      <c r="E36" t="s">
        <v>399</v>
      </c>
      <c r="F36" t="s">
        <v>429</v>
      </c>
      <c r="G36" t="s">
        <v>315</v>
      </c>
      <c r="H36" t="s">
        <v>403</v>
      </c>
      <c r="I36">
        <v>1</v>
      </c>
      <c r="J36" t="s">
        <v>1187</v>
      </c>
      <c r="K36" t="s">
        <v>1263</v>
      </c>
      <c r="M36" t="s">
        <v>168</v>
      </c>
      <c r="N36" t="s">
        <v>1105</v>
      </c>
      <c r="O36" t="s">
        <v>1104</v>
      </c>
      <c r="P36" t="s">
        <v>403</v>
      </c>
      <c r="R36" t="str">
        <f>IF(D_PlanoFinanceiro[[#This Row],[Conta 4]]=D_PlanoFinanceiro[[#This Row],[Conta 4 (Atual]],"-","VALIDAR AJUSTE")</f>
        <v>-</v>
      </c>
    </row>
    <row r="37" spans="1:18" x14ac:dyDescent="0.25">
      <c r="A37" t="s">
        <v>502</v>
      </c>
      <c r="B37" t="s">
        <v>503</v>
      </c>
      <c r="C37" t="s">
        <v>512</v>
      </c>
      <c r="D37" t="s">
        <v>521</v>
      </c>
      <c r="E37" t="s">
        <v>399</v>
      </c>
      <c r="F37" t="s">
        <v>429</v>
      </c>
      <c r="G37" t="s">
        <v>315</v>
      </c>
      <c r="H37" t="s">
        <v>438</v>
      </c>
      <c r="I37">
        <v>1</v>
      </c>
      <c r="J37" t="s">
        <v>1187</v>
      </c>
      <c r="K37" t="s">
        <v>1263</v>
      </c>
      <c r="M37" t="s">
        <v>168</v>
      </c>
      <c r="N37" t="s">
        <v>1105</v>
      </c>
      <c r="O37" t="s">
        <v>1104</v>
      </c>
      <c r="P37" t="s">
        <v>438</v>
      </c>
      <c r="R37" t="str">
        <f>IF(D_PlanoFinanceiro[[#This Row],[Conta 4]]=D_PlanoFinanceiro[[#This Row],[Conta 4 (Atual]],"-","VALIDAR AJUSTE")</f>
        <v>-</v>
      </c>
    </row>
    <row r="38" spans="1:18" x14ac:dyDescent="0.25">
      <c r="A38" t="s">
        <v>502</v>
      </c>
      <c r="B38" t="s">
        <v>503</v>
      </c>
      <c r="C38" t="s">
        <v>512</v>
      </c>
      <c r="D38" t="s">
        <v>522</v>
      </c>
      <c r="E38" t="s">
        <v>399</v>
      </c>
      <c r="F38" t="s">
        <v>429</v>
      </c>
      <c r="G38" t="s">
        <v>315</v>
      </c>
      <c r="H38" t="s">
        <v>405</v>
      </c>
      <c r="I38">
        <v>1</v>
      </c>
      <c r="J38" t="s">
        <v>1187</v>
      </c>
      <c r="K38" t="s">
        <v>1263</v>
      </c>
      <c r="M38" t="s">
        <v>168</v>
      </c>
      <c r="N38" t="s">
        <v>1105</v>
      </c>
      <c r="O38" t="s">
        <v>1104</v>
      </c>
      <c r="P38" t="s">
        <v>1160</v>
      </c>
      <c r="R38" t="str">
        <f>IF(D_PlanoFinanceiro[[#This Row],[Conta 4]]=D_PlanoFinanceiro[[#This Row],[Conta 4 (Atual]],"-","VALIDAR AJUSTE")</f>
        <v>-</v>
      </c>
    </row>
    <row r="39" spans="1:18" x14ac:dyDescent="0.25">
      <c r="A39" t="s">
        <v>502</v>
      </c>
      <c r="B39" t="s">
        <v>503</v>
      </c>
      <c r="C39" t="s">
        <v>512</v>
      </c>
      <c r="D39" t="s">
        <v>524</v>
      </c>
      <c r="E39" t="s">
        <v>399</v>
      </c>
      <c r="F39" t="s">
        <v>429</v>
      </c>
      <c r="G39" t="s">
        <v>315</v>
      </c>
      <c r="H39" t="s">
        <v>318</v>
      </c>
      <c r="I39">
        <v>1</v>
      </c>
      <c r="J39" t="s">
        <v>1187</v>
      </c>
      <c r="K39" t="s">
        <v>1263</v>
      </c>
      <c r="M39" t="s">
        <v>168</v>
      </c>
      <c r="N39" t="s">
        <v>1105</v>
      </c>
      <c r="O39" t="s">
        <v>1104</v>
      </c>
      <c r="P39" t="s">
        <v>318</v>
      </c>
      <c r="R39" t="str">
        <f>IF(D_PlanoFinanceiro[[#This Row],[Conta 4]]=D_PlanoFinanceiro[[#This Row],[Conta 4 (Atual]],"-","VALIDAR AJUSTE")</f>
        <v>-</v>
      </c>
    </row>
    <row r="40" spans="1:18" x14ac:dyDescent="0.25">
      <c r="A40" t="s">
        <v>502</v>
      </c>
      <c r="B40" t="s">
        <v>503</v>
      </c>
      <c r="C40" t="s">
        <v>512</v>
      </c>
      <c r="D40" t="s">
        <v>539</v>
      </c>
      <c r="E40" t="s">
        <v>399</v>
      </c>
      <c r="F40" t="s">
        <v>429</v>
      </c>
      <c r="G40" t="s">
        <v>315</v>
      </c>
      <c r="H40" t="s">
        <v>467</v>
      </c>
      <c r="I40">
        <v>1</v>
      </c>
      <c r="J40" t="s">
        <v>1187</v>
      </c>
      <c r="K40" t="s">
        <v>1263</v>
      </c>
      <c r="M40" t="s">
        <v>168</v>
      </c>
      <c r="N40" t="s">
        <v>1105</v>
      </c>
      <c r="O40" t="s">
        <v>1104</v>
      </c>
      <c r="P40" t="s">
        <v>467</v>
      </c>
      <c r="R40" t="str">
        <f>IF(D_PlanoFinanceiro[[#This Row],[Conta 4]]=D_PlanoFinanceiro[[#This Row],[Conta 4 (Atual]],"-","VALIDAR AJUSTE")</f>
        <v>-</v>
      </c>
    </row>
    <row r="41" spans="1:18" x14ac:dyDescent="0.25">
      <c r="A41" t="s">
        <v>502</v>
      </c>
      <c r="B41" t="s">
        <v>503</v>
      </c>
      <c r="C41" t="s">
        <v>512</v>
      </c>
      <c r="D41" t="s">
        <v>540</v>
      </c>
      <c r="E41" t="s">
        <v>399</v>
      </c>
      <c r="F41" t="s">
        <v>429</v>
      </c>
      <c r="G41" t="s">
        <v>315</v>
      </c>
      <c r="H41" t="s">
        <v>468</v>
      </c>
      <c r="I41">
        <v>1</v>
      </c>
      <c r="J41" t="s">
        <v>1187</v>
      </c>
      <c r="K41" t="s">
        <v>1263</v>
      </c>
      <c r="M41" t="s">
        <v>168</v>
      </c>
      <c r="N41" t="s">
        <v>1105</v>
      </c>
      <c r="O41" t="s">
        <v>1104</v>
      </c>
      <c r="P41" t="s">
        <v>468</v>
      </c>
      <c r="R41" t="str">
        <f>IF(D_PlanoFinanceiro[[#This Row],[Conta 4]]=D_PlanoFinanceiro[[#This Row],[Conta 4 (Atual]],"-","VALIDAR AJUSTE")</f>
        <v>-</v>
      </c>
    </row>
    <row r="42" spans="1:18" x14ac:dyDescent="0.25">
      <c r="A42" t="s">
        <v>502</v>
      </c>
      <c r="B42" t="s">
        <v>503</v>
      </c>
      <c r="C42" t="s">
        <v>559</v>
      </c>
      <c r="D42" t="s">
        <v>560</v>
      </c>
      <c r="E42" t="s">
        <v>399</v>
      </c>
      <c r="F42" t="s">
        <v>429</v>
      </c>
      <c r="G42" t="s">
        <v>326</v>
      </c>
      <c r="H42" t="s">
        <v>327</v>
      </c>
      <c r="I42">
        <v>1</v>
      </c>
      <c r="J42" t="s">
        <v>1187</v>
      </c>
      <c r="K42" t="s">
        <v>1263</v>
      </c>
      <c r="M42" t="s">
        <v>168</v>
      </c>
      <c r="N42" t="s">
        <v>1105</v>
      </c>
      <c r="O42" t="s">
        <v>1104</v>
      </c>
      <c r="P42" t="s">
        <v>327</v>
      </c>
      <c r="R42" t="str">
        <f>IF(D_PlanoFinanceiro[[#This Row],[Conta 4]]=D_PlanoFinanceiro[[#This Row],[Conta 4 (Atual]],"-","VALIDAR AJUSTE")</f>
        <v>-</v>
      </c>
    </row>
    <row r="43" spans="1:18" x14ac:dyDescent="0.25">
      <c r="A43" t="s">
        <v>502</v>
      </c>
      <c r="B43" t="s">
        <v>503</v>
      </c>
      <c r="C43" t="s">
        <v>504</v>
      </c>
      <c r="D43" t="s">
        <v>505</v>
      </c>
      <c r="E43" t="s">
        <v>399</v>
      </c>
      <c r="F43" t="s">
        <v>429</v>
      </c>
      <c r="G43" t="s">
        <v>430</v>
      </c>
      <c r="H43" t="s">
        <v>400</v>
      </c>
      <c r="I43">
        <v>1</v>
      </c>
      <c r="J43" t="s">
        <v>1188</v>
      </c>
      <c r="K43" t="s">
        <v>1261</v>
      </c>
      <c r="M43" t="s">
        <v>168</v>
      </c>
      <c r="N43" t="s">
        <v>1096</v>
      </c>
      <c r="O43" t="s">
        <v>430</v>
      </c>
      <c r="P43" t="s">
        <v>400</v>
      </c>
      <c r="R43" t="str">
        <f>IF(D_PlanoFinanceiro[[#This Row],[Conta 4]]=D_PlanoFinanceiro[[#This Row],[Conta 4 (Atual]],"-","VALIDAR AJUSTE")</f>
        <v>-</v>
      </c>
    </row>
    <row r="44" spans="1:18" x14ac:dyDescent="0.25">
      <c r="A44" t="s">
        <v>502</v>
      </c>
      <c r="B44" t="s">
        <v>503</v>
      </c>
      <c r="C44" t="s">
        <v>504</v>
      </c>
      <c r="D44" t="s">
        <v>506</v>
      </c>
      <c r="E44" t="s">
        <v>399</v>
      </c>
      <c r="F44" t="s">
        <v>429</v>
      </c>
      <c r="G44" t="s">
        <v>430</v>
      </c>
      <c r="H44" t="s">
        <v>401</v>
      </c>
      <c r="I44">
        <v>1</v>
      </c>
      <c r="J44" t="s">
        <v>1188</v>
      </c>
      <c r="K44" t="s">
        <v>1261</v>
      </c>
      <c r="M44" t="s">
        <v>168</v>
      </c>
      <c r="N44" t="s">
        <v>1096</v>
      </c>
      <c r="O44" t="s">
        <v>430</v>
      </c>
      <c r="P44" t="s">
        <v>401</v>
      </c>
      <c r="R44" t="str">
        <f>IF(D_PlanoFinanceiro[[#This Row],[Conta 4]]=D_PlanoFinanceiro[[#This Row],[Conta 4 (Atual]],"-","VALIDAR AJUSTE")</f>
        <v>-</v>
      </c>
    </row>
    <row r="45" spans="1:18" x14ac:dyDescent="0.25">
      <c r="A45" t="s">
        <v>502</v>
      </c>
      <c r="B45" t="s">
        <v>503</v>
      </c>
      <c r="C45" t="s">
        <v>504</v>
      </c>
      <c r="D45" t="s">
        <v>507</v>
      </c>
      <c r="E45" t="s">
        <v>399</v>
      </c>
      <c r="F45" t="s">
        <v>429</v>
      </c>
      <c r="G45" t="s">
        <v>430</v>
      </c>
      <c r="H45" t="s">
        <v>443</v>
      </c>
      <c r="I45">
        <v>1</v>
      </c>
      <c r="J45" t="s">
        <v>1188</v>
      </c>
      <c r="K45" t="s">
        <v>1261</v>
      </c>
      <c r="M45" t="s">
        <v>168</v>
      </c>
      <c r="N45" t="s">
        <v>1096</v>
      </c>
      <c r="O45" t="s">
        <v>430</v>
      </c>
      <c r="P45" t="s">
        <v>443</v>
      </c>
      <c r="R45" t="str">
        <f>IF(D_PlanoFinanceiro[[#This Row],[Conta 4]]=D_PlanoFinanceiro[[#This Row],[Conta 4 (Atual]],"-","VALIDAR AJUSTE")</f>
        <v>-</v>
      </c>
    </row>
    <row r="46" spans="1:18" x14ac:dyDescent="0.25">
      <c r="A46" t="s">
        <v>502</v>
      </c>
      <c r="B46" t="s">
        <v>503</v>
      </c>
      <c r="C46" t="s">
        <v>504</v>
      </c>
      <c r="D46" t="s">
        <v>508</v>
      </c>
      <c r="E46" t="s">
        <v>399</v>
      </c>
      <c r="F46" t="s">
        <v>429</v>
      </c>
      <c r="G46" t="s">
        <v>430</v>
      </c>
      <c r="H46" t="s">
        <v>448</v>
      </c>
      <c r="I46">
        <v>1</v>
      </c>
      <c r="J46" t="s">
        <v>1188</v>
      </c>
      <c r="K46" t="s">
        <v>1261</v>
      </c>
      <c r="M46" t="s">
        <v>168</v>
      </c>
      <c r="N46" t="s">
        <v>1096</v>
      </c>
      <c r="O46" t="s">
        <v>430</v>
      </c>
      <c r="P46" t="s">
        <v>448</v>
      </c>
      <c r="R46" t="str">
        <f>IF(D_PlanoFinanceiro[[#This Row],[Conta 4]]=D_PlanoFinanceiro[[#This Row],[Conta 4 (Atual]],"-","VALIDAR AJUSTE")</f>
        <v>-</v>
      </c>
    </row>
    <row r="47" spans="1:18" x14ac:dyDescent="0.25">
      <c r="A47" t="s">
        <v>502</v>
      </c>
      <c r="B47" t="s">
        <v>503</v>
      </c>
      <c r="C47" t="s">
        <v>509</v>
      </c>
      <c r="D47" t="s">
        <v>510</v>
      </c>
      <c r="E47" t="s">
        <v>399</v>
      </c>
      <c r="F47" t="s">
        <v>429</v>
      </c>
      <c r="G47" t="s">
        <v>402</v>
      </c>
      <c r="H47" t="s">
        <v>314</v>
      </c>
      <c r="I47">
        <v>1</v>
      </c>
      <c r="J47" t="s">
        <v>1189</v>
      </c>
      <c r="K47" t="s">
        <v>1262</v>
      </c>
      <c r="M47" t="s">
        <v>168</v>
      </c>
      <c r="N47" t="s">
        <v>908</v>
      </c>
      <c r="O47" t="s">
        <v>402</v>
      </c>
      <c r="P47" t="s">
        <v>314</v>
      </c>
      <c r="R47" t="str">
        <f>IF(D_PlanoFinanceiro[[#This Row],[Conta 4]]=D_PlanoFinanceiro[[#This Row],[Conta 4 (Atual]],"-","VALIDAR AJUSTE")</f>
        <v>-</v>
      </c>
    </row>
    <row r="48" spans="1:18" x14ac:dyDescent="0.25">
      <c r="A48" t="s">
        <v>502</v>
      </c>
      <c r="B48" t="s">
        <v>503</v>
      </c>
      <c r="C48" t="s">
        <v>509</v>
      </c>
      <c r="D48" t="s">
        <v>511</v>
      </c>
      <c r="E48" t="s">
        <v>399</v>
      </c>
      <c r="F48" t="s">
        <v>429</v>
      </c>
      <c r="G48" t="s">
        <v>402</v>
      </c>
      <c r="H48" t="s">
        <v>428</v>
      </c>
      <c r="I48">
        <v>1</v>
      </c>
      <c r="J48" t="s">
        <v>1189</v>
      </c>
      <c r="K48" t="s">
        <v>1262</v>
      </c>
      <c r="M48" t="s">
        <v>168</v>
      </c>
      <c r="N48" t="s">
        <v>908</v>
      </c>
      <c r="O48" t="s">
        <v>402</v>
      </c>
      <c r="P48" t="s">
        <v>428</v>
      </c>
      <c r="R48" t="str">
        <f>IF(D_PlanoFinanceiro[[#This Row],[Conta 4]]=D_PlanoFinanceiro[[#This Row],[Conta 4 (Atual]],"-","VALIDAR AJUSTE")</f>
        <v>-</v>
      </c>
    </row>
    <row r="49" spans="1:18" x14ac:dyDescent="0.25">
      <c r="A49" t="s">
        <v>502</v>
      </c>
      <c r="B49" t="s">
        <v>503</v>
      </c>
      <c r="C49" t="s">
        <v>549</v>
      </c>
      <c r="D49" t="s">
        <v>552</v>
      </c>
      <c r="E49" t="s">
        <v>399</v>
      </c>
      <c r="F49" t="s">
        <v>429</v>
      </c>
      <c r="G49" t="s">
        <v>325</v>
      </c>
      <c r="H49" t="s">
        <v>27</v>
      </c>
      <c r="I49">
        <v>1</v>
      </c>
      <c r="J49" t="s">
        <v>1190</v>
      </c>
      <c r="K49" t="s">
        <v>1218</v>
      </c>
      <c r="M49" t="s">
        <v>168</v>
      </c>
      <c r="N49" t="s">
        <v>920</v>
      </c>
      <c r="O49" t="s">
        <v>217</v>
      </c>
      <c r="P49" t="s">
        <v>27</v>
      </c>
      <c r="R49" t="str">
        <f>IF(D_PlanoFinanceiro[[#This Row],[Conta 4]]=D_PlanoFinanceiro[[#This Row],[Conta 4 (Atual]],"-","VALIDAR AJUSTE")</f>
        <v>-</v>
      </c>
    </row>
    <row r="50" spans="1:18" x14ac:dyDescent="0.25">
      <c r="A50" t="s">
        <v>502</v>
      </c>
      <c r="B50" t="s">
        <v>503</v>
      </c>
      <c r="C50" t="s">
        <v>549</v>
      </c>
      <c r="D50" t="s">
        <v>557</v>
      </c>
      <c r="E50" t="s">
        <v>399</v>
      </c>
      <c r="F50" t="s">
        <v>429</v>
      </c>
      <c r="G50" t="s">
        <v>325</v>
      </c>
      <c r="H50" t="s">
        <v>47</v>
      </c>
      <c r="I50">
        <v>1</v>
      </c>
      <c r="J50" t="s">
        <v>1190</v>
      </c>
      <c r="K50" t="s">
        <v>1218</v>
      </c>
      <c r="M50" t="s">
        <v>168</v>
      </c>
      <c r="N50" t="s">
        <v>920</v>
      </c>
      <c r="O50" t="s">
        <v>217</v>
      </c>
      <c r="P50" t="s">
        <v>47</v>
      </c>
      <c r="R50" t="str">
        <f>IF(D_PlanoFinanceiro[[#This Row],[Conta 4]]=D_PlanoFinanceiro[[#This Row],[Conta 4 (Atual]],"-","VALIDAR AJUSTE")</f>
        <v>-</v>
      </c>
    </row>
    <row r="51" spans="1:18" x14ac:dyDescent="0.25">
      <c r="A51" t="s">
        <v>502</v>
      </c>
      <c r="B51" t="s">
        <v>503</v>
      </c>
      <c r="C51" t="s">
        <v>549</v>
      </c>
      <c r="D51" t="s">
        <v>553</v>
      </c>
      <c r="E51" t="s">
        <v>399</v>
      </c>
      <c r="F51" t="s">
        <v>429</v>
      </c>
      <c r="G51" t="s">
        <v>325</v>
      </c>
      <c r="H51" t="s">
        <v>50</v>
      </c>
      <c r="I51">
        <v>1</v>
      </c>
      <c r="J51" t="s">
        <v>1190</v>
      </c>
      <c r="K51" t="s">
        <v>1218</v>
      </c>
      <c r="M51" t="s">
        <v>168</v>
      </c>
      <c r="N51" t="s">
        <v>920</v>
      </c>
      <c r="O51" t="s">
        <v>217</v>
      </c>
      <c r="P51" t="s">
        <v>227</v>
      </c>
      <c r="R51" t="str">
        <f>IF(D_PlanoFinanceiro[[#This Row],[Conta 4]]=D_PlanoFinanceiro[[#This Row],[Conta 4 (Atual]],"-","VALIDAR AJUSTE")</f>
        <v>VALIDAR AJUSTE</v>
      </c>
    </row>
    <row r="52" spans="1:18" x14ac:dyDescent="0.25">
      <c r="A52" t="s">
        <v>502</v>
      </c>
      <c r="B52" t="s">
        <v>503</v>
      </c>
      <c r="C52" t="s">
        <v>549</v>
      </c>
      <c r="D52" t="s">
        <v>550</v>
      </c>
      <c r="E52" t="s">
        <v>399</v>
      </c>
      <c r="F52" t="s">
        <v>429</v>
      </c>
      <c r="G52" t="s">
        <v>325</v>
      </c>
      <c r="H52" t="s">
        <v>77</v>
      </c>
      <c r="I52">
        <v>1</v>
      </c>
      <c r="J52" t="s">
        <v>1190</v>
      </c>
      <c r="K52" t="s">
        <v>1218</v>
      </c>
      <c r="M52" t="s">
        <v>168</v>
      </c>
      <c r="N52" t="s">
        <v>920</v>
      </c>
      <c r="O52" t="s">
        <v>217</v>
      </c>
      <c r="P52" t="s">
        <v>1138</v>
      </c>
      <c r="R52" t="str">
        <f>IF(D_PlanoFinanceiro[[#This Row],[Conta 4]]=D_PlanoFinanceiro[[#This Row],[Conta 4 (Atual]],"-","VALIDAR AJUSTE")</f>
        <v>VALIDAR AJUSTE</v>
      </c>
    </row>
    <row r="53" spans="1:18" x14ac:dyDescent="0.25">
      <c r="A53" t="s">
        <v>502</v>
      </c>
      <c r="B53" t="s">
        <v>503</v>
      </c>
      <c r="C53" t="s">
        <v>549</v>
      </c>
      <c r="D53" t="s">
        <v>551</v>
      </c>
      <c r="E53" t="s">
        <v>399</v>
      </c>
      <c r="F53" t="s">
        <v>429</v>
      </c>
      <c r="G53" t="s">
        <v>325</v>
      </c>
      <c r="H53" t="s">
        <v>116</v>
      </c>
      <c r="I53">
        <v>1</v>
      </c>
      <c r="J53" t="s">
        <v>1190</v>
      </c>
      <c r="K53" t="s">
        <v>1218</v>
      </c>
      <c r="M53" t="s">
        <v>168</v>
      </c>
      <c r="N53" t="s">
        <v>920</v>
      </c>
      <c r="O53" t="s">
        <v>217</v>
      </c>
      <c r="P53" t="s">
        <v>116</v>
      </c>
      <c r="R53" t="str">
        <f>IF(D_PlanoFinanceiro[[#This Row],[Conta 4]]=D_PlanoFinanceiro[[#This Row],[Conta 4 (Atual]],"-","VALIDAR AJUSTE")</f>
        <v>-</v>
      </c>
    </row>
    <row r="54" spans="1:18" x14ac:dyDescent="0.25">
      <c r="A54" t="s">
        <v>502</v>
      </c>
      <c r="B54" t="s">
        <v>572</v>
      </c>
      <c r="C54" t="s">
        <v>605</v>
      </c>
      <c r="D54" t="s">
        <v>625</v>
      </c>
      <c r="E54" t="s">
        <v>399</v>
      </c>
      <c r="F54" t="s">
        <v>175</v>
      </c>
      <c r="G54" t="s">
        <v>335</v>
      </c>
      <c r="H54" t="s">
        <v>95</v>
      </c>
      <c r="I54">
        <v>1</v>
      </c>
      <c r="J54" t="s">
        <v>1190</v>
      </c>
      <c r="K54" t="s">
        <v>1218</v>
      </c>
      <c r="M54" t="s">
        <v>168</v>
      </c>
      <c r="N54" t="s">
        <v>920</v>
      </c>
      <c r="O54" t="s">
        <v>217</v>
      </c>
      <c r="P54" t="s">
        <v>95</v>
      </c>
      <c r="Q54" s="6" t="s">
        <v>887</v>
      </c>
      <c r="R54" t="str">
        <f>IF(D_PlanoFinanceiro[[#This Row],[Conta 4]]=D_PlanoFinanceiro[[#This Row],[Conta 4 (Atual]],"-","VALIDAR AJUSTE")</f>
        <v>-</v>
      </c>
    </row>
    <row r="55" spans="1:18" x14ac:dyDescent="0.25">
      <c r="I55">
        <v>1</v>
      </c>
      <c r="J55" t="s">
        <v>1190</v>
      </c>
      <c r="K55" t="s">
        <v>1218</v>
      </c>
      <c r="M55" t="s">
        <v>168</v>
      </c>
      <c r="N55" t="s">
        <v>920</v>
      </c>
      <c r="O55" t="s">
        <v>217</v>
      </c>
      <c r="P55" t="s">
        <v>900</v>
      </c>
      <c r="R55" t="str">
        <f>IF(D_PlanoFinanceiro[[#This Row],[Conta 4]]=D_PlanoFinanceiro[[#This Row],[Conta 4 (Atual]],"-","VALIDAR AJUSTE")</f>
        <v>VALIDAR AJUSTE</v>
      </c>
    </row>
    <row r="56" spans="1:18" x14ac:dyDescent="0.25">
      <c r="I56">
        <v>1</v>
      </c>
      <c r="J56" t="s">
        <v>1190</v>
      </c>
      <c r="K56" t="s">
        <v>1218</v>
      </c>
      <c r="M56" t="s">
        <v>168</v>
      </c>
      <c r="N56" t="s">
        <v>920</v>
      </c>
      <c r="O56" t="s">
        <v>217</v>
      </c>
      <c r="P56" t="s">
        <v>1148</v>
      </c>
      <c r="R56" t="str">
        <f>IF(D_PlanoFinanceiro[[#This Row],[Conta 4]]=D_PlanoFinanceiro[[#This Row],[Conta 4 (Atual]],"-","VALIDAR AJUSTE")</f>
        <v>VALIDAR AJUSTE</v>
      </c>
    </row>
    <row r="57" spans="1:18" x14ac:dyDescent="0.25">
      <c r="I57">
        <v>1</v>
      </c>
      <c r="J57" t="s">
        <v>1190</v>
      </c>
      <c r="K57" t="s">
        <v>1218</v>
      </c>
      <c r="M57" t="s">
        <v>168</v>
      </c>
      <c r="N57" t="s">
        <v>920</v>
      </c>
      <c r="O57" t="s">
        <v>217</v>
      </c>
      <c r="P57" t="s">
        <v>1112</v>
      </c>
      <c r="R57" t="str">
        <f>IF(D_PlanoFinanceiro[[#This Row],[Conta 4]]=D_PlanoFinanceiro[[#This Row],[Conta 4 (Atual]],"-","VALIDAR AJUSTE")</f>
        <v>VALIDAR AJUSTE</v>
      </c>
    </row>
    <row r="58" spans="1:18" x14ac:dyDescent="0.25">
      <c r="I58">
        <v>1</v>
      </c>
      <c r="J58" t="s">
        <v>1190</v>
      </c>
      <c r="K58" t="s">
        <v>1218</v>
      </c>
      <c r="M58" t="s">
        <v>168</v>
      </c>
      <c r="N58" t="s">
        <v>920</v>
      </c>
      <c r="O58" t="s">
        <v>217</v>
      </c>
      <c r="P58" t="s">
        <v>1149</v>
      </c>
      <c r="R58" t="str">
        <f>IF(D_PlanoFinanceiro[[#This Row],[Conta 4]]=D_PlanoFinanceiro[[#This Row],[Conta 4 (Atual]],"-","VALIDAR AJUSTE")</f>
        <v>VALIDAR AJUSTE</v>
      </c>
    </row>
    <row r="59" spans="1:18" x14ac:dyDescent="0.25">
      <c r="A59" t="s">
        <v>502</v>
      </c>
      <c r="B59" t="s">
        <v>503</v>
      </c>
      <c r="C59" t="s">
        <v>549</v>
      </c>
      <c r="D59" t="s">
        <v>558</v>
      </c>
      <c r="E59" t="s">
        <v>399</v>
      </c>
      <c r="F59" t="s">
        <v>429</v>
      </c>
      <c r="G59" t="s">
        <v>325</v>
      </c>
      <c r="H59" t="s">
        <v>425</v>
      </c>
      <c r="I59">
        <v>1</v>
      </c>
      <c r="J59" t="s">
        <v>1190</v>
      </c>
      <c r="K59" t="s">
        <v>1218</v>
      </c>
      <c r="M59" t="s">
        <v>168</v>
      </c>
      <c r="N59" t="s">
        <v>920</v>
      </c>
      <c r="O59" t="s">
        <v>217</v>
      </c>
      <c r="P59" t="s">
        <v>425</v>
      </c>
      <c r="R59" t="str">
        <f>IF(D_PlanoFinanceiro[[#This Row],[Conta 4]]=D_PlanoFinanceiro[[#This Row],[Conta 4 (Atual]],"-","VALIDAR AJUSTE")</f>
        <v>-</v>
      </c>
    </row>
    <row r="60" spans="1:18" x14ac:dyDescent="0.25">
      <c r="A60" t="s">
        <v>502</v>
      </c>
      <c r="B60" t="s">
        <v>572</v>
      </c>
      <c r="C60" t="s">
        <v>605</v>
      </c>
      <c r="D60" t="s">
        <v>622</v>
      </c>
      <c r="E60" t="s">
        <v>399</v>
      </c>
      <c r="F60" t="s">
        <v>175</v>
      </c>
      <c r="G60" t="s">
        <v>335</v>
      </c>
      <c r="H60" t="s">
        <v>38</v>
      </c>
      <c r="I60">
        <v>1</v>
      </c>
      <c r="J60" t="s">
        <v>1190</v>
      </c>
      <c r="K60" t="s">
        <v>1230</v>
      </c>
      <c r="M60" t="s">
        <v>168</v>
      </c>
      <c r="N60" t="s">
        <v>920</v>
      </c>
      <c r="O60" t="s">
        <v>207</v>
      </c>
      <c r="P60" t="s">
        <v>38</v>
      </c>
      <c r="R60" t="str">
        <f>IF(D_PlanoFinanceiro[[#This Row],[Conta 4]]=D_PlanoFinanceiro[[#This Row],[Conta 4 (Atual]],"-","VALIDAR AJUSTE")</f>
        <v>-</v>
      </c>
    </row>
    <row r="61" spans="1:18" x14ac:dyDescent="0.25">
      <c r="A61" t="s">
        <v>502</v>
      </c>
      <c r="B61" t="s">
        <v>572</v>
      </c>
      <c r="C61" t="s">
        <v>605</v>
      </c>
      <c r="D61" t="s">
        <v>620</v>
      </c>
      <c r="E61" t="s">
        <v>399</v>
      </c>
      <c r="F61" t="s">
        <v>175</v>
      </c>
      <c r="G61" t="s">
        <v>335</v>
      </c>
      <c r="H61" t="s">
        <v>51</v>
      </c>
      <c r="I61">
        <v>1</v>
      </c>
      <c r="J61" t="s">
        <v>1190</v>
      </c>
      <c r="K61" t="s">
        <v>1230</v>
      </c>
      <c r="M61" t="s">
        <v>168</v>
      </c>
      <c r="N61" t="s">
        <v>920</v>
      </c>
      <c r="O61" t="s">
        <v>207</v>
      </c>
      <c r="P61" t="s">
        <v>51</v>
      </c>
      <c r="R61" t="str">
        <f>IF(D_PlanoFinanceiro[[#This Row],[Conta 4]]=D_PlanoFinanceiro[[#This Row],[Conta 4 (Atual]],"-","VALIDAR AJUSTE")</f>
        <v>-</v>
      </c>
    </row>
    <row r="62" spans="1:18" x14ac:dyDescent="0.25">
      <c r="A62" t="s">
        <v>502</v>
      </c>
      <c r="B62" t="s">
        <v>572</v>
      </c>
      <c r="C62" t="s">
        <v>605</v>
      </c>
      <c r="D62" t="s">
        <v>626</v>
      </c>
      <c r="E62" t="s">
        <v>399</v>
      </c>
      <c r="F62" t="s">
        <v>175</v>
      </c>
      <c r="G62" t="s">
        <v>335</v>
      </c>
      <c r="H62" t="s">
        <v>447</v>
      </c>
      <c r="I62">
        <v>1</v>
      </c>
      <c r="J62" t="s">
        <v>1190</v>
      </c>
      <c r="K62" t="s">
        <v>1230</v>
      </c>
      <c r="M62" t="s">
        <v>168</v>
      </c>
      <c r="N62" t="s">
        <v>920</v>
      </c>
      <c r="O62" t="s">
        <v>207</v>
      </c>
      <c r="P62" t="s">
        <v>1173</v>
      </c>
      <c r="R62" t="str">
        <f>IF(D_PlanoFinanceiro[[#This Row],[Conta 4]]=D_PlanoFinanceiro[[#This Row],[Conta 4 (Atual]],"-","VALIDAR AJUSTE")</f>
        <v>VALIDAR AJUSTE</v>
      </c>
    </row>
    <row r="63" spans="1:18" x14ac:dyDescent="0.25">
      <c r="A63" t="s">
        <v>502</v>
      </c>
      <c r="B63" t="s">
        <v>572</v>
      </c>
      <c r="C63" t="s">
        <v>605</v>
      </c>
      <c r="D63" t="s">
        <v>627</v>
      </c>
      <c r="E63" t="s">
        <v>399</v>
      </c>
      <c r="F63" t="s">
        <v>175</v>
      </c>
      <c r="G63" t="s">
        <v>335</v>
      </c>
      <c r="H63" t="s">
        <v>371</v>
      </c>
      <c r="I63">
        <v>1</v>
      </c>
      <c r="J63" t="s">
        <v>1190</v>
      </c>
      <c r="K63" t="s">
        <v>1230</v>
      </c>
      <c r="M63" t="s">
        <v>168</v>
      </c>
      <c r="N63" t="s">
        <v>920</v>
      </c>
      <c r="O63" t="s">
        <v>207</v>
      </c>
      <c r="P63" t="s">
        <v>371</v>
      </c>
      <c r="R63" t="str">
        <f>IF(D_PlanoFinanceiro[[#This Row],[Conta 4]]=D_PlanoFinanceiro[[#This Row],[Conta 4 (Atual]],"-","VALIDAR AJUSTE")</f>
        <v>-</v>
      </c>
    </row>
    <row r="64" spans="1:18" x14ac:dyDescent="0.25">
      <c r="A64" t="s">
        <v>502</v>
      </c>
      <c r="B64" t="s">
        <v>503</v>
      </c>
      <c r="C64" t="s">
        <v>549</v>
      </c>
      <c r="D64" t="s">
        <v>555</v>
      </c>
      <c r="E64" t="s">
        <v>399</v>
      </c>
      <c r="F64" t="s">
        <v>429</v>
      </c>
      <c r="G64" t="s">
        <v>325</v>
      </c>
      <c r="H64" t="s">
        <v>41</v>
      </c>
      <c r="I64">
        <v>1</v>
      </c>
      <c r="J64" t="s">
        <v>1190</v>
      </c>
      <c r="K64" t="s">
        <v>1241</v>
      </c>
      <c r="M64" t="s">
        <v>168</v>
      </c>
      <c r="N64" t="s">
        <v>920</v>
      </c>
      <c r="O64" t="s">
        <v>230</v>
      </c>
      <c r="P64" t="s">
        <v>41</v>
      </c>
      <c r="R64" t="str">
        <f>IF(D_PlanoFinanceiro[[#This Row],[Conta 4]]=D_PlanoFinanceiro[[#This Row],[Conta 4 (Atual]],"-","VALIDAR AJUSTE")</f>
        <v>-</v>
      </c>
    </row>
    <row r="65" spans="1:18" x14ac:dyDescent="0.25">
      <c r="A65" t="s">
        <v>502</v>
      </c>
      <c r="B65" t="s">
        <v>503</v>
      </c>
      <c r="C65" t="s">
        <v>541</v>
      </c>
      <c r="D65" t="s">
        <v>543</v>
      </c>
      <c r="E65" t="s">
        <v>399</v>
      </c>
      <c r="F65" t="s">
        <v>429</v>
      </c>
      <c r="G65" t="s">
        <v>406</v>
      </c>
      <c r="H65" t="s">
        <v>67</v>
      </c>
      <c r="I65">
        <v>1</v>
      </c>
      <c r="J65" t="s">
        <v>1190</v>
      </c>
      <c r="K65" t="s">
        <v>1241</v>
      </c>
      <c r="M65" t="s">
        <v>168</v>
      </c>
      <c r="N65" t="s">
        <v>920</v>
      </c>
      <c r="O65" t="s">
        <v>230</v>
      </c>
      <c r="P65" t="s">
        <v>67</v>
      </c>
      <c r="R65" t="str">
        <f>IF(D_PlanoFinanceiro[[#This Row],[Conta 4]]=D_PlanoFinanceiro[[#This Row],[Conta 4 (Atual]],"-","VALIDAR AJUSTE")</f>
        <v>-</v>
      </c>
    </row>
    <row r="66" spans="1:18" x14ac:dyDescent="0.25">
      <c r="A66" t="s">
        <v>502</v>
      </c>
      <c r="B66" t="s">
        <v>572</v>
      </c>
      <c r="C66" t="s">
        <v>605</v>
      </c>
      <c r="D66" t="s">
        <v>630</v>
      </c>
      <c r="E66" t="s">
        <v>399</v>
      </c>
      <c r="F66" t="s">
        <v>175</v>
      </c>
      <c r="G66" t="s">
        <v>335</v>
      </c>
      <c r="H66" t="s">
        <v>123</v>
      </c>
      <c r="I66">
        <v>1</v>
      </c>
      <c r="J66" t="s">
        <v>1190</v>
      </c>
      <c r="K66" t="s">
        <v>1241</v>
      </c>
      <c r="M66" t="s">
        <v>168</v>
      </c>
      <c r="N66" t="s">
        <v>920</v>
      </c>
      <c r="O66" t="s">
        <v>230</v>
      </c>
      <c r="P66" t="s">
        <v>123</v>
      </c>
      <c r="R66" t="str">
        <f>IF(D_PlanoFinanceiro[[#This Row],[Conta 4]]=D_PlanoFinanceiro[[#This Row],[Conta 4 (Atual]],"-","VALIDAR AJUSTE")</f>
        <v>-</v>
      </c>
    </row>
    <row r="67" spans="1:18" x14ac:dyDescent="0.25">
      <c r="A67" t="s">
        <v>502</v>
      </c>
      <c r="B67" t="s">
        <v>572</v>
      </c>
      <c r="C67" t="s">
        <v>605</v>
      </c>
      <c r="D67" t="s">
        <v>624</v>
      </c>
      <c r="E67" t="s">
        <v>399</v>
      </c>
      <c r="F67" t="s">
        <v>175</v>
      </c>
      <c r="G67" t="s">
        <v>335</v>
      </c>
      <c r="H67" t="s">
        <v>97</v>
      </c>
      <c r="I67">
        <v>1</v>
      </c>
      <c r="J67" t="s">
        <v>1190</v>
      </c>
      <c r="K67" t="s">
        <v>1241</v>
      </c>
      <c r="M67" t="s">
        <v>168</v>
      </c>
      <c r="N67" t="s">
        <v>920</v>
      </c>
      <c r="O67" t="s">
        <v>230</v>
      </c>
      <c r="P67" t="s">
        <v>97</v>
      </c>
      <c r="R67" t="str">
        <f>IF(D_PlanoFinanceiro[[#This Row],[Conta 4]]=D_PlanoFinanceiro[[#This Row],[Conta 4 (Atual]],"-","VALIDAR AJUSTE")</f>
        <v>-</v>
      </c>
    </row>
    <row r="68" spans="1:18" x14ac:dyDescent="0.25">
      <c r="A68" t="s">
        <v>502</v>
      </c>
      <c r="B68" t="s">
        <v>572</v>
      </c>
      <c r="C68" t="s">
        <v>658</v>
      </c>
      <c r="D68" t="s">
        <v>662</v>
      </c>
      <c r="E68" t="s">
        <v>399</v>
      </c>
      <c r="F68" t="s">
        <v>175</v>
      </c>
      <c r="G68" t="s">
        <v>339</v>
      </c>
      <c r="H68" t="s">
        <v>36</v>
      </c>
      <c r="I68">
        <v>1</v>
      </c>
      <c r="J68" t="s">
        <v>1190</v>
      </c>
      <c r="K68" t="s">
        <v>1247</v>
      </c>
      <c r="M68" t="s">
        <v>168</v>
      </c>
      <c r="N68" t="s">
        <v>920</v>
      </c>
      <c r="O68" t="s">
        <v>902</v>
      </c>
      <c r="P68" t="s">
        <v>36</v>
      </c>
      <c r="R68" t="str">
        <f>IF(D_PlanoFinanceiro[[#This Row],[Conta 4]]=D_PlanoFinanceiro[[#This Row],[Conta 4 (Atual]],"-","VALIDAR AJUSTE")</f>
        <v>-</v>
      </c>
    </row>
    <row r="69" spans="1:18" x14ac:dyDescent="0.25">
      <c r="A69" t="s">
        <v>502</v>
      </c>
      <c r="B69" t="s">
        <v>503</v>
      </c>
      <c r="C69" t="s">
        <v>541</v>
      </c>
      <c r="D69" t="s">
        <v>546</v>
      </c>
      <c r="E69" t="s">
        <v>399</v>
      </c>
      <c r="F69" t="s">
        <v>429</v>
      </c>
      <c r="G69" t="s">
        <v>406</v>
      </c>
      <c r="H69" t="s">
        <v>107</v>
      </c>
      <c r="I69">
        <v>1</v>
      </c>
      <c r="J69" t="s">
        <v>1190</v>
      </c>
      <c r="K69" t="s">
        <v>1247</v>
      </c>
      <c r="M69" t="s">
        <v>168</v>
      </c>
      <c r="N69" t="s">
        <v>920</v>
      </c>
      <c r="O69" t="s">
        <v>902</v>
      </c>
      <c r="P69" t="s">
        <v>1139</v>
      </c>
      <c r="R69" t="str">
        <f>IF(D_PlanoFinanceiro[[#This Row],[Conta 4]]=D_PlanoFinanceiro[[#This Row],[Conta 4 (Atual]],"-","VALIDAR AJUSTE")</f>
        <v>-</v>
      </c>
    </row>
    <row r="70" spans="1:18" x14ac:dyDescent="0.25">
      <c r="I70">
        <v>1</v>
      </c>
      <c r="J70" t="s">
        <v>1190</v>
      </c>
      <c r="K70" t="s">
        <v>1247</v>
      </c>
      <c r="M70" t="s">
        <v>168</v>
      </c>
      <c r="N70" t="s">
        <v>920</v>
      </c>
      <c r="O70" t="s">
        <v>902</v>
      </c>
      <c r="P70" t="s">
        <v>1150</v>
      </c>
      <c r="R70" t="str">
        <f>IF(D_PlanoFinanceiro[[#This Row],[Conta 4]]=D_PlanoFinanceiro[[#This Row],[Conta 4 (Atual]],"-","VALIDAR AJUSTE")</f>
        <v>VALIDAR AJUSTE</v>
      </c>
    </row>
    <row r="71" spans="1:18" x14ac:dyDescent="0.25">
      <c r="I71">
        <v>1</v>
      </c>
      <c r="J71" t="s">
        <v>1190</v>
      </c>
      <c r="K71" t="s">
        <v>1247</v>
      </c>
      <c r="M71" t="s">
        <v>168</v>
      </c>
      <c r="N71" t="s">
        <v>920</v>
      </c>
      <c r="O71" t="s">
        <v>902</v>
      </c>
      <c r="P71" t="s">
        <v>1151</v>
      </c>
      <c r="R71" t="str">
        <f>IF(D_PlanoFinanceiro[[#This Row],[Conta 4]]=D_PlanoFinanceiro[[#This Row],[Conta 4 (Atual]],"-","VALIDAR AJUSTE")</f>
        <v>VALIDAR AJUSTE</v>
      </c>
    </row>
    <row r="72" spans="1:18" x14ac:dyDescent="0.25">
      <c r="A72" t="s">
        <v>502</v>
      </c>
      <c r="B72" t="s">
        <v>503</v>
      </c>
      <c r="C72" t="s">
        <v>559</v>
      </c>
      <c r="D72" t="s">
        <v>563</v>
      </c>
      <c r="E72" t="s">
        <v>399</v>
      </c>
      <c r="F72" t="s">
        <v>429</v>
      </c>
      <c r="G72" t="s">
        <v>326</v>
      </c>
      <c r="H72" t="s">
        <v>330</v>
      </c>
      <c r="I72">
        <v>1</v>
      </c>
      <c r="J72" t="s">
        <v>1190</v>
      </c>
      <c r="K72" t="s">
        <v>1247</v>
      </c>
      <c r="M72" t="s">
        <v>168</v>
      </c>
      <c r="N72" t="s">
        <v>920</v>
      </c>
      <c r="O72" t="s">
        <v>902</v>
      </c>
      <c r="P72" t="s">
        <v>330</v>
      </c>
      <c r="R72" t="str">
        <f>IF(D_PlanoFinanceiro[[#This Row],[Conta 4]]=D_PlanoFinanceiro[[#This Row],[Conta 4 (Atual]],"-","VALIDAR AJUSTE")</f>
        <v>-</v>
      </c>
    </row>
    <row r="73" spans="1:18" x14ac:dyDescent="0.25">
      <c r="A73" t="s">
        <v>502</v>
      </c>
      <c r="B73" t="s">
        <v>572</v>
      </c>
      <c r="C73" t="s">
        <v>605</v>
      </c>
      <c r="D73" t="s">
        <v>628</v>
      </c>
      <c r="E73" t="s">
        <v>399</v>
      </c>
      <c r="F73" t="s">
        <v>175</v>
      </c>
      <c r="G73" t="s">
        <v>335</v>
      </c>
      <c r="H73" t="s">
        <v>156</v>
      </c>
      <c r="I73">
        <v>1</v>
      </c>
      <c r="J73" t="s">
        <v>1190</v>
      </c>
      <c r="K73" t="s">
        <v>1228</v>
      </c>
      <c r="M73" t="s">
        <v>168</v>
      </c>
      <c r="N73" t="s">
        <v>920</v>
      </c>
      <c r="O73" t="s">
        <v>180</v>
      </c>
      <c r="P73" t="s">
        <v>871</v>
      </c>
      <c r="R73" t="str">
        <f>IF(D_PlanoFinanceiro[[#This Row],[Conta 4]]=D_PlanoFinanceiro[[#This Row],[Conta 4 (Atual]],"-","VALIDAR AJUSTE")</f>
        <v>VALIDAR AJUSTE</v>
      </c>
    </row>
    <row r="74" spans="1:18" x14ac:dyDescent="0.25">
      <c r="A74" t="s">
        <v>502</v>
      </c>
      <c r="B74" t="s">
        <v>503</v>
      </c>
      <c r="C74" t="s">
        <v>541</v>
      </c>
      <c r="D74" t="s">
        <v>547</v>
      </c>
      <c r="E74" t="s">
        <v>399</v>
      </c>
      <c r="F74" t="s">
        <v>429</v>
      </c>
      <c r="G74" t="s">
        <v>406</v>
      </c>
      <c r="H74" t="s">
        <v>84</v>
      </c>
      <c r="I74">
        <v>1</v>
      </c>
      <c r="J74" t="s">
        <v>1190</v>
      </c>
      <c r="K74" t="s">
        <v>1228</v>
      </c>
      <c r="M74" t="s">
        <v>168</v>
      </c>
      <c r="N74" t="s">
        <v>920</v>
      </c>
      <c r="O74" t="s">
        <v>180</v>
      </c>
      <c r="P74" t="s">
        <v>84</v>
      </c>
      <c r="R74" t="str">
        <f>IF(D_PlanoFinanceiro[[#This Row],[Conta 4]]=D_PlanoFinanceiro[[#This Row],[Conta 4 (Atual]],"-","VALIDAR AJUSTE")</f>
        <v>-</v>
      </c>
    </row>
    <row r="75" spans="1:18" x14ac:dyDescent="0.25">
      <c r="A75" t="s">
        <v>502</v>
      </c>
      <c r="B75" t="s">
        <v>503</v>
      </c>
      <c r="C75" t="s">
        <v>559</v>
      </c>
      <c r="D75" t="s">
        <v>566</v>
      </c>
      <c r="E75" t="s">
        <v>399</v>
      </c>
      <c r="F75" t="s">
        <v>429</v>
      </c>
      <c r="G75" t="s">
        <v>326</v>
      </c>
      <c r="H75" t="s">
        <v>102</v>
      </c>
      <c r="I75">
        <v>1</v>
      </c>
      <c r="J75" t="s">
        <v>1190</v>
      </c>
      <c r="K75" t="s">
        <v>1228</v>
      </c>
      <c r="M75" t="s">
        <v>168</v>
      </c>
      <c r="N75" t="s">
        <v>920</v>
      </c>
      <c r="O75" t="s">
        <v>180</v>
      </c>
      <c r="P75" t="s">
        <v>102</v>
      </c>
      <c r="R75" t="str">
        <f>IF(D_PlanoFinanceiro[[#This Row],[Conta 4]]=D_PlanoFinanceiro[[#This Row],[Conta 4 (Atual]],"-","VALIDAR AJUSTE")</f>
        <v>-</v>
      </c>
    </row>
    <row r="76" spans="1:18" x14ac:dyDescent="0.25">
      <c r="A76" t="s">
        <v>502</v>
      </c>
      <c r="B76" t="s">
        <v>503</v>
      </c>
      <c r="C76" t="s">
        <v>541</v>
      </c>
      <c r="D76" t="s">
        <v>548</v>
      </c>
      <c r="E76" t="s">
        <v>399</v>
      </c>
      <c r="F76" t="s">
        <v>429</v>
      </c>
      <c r="G76" t="s">
        <v>406</v>
      </c>
      <c r="H76" t="s">
        <v>85</v>
      </c>
      <c r="I76">
        <v>1</v>
      </c>
      <c r="J76" t="s">
        <v>1190</v>
      </c>
      <c r="K76" t="s">
        <v>1228</v>
      </c>
      <c r="M76" t="s">
        <v>168</v>
      </c>
      <c r="N76" t="s">
        <v>920</v>
      </c>
      <c r="O76" t="s">
        <v>180</v>
      </c>
      <c r="P76" t="s">
        <v>892</v>
      </c>
      <c r="Q76" s="6" t="s">
        <v>885</v>
      </c>
      <c r="R76" t="str">
        <f>IF(D_PlanoFinanceiro[[#This Row],[Conta 4]]=D_PlanoFinanceiro[[#This Row],[Conta 4 (Atual]],"-","VALIDAR AJUSTE")</f>
        <v>VALIDAR AJUSTE</v>
      </c>
    </row>
    <row r="77" spans="1:18" x14ac:dyDescent="0.25">
      <c r="A77" t="s">
        <v>502</v>
      </c>
      <c r="B77" t="s">
        <v>572</v>
      </c>
      <c r="C77" t="s">
        <v>671</v>
      </c>
      <c r="D77" t="s">
        <v>694</v>
      </c>
      <c r="E77" t="s">
        <v>399</v>
      </c>
      <c r="F77" t="s">
        <v>175</v>
      </c>
      <c r="G77" t="s">
        <v>408</v>
      </c>
      <c r="H77" t="s">
        <v>32</v>
      </c>
      <c r="I77">
        <v>1</v>
      </c>
      <c r="J77" t="s">
        <v>1190</v>
      </c>
      <c r="K77" t="s">
        <v>1228</v>
      </c>
      <c r="M77" t="s">
        <v>168</v>
      </c>
      <c r="N77" t="s">
        <v>920</v>
      </c>
      <c r="O77" t="s">
        <v>180</v>
      </c>
      <c r="P77" t="s">
        <v>1135</v>
      </c>
      <c r="Q77" s="6" t="s">
        <v>884</v>
      </c>
      <c r="R77" t="str">
        <f>IF(D_PlanoFinanceiro[[#This Row],[Conta 4]]=D_PlanoFinanceiro[[#This Row],[Conta 4 (Atual]],"-","VALIDAR AJUSTE")</f>
        <v>VALIDAR AJUSTE</v>
      </c>
    </row>
    <row r="78" spans="1:18" x14ac:dyDescent="0.25">
      <c r="I78">
        <v>1</v>
      </c>
      <c r="J78" t="s">
        <v>1190</v>
      </c>
      <c r="K78" t="s">
        <v>1228</v>
      </c>
      <c r="M78" t="s">
        <v>168</v>
      </c>
      <c r="N78" t="s">
        <v>920</v>
      </c>
      <c r="O78" t="s">
        <v>180</v>
      </c>
      <c r="P78" t="s">
        <v>1152</v>
      </c>
      <c r="R78" t="str">
        <f>IF(D_PlanoFinanceiro[[#This Row],[Conta 4]]=D_PlanoFinanceiro[[#This Row],[Conta 4 (Atual]],"-","VALIDAR AJUSTE")</f>
        <v>VALIDAR AJUSTE</v>
      </c>
    </row>
    <row r="79" spans="1:18" x14ac:dyDescent="0.25">
      <c r="A79" t="s">
        <v>502</v>
      </c>
      <c r="B79" t="s">
        <v>503</v>
      </c>
      <c r="C79" t="s">
        <v>541</v>
      </c>
      <c r="D79" t="s">
        <v>544</v>
      </c>
      <c r="E79" t="s">
        <v>399</v>
      </c>
      <c r="F79" t="s">
        <v>429</v>
      </c>
      <c r="G79" t="s">
        <v>406</v>
      </c>
      <c r="H79" t="s">
        <v>439</v>
      </c>
      <c r="I79">
        <v>1</v>
      </c>
      <c r="J79" t="s">
        <v>1190</v>
      </c>
      <c r="K79" t="s">
        <v>1228</v>
      </c>
      <c r="M79" t="s">
        <v>168</v>
      </c>
      <c r="N79" t="s">
        <v>920</v>
      </c>
      <c r="O79" t="s">
        <v>180</v>
      </c>
      <c r="P79" t="s">
        <v>439</v>
      </c>
      <c r="R79" t="str">
        <f>IF(D_PlanoFinanceiro[[#This Row],[Conta 4]]=D_PlanoFinanceiro[[#This Row],[Conta 4 (Atual]],"-","VALIDAR AJUSTE")</f>
        <v>-</v>
      </c>
    </row>
    <row r="80" spans="1:18" x14ac:dyDescent="0.25">
      <c r="A80" t="s">
        <v>502</v>
      </c>
      <c r="B80" t="s">
        <v>503</v>
      </c>
      <c r="C80" t="s">
        <v>541</v>
      </c>
      <c r="D80" t="s">
        <v>542</v>
      </c>
      <c r="E80" t="s">
        <v>399</v>
      </c>
      <c r="F80" t="s">
        <v>429</v>
      </c>
      <c r="G80" t="s">
        <v>406</v>
      </c>
      <c r="H80" t="s">
        <v>31</v>
      </c>
      <c r="I80">
        <v>1</v>
      </c>
      <c r="J80" t="s">
        <v>1190</v>
      </c>
      <c r="K80" t="s">
        <v>1219</v>
      </c>
      <c r="M80" t="s">
        <v>168</v>
      </c>
      <c r="N80" t="s">
        <v>920</v>
      </c>
      <c r="O80" t="s">
        <v>1107</v>
      </c>
      <c r="P80" t="s">
        <v>31</v>
      </c>
      <c r="R80" t="str">
        <f>IF(D_PlanoFinanceiro[[#This Row],[Conta 4]]=D_PlanoFinanceiro[[#This Row],[Conta 4 (Atual]],"-","VALIDAR AJUSTE")</f>
        <v>-</v>
      </c>
    </row>
    <row r="81" spans="1:18" x14ac:dyDescent="0.25">
      <c r="A81" t="s">
        <v>502</v>
      </c>
      <c r="B81" t="s">
        <v>572</v>
      </c>
      <c r="C81" t="s">
        <v>645</v>
      </c>
      <c r="D81" t="s">
        <v>651</v>
      </c>
      <c r="E81" t="s">
        <v>399</v>
      </c>
      <c r="F81" t="s">
        <v>175</v>
      </c>
      <c r="G81" t="s">
        <v>407</v>
      </c>
      <c r="H81" t="s">
        <v>15</v>
      </c>
      <c r="I81">
        <v>1</v>
      </c>
      <c r="J81" t="s">
        <v>1190</v>
      </c>
      <c r="K81" t="s">
        <v>1219</v>
      </c>
      <c r="M81" t="s">
        <v>168</v>
      </c>
      <c r="N81" t="s">
        <v>920</v>
      </c>
      <c r="O81" t="s">
        <v>1107</v>
      </c>
      <c r="P81" t="s">
        <v>181</v>
      </c>
      <c r="R81" t="str">
        <f>IF(D_PlanoFinanceiro[[#This Row],[Conta 4]]=D_PlanoFinanceiro[[#This Row],[Conta 4 (Atual]],"-","VALIDAR AJUSTE")</f>
        <v>VALIDAR AJUSTE</v>
      </c>
    </row>
    <row r="82" spans="1:18" x14ac:dyDescent="0.25">
      <c r="A82" t="s">
        <v>502</v>
      </c>
      <c r="B82" t="s">
        <v>572</v>
      </c>
      <c r="C82" t="s">
        <v>645</v>
      </c>
      <c r="D82" t="s">
        <v>646</v>
      </c>
      <c r="E82" t="s">
        <v>399</v>
      </c>
      <c r="F82" t="s">
        <v>175</v>
      </c>
      <c r="G82" t="s">
        <v>407</v>
      </c>
      <c r="H82" t="s">
        <v>78</v>
      </c>
      <c r="I82">
        <v>1</v>
      </c>
      <c r="J82" t="s">
        <v>1190</v>
      </c>
      <c r="K82" t="s">
        <v>1219</v>
      </c>
      <c r="M82" t="s">
        <v>168</v>
      </c>
      <c r="N82" t="s">
        <v>920</v>
      </c>
      <c r="O82" t="s">
        <v>1107</v>
      </c>
      <c r="P82" t="s">
        <v>200</v>
      </c>
      <c r="R82" t="str">
        <f>IF(D_PlanoFinanceiro[[#This Row],[Conta 4]]=D_PlanoFinanceiro[[#This Row],[Conta 4 (Atual]],"-","VALIDAR AJUSTE")</f>
        <v>VALIDAR AJUSTE</v>
      </c>
    </row>
    <row r="83" spans="1:18" x14ac:dyDescent="0.25">
      <c r="A83" t="s">
        <v>502</v>
      </c>
      <c r="B83" t="s">
        <v>572</v>
      </c>
      <c r="C83" t="s">
        <v>671</v>
      </c>
      <c r="D83" t="s">
        <v>695</v>
      </c>
      <c r="E83" t="s">
        <v>399</v>
      </c>
      <c r="F83" t="s">
        <v>175</v>
      </c>
      <c r="G83" t="s">
        <v>408</v>
      </c>
      <c r="H83" t="s">
        <v>37</v>
      </c>
      <c r="I83">
        <v>1</v>
      </c>
      <c r="J83" t="s">
        <v>1190</v>
      </c>
      <c r="K83" t="s">
        <v>1219</v>
      </c>
      <c r="M83" t="s">
        <v>168</v>
      </c>
      <c r="N83" t="s">
        <v>920</v>
      </c>
      <c r="O83" t="s">
        <v>1107</v>
      </c>
      <c r="P83" t="s">
        <v>37</v>
      </c>
      <c r="R83" t="str">
        <f>IF(D_PlanoFinanceiro[[#This Row],[Conta 4]]=D_PlanoFinanceiro[[#This Row],[Conta 4 (Atual]],"-","VALIDAR AJUSTE")</f>
        <v>-</v>
      </c>
    </row>
    <row r="84" spans="1:18" x14ac:dyDescent="0.25">
      <c r="A84" t="s">
        <v>502</v>
      </c>
      <c r="B84" t="s">
        <v>572</v>
      </c>
      <c r="C84" t="s">
        <v>671</v>
      </c>
      <c r="D84" t="s">
        <v>674</v>
      </c>
      <c r="E84" t="s">
        <v>399</v>
      </c>
      <c r="F84" t="s">
        <v>175</v>
      </c>
      <c r="G84" t="s">
        <v>408</v>
      </c>
      <c r="H84" t="s">
        <v>23</v>
      </c>
      <c r="I84">
        <v>1</v>
      </c>
      <c r="J84" t="s">
        <v>1190</v>
      </c>
      <c r="K84" t="s">
        <v>1219</v>
      </c>
      <c r="M84" t="s">
        <v>168</v>
      </c>
      <c r="N84" t="s">
        <v>920</v>
      </c>
      <c r="O84" t="s">
        <v>1107</v>
      </c>
      <c r="P84" t="s">
        <v>1142</v>
      </c>
      <c r="R84" t="str">
        <f>IF(D_PlanoFinanceiro[[#This Row],[Conta 4]]=D_PlanoFinanceiro[[#This Row],[Conta 4 (Atual]],"-","VALIDAR AJUSTE")</f>
        <v>-</v>
      </c>
    </row>
    <row r="85" spans="1:18" x14ac:dyDescent="0.25">
      <c r="A85" t="s">
        <v>502</v>
      </c>
      <c r="B85" t="s">
        <v>503</v>
      </c>
      <c r="C85" t="s">
        <v>541</v>
      </c>
      <c r="D85" t="s">
        <v>545</v>
      </c>
      <c r="E85" t="s">
        <v>399</v>
      </c>
      <c r="F85" t="s">
        <v>429</v>
      </c>
      <c r="G85" t="s">
        <v>406</v>
      </c>
      <c r="H85" t="s">
        <v>324</v>
      </c>
      <c r="I85">
        <v>1</v>
      </c>
      <c r="J85" t="s">
        <v>1190</v>
      </c>
      <c r="K85" t="s">
        <v>1219</v>
      </c>
      <c r="M85" t="s">
        <v>168</v>
      </c>
      <c r="N85" t="s">
        <v>920</v>
      </c>
      <c r="O85" t="s">
        <v>1107</v>
      </c>
      <c r="P85" t="s">
        <v>1165</v>
      </c>
      <c r="R85" t="str">
        <f>IF(D_PlanoFinanceiro[[#This Row],[Conta 4]]=D_PlanoFinanceiro[[#This Row],[Conta 4 (Atual]],"-","VALIDAR AJUSTE")</f>
        <v>-</v>
      </c>
    </row>
    <row r="86" spans="1:18" x14ac:dyDescent="0.25">
      <c r="A86" t="s">
        <v>502</v>
      </c>
      <c r="B86" t="s">
        <v>572</v>
      </c>
      <c r="C86" t="s">
        <v>573</v>
      </c>
      <c r="D86" t="s">
        <v>574</v>
      </c>
      <c r="E86" t="s">
        <v>399</v>
      </c>
      <c r="F86" t="s">
        <v>175</v>
      </c>
      <c r="G86" t="s">
        <v>355</v>
      </c>
      <c r="H86" t="s">
        <v>162</v>
      </c>
      <c r="I86">
        <v>1</v>
      </c>
      <c r="J86" t="s">
        <v>1191</v>
      </c>
      <c r="K86" t="s">
        <v>1213</v>
      </c>
      <c r="M86" t="s">
        <v>168</v>
      </c>
      <c r="N86" t="s">
        <v>919</v>
      </c>
      <c r="O86" t="s">
        <v>170</v>
      </c>
      <c r="P86" t="s">
        <v>171</v>
      </c>
      <c r="R86" t="str">
        <f>IF(D_PlanoFinanceiro[[#This Row],[Conta 4]]=D_PlanoFinanceiro[[#This Row],[Conta 4 (Atual]],"-","VALIDAR AJUSTE")</f>
        <v>VALIDAR AJUSTE</v>
      </c>
    </row>
    <row r="87" spans="1:18" x14ac:dyDescent="0.25">
      <c r="A87" t="s">
        <v>502</v>
      </c>
      <c r="B87" t="s">
        <v>572</v>
      </c>
      <c r="C87" t="s">
        <v>573</v>
      </c>
      <c r="D87" t="s">
        <v>595</v>
      </c>
      <c r="E87" t="s">
        <v>399</v>
      </c>
      <c r="F87" t="s">
        <v>175</v>
      </c>
      <c r="G87" t="s">
        <v>355</v>
      </c>
      <c r="H87" t="s">
        <v>118</v>
      </c>
      <c r="I87">
        <v>1</v>
      </c>
      <c r="J87" t="s">
        <v>1191</v>
      </c>
      <c r="K87" t="s">
        <v>1213</v>
      </c>
      <c r="M87" t="s">
        <v>168</v>
      </c>
      <c r="N87" t="s">
        <v>919</v>
      </c>
      <c r="O87" t="s">
        <v>170</v>
      </c>
      <c r="P87" t="s">
        <v>172</v>
      </c>
      <c r="R87" t="str">
        <f>IF(D_PlanoFinanceiro[[#This Row],[Conta 4]]=D_PlanoFinanceiro[[#This Row],[Conta 4 (Atual]],"-","VALIDAR AJUSTE")</f>
        <v>VALIDAR AJUSTE</v>
      </c>
    </row>
    <row r="88" spans="1:18" x14ac:dyDescent="0.25">
      <c r="A88" t="s">
        <v>502</v>
      </c>
      <c r="B88" t="s">
        <v>503</v>
      </c>
      <c r="C88" t="s">
        <v>549</v>
      </c>
      <c r="D88" t="s">
        <v>554</v>
      </c>
      <c r="E88" t="s">
        <v>399</v>
      </c>
      <c r="F88" t="s">
        <v>429</v>
      </c>
      <c r="G88" t="s">
        <v>325</v>
      </c>
      <c r="H88" t="s">
        <v>18</v>
      </c>
      <c r="I88">
        <v>1</v>
      </c>
      <c r="J88" t="s">
        <v>1191</v>
      </c>
      <c r="K88" t="s">
        <v>1213</v>
      </c>
      <c r="M88" t="s">
        <v>168</v>
      </c>
      <c r="N88" t="s">
        <v>919</v>
      </c>
      <c r="O88" t="s">
        <v>170</v>
      </c>
      <c r="P88" t="s">
        <v>18</v>
      </c>
      <c r="R88" t="str">
        <f>IF(D_PlanoFinanceiro[[#This Row],[Conta 4]]=D_PlanoFinanceiro[[#This Row],[Conta 4 (Atual]],"-","VALIDAR AJUSTE")</f>
        <v>-</v>
      </c>
    </row>
    <row r="89" spans="1:18" x14ac:dyDescent="0.25">
      <c r="A89" t="s">
        <v>502</v>
      </c>
      <c r="B89" t="s">
        <v>572</v>
      </c>
      <c r="C89" t="s">
        <v>573</v>
      </c>
      <c r="D89" t="s">
        <v>603</v>
      </c>
      <c r="E89" t="s">
        <v>399</v>
      </c>
      <c r="F89" t="s">
        <v>175</v>
      </c>
      <c r="G89" t="s">
        <v>355</v>
      </c>
      <c r="H89" t="s">
        <v>161</v>
      </c>
      <c r="I89">
        <v>1</v>
      </c>
      <c r="J89" t="s">
        <v>1191</v>
      </c>
      <c r="K89" t="s">
        <v>1213</v>
      </c>
      <c r="M89" t="s">
        <v>168</v>
      </c>
      <c r="N89" t="s">
        <v>919</v>
      </c>
      <c r="O89" t="s">
        <v>170</v>
      </c>
      <c r="P89" t="s">
        <v>161</v>
      </c>
      <c r="R89" t="str">
        <f>IF(D_PlanoFinanceiro[[#This Row],[Conta 4]]=D_PlanoFinanceiro[[#This Row],[Conta 4 (Atual]],"-","VALIDAR AJUSTE")</f>
        <v>-</v>
      </c>
    </row>
    <row r="90" spans="1:18" x14ac:dyDescent="0.25">
      <c r="A90" t="s">
        <v>502</v>
      </c>
      <c r="B90" t="s">
        <v>503</v>
      </c>
      <c r="C90" t="s">
        <v>549</v>
      </c>
      <c r="D90" t="s">
        <v>556</v>
      </c>
      <c r="E90" t="s">
        <v>399</v>
      </c>
      <c r="F90" t="s">
        <v>429</v>
      </c>
      <c r="G90" t="s">
        <v>325</v>
      </c>
      <c r="H90" t="s">
        <v>34</v>
      </c>
      <c r="I90">
        <v>1</v>
      </c>
      <c r="J90" t="s">
        <v>1191</v>
      </c>
      <c r="K90" t="s">
        <v>1213</v>
      </c>
      <c r="M90" t="s">
        <v>168</v>
      </c>
      <c r="N90" t="s">
        <v>919</v>
      </c>
      <c r="O90" t="s">
        <v>170</v>
      </c>
      <c r="P90" t="s">
        <v>34</v>
      </c>
      <c r="R90" t="str">
        <f>IF(D_PlanoFinanceiro[[#This Row],[Conta 4]]=D_PlanoFinanceiro[[#This Row],[Conta 4 (Atual]],"-","VALIDAR AJUSTE")</f>
        <v>-</v>
      </c>
    </row>
    <row r="91" spans="1:18" x14ac:dyDescent="0.25">
      <c r="A91" t="s">
        <v>502</v>
      </c>
      <c r="B91" t="s">
        <v>572</v>
      </c>
      <c r="C91" t="s">
        <v>573</v>
      </c>
      <c r="D91" t="s">
        <v>592</v>
      </c>
      <c r="E91" t="s">
        <v>399</v>
      </c>
      <c r="F91" t="s">
        <v>175</v>
      </c>
      <c r="G91" t="s">
        <v>355</v>
      </c>
      <c r="H91" t="s">
        <v>87</v>
      </c>
      <c r="I91">
        <v>1</v>
      </c>
      <c r="J91" t="s">
        <v>1191</v>
      </c>
      <c r="K91" t="s">
        <v>1213</v>
      </c>
      <c r="M91" t="s">
        <v>168</v>
      </c>
      <c r="N91" t="s">
        <v>919</v>
      </c>
      <c r="O91" t="s">
        <v>170</v>
      </c>
      <c r="P91" t="s">
        <v>198</v>
      </c>
      <c r="R91" t="str">
        <f>IF(D_PlanoFinanceiro[[#This Row],[Conta 4]]=D_PlanoFinanceiro[[#This Row],[Conta 4 (Atual]],"-","VALIDAR AJUSTE")</f>
        <v>VALIDAR AJUSTE</v>
      </c>
    </row>
    <row r="92" spans="1:18" x14ac:dyDescent="0.25">
      <c r="A92" t="s">
        <v>502</v>
      </c>
      <c r="B92" t="s">
        <v>572</v>
      </c>
      <c r="C92" t="s">
        <v>573</v>
      </c>
      <c r="D92" t="s">
        <v>584</v>
      </c>
      <c r="E92" t="s">
        <v>399</v>
      </c>
      <c r="F92" t="s">
        <v>175</v>
      </c>
      <c r="G92" t="s">
        <v>355</v>
      </c>
      <c r="H92" t="s">
        <v>96</v>
      </c>
      <c r="I92">
        <v>1</v>
      </c>
      <c r="J92" t="s">
        <v>1191</v>
      </c>
      <c r="K92" t="s">
        <v>1213</v>
      </c>
      <c r="M92" t="s">
        <v>168</v>
      </c>
      <c r="N92" t="s">
        <v>919</v>
      </c>
      <c r="O92" t="s">
        <v>170</v>
      </c>
      <c r="P92" t="s">
        <v>96</v>
      </c>
      <c r="R92" t="str">
        <f>IF(D_PlanoFinanceiro[[#This Row],[Conta 4]]=D_PlanoFinanceiro[[#This Row],[Conta 4 (Atual]],"-","VALIDAR AJUSTE")</f>
        <v>-</v>
      </c>
    </row>
    <row r="93" spans="1:18" x14ac:dyDescent="0.25">
      <c r="A93" t="s">
        <v>502</v>
      </c>
      <c r="B93" t="s">
        <v>572</v>
      </c>
      <c r="C93" t="s">
        <v>573</v>
      </c>
      <c r="D93" t="s">
        <v>602</v>
      </c>
      <c r="E93" t="s">
        <v>399</v>
      </c>
      <c r="F93" t="s">
        <v>175</v>
      </c>
      <c r="G93" t="s">
        <v>355</v>
      </c>
      <c r="H93" t="s">
        <v>46</v>
      </c>
      <c r="I93">
        <v>1</v>
      </c>
      <c r="J93" t="s">
        <v>1191</v>
      </c>
      <c r="K93" t="s">
        <v>1213</v>
      </c>
      <c r="M93" t="s">
        <v>168</v>
      </c>
      <c r="N93" t="s">
        <v>919</v>
      </c>
      <c r="O93" t="s">
        <v>170</v>
      </c>
      <c r="P93" t="s">
        <v>46</v>
      </c>
      <c r="R93" t="str">
        <f>IF(D_PlanoFinanceiro[[#This Row],[Conta 4]]=D_PlanoFinanceiro[[#This Row],[Conta 4 (Atual]],"-","VALIDAR AJUSTE")</f>
        <v>-</v>
      </c>
    </row>
    <row r="94" spans="1:18" x14ac:dyDescent="0.25">
      <c r="A94" t="s">
        <v>502</v>
      </c>
      <c r="B94" t="s">
        <v>572</v>
      </c>
      <c r="C94" t="s">
        <v>573</v>
      </c>
      <c r="D94" t="s">
        <v>579</v>
      </c>
      <c r="E94" t="s">
        <v>399</v>
      </c>
      <c r="F94" t="s">
        <v>175</v>
      </c>
      <c r="G94" t="s">
        <v>355</v>
      </c>
      <c r="H94" t="s">
        <v>35</v>
      </c>
      <c r="I94">
        <v>1</v>
      </c>
      <c r="J94" t="s">
        <v>1191</v>
      </c>
      <c r="K94" t="s">
        <v>1213</v>
      </c>
      <c r="M94" t="s">
        <v>168</v>
      </c>
      <c r="N94" t="s">
        <v>919</v>
      </c>
      <c r="O94" t="s">
        <v>170</v>
      </c>
      <c r="P94" t="s">
        <v>35</v>
      </c>
      <c r="R94" t="str">
        <f>IF(D_PlanoFinanceiro[[#This Row],[Conta 4]]=D_PlanoFinanceiro[[#This Row],[Conta 4 (Atual]],"-","VALIDAR AJUSTE")</f>
        <v>-</v>
      </c>
    </row>
    <row r="95" spans="1:18" x14ac:dyDescent="0.25">
      <c r="A95" t="s">
        <v>502</v>
      </c>
      <c r="B95" t="s">
        <v>572</v>
      </c>
      <c r="C95" t="s">
        <v>573</v>
      </c>
      <c r="D95" t="s">
        <v>589</v>
      </c>
      <c r="E95" t="s">
        <v>399</v>
      </c>
      <c r="F95" t="s">
        <v>175</v>
      </c>
      <c r="G95" t="s">
        <v>355</v>
      </c>
      <c r="H95" t="s">
        <v>86</v>
      </c>
      <c r="I95">
        <v>1</v>
      </c>
      <c r="J95" t="s">
        <v>1191</v>
      </c>
      <c r="K95" t="s">
        <v>1213</v>
      </c>
      <c r="M95" t="s">
        <v>168</v>
      </c>
      <c r="N95" t="s">
        <v>919</v>
      </c>
      <c r="O95" t="s">
        <v>170</v>
      </c>
      <c r="P95" t="s">
        <v>1133</v>
      </c>
      <c r="R95" t="str">
        <f>IF(D_PlanoFinanceiro[[#This Row],[Conta 4]]=D_PlanoFinanceiro[[#This Row],[Conta 4 (Atual]],"-","VALIDAR AJUSTE")</f>
        <v>VALIDAR AJUSTE</v>
      </c>
    </row>
    <row r="96" spans="1:18" x14ac:dyDescent="0.25">
      <c r="A96" t="s">
        <v>502</v>
      </c>
      <c r="B96" t="s">
        <v>572</v>
      </c>
      <c r="C96" t="s">
        <v>573</v>
      </c>
      <c r="D96" t="s">
        <v>583</v>
      </c>
      <c r="E96" t="s">
        <v>399</v>
      </c>
      <c r="F96" t="s">
        <v>175</v>
      </c>
      <c r="G96" t="s">
        <v>355</v>
      </c>
      <c r="H96" t="s">
        <v>66</v>
      </c>
      <c r="I96">
        <v>1</v>
      </c>
      <c r="J96" t="s">
        <v>1191</v>
      </c>
      <c r="K96" t="s">
        <v>1213</v>
      </c>
      <c r="M96" t="s">
        <v>168</v>
      </c>
      <c r="N96" t="s">
        <v>919</v>
      </c>
      <c r="O96" t="s">
        <v>170</v>
      </c>
      <c r="P96" t="s">
        <v>228</v>
      </c>
      <c r="R96" t="str">
        <f>IF(D_PlanoFinanceiro[[#This Row],[Conta 4]]=D_PlanoFinanceiro[[#This Row],[Conta 4 (Atual]],"-","VALIDAR AJUSTE")</f>
        <v>VALIDAR AJUSTE</v>
      </c>
    </row>
    <row r="97" spans="1:18" x14ac:dyDescent="0.25">
      <c r="A97" t="s">
        <v>502</v>
      </c>
      <c r="B97" t="s">
        <v>572</v>
      </c>
      <c r="C97" t="s">
        <v>573</v>
      </c>
      <c r="D97" t="s">
        <v>578</v>
      </c>
      <c r="E97" t="s">
        <v>399</v>
      </c>
      <c r="F97" t="s">
        <v>175</v>
      </c>
      <c r="G97" t="s">
        <v>355</v>
      </c>
      <c r="H97" t="s">
        <v>72</v>
      </c>
      <c r="I97">
        <v>1</v>
      </c>
      <c r="J97" t="s">
        <v>1191</v>
      </c>
      <c r="K97" t="s">
        <v>1213</v>
      </c>
      <c r="M97" t="s">
        <v>168</v>
      </c>
      <c r="N97" t="s">
        <v>919</v>
      </c>
      <c r="O97" t="s">
        <v>170</v>
      </c>
      <c r="P97" t="s">
        <v>229</v>
      </c>
      <c r="R97" t="str">
        <f>IF(D_PlanoFinanceiro[[#This Row],[Conta 4]]=D_PlanoFinanceiro[[#This Row],[Conta 4 (Atual]],"-","VALIDAR AJUSTE")</f>
        <v>VALIDAR AJUSTE</v>
      </c>
    </row>
    <row r="98" spans="1:18" x14ac:dyDescent="0.25">
      <c r="A98" t="s">
        <v>502</v>
      </c>
      <c r="B98" t="s">
        <v>572</v>
      </c>
      <c r="C98" t="s">
        <v>573</v>
      </c>
      <c r="D98" t="s">
        <v>590</v>
      </c>
      <c r="E98" t="s">
        <v>399</v>
      </c>
      <c r="F98" t="s">
        <v>175</v>
      </c>
      <c r="G98" t="s">
        <v>355</v>
      </c>
      <c r="H98" t="s">
        <v>158</v>
      </c>
      <c r="I98">
        <v>1</v>
      </c>
      <c r="J98" t="s">
        <v>1191</v>
      </c>
      <c r="K98" t="s">
        <v>1213</v>
      </c>
      <c r="M98" t="s">
        <v>168</v>
      </c>
      <c r="N98" t="s">
        <v>919</v>
      </c>
      <c r="O98" t="s">
        <v>170</v>
      </c>
      <c r="P98" t="s">
        <v>252</v>
      </c>
      <c r="R98" t="str">
        <f>IF(D_PlanoFinanceiro[[#This Row],[Conta 4]]=D_PlanoFinanceiro[[#This Row],[Conta 4 (Atual]],"-","VALIDAR AJUSTE")</f>
        <v>VALIDAR AJUSTE</v>
      </c>
    </row>
    <row r="99" spans="1:18" x14ac:dyDescent="0.25">
      <c r="A99" t="s">
        <v>502</v>
      </c>
      <c r="B99" t="s">
        <v>572</v>
      </c>
      <c r="C99" t="s">
        <v>573</v>
      </c>
      <c r="D99" t="s">
        <v>587</v>
      </c>
      <c r="E99" t="s">
        <v>399</v>
      </c>
      <c r="F99" t="s">
        <v>175</v>
      </c>
      <c r="G99" t="s">
        <v>355</v>
      </c>
      <c r="H99" t="s">
        <v>26</v>
      </c>
      <c r="I99">
        <v>1</v>
      </c>
      <c r="J99" t="s">
        <v>1191</v>
      </c>
      <c r="K99" t="s">
        <v>1213</v>
      </c>
      <c r="M99" t="s">
        <v>168</v>
      </c>
      <c r="N99" t="s">
        <v>919</v>
      </c>
      <c r="O99" t="s">
        <v>170</v>
      </c>
      <c r="P99" t="s">
        <v>253</v>
      </c>
      <c r="R99" t="str">
        <f>IF(D_PlanoFinanceiro[[#This Row],[Conta 4]]=D_PlanoFinanceiro[[#This Row],[Conta 4 (Atual]],"-","VALIDAR AJUSTE")</f>
        <v>VALIDAR AJUSTE</v>
      </c>
    </row>
    <row r="100" spans="1:18" x14ac:dyDescent="0.25">
      <c r="A100" t="s">
        <v>502</v>
      </c>
      <c r="B100" t="s">
        <v>572</v>
      </c>
      <c r="C100" t="s">
        <v>573</v>
      </c>
      <c r="D100" t="s">
        <v>581</v>
      </c>
      <c r="E100" t="s">
        <v>399</v>
      </c>
      <c r="F100" t="s">
        <v>175</v>
      </c>
      <c r="G100" t="s">
        <v>355</v>
      </c>
      <c r="H100" t="s">
        <v>70</v>
      </c>
      <c r="I100">
        <v>1</v>
      </c>
      <c r="J100" t="s">
        <v>1191</v>
      </c>
      <c r="K100" t="s">
        <v>1213</v>
      </c>
      <c r="M100" t="s">
        <v>168</v>
      </c>
      <c r="N100" t="s">
        <v>919</v>
      </c>
      <c r="O100" t="s">
        <v>170</v>
      </c>
      <c r="P100" t="s">
        <v>70</v>
      </c>
      <c r="R100" t="str">
        <f>IF(D_PlanoFinanceiro[[#This Row],[Conta 4]]=D_PlanoFinanceiro[[#This Row],[Conta 4 (Atual]],"-","VALIDAR AJUSTE")</f>
        <v>-</v>
      </c>
    </row>
    <row r="101" spans="1:18" x14ac:dyDescent="0.25">
      <c r="A101" t="s">
        <v>502</v>
      </c>
      <c r="B101" t="s">
        <v>572</v>
      </c>
      <c r="C101" t="s">
        <v>573</v>
      </c>
      <c r="D101" t="s">
        <v>586</v>
      </c>
      <c r="E101" t="s">
        <v>399</v>
      </c>
      <c r="F101" t="s">
        <v>175</v>
      </c>
      <c r="G101" t="s">
        <v>355</v>
      </c>
      <c r="H101" t="s">
        <v>58</v>
      </c>
      <c r="I101">
        <v>1</v>
      </c>
      <c r="J101" t="s">
        <v>1191</v>
      </c>
      <c r="K101" t="s">
        <v>1213</v>
      </c>
      <c r="M101" t="s">
        <v>168</v>
      </c>
      <c r="N101" t="s">
        <v>919</v>
      </c>
      <c r="O101" t="s">
        <v>170</v>
      </c>
      <c r="P101" t="s">
        <v>258</v>
      </c>
      <c r="R101" t="str">
        <f>IF(D_PlanoFinanceiro[[#This Row],[Conta 4]]=D_PlanoFinanceiro[[#This Row],[Conta 4 (Atual]],"-","VALIDAR AJUSTE")</f>
        <v>VALIDAR AJUSTE</v>
      </c>
    </row>
    <row r="102" spans="1:18" x14ac:dyDescent="0.25">
      <c r="A102" t="s">
        <v>502</v>
      </c>
      <c r="B102" t="s">
        <v>572</v>
      </c>
      <c r="C102" t="s">
        <v>573</v>
      </c>
      <c r="D102" t="s">
        <v>575</v>
      </c>
      <c r="E102" t="s">
        <v>399</v>
      </c>
      <c r="F102" t="s">
        <v>175</v>
      </c>
      <c r="G102" t="s">
        <v>355</v>
      </c>
      <c r="H102" t="s">
        <v>48</v>
      </c>
      <c r="I102">
        <v>1</v>
      </c>
      <c r="J102" t="s">
        <v>1191</v>
      </c>
      <c r="K102" t="s">
        <v>1213</v>
      </c>
      <c r="M102" t="s">
        <v>168</v>
      </c>
      <c r="N102" t="s">
        <v>919</v>
      </c>
      <c r="O102" t="s">
        <v>170</v>
      </c>
      <c r="P102" t="s">
        <v>259</v>
      </c>
      <c r="R102" t="str">
        <f>IF(D_PlanoFinanceiro[[#This Row],[Conta 4]]=D_PlanoFinanceiro[[#This Row],[Conta 4 (Atual]],"-","VALIDAR AJUSTE")</f>
        <v>VALIDAR AJUSTE</v>
      </c>
    </row>
    <row r="103" spans="1:18" x14ac:dyDescent="0.25">
      <c r="A103" t="s">
        <v>502</v>
      </c>
      <c r="B103" t="s">
        <v>572</v>
      </c>
      <c r="C103" t="s">
        <v>573</v>
      </c>
      <c r="D103" t="s">
        <v>599</v>
      </c>
      <c r="E103" t="s">
        <v>399</v>
      </c>
      <c r="F103" t="s">
        <v>175</v>
      </c>
      <c r="G103" t="s">
        <v>355</v>
      </c>
      <c r="H103" t="s">
        <v>62</v>
      </c>
      <c r="I103">
        <v>1</v>
      </c>
      <c r="J103" t="s">
        <v>1191</v>
      </c>
      <c r="K103" t="s">
        <v>1213</v>
      </c>
      <c r="M103" t="s">
        <v>168</v>
      </c>
      <c r="N103" t="s">
        <v>919</v>
      </c>
      <c r="O103" t="s">
        <v>170</v>
      </c>
      <c r="P103" t="s">
        <v>260</v>
      </c>
      <c r="R103" t="str">
        <f>IF(D_PlanoFinanceiro[[#This Row],[Conta 4]]=D_PlanoFinanceiro[[#This Row],[Conta 4 (Atual]],"-","VALIDAR AJUSTE")</f>
        <v>VALIDAR AJUSTE</v>
      </c>
    </row>
    <row r="104" spans="1:18" x14ac:dyDescent="0.25">
      <c r="A104" t="s">
        <v>502</v>
      </c>
      <c r="B104" t="s">
        <v>572</v>
      </c>
      <c r="C104" t="s">
        <v>573</v>
      </c>
      <c r="D104" t="s">
        <v>591</v>
      </c>
      <c r="E104" t="s">
        <v>399</v>
      </c>
      <c r="F104" t="s">
        <v>175</v>
      </c>
      <c r="G104" t="s">
        <v>355</v>
      </c>
      <c r="H104" t="s">
        <v>79</v>
      </c>
      <c r="I104">
        <v>1</v>
      </c>
      <c r="J104" t="s">
        <v>1191</v>
      </c>
      <c r="K104" t="s">
        <v>1213</v>
      </c>
      <c r="M104" t="s">
        <v>168</v>
      </c>
      <c r="N104" t="s">
        <v>919</v>
      </c>
      <c r="O104" t="s">
        <v>170</v>
      </c>
      <c r="P104" t="s">
        <v>79</v>
      </c>
      <c r="R104" t="str">
        <f>IF(D_PlanoFinanceiro[[#This Row],[Conta 4]]=D_PlanoFinanceiro[[#This Row],[Conta 4 (Atual]],"-","VALIDAR AJUSTE")</f>
        <v>-</v>
      </c>
    </row>
    <row r="105" spans="1:18" x14ac:dyDescent="0.25">
      <c r="A105" t="s">
        <v>502</v>
      </c>
      <c r="B105" t="s">
        <v>572</v>
      </c>
      <c r="C105" t="s">
        <v>573</v>
      </c>
      <c r="D105" t="s">
        <v>577</v>
      </c>
      <c r="E105" t="s">
        <v>399</v>
      </c>
      <c r="F105" t="s">
        <v>175</v>
      </c>
      <c r="G105" t="s">
        <v>355</v>
      </c>
      <c r="H105" t="s">
        <v>133</v>
      </c>
      <c r="I105">
        <v>1</v>
      </c>
      <c r="J105" t="s">
        <v>1191</v>
      </c>
      <c r="K105" t="s">
        <v>1213</v>
      </c>
      <c r="M105" t="s">
        <v>168</v>
      </c>
      <c r="N105" t="s">
        <v>919</v>
      </c>
      <c r="O105" t="s">
        <v>170</v>
      </c>
      <c r="P105" t="s">
        <v>133</v>
      </c>
      <c r="R105" t="str">
        <f>IF(D_PlanoFinanceiro[[#This Row],[Conta 4]]=D_PlanoFinanceiro[[#This Row],[Conta 4 (Atual]],"-","VALIDAR AJUSTE")</f>
        <v>-</v>
      </c>
    </row>
    <row r="106" spans="1:18" x14ac:dyDescent="0.25">
      <c r="A106" t="s">
        <v>502</v>
      </c>
      <c r="B106" t="s">
        <v>572</v>
      </c>
      <c r="C106" t="s">
        <v>573</v>
      </c>
      <c r="D106" t="s">
        <v>580</v>
      </c>
      <c r="E106" t="s">
        <v>399</v>
      </c>
      <c r="F106" t="s">
        <v>175</v>
      </c>
      <c r="G106" t="s">
        <v>355</v>
      </c>
      <c r="H106" t="s">
        <v>40</v>
      </c>
      <c r="I106">
        <v>1</v>
      </c>
      <c r="J106" t="s">
        <v>1191</v>
      </c>
      <c r="K106" t="s">
        <v>1213</v>
      </c>
      <c r="M106" t="s">
        <v>168</v>
      </c>
      <c r="N106" t="s">
        <v>919</v>
      </c>
      <c r="O106" t="s">
        <v>170</v>
      </c>
      <c r="P106" t="s">
        <v>264</v>
      </c>
      <c r="R106" t="str">
        <f>IF(D_PlanoFinanceiro[[#This Row],[Conta 4]]=D_PlanoFinanceiro[[#This Row],[Conta 4 (Atual]],"-","VALIDAR AJUSTE")</f>
        <v>VALIDAR AJUSTE</v>
      </c>
    </row>
    <row r="107" spans="1:18" x14ac:dyDescent="0.25">
      <c r="A107" t="s">
        <v>502</v>
      </c>
      <c r="B107" t="s">
        <v>572</v>
      </c>
      <c r="C107" t="s">
        <v>573</v>
      </c>
      <c r="D107" t="s">
        <v>576</v>
      </c>
      <c r="E107" t="s">
        <v>399</v>
      </c>
      <c r="F107" t="s">
        <v>175</v>
      </c>
      <c r="G107" t="s">
        <v>355</v>
      </c>
      <c r="H107" t="s">
        <v>101</v>
      </c>
      <c r="I107">
        <v>1</v>
      </c>
      <c r="J107" t="s">
        <v>1191</v>
      </c>
      <c r="K107" t="s">
        <v>1213</v>
      </c>
      <c r="M107" t="s">
        <v>168</v>
      </c>
      <c r="N107" t="s">
        <v>919</v>
      </c>
      <c r="O107" t="s">
        <v>170</v>
      </c>
      <c r="P107" t="s">
        <v>101</v>
      </c>
      <c r="R107" t="str">
        <f>IF(D_PlanoFinanceiro[[#This Row],[Conta 4]]=D_PlanoFinanceiro[[#This Row],[Conta 4 (Atual]],"-","VALIDAR AJUSTE")</f>
        <v>-</v>
      </c>
    </row>
    <row r="108" spans="1:18" x14ac:dyDescent="0.25">
      <c r="A108" t="s">
        <v>502</v>
      </c>
      <c r="B108" t="s">
        <v>572</v>
      </c>
      <c r="C108" t="s">
        <v>573</v>
      </c>
      <c r="D108" t="s">
        <v>582</v>
      </c>
      <c r="E108" t="s">
        <v>399</v>
      </c>
      <c r="F108" t="s">
        <v>175</v>
      </c>
      <c r="G108" t="s">
        <v>355</v>
      </c>
      <c r="H108" t="s">
        <v>94</v>
      </c>
      <c r="I108">
        <v>1</v>
      </c>
      <c r="J108" t="s">
        <v>1191</v>
      </c>
      <c r="K108" t="s">
        <v>1213</v>
      </c>
      <c r="M108" t="s">
        <v>168</v>
      </c>
      <c r="N108" t="s">
        <v>919</v>
      </c>
      <c r="O108" t="s">
        <v>170</v>
      </c>
      <c r="P108" t="s">
        <v>94</v>
      </c>
      <c r="R108" t="str">
        <f>IF(D_PlanoFinanceiro[[#This Row],[Conta 4]]=D_PlanoFinanceiro[[#This Row],[Conta 4 (Atual]],"-","VALIDAR AJUSTE")</f>
        <v>-</v>
      </c>
    </row>
    <row r="109" spans="1:18" x14ac:dyDescent="0.25">
      <c r="A109" t="s">
        <v>502</v>
      </c>
      <c r="B109" t="s">
        <v>572</v>
      </c>
      <c r="C109" t="s">
        <v>573</v>
      </c>
      <c r="D109" t="s">
        <v>585</v>
      </c>
      <c r="E109" t="s">
        <v>399</v>
      </c>
      <c r="F109" t="s">
        <v>175</v>
      </c>
      <c r="G109" t="s">
        <v>355</v>
      </c>
      <c r="H109" t="s">
        <v>331</v>
      </c>
      <c r="I109">
        <v>1</v>
      </c>
      <c r="J109" t="s">
        <v>1191</v>
      </c>
      <c r="K109" t="s">
        <v>1213</v>
      </c>
      <c r="M109" t="s">
        <v>168</v>
      </c>
      <c r="N109" t="s">
        <v>919</v>
      </c>
      <c r="O109" t="s">
        <v>170</v>
      </c>
      <c r="P109" t="s">
        <v>1167</v>
      </c>
      <c r="R109" t="str">
        <f>IF(D_PlanoFinanceiro[[#This Row],[Conta 4]]=D_PlanoFinanceiro[[#This Row],[Conta 4 (Atual]],"-","VALIDAR AJUSTE")</f>
        <v>VALIDAR AJUSTE</v>
      </c>
    </row>
    <row r="110" spans="1:18" x14ac:dyDescent="0.25">
      <c r="A110" t="s">
        <v>502</v>
      </c>
      <c r="B110" t="s">
        <v>572</v>
      </c>
      <c r="C110" t="s">
        <v>573</v>
      </c>
      <c r="D110" t="s">
        <v>593</v>
      </c>
      <c r="E110" t="s">
        <v>399</v>
      </c>
      <c r="F110" t="s">
        <v>175</v>
      </c>
      <c r="G110" t="s">
        <v>355</v>
      </c>
      <c r="H110" t="s">
        <v>392</v>
      </c>
      <c r="I110">
        <v>1</v>
      </c>
      <c r="J110" t="s">
        <v>1191</v>
      </c>
      <c r="K110" t="s">
        <v>1213</v>
      </c>
      <c r="M110" t="s">
        <v>168</v>
      </c>
      <c r="N110" t="s">
        <v>919</v>
      </c>
      <c r="O110" t="s">
        <v>170</v>
      </c>
      <c r="P110" t="s">
        <v>1169</v>
      </c>
      <c r="R110" t="str">
        <f>IF(D_PlanoFinanceiro[[#This Row],[Conta 4]]=D_PlanoFinanceiro[[#This Row],[Conta 4 (Atual]],"-","VALIDAR AJUSTE")</f>
        <v>VALIDAR AJUSTE</v>
      </c>
    </row>
    <row r="111" spans="1:18" x14ac:dyDescent="0.25">
      <c r="A111" t="s">
        <v>502</v>
      </c>
      <c r="B111" t="s">
        <v>572</v>
      </c>
      <c r="C111" t="s">
        <v>573</v>
      </c>
      <c r="D111" t="s">
        <v>600</v>
      </c>
      <c r="E111" t="s">
        <v>399</v>
      </c>
      <c r="F111" t="s">
        <v>175</v>
      </c>
      <c r="G111" t="s">
        <v>355</v>
      </c>
      <c r="H111" t="s">
        <v>393</v>
      </c>
      <c r="I111">
        <v>1</v>
      </c>
      <c r="J111" t="s">
        <v>1191</v>
      </c>
      <c r="K111" t="s">
        <v>1213</v>
      </c>
      <c r="M111" t="s">
        <v>168</v>
      </c>
      <c r="N111" t="s">
        <v>919</v>
      </c>
      <c r="O111" t="s">
        <v>170</v>
      </c>
      <c r="P111" t="s">
        <v>393</v>
      </c>
      <c r="R111" t="str">
        <f>IF(D_PlanoFinanceiro[[#This Row],[Conta 4]]=D_PlanoFinanceiro[[#This Row],[Conta 4 (Atual]],"-","VALIDAR AJUSTE")</f>
        <v>-</v>
      </c>
    </row>
    <row r="112" spans="1:18" x14ac:dyDescent="0.25">
      <c r="A112" t="s">
        <v>502</v>
      </c>
      <c r="B112" t="s">
        <v>572</v>
      </c>
      <c r="C112" t="s">
        <v>573</v>
      </c>
      <c r="D112" t="s">
        <v>601</v>
      </c>
      <c r="E112" t="s">
        <v>399</v>
      </c>
      <c r="F112" t="s">
        <v>175</v>
      </c>
      <c r="G112" t="s">
        <v>355</v>
      </c>
      <c r="H112" t="s">
        <v>457</v>
      </c>
      <c r="I112">
        <v>1</v>
      </c>
      <c r="J112" t="s">
        <v>1191</v>
      </c>
      <c r="K112" t="s">
        <v>1213</v>
      </c>
      <c r="M112" t="s">
        <v>168</v>
      </c>
      <c r="N112" t="s">
        <v>919</v>
      </c>
      <c r="O112" t="s">
        <v>170</v>
      </c>
      <c r="P112" t="s">
        <v>457</v>
      </c>
      <c r="R112" t="str">
        <f>IF(D_PlanoFinanceiro[[#This Row],[Conta 4]]=D_PlanoFinanceiro[[#This Row],[Conta 4 (Atual]],"-","VALIDAR AJUSTE")</f>
        <v>-</v>
      </c>
    </row>
    <row r="113" spans="1:18" x14ac:dyDescent="0.25">
      <c r="A113" t="s">
        <v>502</v>
      </c>
      <c r="B113" t="s">
        <v>572</v>
      </c>
      <c r="C113" t="s">
        <v>573</v>
      </c>
      <c r="D113" t="s">
        <v>604</v>
      </c>
      <c r="E113" t="s">
        <v>399</v>
      </c>
      <c r="F113" t="s">
        <v>175</v>
      </c>
      <c r="G113" t="s">
        <v>355</v>
      </c>
      <c r="H113" t="s">
        <v>464</v>
      </c>
      <c r="I113">
        <v>1</v>
      </c>
      <c r="J113" t="s">
        <v>1191</v>
      </c>
      <c r="K113" t="s">
        <v>1213</v>
      </c>
      <c r="M113" t="s">
        <v>168</v>
      </c>
      <c r="N113" t="s">
        <v>919</v>
      </c>
      <c r="O113" t="s">
        <v>170</v>
      </c>
      <c r="P113" t="s">
        <v>1171</v>
      </c>
      <c r="R113" t="str">
        <f>IF(D_PlanoFinanceiro[[#This Row],[Conta 4]]=D_PlanoFinanceiro[[#This Row],[Conta 4 (Atual]],"-","VALIDAR AJUSTE")</f>
        <v>VALIDAR AJUSTE</v>
      </c>
    </row>
    <row r="114" spans="1:18" x14ac:dyDescent="0.25">
      <c r="A114" t="s">
        <v>502</v>
      </c>
      <c r="B114" t="s">
        <v>503</v>
      </c>
      <c r="C114" t="s">
        <v>512</v>
      </c>
      <c r="D114" t="s">
        <v>534</v>
      </c>
      <c r="E114" t="s">
        <v>399</v>
      </c>
      <c r="F114" t="s">
        <v>429</v>
      </c>
      <c r="G114" t="s">
        <v>315</v>
      </c>
      <c r="H114" t="s">
        <v>142</v>
      </c>
      <c r="I114">
        <v>1</v>
      </c>
      <c r="J114" t="s">
        <v>1192</v>
      </c>
      <c r="K114" t="s">
        <v>1244</v>
      </c>
      <c r="M114" t="s">
        <v>168</v>
      </c>
      <c r="N114" t="s">
        <v>1106</v>
      </c>
      <c r="O114" t="s">
        <v>1106</v>
      </c>
      <c r="P114" t="s">
        <v>142</v>
      </c>
      <c r="Q114" s="6" t="s">
        <v>909</v>
      </c>
      <c r="R114" t="str">
        <f>IF(D_PlanoFinanceiro[[#This Row],[Conta 4]]=D_PlanoFinanceiro[[#This Row],[Conta 4 (Atual]],"-","VALIDAR AJUSTE")</f>
        <v>-</v>
      </c>
    </row>
    <row r="115" spans="1:18" x14ac:dyDescent="0.25">
      <c r="A115" t="s">
        <v>502</v>
      </c>
      <c r="B115" t="s">
        <v>503</v>
      </c>
      <c r="C115" t="s">
        <v>512</v>
      </c>
      <c r="D115" t="s">
        <v>513</v>
      </c>
      <c r="E115" t="s">
        <v>399</v>
      </c>
      <c r="F115" t="s">
        <v>429</v>
      </c>
      <c r="G115" t="s">
        <v>315</v>
      </c>
      <c r="H115" t="s">
        <v>68</v>
      </c>
      <c r="I115">
        <v>1</v>
      </c>
      <c r="J115" t="s">
        <v>1192</v>
      </c>
      <c r="K115" t="s">
        <v>1244</v>
      </c>
      <c r="M115" t="s">
        <v>168</v>
      </c>
      <c r="N115" t="s">
        <v>1106</v>
      </c>
      <c r="O115" t="s">
        <v>1106</v>
      </c>
      <c r="P115" t="s">
        <v>239</v>
      </c>
      <c r="Q115" s="6" t="s">
        <v>883</v>
      </c>
      <c r="R115" t="str">
        <f>IF(D_PlanoFinanceiro[[#This Row],[Conta 4]]=D_PlanoFinanceiro[[#This Row],[Conta 4 (Atual]],"-","VALIDAR AJUSTE")</f>
        <v>VALIDAR AJUSTE</v>
      </c>
    </row>
    <row r="116" spans="1:18" x14ac:dyDescent="0.25">
      <c r="A116" t="s">
        <v>502</v>
      </c>
      <c r="B116" t="s">
        <v>503</v>
      </c>
      <c r="C116" t="s">
        <v>512</v>
      </c>
      <c r="D116" t="s">
        <v>532</v>
      </c>
      <c r="E116" t="s">
        <v>399</v>
      </c>
      <c r="F116" t="s">
        <v>429</v>
      </c>
      <c r="G116" t="s">
        <v>315</v>
      </c>
      <c r="H116" s="6" t="s">
        <v>121</v>
      </c>
      <c r="I116" s="6">
        <v>1</v>
      </c>
      <c r="J116" s="6" t="s">
        <v>1192</v>
      </c>
      <c r="K116" s="6" t="s">
        <v>1244</v>
      </c>
      <c r="L116" s="6"/>
      <c r="M116" t="s">
        <v>168</v>
      </c>
      <c r="N116" t="s">
        <v>1106</v>
      </c>
      <c r="O116" t="s">
        <v>1106</v>
      </c>
      <c r="P116" s="4" t="s">
        <v>121</v>
      </c>
      <c r="Q116" s="6" t="s">
        <v>882</v>
      </c>
      <c r="R116" t="str">
        <f>IF(D_PlanoFinanceiro[[#This Row],[Conta 4]]=D_PlanoFinanceiro[[#This Row],[Conta 4 (Atual]],"-","VALIDAR AJUSTE")</f>
        <v>-</v>
      </c>
    </row>
    <row r="117" spans="1:18" x14ac:dyDescent="0.25">
      <c r="A117" t="s">
        <v>502</v>
      </c>
      <c r="B117" t="s">
        <v>503</v>
      </c>
      <c r="C117" t="s">
        <v>512</v>
      </c>
      <c r="D117" t="s">
        <v>518</v>
      </c>
      <c r="E117" t="s">
        <v>399</v>
      </c>
      <c r="F117" t="s">
        <v>429</v>
      </c>
      <c r="G117" t="s">
        <v>315</v>
      </c>
      <c r="H117" t="s">
        <v>435</v>
      </c>
      <c r="I117">
        <v>1</v>
      </c>
      <c r="J117" t="s">
        <v>1192</v>
      </c>
      <c r="K117" t="s">
        <v>1244</v>
      </c>
      <c r="M117" t="s">
        <v>168</v>
      </c>
      <c r="N117" t="s">
        <v>1106</v>
      </c>
      <c r="O117" t="s">
        <v>1106</v>
      </c>
      <c r="P117" t="s">
        <v>435</v>
      </c>
      <c r="R117" t="str">
        <f>IF(D_PlanoFinanceiro[[#This Row],[Conta 4]]=D_PlanoFinanceiro[[#This Row],[Conta 4 (Atual]],"-","VALIDAR AJUSTE")</f>
        <v>-</v>
      </c>
    </row>
    <row r="118" spans="1:18" x14ac:dyDescent="0.25">
      <c r="A118" t="s">
        <v>502</v>
      </c>
      <c r="B118" t="s">
        <v>503</v>
      </c>
      <c r="C118" t="s">
        <v>512</v>
      </c>
      <c r="D118" t="s">
        <v>526</v>
      </c>
      <c r="E118" t="s">
        <v>399</v>
      </c>
      <c r="F118" t="s">
        <v>429</v>
      </c>
      <c r="G118" t="s">
        <v>315</v>
      </c>
      <c r="H118" t="s">
        <v>320</v>
      </c>
      <c r="I118">
        <v>1</v>
      </c>
      <c r="J118" t="s">
        <v>1192</v>
      </c>
      <c r="K118" t="s">
        <v>1244</v>
      </c>
      <c r="M118" t="s">
        <v>168</v>
      </c>
      <c r="N118" t="s">
        <v>1106</v>
      </c>
      <c r="O118" t="s">
        <v>1106</v>
      </c>
      <c r="P118" t="s">
        <v>910</v>
      </c>
      <c r="R118" t="str">
        <f>IF(D_PlanoFinanceiro[[#This Row],[Conta 4]]=D_PlanoFinanceiro[[#This Row],[Conta 4 (Atual]],"-","VALIDAR AJUSTE")</f>
        <v>VALIDAR AJUSTE</v>
      </c>
    </row>
    <row r="119" spans="1:18" x14ac:dyDescent="0.25">
      <c r="A119" t="s">
        <v>502</v>
      </c>
      <c r="B119" t="s">
        <v>503</v>
      </c>
      <c r="C119" t="s">
        <v>512</v>
      </c>
      <c r="D119" t="s">
        <v>533</v>
      </c>
      <c r="E119" t="s">
        <v>399</v>
      </c>
      <c r="F119" t="s">
        <v>429</v>
      </c>
      <c r="G119" t="s">
        <v>315</v>
      </c>
      <c r="H119" t="s">
        <v>386</v>
      </c>
      <c r="I119">
        <v>1</v>
      </c>
      <c r="J119" t="s">
        <v>1192</v>
      </c>
      <c r="K119" t="s">
        <v>1244</v>
      </c>
      <c r="M119" t="s">
        <v>168</v>
      </c>
      <c r="N119" t="s">
        <v>1106</v>
      </c>
      <c r="O119" t="s">
        <v>1106</v>
      </c>
      <c r="P119" t="s">
        <v>386</v>
      </c>
      <c r="R119" t="str">
        <f>IF(D_PlanoFinanceiro[[#This Row],[Conta 4]]=D_PlanoFinanceiro[[#This Row],[Conta 4 (Atual]],"-","VALIDAR AJUSTE")</f>
        <v>-</v>
      </c>
    </row>
    <row r="120" spans="1:18" x14ac:dyDescent="0.25">
      <c r="A120" t="s">
        <v>502</v>
      </c>
      <c r="B120" t="s">
        <v>503</v>
      </c>
      <c r="C120" t="s">
        <v>512</v>
      </c>
      <c r="D120" t="s">
        <v>535</v>
      </c>
      <c r="E120" t="s">
        <v>399</v>
      </c>
      <c r="F120" t="s">
        <v>429</v>
      </c>
      <c r="G120" t="s">
        <v>315</v>
      </c>
      <c r="H120" t="s">
        <v>454</v>
      </c>
      <c r="I120">
        <v>1</v>
      </c>
      <c r="J120" t="s">
        <v>1192</v>
      </c>
      <c r="K120" t="s">
        <v>1244</v>
      </c>
      <c r="M120" t="s">
        <v>168</v>
      </c>
      <c r="N120" t="s">
        <v>1106</v>
      </c>
      <c r="O120" t="s">
        <v>1106</v>
      </c>
      <c r="P120" t="s">
        <v>454</v>
      </c>
      <c r="R120" t="str">
        <f>IF(D_PlanoFinanceiro[[#This Row],[Conta 4]]=D_PlanoFinanceiro[[#This Row],[Conta 4 (Atual]],"-","VALIDAR AJUSTE")</f>
        <v>-</v>
      </c>
    </row>
    <row r="121" spans="1:18" x14ac:dyDescent="0.25">
      <c r="A121" t="s">
        <v>502</v>
      </c>
      <c r="B121" t="s">
        <v>503</v>
      </c>
      <c r="C121" t="s">
        <v>512</v>
      </c>
      <c r="D121" t="s">
        <v>536</v>
      </c>
      <c r="E121" t="s">
        <v>399</v>
      </c>
      <c r="F121" t="s">
        <v>429</v>
      </c>
      <c r="G121" t="s">
        <v>315</v>
      </c>
      <c r="H121" t="s">
        <v>456</v>
      </c>
      <c r="I121">
        <v>1</v>
      </c>
      <c r="J121" t="s">
        <v>1192</v>
      </c>
      <c r="K121" t="s">
        <v>1244</v>
      </c>
      <c r="M121" t="s">
        <v>168</v>
      </c>
      <c r="N121" t="s">
        <v>1106</v>
      </c>
      <c r="O121" t="s">
        <v>1106</v>
      </c>
      <c r="P121" t="s">
        <v>456</v>
      </c>
      <c r="R121" t="str">
        <f>IF(D_PlanoFinanceiro[[#This Row],[Conta 4]]=D_PlanoFinanceiro[[#This Row],[Conta 4 (Atual]],"-","VALIDAR AJUSTE")</f>
        <v>-</v>
      </c>
    </row>
    <row r="122" spans="1:18" x14ac:dyDescent="0.25">
      <c r="A122" t="s">
        <v>502</v>
      </c>
      <c r="B122" t="s">
        <v>503</v>
      </c>
      <c r="C122" t="s">
        <v>512</v>
      </c>
      <c r="D122" t="s">
        <v>537</v>
      </c>
      <c r="E122" t="s">
        <v>399</v>
      </c>
      <c r="F122" t="s">
        <v>429</v>
      </c>
      <c r="G122" t="s">
        <v>315</v>
      </c>
      <c r="H122" t="s">
        <v>388</v>
      </c>
      <c r="I122">
        <v>1</v>
      </c>
      <c r="J122" t="s">
        <v>1192</v>
      </c>
      <c r="K122" t="s">
        <v>1244</v>
      </c>
      <c r="M122" t="s">
        <v>168</v>
      </c>
      <c r="N122" t="s">
        <v>1106</v>
      </c>
      <c r="O122" t="s">
        <v>1106</v>
      </c>
      <c r="P122" t="s">
        <v>1164</v>
      </c>
      <c r="R122" t="str">
        <f>IF(D_PlanoFinanceiro[[#This Row],[Conta 4]]=D_PlanoFinanceiro[[#This Row],[Conta 4 (Atual]],"-","VALIDAR AJUSTE")</f>
        <v>VALIDAR AJUSTE</v>
      </c>
    </row>
    <row r="123" spans="1:18" x14ac:dyDescent="0.25">
      <c r="A123" t="s">
        <v>502</v>
      </c>
      <c r="B123" t="s">
        <v>503</v>
      </c>
      <c r="C123" t="s">
        <v>512</v>
      </c>
      <c r="D123" t="s">
        <v>538</v>
      </c>
      <c r="E123" t="s">
        <v>399</v>
      </c>
      <c r="F123" t="s">
        <v>429</v>
      </c>
      <c r="G123" t="s">
        <v>315</v>
      </c>
      <c r="H123" t="s">
        <v>466</v>
      </c>
      <c r="I123">
        <v>1</v>
      </c>
      <c r="J123" t="s">
        <v>1192</v>
      </c>
      <c r="K123" t="s">
        <v>1244</v>
      </c>
      <c r="M123" t="s">
        <v>168</v>
      </c>
      <c r="N123" t="s">
        <v>1106</v>
      </c>
      <c r="O123" t="s">
        <v>1106</v>
      </c>
      <c r="P123" t="s">
        <v>466</v>
      </c>
      <c r="R123" t="str">
        <f>IF(D_PlanoFinanceiro[[#This Row],[Conta 4]]=D_PlanoFinanceiro[[#This Row],[Conta 4 (Atual]],"-","VALIDAR AJUSTE")</f>
        <v>-</v>
      </c>
    </row>
    <row r="124" spans="1:18" x14ac:dyDescent="0.25">
      <c r="A124" t="s">
        <v>502</v>
      </c>
      <c r="B124" t="s">
        <v>503</v>
      </c>
      <c r="C124" t="s">
        <v>559</v>
      </c>
      <c r="D124" t="s">
        <v>562</v>
      </c>
      <c r="E124" t="s">
        <v>399</v>
      </c>
      <c r="F124" t="s">
        <v>429</v>
      </c>
      <c r="G124" t="s">
        <v>326</v>
      </c>
      <c r="H124" t="s">
        <v>329</v>
      </c>
      <c r="I124">
        <v>1</v>
      </c>
      <c r="J124" t="s">
        <v>1192</v>
      </c>
      <c r="K124" t="s">
        <v>1244</v>
      </c>
      <c r="M124" t="s">
        <v>168</v>
      </c>
      <c r="N124" t="s">
        <v>1106</v>
      </c>
      <c r="O124" t="s">
        <v>1106</v>
      </c>
      <c r="P124" t="s">
        <v>329</v>
      </c>
      <c r="R124" t="str">
        <f>IF(D_PlanoFinanceiro[[#This Row],[Conta 4]]=D_PlanoFinanceiro[[#This Row],[Conta 4 (Atual]],"-","VALIDAR AJUSTE")</f>
        <v>-</v>
      </c>
    </row>
    <row r="125" spans="1:18" x14ac:dyDescent="0.25">
      <c r="A125" t="s">
        <v>502</v>
      </c>
      <c r="B125" t="s">
        <v>503</v>
      </c>
      <c r="C125" t="s">
        <v>559</v>
      </c>
      <c r="D125" t="s">
        <v>564</v>
      </c>
      <c r="E125" t="s">
        <v>399</v>
      </c>
      <c r="F125" t="s">
        <v>429</v>
      </c>
      <c r="G125" t="s">
        <v>326</v>
      </c>
      <c r="H125" t="s">
        <v>381</v>
      </c>
      <c r="I125">
        <v>1</v>
      </c>
      <c r="J125" t="s">
        <v>1192</v>
      </c>
      <c r="K125" t="s">
        <v>1244</v>
      </c>
      <c r="M125" t="s">
        <v>168</v>
      </c>
      <c r="N125" t="s">
        <v>1106</v>
      </c>
      <c r="O125" t="s">
        <v>1106</v>
      </c>
      <c r="P125" t="s">
        <v>381</v>
      </c>
      <c r="R125" t="str">
        <f>IF(D_PlanoFinanceiro[[#This Row],[Conta 4]]=D_PlanoFinanceiro[[#This Row],[Conta 4 (Atual]],"-","VALIDAR AJUSTE")</f>
        <v>-</v>
      </c>
    </row>
    <row r="126" spans="1:18" x14ac:dyDescent="0.25">
      <c r="A126" t="s">
        <v>502</v>
      </c>
      <c r="B126" t="s">
        <v>503</v>
      </c>
      <c r="C126" t="s">
        <v>570</v>
      </c>
      <c r="D126" t="s">
        <v>571</v>
      </c>
      <c r="E126" t="s">
        <v>399</v>
      </c>
      <c r="F126" t="s">
        <v>429</v>
      </c>
      <c r="G126" t="s">
        <v>426</v>
      </c>
      <c r="H126" t="s">
        <v>374</v>
      </c>
      <c r="I126">
        <v>1</v>
      </c>
      <c r="J126" t="s">
        <v>1192</v>
      </c>
      <c r="K126" t="s">
        <v>1244</v>
      </c>
      <c r="M126" t="s">
        <v>168</v>
      </c>
      <c r="N126" t="s">
        <v>1106</v>
      </c>
      <c r="O126" t="s">
        <v>1106</v>
      </c>
      <c r="P126" t="s">
        <v>374</v>
      </c>
      <c r="R126" t="str">
        <f>IF(D_PlanoFinanceiro[[#This Row],[Conta 4]]=D_PlanoFinanceiro[[#This Row],[Conta 4 (Atual]],"-","VALIDAR AJUSTE")</f>
        <v>-</v>
      </c>
    </row>
    <row r="127" spans="1:18" x14ac:dyDescent="0.25">
      <c r="I127">
        <v>1</v>
      </c>
      <c r="J127" t="s">
        <v>1192</v>
      </c>
      <c r="K127" t="s">
        <v>1244</v>
      </c>
      <c r="M127" t="s">
        <v>168</v>
      </c>
      <c r="N127" t="s">
        <v>1106</v>
      </c>
      <c r="O127" t="s">
        <v>1106</v>
      </c>
      <c r="P127" t="s">
        <v>1109</v>
      </c>
      <c r="R127" t="str">
        <f>IF(D_PlanoFinanceiro[[#This Row],[Conta 4]]=D_PlanoFinanceiro[[#This Row],[Conta 4 (Atual]],"-","VALIDAR AJUSTE")</f>
        <v>VALIDAR AJUSTE</v>
      </c>
    </row>
    <row r="128" spans="1:18" x14ac:dyDescent="0.25">
      <c r="A128" t="s">
        <v>502</v>
      </c>
      <c r="B128" t="s">
        <v>572</v>
      </c>
      <c r="C128" t="s">
        <v>671</v>
      </c>
      <c r="D128" t="s">
        <v>685</v>
      </c>
      <c r="E128" t="s">
        <v>399</v>
      </c>
      <c r="F128" t="s">
        <v>175</v>
      </c>
      <c r="G128" t="s">
        <v>408</v>
      </c>
      <c r="H128" t="s">
        <v>442</v>
      </c>
      <c r="I128">
        <v>1</v>
      </c>
      <c r="J128" t="s">
        <v>1192</v>
      </c>
      <c r="K128" t="s">
        <v>1244</v>
      </c>
      <c r="M128" t="s">
        <v>168</v>
      </c>
      <c r="N128" t="s">
        <v>1106</v>
      </c>
      <c r="O128" t="s">
        <v>1106</v>
      </c>
      <c r="P128" t="s">
        <v>1111</v>
      </c>
      <c r="R128" t="str">
        <f>IF(D_PlanoFinanceiro[[#This Row],[Conta 4]]=D_PlanoFinanceiro[[#This Row],[Conta 4 (Atual]],"-","VALIDAR AJUSTE")</f>
        <v>VALIDAR AJUSTE</v>
      </c>
    </row>
    <row r="129" spans="1:18" x14ac:dyDescent="0.25">
      <c r="A129" t="s">
        <v>502</v>
      </c>
      <c r="B129" t="s">
        <v>503</v>
      </c>
      <c r="C129" t="s">
        <v>512</v>
      </c>
      <c r="D129" t="s">
        <v>527</v>
      </c>
      <c r="E129" t="s">
        <v>399</v>
      </c>
      <c r="F129" t="s">
        <v>429</v>
      </c>
      <c r="G129" t="s">
        <v>315</v>
      </c>
      <c r="H129" t="s">
        <v>377</v>
      </c>
      <c r="I129">
        <v>1</v>
      </c>
      <c r="J129" t="s">
        <v>1193</v>
      </c>
      <c r="K129" t="s">
        <v>1264</v>
      </c>
      <c r="M129" t="s">
        <v>168</v>
      </c>
      <c r="N129" t="s">
        <v>911</v>
      </c>
      <c r="O129" t="s">
        <v>912</v>
      </c>
      <c r="P129" t="s">
        <v>377</v>
      </c>
      <c r="R129" t="str">
        <f>IF(D_PlanoFinanceiro[[#This Row],[Conta 4]]=D_PlanoFinanceiro[[#This Row],[Conta 4 (Atual]],"-","VALIDAR AJUSTE")</f>
        <v>-</v>
      </c>
    </row>
    <row r="130" spans="1:18" x14ac:dyDescent="0.25">
      <c r="A130" t="s">
        <v>502</v>
      </c>
      <c r="B130" t="s">
        <v>503</v>
      </c>
      <c r="C130" t="s">
        <v>512</v>
      </c>
      <c r="D130" t="s">
        <v>531</v>
      </c>
      <c r="E130" t="s">
        <v>399</v>
      </c>
      <c r="F130" t="s">
        <v>429</v>
      </c>
      <c r="G130" t="s">
        <v>315</v>
      </c>
      <c r="H130" t="s">
        <v>370</v>
      </c>
      <c r="I130">
        <v>1</v>
      </c>
      <c r="J130" t="s">
        <v>1193</v>
      </c>
      <c r="K130" t="s">
        <v>1264</v>
      </c>
      <c r="M130" t="s">
        <v>168</v>
      </c>
      <c r="N130" t="s">
        <v>911</v>
      </c>
      <c r="O130" t="s">
        <v>912</v>
      </c>
      <c r="P130" t="s">
        <v>1163</v>
      </c>
      <c r="R130" t="str">
        <f>IF(D_PlanoFinanceiro[[#This Row],[Conta 4]]=D_PlanoFinanceiro[[#This Row],[Conta 4 (Atual]],"-","VALIDAR AJUSTE")</f>
        <v>VALIDAR AJUSTE</v>
      </c>
    </row>
    <row r="131" spans="1:18" x14ac:dyDescent="0.25">
      <c r="A131" t="s">
        <v>502</v>
      </c>
      <c r="B131" t="s">
        <v>572</v>
      </c>
      <c r="C131" t="s">
        <v>573</v>
      </c>
      <c r="D131" t="s">
        <v>596</v>
      </c>
      <c r="E131" t="s">
        <v>399</v>
      </c>
      <c r="F131" t="s">
        <v>175</v>
      </c>
      <c r="G131" t="s">
        <v>355</v>
      </c>
      <c r="H131" t="s">
        <v>333</v>
      </c>
      <c r="I131">
        <v>1</v>
      </c>
      <c r="J131" t="s">
        <v>1193</v>
      </c>
      <c r="K131" t="s">
        <v>1264</v>
      </c>
      <c r="M131" t="s">
        <v>168</v>
      </c>
      <c r="N131" t="s">
        <v>911</v>
      </c>
      <c r="O131" t="s">
        <v>912</v>
      </c>
      <c r="P131" t="s">
        <v>1110</v>
      </c>
      <c r="R131" t="str">
        <f>IF(D_PlanoFinanceiro[[#This Row],[Conta 4]]=D_PlanoFinanceiro[[#This Row],[Conta 4 (Atual]],"-","VALIDAR AJUSTE")</f>
        <v>VALIDAR AJUSTE</v>
      </c>
    </row>
    <row r="132" spans="1:18" x14ac:dyDescent="0.25">
      <c r="A132" t="s">
        <v>502</v>
      </c>
      <c r="B132" t="s">
        <v>572</v>
      </c>
      <c r="C132" t="s">
        <v>658</v>
      </c>
      <c r="D132" t="s">
        <v>664</v>
      </c>
      <c r="E132" t="s">
        <v>399</v>
      </c>
      <c r="F132" t="s">
        <v>175</v>
      </c>
      <c r="G132" t="s">
        <v>339</v>
      </c>
      <c r="H132" t="s">
        <v>459</v>
      </c>
      <c r="I132">
        <v>1</v>
      </c>
      <c r="J132" t="s">
        <v>1193</v>
      </c>
      <c r="K132" t="s">
        <v>1266</v>
      </c>
      <c r="M132" t="s">
        <v>168</v>
      </c>
      <c r="N132" t="s">
        <v>911</v>
      </c>
      <c r="O132" t="s">
        <v>1127</v>
      </c>
      <c r="P132" t="s">
        <v>459</v>
      </c>
      <c r="R132" t="str">
        <f>IF(D_PlanoFinanceiro[[#This Row],[Conta 4]]=D_PlanoFinanceiro[[#This Row],[Conta 4 (Atual]],"-","VALIDAR AJUSTE")</f>
        <v>-</v>
      </c>
    </row>
    <row r="133" spans="1:18" x14ac:dyDescent="0.25">
      <c r="A133" t="s">
        <v>502</v>
      </c>
      <c r="B133" t="s">
        <v>712</v>
      </c>
      <c r="C133" t="s">
        <v>713</v>
      </c>
      <c r="D133" t="s">
        <v>718</v>
      </c>
      <c r="E133" t="s">
        <v>399</v>
      </c>
      <c r="F133" t="s">
        <v>411</v>
      </c>
      <c r="G133" t="s">
        <v>345</v>
      </c>
      <c r="H133" t="s">
        <v>414</v>
      </c>
      <c r="I133">
        <v>1</v>
      </c>
      <c r="J133" t="s">
        <v>1193</v>
      </c>
      <c r="K133" t="s">
        <v>1266</v>
      </c>
      <c r="M133" t="s">
        <v>168</v>
      </c>
      <c r="N133" t="s">
        <v>911</v>
      </c>
      <c r="O133" t="s">
        <v>1127</v>
      </c>
      <c r="P133" t="s">
        <v>414</v>
      </c>
      <c r="R133" t="str">
        <f>IF(D_PlanoFinanceiro[[#This Row],[Conta 4]]=D_PlanoFinanceiro[[#This Row],[Conta 4 (Atual]],"-","VALIDAR AJUSTE")</f>
        <v>-</v>
      </c>
    </row>
    <row r="134" spans="1:18" x14ac:dyDescent="0.25">
      <c r="A134" t="s">
        <v>502</v>
      </c>
      <c r="B134" t="s">
        <v>572</v>
      </c>
      <c r="C134" t="s">
        <v>605</v>
      </c>
      <c r="D134" t="s">
        <v>612</v>
      </c>
      <c r="E134" t="s">
        <v>399</v>
      </c>
      <c r="F134" t="s">
        <v>175</v>
      </c>
      <c r="G134" t="s">
        <v>335</v>
      </c>
      <c r="H134" t="s">
        <v>45</v>
      </c>
      <c r="I134">
        <v>1</v>
      </c>
      <c r="J134" t="s">
        <v>1194</v>
      </c>
      <c r="K134" t="s">
        <v>1253</v>
      </c>
      <c r="M134" t="s">
        <v>168</v>
      </c>
      <c r="N134" t="s">
        <v>921</v>
      </c>
      <c r="O134" t="s">
        <v>355</v>
      </c>
      <c r="P134" t="s">
        <v>1115</v>
      </c>
      <c r="R134" t="str">
        <f>IF(D_PlanoFinanceiro[[#This Row],[Conta 4]]=D_PlanoFinanceiro[[#This Row],[Conta 4 (Atual]],"-","VALIDAR AJUSTE")</f>
        <v>VALIDAR AJUSTE</v>
      </c>
    </row>
    <row r="135" spans="1:18" x14ac:dyDescent="0.25">
      <c r="A135" t="s">
        <v>502</v>
      </c>
      <c r="B135" t="s">
        <v>572</v>
      </c>
      <c r="C135" t="s">
        <v>645</v>
      </c>
      <c r="D135" t="s">
        <v>654</v>
      </c>
      <c r="E135" t="s">
        <v>399</v>
      </c>
      <c r="F135" t="s">
        <v>175</v>
      </c>
      <c r="G135" t="s">
        <v>407</v>
      </c>
      <c r="H135" t="s">
        <v>382</v>
      </c>
      <c r="I135">
        <v>1</v>
      </c>
      <c r="J135" t="s">
        <v>1194</v>
      </c>
      <c r="K135" t="s">
        <v>1253</v>
      </c>
      <c r="M135" t="s">
        <v>168</v>
      </c>
      <c r="N135" t="s">
        <v>921</v>
      </c>
      <c r="O135" t="s">
        <v>355</v>
      </c>
      <c r="P135" t="s">
        <v>382</v>
      </c>
      <c r="R135" t="str">
        <f>IF(D_PlanoFinanceiro[[#This Row],[Conta 4]]=D_PlanoFinanceiro[[#This Row],[Conta 4 (Atual]],"-","VALIDAR AJUSTE")</f>
        <v>-</v>
      </c>
    </row>
    <row r="136" spans="1:18" x14ac:dyDescent="0.25">
      <c r="A136" t="s">
        <v>502</v>
      </c>
      <c r="B136" t="s">
        <v>572</v>
      </c>
      <c r="C136" t="s">
        <v>671</v>
      </c>
      <c r="D136" t="s">
        <v>692</v>
      </c>
      <c r="E136" t="s">
        <v>399</v>
      </c>
      <c r="F136" t="s">
        <v>175</v>
      </c>
      <c r="G136" t="s">
        <v>408</v>
      </c>
      <c r="H136" t="s">
        <v>389</v>
      </c>
      <c r="I136">
        <v>1</v>
      </c>
      <c r="J136" t="s">
        <v>1194</v>
      </c>
      <c r="K136" t="s">
        <v>1253</v>
      </c>
      <c r="M136" t="s">
        <v>168</v>
      </c>
      <c r="N136" t="s">
        <v>921</v>
      </c>
      <c r="O136" t="s">
        <v>355</v>
      </c>
      <c r="P136" t="s">
        <v>389</v>
      </c>
      <c r="Q136" s="6" t="s">
        <v>922</v>
      </c>
      <c r="R136" t="str">
        <f>IF(D_PlanoFinanceiro[[#This Row],[Conta 4]]=D_PlanoFinanceiro[[#This Row],[Conta 4 (Atual]],"-","VALIDAR AJUSTE")</f>
        <v>-</v>
      </c>
    </row>
    <row r="137" spans="1:18" x14ac:dyDescent="0.25">
      <c r="A137" t="s">
        <v>502</v>
      </c>
      <c r="B137" t="s">
        <v>572</v>
      </c>
      <c r="C137" t="s">
        <v>671</v>
      </c>
      <c r="D137" t="s">
        <v>691</v>
      </c>
      <c r="E137" t="s">
        <v>399</v>
      </c>
      <c r="F137" t="s">
        <v>175</v>
      </c>
      <c r="G137" t="s">
        <v>408</v>
      </c>
      <c r="H137" t="s">
        <v>154</v>
      </c>
      <c r="I137">
        <v>1</v>
      </c>
      <c r="J137" t="s">
        <v>1195</v>
      </c>
      <c r="K137" t="s">
        <v>1237</v>
      </c>
      <c r="M137" t="s">
        <v>168</v>
      </c>
      <c r="N137" t="s">
        <v>218</v>
      </c>
      <c r="O137" t="s">
        <v>218</v>
      </c>
      <c r="P137" t="s">
        <v>154</v>
      </c>
      <c r="R137" t="str">
        <f>IF(D_PlanoFinanceiro[[#This Row],[Conta 4]]=D_PlanoFinanceiro[[#This Row],[Conta 4 (Atual]],"-","VALIDAR AJUSTE")</f>
        <v>-</v>
      </c>
    </row>
    <row r="138" spans="1:18" x14ac:dyDescent="0.25">
      <c r="A138" t="s">
        <v>502</v>
      </c>
      <c r="B138" t="s">
        <v>572</v>
      </c>
      <c r="C138" t="s">
        <v>573</v>
      </c>
      <c r="D138" t="s">
        <v>597</v>
      </c>
      <c r="E138" t="s">
        <v>399</v>
      </c>
      <c r="F138" t="s">
        <v>175</v>
      </c>
      <c r="G138" t="s">
        <v>355</v>
      </c>
      <c r="H138" t="s">
        <v>49</v>
      </c>
      <c r="I138">
        <v>1</v>
      </c>
      <c r="J138" t="s">
        <v>1195</v>
      </c>
      <c r="K138" t="s">
        <v>1237</v>
      </c>
      <c r="M138" t="s">
        <v>168</v>
      </c>
      <c r="N138" t="s">
        <v>218</v>
      </c>
      <c r="O138" t="s">
        <v>218</v>
      </c>
      <c r="P138" t="s">
        <v>254</v>
      </c>
      <c r="R138" t="str">
        <f>IF(D_PlanoFinanceiro[[#This Row],[Conta 4]]=D_PlanoFinanceiro[[#This Row],[Conta 4 (Atual]],"-","VALIDAR AJUSTE")</f>
        <v>VALIDAR AJUSTE</v>
      </c>
    </row>
    <row r="139" spans="1:18" x14ac:dyDescent="0.25">
      <c r="A139" t="s">
        <v>502</v>
      </c>
      <c r="B139" t="s">
        <v>572</v>
      </c>
      <c r="C139" t="s">
        <v>671</v>
      </c>
      <c r="D139" t="s">
        <v>679</v>
      </c>
      <c r="E139" t="s">
        <v>399</v>
      </c>
      <c r="F139" t="s">
        <v>175</v>
      </c>
      <c r="G139" t="s">
        <v>408</v>
      </c>
      <c r="H139" t="s">
        <v>131</v>
      </c>
      <c r="I139">
        <v>1</v>
      </c>
      <c r="J139" t="s">
        <v>1196</v>
      </c>
      <c r="K139" t="s">
        <v>1220</v>
      </c>
      <c r="M139" t="s">
        <v>168</v>
      </c>
      <c r="N139" t="s">
        <v>182</v>
      </c>
      <c r="O139" t="s">
        <v>183</v>
      </c>
      <c r="P139" t="s">
        <v>131</v>
      </c>
      <c r="R139" t="str">
        <f>IF(D_PlanoFinanceiro[[#This Row],[Conta 4]]=D_PlanoFinanceiro[[#This Row],[Conta 4 (Atual]],"-","VALIDAR AJUSTE")</f>
        <v>-</v>
      </c>
    </row>
    <row r="140" spans="1:18" x14ac:dyDescent="0.25">
      <c r="A140" t="s">
        <v>502</v>
      </c>
      <c r="B140" t="s">
        <v>572</v>
      </c>
      <c r="C140" t="s">
        <v>605</v>
      </c>
      <c r="D140" t="s">
        <v>621</v>
      </c>
      <c r="E140" t="s">
        <v>399</v>
      </c>
      <c r="F140" t="s">
        <v>175</v>
      </c>
      <c r="G140" t="s">
        <v>335</v>
      </c>
      <c r="H140" t="s">
        <v>39</v>
      </c>
      <c r="I140">
        <v>1</v>
      </c>
      <c r="J140" t="s">
        <v>1196</v>
      </c>
      <c r="K140" t="s">
        <v>1220</v>
      </c>
      <c r="M140" t="s">
        <v>168</v>
      </c>
      <c r="N140" t="s">
        <v>182</v>
      </c>
      <c r="O140" t="s">
        <v>183</v>
      </c>
      <c r="P140" t="s">
        <v>39</v>
      </c>
      <c r="R140" t="str">
        <f>IF(D_PlanoFinanceiro[[#This Row],[Conta 4]]=D_PlanoFinanceiro[[#This Row],[Conta 4 (Atual]],"-","VALIDAR AJUSTE")</f>
        <v>-</v>
      </c>
    </row>
    <row r="141" spans="1:18" x14ac:dyDescent="0.25">
      <c r="I141">
        <v>1</v>
      </c>
      <c r="J141" t="s">
        <v>1196</v>
      </c>
      <c r="K141" t="s">
        <v>1220</v>
      </c>
      <c r="M141" t="s">
        <v>168</v>
      </c>
      <c r="N141" t="s">
        <v>182</v>
      </c>
      <c r="O141" t="s">
        <v>183</v>
      </c>
      <c r="P141" t="s">
        <v>1153</v>
      </c>
      <c r="R141" t="str">
        <f>IF(D_PlanoFinanceiro[[#This Row],[Conta 4]]=D_PlanoFinanceiro[[#This Row],[Conta 4 (Atual]],"-","VALIDAR AJUSTE")</f>
        <v>VALIDAR AJUSTE</v>
      </c>
    </row>
    <row r="142" spans="1:18" x14ac:dyDescent="0.25">
      <c r="A142" t="s">
        <v>502</v>
      </c>
      <c r="B142" t="s">
        <v>572</v>
      </c>
      <c r="C142" t="s">
        <v>671</v>
      </c>
      <c r="D142" t="s">
        <v>687</v>
      </c>
      <c r="E142" t="s">
        <v>399</v>
      </c>
      <c r="F142" t="s">
        <v>175</v>
      </c>
      <c r="G142" t="s">
        <v>408</v>
      </c>
      <c r="H142" t="s">
        <v>446</v>
      </c>
      <c r="I142">
        <v>1</v>
      </c>
      <c r="J142" t="s">
        <v>1196</v>
      </c>
      <c r="K142" t="s">
        <v>1220</v>
      </c>
      <c r="M142" t="s">
        <v>168</v>
      </c>
      <c r="N142" t="s">
        <v>182</v>
      </c>
      <c r="O142" t="s">
        <v>183</v>
      </c>
      <c r="P142" t="s">
        <v>446</v>
      </c>
      <c r="R142" t="str">
        <f>IF(D_PlanoFinanceiro[[#This Row],[Conta 4]]=D_PlanoFinanceiro[[#This Row],[Conta 4 (Atual]],"-","VALIDAR AJUSTE")</f>
        <v>-</v>
      </c>
    </row>
    <row r="143" spans="1:18" x14ac:dyDescent="0.25">
      <c r="A143" t="s">
        <v>502</v>
      </c>
      <c r="B143" t="s">
        <v>572</v>
      </c>
      <c r="C143" t="s">
        <v>605</v>
      </c>
      <c r="D143" t="s">
        <v>614</v>
      </c>
      <c r="E143" t="s">
        <v>399</v>
      </c>
      <c r="F143" t="s">
        <v>175</v>
      </c>
      <c r="G143" t="s">
        <v>335</v>
      </c>
      <c r="H143" t="s">
        <v>60</v>
      </c>
      <c r="I143">
        <v>1</v>
      </c>
      <c r="J143" t="s">
        <v>1197</v>
      </c>
      <c r="K143" t="s">
        <v>1216</v>
      </c>
      <c r="M143" t="s">
        <v>168</v>
      </c>
      <c r="N143" t="s">
        <v>175</v>
      </c>
      <c r="O143" t="s">
        <v>176</v>
      </c>
      <c r="P143" t="s">
        <v>177</v>
      </c>
      <c r="R143" t="str">
        <f>IF(D_PlanoFinanceiro[[#This Row],[Conta 4]]=D_PlanoFinanceiro[[#This Row],[Conta 4 (Atual]],"-","VALIDAR AJUSTE")</f>
        <v>VALIDAR AJUSTE</v>
      </c>
    </row>
    <row r="144" spans="1:18" x14ac:dyDescent="0.25">
      <c r="A144" t="s">
        <v>502</v>
      </c>
      <c r="B144" t="s">
        <v>572</v>
      </c>
      <c r="C144" t="s">
        <v>605</v>
      </c>
      <c r="D144" t="s">
        <v>615</v>
      </c>
      <c r="E144" t="s">
        <v>399</v>
      </c>
      <c r="F144" t="s">
        <v>175</v>
      </c>
      <c r="G144" t="s">
        <v>335</v>
      </c>
      <c r="H144" t="s">
        <v>42</v>
      </c>
      <c r="I144">
        <v>1</v>
      </c>
      <c r="J144" t="s">
        <v>1197</v>
      </c>
      <c r="K144" t="s">
        <v>1216</v>
      </c>
      <c r="M144" t="s">
        <v>168</v>
      </c>
      <c r="N144" t="s">
        <v>175</v>
      </c>
      <c r="O144" t="s">
        <v>176</v>
      </c>
      <c r="P144" t="s">
        <v>42</v>
      </c>
      <c r="R144" t="str">
        <f>IF(D_PlanoFinanceiro[[#This Row],[Conta 4]]=D_PlanoFinanceiro[[#This Row],[Conta 4 (Atual]],"-","VALIDAR AJUSTE")</f>
        <v>-</v>
      </c>
    </row>
    <row r="145" spans="1:18" x14ac:dyDescent="0.25">
      <c r="A145" t="s">
        <v>502</v>
      </c>
      <c r="B145" t="s">
        <v>572</v>
      </c>
      <c r="C145" t="s">
        <v>605</v>
      </c>
      <c r="D145" t="s">
        <v>617</v>
      </c>
      <c r="E145" t="s">
        <v>399</v>
      </c>
      <c r="F145" t="s">
        <v>175</v>
      </c>
      <c r="G145" t="s">
        <v>335</v>
      </c>
      <c r="H145" t="s">
        <v>9</v>
      </c>
      <c r="I145">
        <v>1</v>
      </c>
      <c r="J145" t="s">
        <v>1197</v>
      </c>
      <c r="K145" t="s">
        <v>1216</v>
      </c>
      <c r="M145" t="s">
        <v>168</v>
      </c>
      <c r="N145" t="s">
        <v>175</v>
      </c>
      <c r="O145" t="s">
        <v>176</v>
      </c>
      <c r="P145" t="s">
        <v>206</v>
      </c>
      <c r="R145" t="str">
        <f>IF(D_PlanoFinanceiro[[#This Row],[Conta 4]]=D_PlanoFinanceiro[[#This Row],[Conta 4 (Atual]],"-","VALIDAR AJUSTE")</f>
        <v>VALIDAR AJUSTE</v>
      </c>
    </row>
    <row r="146" spans="1:18" x14ac:dyDescent="0.25">
      <c r="A146" t="s">
        <v>502</v>
      </c>
      <c r="B146" t="s">
        <v>572</v>
      </c>
      <c r="C146" t="s">
        <v>605</v>
      </c>
      <c r="D146" t="s">
        <v>609</v>
      </c>
      <c r="E146" t="s">
        <v>399</v>
      </c>
      <c r="F146" t="s">
        <v>175</v>
      </c>
      <c r="G146" t="s">
        <v>335</v>
      </c>
      <c r="H146" t="s">
        <v>124</v>
      </c>
      <c r="I146">
        <v>1</v>
      </c>
      <c r="J146" t="s">
        <v>1197</v>
      </c>
      <c r="K146" t="s">
        <v>1216</v>
      </c>
      <c r="M146" t="s">
        <v>168</v>
      </c>
      <c r="N146" t="s">
        <v>175</v>
      </c>
      <c r="O146" t="s">
        <v>176</v>
      </c>
      <c r="P146" t="s">
        <v>876</v>
      </c>
      <c r="Q146" t="s">
        <v>1113</v>
      </c>
      <c r="R146" t="str">
        <f>IF(D_PlanoFinanceiro[[#This Row],[Conta 4]]=D_PlanoFinanceiro[[#This Row],[Conta 4 (Atual]],"-","VALIDAR AJUSTE")</f>
        <v>VALIDAR AJUSTE</v>
      </c>
    </row>
    <row r="147" spans="1:18" x14ac:dyDescent="0.25">
      <c r="A147" t="s">
        <v>502</v>
      </c>
      <c r="B147" t="s">
        <v>572</v>
      </c>
      <c r="C147" t="s">
        <v>605</v>
      </c>
      <c r="D147" t="s">
        <v>607</v>
      </c>
      <c r="E147" t="s">
        <v>399</v>
      </c>
      <c r="F147" t="s">
        <v>175</v>
      </c>
      <c r="G147" t="s">
        <v>335</v>
      </c>
      <c r="H147" t="s">
        <v>93</v>
      </c>
      <c r="I147">
        <v>1</v>
      </c>
      <c r="J147" t="s">
        <v>1197</v>
      </c>
      <c r="K147" t="s">
        <v>1216</v>
      </c>
      <c r="M147" t="s">
        <v>168</v>
      </c>
      <c r="N147" t="s">
        <v>175</v>
      </c>
      <c r="O147" t="s">
        <v>176</v>
      </c>
      <c r="P147" t="s">
        <v>232</v>
      </c>
      <c r="Q147" t="s">
        <v>1113</v>
      </c>
      <c r="R147" t="str">
        <f>IF(D_PlanoFinanceiro[[#This Row],[Conta 4]]=D_PlanoFinanceiro[[#This Row],[Conta 4 (Atual]],"-","VALIDAR AJUSTE")</f>
        <v>VALIDAR AJUSTE</v>
      </c>
    </row>
    <row r="148" spans="1:18" x14ac:dyDescent="0.25">
      <c r="A148" t="s">
        <v>502</v>
      </c>
      <c r="B148" t="s">
        <v>572</v>
      </c>
      <c r="C148" t="s">
        <v>605</v>
      </c>
      <c r="D148" t="s">
        <v>610</v>
      </c>
      <c r="E148" t="s">
        <v>399</v>
      </c>
      <c r="F148" t="s">
        <v>175</v>
      </c>
      <c r="G148" t="s">
        <v>335</v>
      </c>
      <c r="H148" t="s">
        <v>75</v>
      </c>
      <c r="I148">
        <v>1</v>
      </c>
      <c r="J148" t="s">
        <v>1197</v>
      </c>
      <c r="K148" t="s">
        <v>1216</v>
      </c>
      <c r="M148" t="s">
        <v>168</v>
      </c>
      <c r="N148" t="s">
        <v>175</v>
      </c>
      <c r="O148" t="s">
        <v>176</v>
      </c>
      <c r="P148" t="s">
        <v>75</v>
      </c>
      <c r="Q148" t="s">
        <v>1113</v>
      </c>
      <c r="R148" t="str">
        <f>IF(D_PlanoFinanceiro[[#This Row],[Conta 4]]=D_PlanoFinanceiro[[#This Row],[Conta 4 (Atual]],"-","VALIDAR AJUSTE")</f>
        <v>-</v>
      </c>
    </row>
    <row r="149" spans="1:18" x14ac:dyDescent="0.25">
      <c r="A149" t="s">
        <v>502</v>
      </c>
      <c r="B149" t="s">
        <v>572</v>
      </c>
      <c r="C149" t="s">
        <v>605</v>
      </c>
      <c r="D149" t="s">
        <v>616</v>
      </c>
      <c r="E149" t="s">
        <v>399</v>
      </c>
      <c r="F149" t="s">
        <v>175</v>
      </c>
      <c r="G149" t="s">
        <v>335</v>
      </c>
      <c r="H149" t="s">
        <v>69</v>
      </c>
      <c r="I149">
        <v>1</v>
      </c>
      <c r="J149" t="s">
        <v>1197</v>
      </c>
      <c r="K149" t="s">
        <v>1216</v>
      </c>
      <c r="M149" t="s">
        <v>168</v>
      </c>
      <c r="N149" t="s">
        <v>175</v>
      </c>
      <c r="O149" t="s">
        <v>176</v>
      </c>
      <c r="P149" t="s">
        <v>69</v>
      </c>
      <c r="R149" t="str">
        <f>IF(D_PlanoFinanceiro[[#This Row],[Conta 4]]=D_PlanoFinanceiro[[#This Row],[Conta 4 (Atual]],"-","VALIDAR AJUSTE")</f>
        <v>-</v>
      </c>
    </row>
    <row r="150" spans="1:18" x14ac:dyDescent="0.25">
      <c r="A150" t="s">
        <v>502</v>
      </c>
      <c r="B150" t="s">
        <v>572</v>
      </c>
      <c r="C150" t="s">
        <v>605</v>
      </c>
      <c r="D150" t="s">
        <v>608</v>
      </c>
      <c r="E150" t="s">
        <v>399</v>
      </c>
      <c r="F150" t="s">
        <v>175</v>
      </c>
      <c r="G150" t="s">
        <v>335</v>
      </c>
      <c r="H150" t="s">
        <v>394</v>
      </c>
      <c r="I150">
        <v>1</v>
      </c>
      <c r="J150" t="s">
        <v>1197</v>
      </c>
      <c r="K150" t="s">
        <v>1216</v>
      </c>
      <c r="M150" t="s">
        <v>168</v>
      </c>
      <c r="N150" t="s">
        <v>175</v>
      </c>
      <c r="O150" t="s">
        <v>176</v>
      </c>
      <c r="P150" t="s">
        <v>1172</v>
      </c>
      <c r="Q150" t="s">
        <v>1113</v>
      </c>
      <c r="R150" t="str">
        <f>IF(D_PlanoFinanceiro[[#This Row],[Conta 4]]=D_PlanoFinanceiro[[#This Row],[Conta 4 (Atual]],"-","VALIDAR AJUSTE")</f>
        <v>-</v>
      </c>
    </row>
    <row r="151" spans="1:18" x14ac:dyDescent="0.25">
      <c r="A151" t="s">
        <v>502</v>
      </c>
      <c r="B151" t="s">
        <v>572</v>
      </c>
      <c r="C151" t="s">
        <v>605</v>
      </c>
      <c r="D151" t="s">
        <v>613</v>
      </c>
      <c r="E151" t="s">
        <v>399</v>
      </c>
      <c r="F151" t="s">
        <v>175</v>
      </c>
      <c r="G151" t="s">
        <v>335</v>
      </c>
      <c r="H151" t="s">
        <v>336</v>
      </c>
      <c r="I151">
        <v>1</v>
      </c>
      <c r="J151" t="s">
        <v>1197</v>
      </c>
      <c r="K151" t="s">
        <v>1216</v>
      </c>
      <c r="M151" t="s">
        <v>168</v>
      </c>
      <c r="N151" t="s">
        <v>175</v>
      </c>
      <c r="O151" t="s">
        <v>176</v>
      </c>
      <c r="P151" t="s">
        <v>336</v>
      </c>
      <c r="R151" t="str">
        <f>IF(D_PlanoFinanceiro[[#This Row],[Conta 4]]=D_PlanoFinanceiro[[#This Row],[Conta 4 (Atual]],"-","VALIDAR AJUSTE")</f>
        <v>-</v>
      </c>
    </row>
    <row r="152" spans="1:18" x14ac:dyDescent="0.25">
      <c r="A152" t="s">
        <v>502</v>
      </c>
      <c r="B152" t="s">
        <v>572</v>
      </c>
      <c r="C152" t="s">
        <v>605</v>
      </c>
      <c r="D152" t="s">
        <v>629</v>
      </c>
      <c r="E152" t="s">
        <v>399</v>
      </c>
      <c r="F152" t="s">
        <v>175</v>
      </c>
      <c r="G152" t="s">
        <v>335</v>
      </c>
      <c r="H152" t="s">
        <v>450</v>
      </c>
      <c r="I152">
        <v>1</v>
      </c>
      <c r="J152" t="s">
        <v>1197</v>
      </c>
      <c r="K152" t="s">
        <v>1216</v>
      </c>
      <c r="M152" t="s">
        <v>168</v>
      </c>
      <c r="N152" t="s">
        <v>175</v>
      </c>
      <c r="O152" t="s">
        <v>176</v>
      </c>
      <c r="P152" t="s">
        <v>450</v>
      </c>
      <c r="R152" t="str">
        <f>IF(D_PlanoFinanceiro[[#This Row],[Conta 4]]=D_PlanoFinanceiro[[#This Row],[Conta 4 (Atual]],"-","VALIDAR AJUSTE")</f>
        <v>-</v>
      </c>
    </row>
    <row r="153" spans="1:18" x14ac:dyDescent="0.25">
      <c r="A153" t="s">
        <v>502</v>
      </c>
      <c r="B153" t="s">
        <v>749</v>
      </c>
      <c r="C153" t="s">
        <v>749</v>
      </c>
      <c r="D153" t="s">
        <v>750</v>
      </c>
      <c r="E153" t="s">
        <v>399</v>
      </c>
      <c r="F153" t="s">
        <v>384</v>
      </c>
      <c r="G153" t="s">
        <v>384</v>
      </c>
      <c r="H153" t="s">
        <v>385</v>
      </c>
      <c r="I153">
        <v>1</v>
      </c>
      <c r="J153" t="s">
        <v>1197</v>
      </c>
      <c r="K153" t="s">
        <v>1216</v>
      </c>
      <c r="M153" s="26" t="s">
        <v>168</v>
      </c>
      <c r="N153" t="s">
        <v>175</v>
      </c>
      <c r="O153" t="s">
        <v>176</v>
      </c>
      <c r="P153" t="s">
        <v>385</v>
      </c>
      <c r="R153" t="str">
        <f>IF(D_PlanoFinanceiro[[#This Row],[Conta 4]]=D_PlanoFinanceiro[[#This Row],[Conta 4 (Atual]],"-","VALIDAR AJUSTE")</f>
        <v>-</v>
      </c>
    </row>
    <row r="154" spans="1:18" x14ac:dyDescent="0.25">
      <c r="A154" t="s">
        <v>502</v>
      </c>
      <c r="B154" t="s">
        <v>572</v>
      </c>
      <c r="C154" t="s">
        <v>671</v>
      </c>
      <c r="D154" t="s">
        <v>696</v>
      </c>
      <c r="E154" t="s">
        <v>399</v>
      </c>
      <c r="F154" t="s">
        <v>175</v>
      </c>
      <c r="G154" t="s">
        <v>408</v>
      </c>
      <c r="H154" t="s">
        <v>127</v>
      </c>
      <c r="I154">
        <v>1</v>
      </c>
      <c r="J154" t="s">
        <v>1197</v>
      </c>
      <c r="K154" t="s">
        <v>1236</v>
      </c>
      <c r="M154" t="s">
        <v>168</v>
      </c>
      <c r="N154" t="s">
        <v>175</v>
      </c>
      <c r="O154" t="s">
        <v>216</v>
      </c>
      <c r="P154" t="s">
        <v>127</v>
      </c>
      <c r="R154" t="str">
        <f>IF(D_PlanoFinanceiro[[#This Row],[Conta 4]]=D_PlanoFinanceiro[[#This Row],[Conta 4 (Atual]],"-","VALIDAR AJUSTE")</f>
        <v>-</v>
      </c>
    </row>
    <row r="155" spans="1:18" x14ac:dyDescent="0.25">
      <c r="A155" t="s">
        <v>502</v>
      </c>
      <c r="B155" t="s">
        <v>572</v>
      </c>
      <c r="C155" t="s">
        <v>605</v>
      </c>
      <c r="D155" t="s">
        <v>623</v>
      </c>
      <c r="E155" t="s">
        <v>399</v>
      </c>
      <c r="F155" t="s">
        <v>175</v>
      </c>
      <c r="G155" t="s">
        <v>335</v>
      </c>
      <c r="H155" t="s">
        <v>148</v>
      </c>
      <c r="I155">
        <v>1</v>
      </c>
      <c r="J155" t="s">
        <v>1197</v>
      </c>
      <c r="K155" t="s">
        <v>1236</v>
      </c>
      <c r="M155" t="s">
        <v>168</v>
      </c>
      <c r="N155" t="s">
        <v>175</v>
      </c>
      <c r="O155" t="s">
        <v>216</v>
      </c>
      <c r="P155" t="s">
        <v>219</v>
      </c>
      <c r="R155" t="str">
        <f>IF(D_PlanoFinanceiro[[#This Row],[Conta 4]]=D_PlanoFinanceiro[[#This Row],[Conta 4 (Atual]],"-","VALIDAR AJUSTE")</f>
        <v>VALIDAR AJUSTE</v>
      </c>
    </row>
    <row r="156" spans="1:18" x14ac:dyDescent="0.25">
      <c r="A156" t="s">
        <v>502</v>
      </c>
      <c r="B156" t="s">
        <v>572</v>
      </c>
      <c r="C156" t="s">
        <v>605</v>
      </c>
      <c r="D156" t="s">
        <v>619</v>
      </c>
      <c r="E156" t="s">
        <v>399</v>
      </c>
      <c r="F156" t="s">
        <v>175</v>
      </c>
      <c r="G156" t="s">
        <v>335</v>
      </c>
      <c r="H156" t="s">
        <v>53</v>
      </c>
      <c r="I156">
        <v>1</v>
      </c>
      <c r="J156" t="s">
        <v>1197</v>
      </c>
      <c r="K156" t="s">
        <v>1236</v>
      </c>
      <c r="M156" t="s">
        <v>168</v>
      </c>
      <c r="N156" t="s">
        <v>175</v>
      </c>
      <c r="O156" t="s">
        <v>216</v>
      </c>
      <c r="P156" t="s">
        <v>236</v>
      </c>
      <c r="R156" t="str">
        <f>IF(D_PlanoFinanceiro[[#This Row],[Conta 4]]=D_PlanoFinanceiro[[#This Row],[Conta 4 (Atual]],"-","VALIDAR AJUSTE")</f>
        <v>VALIDAR AJUSTE</v>
      </c>
    </row>
    <row r="157" spans="1:18" x14ac:dyDescent="0.25">
      <c r="A157" t="s">
        <v>502</v>
      </c>
      <c r="B157" t="s">
        <v>572</v>
      </c>
      <c r="C157" t="s">
        <v>605</v>
      </c>
      <c r="D157" t="s">
        <v>606</v>
      </c>
      <c r="E157" t="s">
        <v>399</v>
      </c>
      <c r="F157" t="s">
        <v>175</v>
      </c>
      <c r="G157" t="s">
        <v>335</v>
      </c>
      <c r="H157" t="s">
        <v>105</v>
      </c>
      <c r="I157">
        <v>1</v>
      </c>
      <c r="J157" t="s">
        <v>1197</v>
      </c>
      <c r="K157" t="s">
        <v>1236</v>
      </c>
      <c r="M157" t="s">
        <v>168</v>
      </c>
      <c r="N157" t="s">
        <v>175</v>
      </c>
      <c r="O157" t="s">
        <v>216</v>
      </c>
      <c r="P157" t="s">
        <v>241</v>
      </c>
      <c r="R157" t="str">
        <f>IF(D_PlanoFinanceiro[[#This Row],[Conta 4]]=D_PlanoFinanceiro[[#This Row],[Conta 4 (Atual]],"-","VALIDAR AJUSTE")</f>
        <v>VALIDAR AJUSTE</v>
      </c>
    </row>
    <row r="158" spans="1:18" x14ac:dyDescent="0.25">
      <c r="A158" t="s">
        <v>502</v>
      </c>
      <c r="B158" t="s">
        <v>572</v>
      </c>
      <c r="C158" t="s">
        <v>658</v>
      </c>
      <c r="D158" t="s">
        <v>661</v>
      </c>
      <c r="E158" t="s">
        <v>399</v>
      </c>
      <c r="F158" t="s">
        <v>175</v>
      </c>
      <c r="G158" t="s">
        <v>339</v>
      </c>
      <c r="H158" t="s">
        <v>99</v>
      </c>
      <c r="I158">
        <v>1</v>
      </c>
      <c r="J158" t="s">
        <v>1197</v>
      </c>
      <c r="K158" t="s">
        <v>1236</v>
      </c>
      <c r="M158" t="s">
        <v>168</v>
      </c>
      <c r="N158" t="s">
        <v>175</v>
      </c>
      <c r="O158" t="s">
        <v>216</v>
      </c>
      <c r="P158" t="s">
        <v>245</v>
      </c>
      <c r="R158" t="str">
        <f>IF(D_PlanoFinanceiro[[#This Row],[Conta 4]]=D_PlanoFinanceiro[[#This Row],[Conta 4 (Atual]],"-","VALIDAR AJUSTE")</f>
        <v>VALIDAR AJUSTE</v>
      </c>
    </row>
    <row r="159" spans="1:18" x14ac:dyDescent="0.25">
      <c r="A159" t="s">
        <v>502</v>
      </c>
      <c r="B159" t="s">
        <v>572</v>
      </c>
      <c r="C159" t="s">
        <v>658</v>
      </c>
      <c r="D159" t="s">
        <v>665</v>
      </c>
      <c r="E159" t="s">
        <v>399</v>
      </c>
      <c r="F159" t="s">
        <v>175</v>
      </c>
      <c r="G159" t="s">
        <v>339</v>
      </c>
      <c r="H159" t="s">
        <v>376</v>
      </c>
      <c r="I159">
        <v>1</v>
      </c>
      <c r="J159" t="s">
        <v>1197</v>
      </c>
      <c r="K159" t="s">
        <v>1236</v>
      </c>
      <c r="M159" t="s">
        <v>168</v>
      </c>
      <c r="N159" t="s">
        <v>175</v>
      </c>
      <c r="O159" t="s">
        <v>216</v>
      </c>
      <c r="P159" t="s">
        <v>376</v>
      </c>
      <c r="R159" t="str">
        <f>IF(D_PlanoFinanceiro[[#This Row],[Conta 4]]=D_PlanoFinanceiro[[#This Row],[Conta 4 (Atual]],"-","VALIDAR AJUSTE")</f>
        <v>-</v>
      </c>
    </row>
    <row r="160" spans="1:18" x14ac:dyDescent="0.25">
      <c r="A160" t="s">
        <v>502</v>
      </c>
      <c r="B160" t="s">
        <v>572</v>
      </c>
      <c r="C160" t="s">
        <v>631</v>
      </c>
      <c r="D160" t="s">
        <v>637</v>
      </c>
      <c r="E160" t="s">
        <v>399</v>
      </c>
      <c r="F160" t="s">
        <v>175</v>
      </c>
      <c r="G160" t="s">
        <v>395</v>
      </c>
      <c r="H160" t="s">
        <v>21</v>
      </c>
      <c r="I160">
        <v>1</v>
      </c>
      <c r="J160" t="s">
        <v>1197</v>
      </c>
      <c r="K160" t="s">
        <v>1217</v>
      </c>
      <c r="M160" t="s">
        <v>168</v>
      </c>
      <c r="N160" t="s">
        <v>175</v>
      </c>
      <c r="O160" t="s">
        <v>178</v>
      </c>
      <c r="P160" t="s">
        <v>179</v>
      </c>
      <c r="R160" t="str">
        <f>IF(D_PlanoFinanceiro[[#This Row],[Conta 4]]=D_PlanoFinanceiro[[#This Row],[Conta 4 (Atual]],"-","VALIDAR AJUSTE")</f>
        <v>VALIDAR AJUSTE</v>
      </c>
    </row>
    <row r="161" spans="1:18" x14ac:dyDescent="0.25">
      <c r="A161" t="s">
        <v>502</v>
      </c>
      <c r="B161" t="s">
        <v>572</v>
      </c>
      <c r="C161" t="s">
        <v>631</v>
      </c>
      <c r="D161" t="s">
        <v>632</v>
      </c>
      <c r="E161" t="s">
        <v>399</v>
      </c>
      <c r="F161" t="s">
        <v>175</v>
      </c>
      <c r="G161" t="s">
        <v>395</v>
      </c>
      <c r="H161" t="s">
        <v>25</v>
      </c>
      <c r="I161">
        <v>1</v>
      </c>
      <c r="J161" t="s">
        <v>1197</v>
      </c>
      <c r="K161" t="s">
        <v>1217</v>
      </c>
      <c r="M161" t="s">
        <v>168</v>
      </c>
      <c r="N161" t="s">
        <v>175</v>
      </c>
      <c r="O161" t="s">
        <v>178</v>
      </c>
      <c r="P161" t="s">
        <v>25</v>
      </c>
      <c r="R161" t="str">
        <f>IF(D_PlanoFinanceiro[[#This Row],[Conta 4]]=D_PlanoFinanceiro[[#This Row],[Conta 4 (Atual]],"-","VALIDAR AJUSTE")</f>
        <v>-</v>
      </c>
    </row>
    <row r="162" spans="1:18" x14ac:dyDescent="0.25">
      <c r="A162" t="s">
        <v>502</v>
      </c>
      <c r="B162" t="s">
        <v>572</v>
      </c>
      <c r="C162" t="s">
        <v>631</v>
      </c>
      <c r="D162" t="s">
        <v>633</v>
      </c>
      <c r="E162" t="s">
        <v>399</v>
      </c>
      <c r="F162" t="s">
        <v>175</v>
      </c>
      <c r="G162" t="s">
        <v>395</v>
      </c>
      <c r="H162" t="s">
        <v>81</v>
      </c>
      <c r="I162">
        <v>1</v>
      </c>
      <c r="J162" t="s">
        <v>1197</v>
      </c>
      <c r="K162" t="s">
        <v>1217</v>
      </c>
      <c r="M162" t="s">
        <v>168</v>
      </c>
      <c r="N162" t="s">
        <v>175</v>
      </c>
      <c r="O162" t="s">
        <v>178</v>
      </c>
      <c r="P162" t="s">
        <v>205</v>
      </c>
      <c r="R162" t="str">
        <f>IF(D_PlanoFinanceiro[[#This Row],[Conta 4]]=D_PlanoFinanceiro[[#This Row],[Conta 4 (Atual]],"-","VALIDAR AJUSTE")</f>
        <v>VALIDAR AJUSTE</v>
      </c>
    </row>
    <row r="163" spans="1:18" x14ac:dyDescent="0.25">
      <c r="A163" t="s">
        <v>502</v>
      </c>
      <c r="B163" t="s">
        <v>572</v>
      </c>
      <c r="C163" t="s">
        <v>631</v>
      </c>
      <c r="D163" t="s">
        <v>636</v>
      </c>
      <c r="E163" t="s">
        <v>399</v>
      </c>
      <c r="F163" t="s">
        <v>175</v>
      </c>
      <c r="G163" t="s">
        <v>395</v>
      </c>
      <c r="H163" t="s">
        <v>80</v>
      </c>
      <c r="I163">
        <v>1</v>
      </c>
      <c r="J163" t="s">
        <v>1197</v>
      </c>
      <c r="K163" t="s">
        <v>1217</v>
      </c>
      <c r="M163" t="s">
        <v>168</v>
      </c>
      <c r="N163" t="s">
        <v>175</v>
      </c>
      <c r="O163" t="s">
        <v>178</v>
      </c>
      <c r="P163" t="s">
        <v>226</v>
      </c>
      <c r="R163" t="str">
        <f>IF(D_PlanoFinanceiro[[#This Row],[Conta 4]]=D_PlanoFinanceiro[[#This Row],[Conta 4 (Atual]],"-","VALIDAR AJUSTE")</f>
        <v>VALIDAR AJUSTE</v>
      </c>
    </row>
    <row r="164" spans="1:18" x14ac:dyDescent="0.25">
      <c r="A164" t="s">
        <v>502</v>
      </c>
      <c r="B164" t="s">
        <v>572</v>
      </c>
      <c r="C164" t="s">
        <v>631</v>
      </c>
      <c r="D164" t="s">
        <v>638</v>
      </c>
      <c r="E164" t="s">
        <v>399</v>
      </c>
      <c r="F164" t="s">
        <v>175</v>
      </c>
      <c r="G164" t="s">
        <v>395</v>
      </c>
      <c r="H164" t="s">
        <v>65</v>
      </c>
      <c r="I164">
        <v>1</v>
      </c>
      <c r="J164" t="s">
        <v>1197</v>
      </c>
      <c r="K164" t="s">
        <v>1217</v>
      </c>
      <c r="M164" t="s">
        <v>168</v>
      </c>
      <c r="N164" t="s">
        <v>175</v>
      </c>
      <c r="O164" t="s">
        <v>178</v>
      </c>
      <c r="P164" t="s">
        <v>65</v>
      </c>
      <c r="R164" t="str">
        <f>IF(D_PlanoFinanceiro[[#This Row],[Conta 4]]=D_PlanoFinanceiro[[#This Row],[Conta 4 (Atual]],"-","VALIDAR AJUSTE")</f>
        <v>-</v>
      </c>
    </row>
    <row r="165" spans="1:18" x14ac:dyDescent="0.25">
      <c r="A165" t="s">
        <v>502</v>
      </c>
      <c r="B165" t="s">
        <v>572</v>
      </c>
      <c r="C165" t="s">
        <v>631</v>
      </c>
      <c r="D165" t="s">
        <v>642</v>
      </c>
      <c r="E165" t="s">
        <v>399</v>
      </c>
      <c r="F165" t="s">
        <v>175</v>
      </c>
      <c r="G165" t="s">
        <v>395</v>
      </c>
      <c r="H165" t="s">
        <v>140</v>
      </c>
      <c r="I165">
        <v>1</v>
      </c>
      <c r="J165" t="s">
        <v>1197</v>
      </c>
      <c r="K165" t="s">
        <v>1217</v>
      </c>
      <c r="M165" t="s">
        <v>168</v>
      </c>
      <c r="N165" t="s">
        <v>175</v>
      </c>
      <c r="O165" t="s">
        <v>178</v>
      </c>
      <c r="P165" t="s">
        <v>140</v>
      </c>
      <c r="R165" t="str">
        <f>IF(D_PlanoFinanceiro[[#This Row],[Conta 4]]=D_PlanoFinanceiro[[#This Row],[Conta 4 (Atual]],"-","VALIDAR AJUSTE")</f>
        <v>-</v>
      </c>
    </row>
    <row r="166" spans="1:18" x14ac:dyDescent="0.25">
      <c r="A166" t="s">
        <v>502</v>
      </c>
      <c r="B166" t="s">
        <v>572</v>
      </c>
      <c r="C166" t="s">
        <v>631</v>
      </c>
      <c r="D166" t="s">
        <v>644</v>
      </c>
      <c r="E166" t="s">
        <v>399</v>
      </c>
      <c r="F166" t="s">
        <v>175</v>
      </c>
      <c r="G166" t="s">
        <v>395</v>
      </c>
      <c r="H166" t="s">
        <v>55</v>
      </c>
      <c r="I166">
        <v>1</v>
      </c>
      <c r="J166" t="s">
        <v>1197</v>
      </c>
      <c r="K166" t="s">
        <v>1217</v>
      </c>
      <c r="M166" t="s">
        <v>168</v>
      </c>
      <c r="N166" t="s">
        <v>175</v>
      </c>
      <c r="O166" t="s">
        <v>178</v>
      </c>
      <c r="P166" t="s">
        <v>246</v>
      </c>
      <c r="R166" t="str">
        <f>IF(D_PlanoFinanceiro[[#This Row],[Conta 4]]=D_PlanoFinanceiro[[#This Row],[Conta 4 (Atual]],"-","VALIDAR AJUSTE")</f>
        <v>VALIDAR AJUSTE</v>
      </c>
    </row>
    <row r="167" spans="1:18" x14ac:dyDescent="0.25">
      <c r="A167" t="s">
        <v>502</v>
      </c>
      <c r="B167" t="s">
        <v>572</v>
      </c>
      <c r="C167" t="s">
        <v>631</v>
      </c>
      <c r="D167" t="s">
        <v>639</v>
      </c>
      <c r="E167" t="s">
        <v>399</v>
      </c>
      <c r="F167" t="s">
        <v>175</v>
      </c>
      <c r="G167" t="s">
        <v>395</v>
      </c>
      <c r="H167" t="s">
        <v>157</v>
      </c>
      <c r="I167">
        <v>1</v>
      </c>
      <c r="J167" t="s">
        <v>1197</v>
      </c>
      <c r="K167" t="s">
        <v>1217</v>
      </c>
      <c r="M167" t="s">
        <v>168</v>
      </c>
      <c r="N167" t="s">
        <v>175</v>
      </c>
      <c r="O167" t="s">
        <v>178</v>
      </c>
      <c r="P167" t="s">
        <v>246</v>
      </c>
      <c r="Q167" s="6" t="s">
        <v>261</v>
      </c>
      <c r="R167" t="str">
        <f>IF(D_PlanoFinanceiro[[#This Row],[Conta 4]]=D_PlanoFinanceiro[[#This Row],[Conta 4 (Atual]],"-","VALIDAR AJUSTE")</f>
        <v>VALIDAR AJUSTE</v>
      </c>
    </row>
    <row r="168" spans="1:18" x14ac:dyDescent="0.25">
      <c r="A168" t="s">
        <v>502</v>
      </c>
      <c r="B168" t="s">
        <v>572</v>
      </c>
      <c r="C168" t="s">
        <v>631</v>
      </c>
      <c r="D168" t="s">
        <v>641</v>
      </c>
      <c r="E168" t="s">
        <v>399</v>
      </c>
      <c r="F168" t="s">
        <v>175</v>
      </c>
      <c r="G168" t="s">
        <v>395</v>
      </c>
      <c r="H168" t="s">
        <v>137</v>
      </c>
      <c r="I168">
        <v>1</v>
      </c>
      <c r="J168" t="s">
        <v>1197</v>
      </c>
      <c r="K168" t="s">
        <v>1217</v>
      </c>
      <c r="M168" t="s">
        <v>168</v>
      </c>
      <c r="N168" t="s">
        <v>175</v>
      </c>
      <c r="O168" t="s">
        <v>178</v>
      </c>
      <c r="P168" t="s">
        <v>262</v>
      </c>
      <c r="R168" t="str">
        <f>IF(D_PlanoFinanceiro[[#This Row],[Conta 4]]=D_PlanoFinanceiro[[#This Row],[Conta 4 (Atual]],"-","VALIDAR AJUSTE")</f>
        <v>VALIDAR AJUSTE</v>
      </c>
    </row>
    <row r="169" spans="1:18" x14ac:dyDescent="0.25">
      <c r="A169" t="s">
        <v>502</v>
      </c>
      <c r="B169" t="s">
        <v>572</v>
      </c>
      <c r="C169" t="s">
        <v>631</v>
      </c>
      <c r="D169" t="s">
        <v>635</v>
      </c>
      <c r="E169" t="s">
        <v>399</v>
      </c>
      <c r="F169" t="s">
        <v>175</v>
      </c>
      <c r="G169" t="s">
        <v>395</v>
      </c>
      <c r="H169" t="s">
        <v>120</v>
      </c>
      <c r="I169">
        <v>1</v>
      </c>
      <c r="J169" t="s">
        <v>1197</v>
      </c>
      <c r="K169" t="s">
        <v>1217</v>
      </c>
      <c r="M169" t="s">
        <v>168</v>
      </c>
      <c r="N169" t="s">
        <v>175</v>
      </c>
      <c r="O169" t="s">
        <v>178</v>
      </c>
      <c r="P169" t="s">
        <v>120</v>
      </c>
      <c r="R169" t="str">
        <f>IF(D_PlanoFinanceiro[[#This Row],[Conta 4]]=D_PlanoFinanceiro[[#This Row],[Conta 4 (Atual]],"-","VALIDAR AJUSTE")</f>
        <v>-</v>
      </c>
    </row>
    <row r="170" spans="1:18" x14ac:dyDescent="0.25">
      <c r="A170" t="s">
        <v>502</v>
      </c>
      <c r="B170" t="s">
        <v>572</v>
      </c>
      <c r="C170" t="s">
        <v>631</v>
      </c>
      <c r="D170" t="s">
        <v>634</v>
      </c>
      <c r="E170" t="s">
        <v>399</v>
      </c>
      <c r="F170" t="s">
        <v>175</v>
      </c>
      <c r="G170" t="s">
        <v>395</v>
      </c>
      <c r="H170" t="s">
        <v>54</v>
      </c>
      <c r="I170">
        <v>1</v>
      </c>
      <c r="J170" t="s">
        <v>1197</v>
      </c>
      <c r="K170" t="s">
        <v>1217</v>
      </c>
      <c r="M170" t="s">
        <v>168</v>
      </c>
      <c r="N170" t="s">
        <v>175</v>
      </c>
      <c r="O170" t="s">
        <v>178</v>
      </c>
      <c r="P170" t="s">
        <v>879</v>
      </c>
      <c r="R170" t="str">
        <f>IF(D_PlanoFinanceiro[[#This Row],[Conta 4]]=D_PlanoFinanceiro[[#This Row],[Conta 4 (Atual]],"-","VALIDAR AJUSTE")</f>
        <v>VALIDAR AJUSTE</v>
      </c>
    </row>
    <row r="171" spans="1:18" x14ac:dyDescent="0.25">
      <c r="A171" t="s">
        <v>502</v>
      </c>
      <c r="B171" t="s">
        <v>572</v>
      </c>
      <c r="C171" t="s">
        <v>631</v>
      </c>
      <c r="D171" t="s">
        <v>643</v>
      </c>
      <c r="E171" t="s">
        <v>399</v>
      </c>
      <c r="F171" t="s">
        <v>175</v>
      </c>
      <c r="G171" t="s">
        <v>395</v>
      </c>
      <c r="H171" t="s">
        <v>106</v>
      </c>
      <c r="I171">
        <v>1</v>
      </c>
      <c r="J171" t="s">
        <v>1197</v>
      </c>
      <c r="K171" t="s">
        <v>1217</v>
      </c>
      <c r="M171" t="s">
        <v>168</v>
      </c>
      <c r="N171" t="s">
        <v>175</v>
      </c>
      <c r="O171" t="s">
        <v>178</v>
      </c>
      <c r="P171" t="s">
        <v>106</v>
      </c>
      <c r="R171" t="str">
        <f>IF(D_PlanoFinanceiro[[#This Row],[Conta 4]]=D_PlanoFinanceiro[[#This Row],[Conta 4 (Atual]],"-","VALIDAR AJUSTE")</f>
        <v>-</v>
      </c>
    </row>
    <row r="172" spans="1:18" x14ac:dyDescent="0.25">
      <c r="A172" t="s">
        <v>502</v>
      </c>
      <c r="B172" t="s">
        <v>572</v>
      </c>
      <c r="C172" t="s">
        <v>605</v>
      </c>
      <c r="D172" t="s">
        <v>618</v>
      </c>
      <c r="E172" t="s">
        <v>399</v>
      </c>
      <c r="F172" t="s">
        <v>175</v>
      </c>
      <c r="G172" t="s">
        <v>335</v>
      </c>
      <c r="H172" t="s">
        <v>82</v>
      </c>
      <c r="I172">
        <v>1</v>
      </c>
      <c r="J172" t="s">
        <v>1197</v>
      </c>
      <c r="K172" t="s">
        <v>1245</v>
      </c>
      <c r="M172" t="s">
        <v>168</v>
      </c>
      <c r="N172" t="s">
        <v>175</v>
      </c>
      <c r="O172" t="s">
        <v>231</v>
      </c>
      <c r="P172" t="s">
        <v>1134</v>
      </c>
      <c r="Q172" s="6" t="s">
        <v>881</v>
      </c>
      <c r="R172" t="str">
        <f>IF(D_PlanoFinanceiro[[#This Row],[Conta 4]]=D_PlanoFinanceiro[[#This Row],[Conta 4 (Atual]],"-","VALIDAR AJUSTE")</f>
        <v>VALIDAR AJUSTE</v>
      </c>
    </row>
    <row r="173" spans="1:18" x14ac:dyDescent="0.25">
      <c r="A173" t="s">
        <v>502</v>
      </c>
      <c r="B173" t="s">
        <v>503</v>
      </c>
      <c r="C173" t="s">
        <v>559</v>
      </c>
      <c r="D173" t="s">
        <v>567</v>
      </c>
      <c r="E173" t="s">
        <v>399</v>
      </c>
      <c r="F173" t="s">
        <v>429</v>
      </c>
      <c r="G173" t="s">
        <v>326</v>
      </c>
      <c r="H173" t="s">
        <v>89</v>
      </c>
      <c r="I173">
        <v>1</v>
      </c>
      <c r="J173" t="s">
        <v>1197</v>
      </c>
      <c r="K173" t="s">
        <v>1245</v>
      </c>
      <c r="M173" t="s">
        <v>168</v>
      </c>
      <c r="N173" s="14" t="s">
        <v>175</v>
      </c>
      <c r="O173" s="14" t="s">
        <v>231</v>
      </c>
      <c r="P173" t="s">
        <v>89</v>
      </c>
      <c r="R173" t="str">
        <f>IF(D_PlanoFinanceiro[[#This Row],[Conta 4]]=D_PlanoFinanceiro[[#This Row],[Conta 4 (Atual]],"-","VALIDAR AJUSTE")</f>
        <v>-</v>
      </c>
    </row>
    <row r="174" spans="1:18" x14ac:dyDescent="0.25">
      <c r="A174" t="s">
        <v>502</v>
      </c>
      <c r="B174" t="s">
        <v>572</v>
      </c>
      <c r="C174" t="s">
        <v>666</v>
      </c>
      <c r="D174" t="s">
        <v>667</v>
      </c>
      <c r="E174" t="s">
        <v>399</v>
      </c>
      <c r="F174" t="s">
        <v>175</v>
      </c>
      <c r="G174" t="s">
        <v>340</v>
      </c>
      <c r="H174" t="s">
        <v>138</v>
      </c>
      <c r="I174">
        <v>1</v>
      </c>
      <c r="J174" t="s">
        <v>1197</v>
      </c>
      <c r="K174" t="s">
        <v>1245</v>
      </c>
      <c r="M174" t="s">
        <v>168</v>
      </c>
      <c r="N174" t="s">
        <v>175</v>
      </c>
      <c r="O174" t="s">
        <v>231</v>
      </c>
      <c r="P174" t="s">
        <v>240</v>
      </c>
      <c r="R174" t="str">
        <f>IF(D_PlanoFinanceiro[[#This Row],[Conta 4]]=D_PlanoFinanceiro[[#This Row],[Conta 4 (Atual]],"-","VALIDAR AJUSTE")</f>
        <v>VALIDAR AJUSTE</v>
      </c>
    </row>
    <row r="175" spans="1:18" x14ac:dyDescent="0.25">
      <c r="A175" t="s">
        <v>502</v>
      </c>
      <c r="B175" t="s">
        <v>572</v>
      </c>
      <c r="C175" t="s">
        <v>666</v>
      </c>
      <c r="D175" t="s">
        <v>670</v>
      </c>
      <c r="E175" t="s">
        <v>399</v>
      </c>
      <c r="F175" t="s">
        <v>175</v>
      </c>
      <c r="G175" t="s">
        <v>340</v>
      </c>
      <c r="H175" t="s">
        <v>33</v>
      </c>
      <c r="I175">
        <v>1</v>
      </c>
      <c r="J175" t="s">
        <v>1197</v>
      </c>
      <c r="K175" t="s">
        <v>1245</v>
      </c>
      <c r="M175" t="s">
        <v>168</v>
      </c>
      <c r="N175" t="s">
        <v>175</v>
      </c>
      <c r="O175" t="s">
        <v>231</v>
      </c>
      <c r="P175" t="s">
        <v>243</v>
      </c>
      <c r="R175" t="str">
        <f>IF(D_PlanoFinanceiro[[#This Row],[Conta 4]]=D_PlanoFinanceiro[[#This Row],[Conta 4 (Atual]],"-","VALIDAR AJUSTE")</f>
        <v>VALIDAR AJUSTE</v>
      </c>
    </row>
    <row r="176" spans="1:18" x14ac:dyDescent="0.25">
      <c r="A176" t="s">
        <v>502</v>
      </c>
      <c r="B176" t="s">
        <v>572</v>
      </c>
      <c r="C176" t="s">
        <v>658</v>
      </c>
      <c r="D176" t="s">
        <v>663</v>
      </c>
      <c r="E176" t="s">
        <v>399</v>
      </c>
      <c r="F176" t="s">
        <v>175</v>
      </c>
      <c r="G176" t="s">
        <v>339</v>
      </c>
      <c r="H176" t="s">
        <v>63</v>
      </c>
      <c r="I176">
        <v>1</v>
      </c>
      <c r="J176" t="s">
        <v>1197</v>
      </c>
      <c r="K176" t="s">
        <v>1245</v>
      </c>
      <c r="M176" t="s">
        <v>168</v>
      </c>
      <c r="N176" t="s">
        <v>175</v>
      </c>
      <c r="O176" t="s">
        <v>231</v>
      </c>
      <c r="P176" t="s">
        <v>63</v>
      </c>
      <c r="R176" t="str">
        <f>IF(D_PlanoFinanceiro[[#This Row],[Conta 4]]=D_PlanoFinanceiro[[#This Row],[Conta 4 (Atual]],"-","VALIDAR AJUSTE")</f>
        <v>-</v>
      </c>
    </row>
    <row r="177" spans="1:18" x14ac:dyDescent="0.25">
      <c r="A177" t="s">
        <v>502</v>
      </c>
      <c r="B177" t="s">
        <v>503</v>
      </c>
      <c r="C177" t="s">
        <v>559</v>
      </c>
      <c r="D177" t="s">
        <v>565</v>
      </c>
      <c r="E177" t="s">
        <v>399</v>
      </c>
      <c r="F177" t="s">
        <v>429</v>
      </c>
      <c r="G177" t="s">
        <v>326</v>
      </c>
      <c r="H177" t="s">
        <v>444</v>
      </c>
      <c r="I177">
        <v>1</v>
      </c>
      <c r="J177" t="s">
        <v>1197</v>
      </c>
      <c r="K177" t="s">
        <v>1245</v>
      </c>
      <c r="M177" t="s">
        <v>168</v>
      </c>
      <c r="N177" t="s">
        <v>175</v>
      </c>
      <c r="O177" t="s">
        <v>231</v>
      </c>
      <c r="P177" t="s">
        <v>444</v>
      </c>
      <c r="R177" t="str">
        <f>IF(D_PlanoFinanceiro[[#This Row],[Conta 4]]=D_PlanoFinanceiro[[#This Row],[Conta 4 (Atual]],"-","VALIDAR AJUSTE")</f>
        <v>-</v>
      </c>
    </row>
    <row r="178" spans="1:18" x14ac:dyDescent="0.25">
      <c r="A178" t="s">
        <v>502</v>
      </c>
      <c r="B178" t="s">
        <v>572</v>
      </c>
      <c r="C178" t="s">
        <v>666</v>
      </c>
      <c r="D178" t="s">
        <v>669</v>
      </c>
      <c r="E178" t="s">
        <v>399</v>
      </c>
      <c r="F178" t="s">
        <v>175</v>
      </c>
      <c r="G178" t="s">
        <v>340</v>
      </c>
      <c r="H178" t="s">
        <v>383</v>
      </c>
      <c r="I178">
        <v>1</v>
      </c>
      <c r="J178" t="s">
        <v>1197</v>
      </c>
      <c r="K178" t="s">
        <v>1245</v>
      </c>
      <c r="M178" t="s">
        <v>168</v>
      </c>
      <c r="N178" t="s">
        <v>175</v>
      </c>
      <c r="O178" t="s">
        <v>231</v>
      </c>
      <c r="P178" t="s">
        <v>383</v>
      </c>
      <c r="R178" t="str">
        <f>IF(D_PlanoFinanceiro[[#This Row],[Conta 4]]=D_PlanoFinanceiro[[#This Row],[Conta 4 (Atual]],"-","VALIDAR AJUSTE")</f>
        <v>-</v>
      </c>
    </row>
    <row r="179" spans="1:18" x14ac:dyDescent="0.25">
      <c r="A179" t="s">
        <v>502</v>
      </c>
      <c r="B179" t="s">
        <v>572</v>
      </c>
      <c r="C179" t="s">
        <v>658</v>
      </c>
      <c r="D179" t="s">
        <v>660</v>
      </c>
      <c r="E179" t="s">
        <v>399</v>
      </c>
      <c r="F179" t="s">
        <v>175</v>
      </c>
      <c r="G179" t="s">
        <v>339</v>
      </c>
      <c r="H179" t="s">
        <v>11</v>
      </c>
      <c r="I179">
        <v>1</v>
      </c>
      <c r="J179" t="s">
        <v>1197</v>
      </c>
      <c r="K179" t="s">
        <v>1246</v>
      </c>
      <c r="M179" t="s">
        <v>168</v>
      </c>
      <c r="N179" t="s">
        <v>175</v>
      </c>
      <c r="O179" t="s">
        <v>1125</v>
      </c>
      <c r="P179" t="s">
        <v>11</v>
      </c>
      <c r="R179" t="str">
        <f>IF(D_PlanoFinanceiro[[#This Row],[Conta 4]]=D_PlanoFinanceiro[[#This Row],[Conta 4 (Atual]],"-","VALIDAR AJUSTE")</f>
        <v>-</v>
      </c>
    </row>
    <row r="180" spans="1:18" x14ac:dyDescent="0.25">
      <c r="A180" t="s">
        <v>502</v>
      </c>
      <c r="B180" t="s">
        <v>572</v>
      </c>
      <c r="C180" t="s">
        <v>658</v>
      </c>
      <c r="D180" t="s">
        <v>659</v>
      </c>
      <c r="E180" t="s">
        <v>399</v>
      </c>
      <c r="F180" t="s">
        <v>175</v>
      </c>
      <c r="G180" t="s">
        <v>339</v>
      </c>
      <c r="H180" t="s">
        <v>88</v>
      </c>
      <c r="I180">
        <v>1</v>
      </c>
      <c r="J180" t="s">
        <v>1197</v>
      </c>
      <c r="K180" t="s">
        <v>1246</v>
      </c>
      <c r="M180" t="s">
        <v>168</v>
      </c>
      <c r="N180" t="s">
        <v>175</v>
      </c>
      <c r="O180" t="s">
        <v>1125</v>
      </c>
      <c r="P180" t="s">
        <v>244</v>
      </c>
      <c r="R180" t="str">
        <f>IF(D_PlanoFinanceiro[[#This Row],[Conta 4]]=D_PlanoFinanceiro[[#This Row],[Conta 4 (Atual]],"-","VALIDAR AJUSTE")</f>
        <v>VALIDAR AJUSTE</v>
      </c>
    </row>
    <row r="181" spans="1:18" x14ac:dyDescent="0.25">
      <c r="A181" t="s">
        <v>502</v>
      </c>
      <c r="B181" t="s">
        <v>503</v>
      </c>
      <c r="C181" t="s">
        <v>568</v>
      </c>
      <c r="D181" t="s">
        <v>569</v>
      </c>
      <c r="E181" t="s">
        <v>399</v>
      </c>
      <c r="F181" t="s">
        <v>429</v>
      </c>
      <c r="G181" t="s">
        <v>363</v>
      </c>
      <c r="H181" t="s">
        <v>440</v>
      </c>
      <c r="I181">
        <v>1</v>
      </c>
      <c r="J181" t="s">
        <v>1197</v>
      </c>
      <c r="K181" t="s">
        <v>1246</v>
      </c>
      <c r="M181" t="s">
        <v>168</v>
      </c>
      <c r="N181" t="s">
        <v>175</v>
      </c>
      <c r="O181" t="s">
        <v>1125</v>
      </c>
      <c r="P181" t="s">
        <v>1166</v>
      </c>
      <c r="R181" t="str">
        <f>IF(D_PlanoFinanceiro[[#This Row],[Conta 4]]=D_PlanoFinanceiro[[#This Row],[Conta 4 (Atual]],"-","VALIDAR AJUSTE")</f>
        <v>VALIDAR AJUSTE</v>
      </c>
    </row>
    <row r="182" spans="1:18" x14ac:dyDescent="0.25">
      <c r="A182" t="s">
        <v>502</v>
      </c>
      <c r="B182" t="s">
        <v>572</v>
      </c>
      <c r="C182" t="s">
        <v>671</v>
      </c>
      <c r="D182" t="s">
        <v>686</v>
      </c>
      <c r="E182" t="s">
        <v>399</v>
      </c>
      <c r="F182" t="s">
        <v>175</v>
      </c>
      <c r="G182" t="s">
        <v>408</v>
      </c>
      <c r="H182" t="s">
        <v>136</v>
      </c>
      <c r="I182">
        <v>1</v>
      </c>
      <c r="J182" t="s">
        <v>1197</v>
      </c>
      <c r="K182" t="s">
        <v>1240</v>
      </c>
      <c r="M182" t="s">
        <v>168</v>
      </c>
      <c r="N182" t="s">
        <v>175</v>
      </c>
      <c r="O182" t="s">
        <v>918</v>
      </c>
      <c r="P182" t="s">
        <v>136</v>
      </c>
      <c r="R182" t="str">
        <f>IF(D_PlanoFinanceiro[[#This Row],[Conta 4]]=D_PlanoFinanceiro[[#This Row],[Conta 4 (Atual]],"-","VALIDAR AJUSTE")</f>
        <v>-</v>
      </c>
    </row>
    <row r="183" spans="1:18" x14ac:dyDescent="0.25">
      <c r="A183" t="s">
        <v>502</v>
      </c>
      <c r="B183" t="s">
        <v>572</v>
      </c>
      <c r="C183" t="s">
        <v>645</v>
      </c>
      <c r="D183" t="s">
        <v>648</v>
      </c>
      <c r="E183" t="s">
        <v>399</v>
      </c>
      <c r="F183" t="s">
        <v>175</v>
      </c>
      <c r="G183" t="s">
        <v>407</v>
      </c>
      <c r="H183" t="s">
        <v>134</v>
      </c>
      <c r="I183">
        <v>1</v>
      </c>
      <c r="J183" t="s">
        <v>1197</v>
      </c>
      <c r="K183" t="s">
        <v>1240</v>
      </c>
      <c r="M183" t="s">
        <v>168</v>
      </c>
      <c r="N183" t="s">
        <v>175</v>
      </c>
      <c r="O183" t="s">
        <v>918</v>
      </c>
      <c r="P183" t="s">
        <v>134</v>
      </c>
      <c r="R183" t="str">
        <f>IF(D_PlanoFinanceiro[[#This Row],[Conta 4]]=D_PlanoFinanceiro[[#This Row],[Conta 4 (Atual]],"-","VALIDAR AJUSTE")</f>
        <v>-</v>
      </c>
    </row>
    <row r="184" spans="1:18" x14ac:dyDescent="0.25">
      <c r="A184" t="s">
        <v>502</v>
      </c>
      <c r="B184" t="s">
        <v>572</v>
      </c>
      <c r="C184" t="s">
        <v>645</v>
      </c>
      <c r="D184" t="s">
        <v>647</v>
      </c>
      <c r="E184" t="s">
        <v>399</v>
      </c>
      <c r="F184" t="s">
        <v>175</v>
      </c>
      <c r="G184" t="s">
        <v>407</v>
      </c>
      <c r="H184" t="s">
        <v>44</v>
      </c>
      <c r="I184">
        <v>1</v>
      </c>
      <c r="J184" t="s">
        <v>1197</v>
      </c>
      <c r="K184" t="s">
        <v>1240</v>
      </c>
      <c r="M184" t="s">
        <v>168</v>
      </c>
      <c r="N184" t="s">
        <v>175</v>
      </c>
      <c r="O184" t="s">
        <v>918</v>
      </c>
      <c r="P184" t="s">
        <v>242</v>
      </c>
      <c r="R184" t="str">
        <f>IF(D_PlanoFinanceiro[[#This Row],[Conta 4]]=D_PlanoFinanceiro[[#This Row],[Conta 4 (Atual]],"-","VALIDAR AJUSTE")</f>
        <v>VALIDAR AJUSTE</v>
      </c>
    </row>
    <row r="185" spans="1:18" x14ac:dyDescent="0.25">
      <c r="A185" t="s">
        <v>502</v>
      </c>
      <c r="B185" t="s">
        <v>572</v>
      </c>
      <c r="C185" t="s">
        <v>645</v>
      </c>
      <c r="D185" t="s">
        <v>649</v>
      </c>
      <c r="E185" t="s">
        <v>399</v>
      </c>
      <c r="F185" t="s">
        <v>175</v>
      </c>
      <c r="G185" t="s">
        <v>407</v>
      </c>
      <c r="H185" t="s">
        <v>146</v>
      </c>
      <c r="I185">
        <v>1</v>
      </c>
      <c r="J185" t="s">
        <v>1197</v>
      </c>
      <c r="K185" t="s">
        <v>1240</v>
      </c>
      <c r="M185" t="s">
        <v>168</v>
      </c>
      <c r="N185" t="s">
        <v>175</v>
      </c>
      <c r="O185" t="s">
        <v>918</v>
      </c>
      <c r="P185" t="s">
        <v>247</v>
      </c>
      <c r="R185" t="str">
        <f>IF(D_PlanoFinanceiro[[#This Row],[Conta 4]]=D_PlanoFinanceiro[[#This Row],[Conta 4 (Atual]],"-","VALIDAR AJUSTE")</f>
        <v>VALIDAR AJUSTE</v>
      </c>
    </row>
    <row r="186" spans="1:18" x14ac:dyDescent="0.25">
      <c r="A186" t="s">
        <v>502</v>
      </c>
      <c r="B186" t="s">
        <v>572</v>
      </c>
      <c r="C186" t="s">
        <v>645</v>
      </c>
      <c r="D186" t="s">
        <v>653</v>
      </c>
      <c r="E186" t="s">
        <v>399</v>
      </c>
      <c r="F186" t="s">
        <v>175</v>
      </c>
      <c r="G186" t="s">
        <v>407</v>
      </c>
      <c r="H186" t="s">
        <v>59</v>
      </c>
      <c r="I186">
        <v>1</v>
      </c>
      <c r="J186" t="s">
        <v>1197</v>
      </c>
      <c r="K186" t="s">
        <v>1240</v>
      </c>
      <c r="M186" t="s">
        <v>168</v>
      </c>
      <c r="N186" t="s">
        <v>175</v>
      </c>
      <c r="O186" t="s">
        <v>918</v>
      </c>
      <c r="P186" t="s">
        <v>251</v>
      </c>
      <c r="R186" t="str">
        <f>IF(D_PlanoFinanceiro[[#This Row],[Conta 4]]=D_PlanoFinanceiro[[#This Row],[Conta 4 (Atual]],"-","VALIDAR AJUSTE")</f>
        <v>VALIDAR AJUSTE</v>
      </c>
    </row>
    <row r="187" spans="1:18" x14ac:dyDescent="0.25">
      <c r="A187" t="s">
        <v>502</v>
      </c>
      <c r="B187" t="s">
        <v>572</v>
      </c>
      <c r="C187" t="s">
        <v>645</v>
      </c>
      <c r="D187" t="s">
        <v>650</v>
      </c>
      <c r="E187" t="s">
        <v>399</v>
      </c>
      <c r="F187" t="s">
        <v>175</v>
      </c>
      <c r="G187" t="s">
        <v>407</v>
      </c>
      <c r="H187" t="s">
        <v>115</v>
      </c>
      <c r="I187">
        <v>1</v>
      </c>
      <c r="J187" t="s">
        <v>1197</v>
      </c>
      <c r="K187" t="s">
        <v>1240</v>
      </c>
      <c r="M187" t="s">
        <v>168</v>
      </c>
      <c r="N187" t="s">
        <v>175</v>
      </c>
      <c r="O187" t="s">
        <v>918</v>
      </c>
      <c r="P187" t="s">
        <v>263</v>
      </c>
      <c r="R187" t="str">
        <f>IF(D_PlanoFinanceiro[[#This Row],[Conta 4]]=D_PlanoFinanceiro[[#This Row],[Conta 4 (Atual]],"-","VALIDAR AJUSTE")</f>
        <v>VALIDAR AJUSTE</v>
      </c>
    </row>
    <row r="188" spans="1:18" x14ac:dyDescent="0.25">
      <c r="A188" t="s">
        <v>502</v>
      </c>
      <c r="B188" t="s">
        <v>572</v>
      </c>
      <c r="C188" t="s">
        <v>645</v>
      </c>
      <c r="D188" t="s">
        <v>652</v>
      </c>
      <c r="E188" t="s">
        <v>399</v>
      </c>
      <c r="F188" t="s">
        <v>175</v>
      </c>
      <c r="G188" t="s">
        <v>407</v>
      </c>
      <c r="H188" t="s">
        <v>338</v>
      </c>
      <c r="I188">
        <v>1</v>
      </c>
      <c r="J188" t="s">
        <v>1197</v>
      </c>
      <c r="K188" t="s">
        <v>1240</v>
      </c>
      <c r="M188" t="s">
        <v>168</v>
      </c>
      <c r="N188" t="s">
        <v>175</v>
      </c>
      <c r="O188" t="s">
        <v>918</v>
      </c>
      <c r="P188" t="s">
        <v>338</v>
      </c>
      <c r="R188" t="str">
        <f>IF(D_PlanoFinanceiro[[#This Row],[Conta 4]]=D_PlanoFinanceiro[[#This Row],[Conta 4 (Atual]],"-","VALIDAR AJUSTE")</f>
        <v>-</v>
      </c>
    </row>
    <row r="189" spans="1:18" x14ac:dyDescent="0.25">
      <c r="A189" t="s">
        <v>502</v>
      </c>
      <c r="B189" t="s">
        <v>572</v>
      </c>
      <c r="C189" t="s">
        <v>645</v>
      </c>
      <c r="D189" t="s">
        <v>655</v>
      </c>
      <c r="E189" t="s">
        <v>399</v>
      </c>
      <c r="F189" t="s">
        <v>175</v>
      </c>
      <c r="G189" t="s">
        <v>407</v>
      </c>
      <c r="H189" t="s">
        <v>452</v>
      </c>
      <c r="I189">
        <v>1</v>
      </c>
      <c r="J189" t="s">
        <v>1197</v>
      </c>
      <c r="K189" t="s">
        <v>1240</v>
      </c>
      <c r="M189" t="s">
        <v>168</v>
      </c>
      <c r="N189" t="s">
        <v>175</v>
      </c>
      <c r="O189" t="s">
        <v>918</v>
      </c>
      <c r="P189" t="s">
        <v>452</v>
      </c>
      <c r="R189" t="str">
        <f>IF(D_PlanoFinanceiro[[#This Row],[Conta 4]]=D_PlanoFinanceiro[[#This Row],[Conta 4 (Atual]],"-","VALIDAR AJUSTE")</f>
        <v>-</v>
      </c>
    </row>
    <row r="190" spans="1:18" x14ac:dyDescent="0.25">
      <c r="A190" t="s">
        <v>502</v>
      </c>
      <c r="B190" t="s">
        <v>572</v>
      </c>
      <c r="C190" t="s">
        <v>645</v>
      </c>
      <c r="D190" t="s">
        <v>656</v>
      </c>
      <c r="E190" t="s">
        <v>399</v>
      </c>
      <c r="F190" t="s">
        <v>175</v>
      </c>
      <c r="G190" t="s">
        <v>407</v>
      </c>
      <c r="H190" t="s">
        <v>424</v>
      </c>
      <c r="I190">
        <v>1</v>
      </c>
      <c r="J190" t="s">
        <v>1197</v>
      </c>
      <c r="K190" t="s">
        <v>1240</v>
      </c>
      <c r="M190" t="s">
        <v>168</v>
      </c>
      <c r="N190" t="s">
        <v>175</v>
      </c>
      <c r="O190" t="s">
        <v>918</v>
      </c>
      <c r="P190" t="s">
        <v>1114</v>
      </c>
      <c r="R190" t="str">
        <f>IF(D_PlanoFinanceiro[[#This Row],[Conta 4]]=D_PlanoFinanceiro[[#This Row],[Conta 4 (Atual]],"-","VALIDAR AJUSTE")</f>
        <v>VALIDAR AJUSTE</v>
      </c>
    </row>
    <row r="191" spans="1:18" x14ac:dyDescent="0.25">
      <c r="A191" t="s">
        <v>502</v>
      </c>
      <c r="B191" t="s">
        <v>572</v>
      </c>
      <c r="C191" t="s">
        <v>645</v>
      </c>
      <c r="D191" t="s">
        <v>657</v>
      </c>
      <c r="E191" t="s">
        <v>399</v>
      </c>
      <c r="F191" t="s">
        <v>175</v>
      </c>
      <c r="G191" t="s">
        <v>407</v>
      </c>
      <c r="H191" t="s">
        <v>465</v>
      </c>
      <c r="I191">
        <v>1</v>
      </c>
      <c r="J191" t="s">
        <v>1197</v>
      </c>
      <c r="K191" t="s">
        <v>1240</v>
      </c>
      <c r="M191" t="s">
        <v>168</v>
      </c>
      <c r="N191" t="s">
        <v>175</v>
      </c>
      <c r="O191" t="s">
        <v>918</v>
      </c>
      <c r="P191" t="s">
        <v>465</v>
      </c>
      <c r="R191" t="str">
        <f>IF(D_PlanoFinanceiro[[#This Row],[Conta 4]]=D_PlanoFinanceiro[[#This Row],[Conta 4 (Atual]],"-","VALIDAR AJUSTE")</f>
        <v>-</v>
      </c>
    </row>
    <row r="192" spans="1:18" x14ac:dyDescent="0.25">
      <c r="A192" t="s">
        <v>502</v>
      </c>
      <c r="B192" t="s">
        <v>572</v>
      </c>
      <c r="C192" t="s">
        <v>671</v>
      </c>
      <c r="D192" t="s">
        <v>683</v>
      </c>
      <c r="E192" t="s">
        <v>399</v>
      </c>
      <c r="F192" t="s">
        <v>175</v>
      </c>
      <c r="G192" t="s">
        <v>408</v>
      </c>
      <c r="H192" t="s">
        <v>143</v>
      </c>
      <c r="I192">
        <v>1</v>
      </c>
      <c r="J192" t="s">
        <v>1197</v>
      </c>
      <c r="K192" t="s">
        <v>1226</v>
      </c>
      <c r="M192" t="s">
        <v>168</v>
      </c>
      <c r="N192" t="s">
        <v>175</v>
      </c>
      <c r="O192" t="s">
        <v>196</v>
      </c>
      <c r="P192" t="s">
        <v>1131</v>
      </c>
      <c r="R192" t="str">
        <f>IF(D_PlanoFinanceiro[[#This Row],[Conta 4]]=D_PlanoFinanceiro[[#This Row],[Conta 4 (Atual]],"-","VALIDAR AJUSTE")</f>
        <v>VALIDAR AJUSTE</v>
      </c>
    </row>
    <row r="193" spans="1:18" x14ac:dyDescent="0.25">
      <c r="A193" t="s">
        <v>502</v>
      </c>
      <c r="B193" t="s">
        <v>572</v>
      </c>
      <c r="C193" t="s">
        <v>671</v>
      </c>
      <c r="D193" t="s">
        <v>681</v>
      </c>
      <c r="E193" t="s">
        <v>399</v>
      </c>
      <c r="F193" t="s">
        <v>175</v>
      </c>
      <c r="G193" t="s">
        <v>408</v>
      </c>
      <c r="H193" t="s">
        <v>132</v>
      </c>
      <c r="I193">
        <v>1</v>
      </c>
      <c r="J193" t="s">
        <v>1197</v>
      </c>
      <c r="K193" t="s">
        <v>1226</v>
      </c>
      <c r="M193" t="s">
        <v>168</v>
      </c>
      <c r="N193" t="s">
        <v>175</v>
      </c>
      <c r="O193" t="s">
        <v>196</v>
      </c>
      <c r="P193" t="s">
        <v>132</v>
      </c>
      <c r="R193" t="str">
        <f>IF(D_PlanoFinanceiro[[#This Row],[Conta 4]]=D_PlanoFinanceiro[[#This Row],[Conta 4 (Atual]],"-","VALIDAR AJUSTE")</f>
        <v>-</v>
      </c>
    </row>
    <row r="194" spans="1:18" x14ac:dyDescent="0.25">
      <c r="A194" t="s">
        <v>502</v>
      </c>
      <c r="B194" t="s">
        <v>572</v>
      </c>
      <c r="C194" t="s">
        <v>671</v>
      </c>
      <c r="D194" t="s">
        <v>676</v>
      </c>
      <c r="E194" t="s">
        <v>399</v>
      </c>
      <c r="F194" t="s">
        <v>175</v>
      </c>
      <c r="G194" t="s">
        <v>408</v>
      </c>
      <c r="H194" t="s">
        <v>83</v>
      </c>
      <c r="I194">
        <v>1</v>
      </c>
      <c r="J194" t="s">
        <v>1197</v>
      </c>
      <c r="K194" t="s">
        <v>1226</v>
      </c>
      <c r="M194" t="s">
        <v>168</v>
      </c>
      <c r="N194" t="s">
        <v>175</v>
      </c>
      <c r="O194" t="s">
        <v>196</v>
      </c>
      <c r="P194" t="s">
        <v>83</v>
      </c>
      <c r="R194" t="str">
        <f>IF(D_PlanoFinanceiro[[#This Row],[Conta 4]]=D_PlanoFinanceiro[[#This Row],[Conta 4 (Atual]],"-","VALIDAR AJUSTE")</f>
        <v>-</v>
      </c>
    </row>
    <row r="195" spans="1:18" x14ac:dyDescent="0.25">
      <c r="A195" t="s">
        <v>502</v>
      </c>
      <c r="B195" t="s">
        <v>572</v>
      </c>
      <c r="C195" t="s">
        <v>671</v>
      </c>
      <c r="D195" t="s">
        <v>673</v>
      </c>
      <c r="E195" t="s">
        <v>399</v>
      </c>
      <c r="F195" t="s">
        <v>175</v>
      </c>
      <c r="G195" t="s">
        <v>408</v>
      </c>
      <c r="H195" t="s">
        <v>159</v>
      </c>
      <c r="I195">
        <v>1</v>
      </c>
      <c r="J195" t="s">
        <v>1197</v>
      </c>
      <c r="K195" t="s">
        <v>1226</v>
      </c>
      <c r="M195" t="s">
        <v>168</v>
      </c>
      <c r="N195" t="s">
        <v>175</v>
      </c>
      <c r="O195" t="s">
        <v>196</v>
      </c>
      <c r="P195" t="s">
        <v>159</v>
      </c>
      <c r="R195" t="str">
        <f>IF(D_PlanoFinanceiro[[#This Row],[Conta 4]]=D_PlanoFinanceiro[[#This Row],[Conta 4 (Atual]],"-","VALIDAR AJUSTE")</f>
        <v>-</v>
      </c>
    </row>
    <row r="196" spans="1:18" x14ac:dyDescent="0.25">
      <c r="A196" t="s">
        <v>502</v>
      </c>
      <c r="B196" t="s">
        <v>572</v>
      </c>
      <c r="C196" t="s">
        <v>671</v>
      </c>
      <c r="D196" t="s">
        <v>678</v>
      </c>
      <c r="E196" t="s">
        <v>399</v>
      </c>
      <c r="F196" t="s">
        <v>175</v>
      </c>
      <c r="G196" t="s">
        <v>408</v>
      </c>
      <c r="H196" t="s">
        <v>98</v>
      </c>
      <c r="I196">
        <v>1</v>
      </c>
      <c r="J196" t="s">
        <v>1197</v>
      </c>
      <c r="K196" t="s">
        <v>1226</v>
      </c>
      <c r="M196" t="s">
        <v>168</v>
      </c>
      <c r="N196" t="s">
        <v>175</v>
      </c>
      <c r="O196" t="s">
        <v>196</v>
      </c>
      <c r="P196" t="s">
        <v>98</v>
      </c>
      <c r="R196" t="str">
        <f>IF(D_PlanoFinanceiro[[#This Row],[Conta 4]]=D_PlanoFinanceiro[[#This Row],[Conta 4 (Atual]],"-","VALIDAR AJUSTE")</f>
        <v>-</v>
      </c>
    </row>
    <row r="197" spans="1:18" x14ac:dyDescent="0.25">
      <c r="A197" t="s">
        <v>502</v>
      </c>
      <c r="B197" t="s">
        <v>572</v>
      </c>
      <c r="C197" t="s">
        <v>671</v>
      </c>
      <c r="D197" t="s">
        <v>672</v>
      </c>
      <c r="E197" t="s">
        <v>399</v>
      </c>
      <c r="F197" t="s">
        <v>175</v>
      </c>
      <c r="G197" t="s">
        <v>408</v>
      </c>
      <c r="H197" t="s">
        <v>409</v>
      </c>
      <c r="I197">
        <v>1</v>
      </c>
      <c r="J197" t="s">
        <v>1197</v>
      </c>
      <c r="K197" t="s">
        <v>1226</v>
      </c>
      <c r="M197" t="s">
        <v>168</v>
      </c>
      <c r="N197" t="s">
        <v>175</v>
      </c>
      <c r="O197" t="s">
        <v>196</v>
      </c>
      <c r="P197" t="s">
        <v>409</v>
      </c>
      <c r="R197" t="str">
        <f>IF(D_PlanoFinanceiro[[#This Row],[Conta 4]]=D_PlanoFinanceiro[[#This Row],[Conta 4 (Atual]],"-","VALIDAR AJUSTE")</f>
        <v>-</v>
      </c>
    </row>
    <row r="198" spans="1:18" x14ac:dyDescent="0.25">
      <c r="A198" t="s">
        <v>502</v>
      </c>
      <c r="B198" t="s">
        <v>572</v>
      </c>
      <c r="C198" t="s">
        <v>671</v>
      </c>
      <c r="D198" t="s">
        <v>675</v>
      </c>
      <c r="E198" t="s">
        <v>399</v>
      </c>
      <c r="F198" t="s">
        <v>175</v>
      </c>
      <c r="G198" t="s">
        <v>408</v>
      </c>
      <c r="H198" t="s">
        <v>341</v>
      </c>
      <c r="I198">
        <v>1</v>
      </c>
      <c r="J198" t="s">
        <v>1197</v>
      </c>
      <c r="K198" t="s">
        <v>1226</v>
      </c>
      <c r="M198" t="s">
        <v>168</v>
      </c>
      <c r="N198" t="s">
        <v>175</v>
      </c>
      <c r="O198" t="s">
        <v>196</v>
      </c>
      <c r="P198" t="s">
        <v>341</v>
      </c>
      <c r="R198" t="str">
        <f>IF(D_PlanoFinanceiro[[#This Row],[Conta 4]]=D_PlanoFinanceiro[[#This Row],[Conta 4 (Atual]],"-","VALIDAR AJUSTE")</f>
        <v>-</v>
      </c>
    </row>
    <row r="199" spans="1:18" x14ac:dyDescent="0.25">
      <c r="A199" t="s">
        <v>502</v>
      </c>
      <c r="B199" t="s">
        <v>572</v>
      </c>
      <c r="C199" t="s">
        <v>671</v>
      </c>
      <c r="D199" t="s">
        <v>677</v>
      </c>
      <c r="E199" t="s">
        <v>399</v>
      </c>
      <c r="F199" t="s">
        <v>175</v>
      </c>
      <c r="G199" t="s">
        <v>408</v>
      </c>
      <c r="H199" t="s">
        <v>342</v>
      </c>
      <c r="I199">
        <v>1</v>
      </c>
      <c r="J199" t="s">
        <v>1197</v>
      </c>
      <c r="K199" t="s">
        <v>1226</v>
      </c>
      <c r="M199" t="s">
        <v>168</v>
      </c>
      <c r="N199" t="s">
        <v>175</v>
      </c>
      <c r="O199" t="s">
        <v>196</v>
      </c>
      <c r="P199" t="s">
        <v>342</v>
      </c>
      <c r="R199" t="str">
        <f>IF(D_PlanoFinanceiro[[#This Row],[Conta 4]]=D_PlanoFinanceiro[[#This Row],[Conta 4 (Atual]],"-","VALIDAR AJUSTE")</f>
        <v>-</v>
      </c>
    </row>
    <row r="200" spans="1:18" x14ac:dyDescent="0.25">
      <c r="A200" t="s">
        <v>502</v>
      </c>
      <c r="B200" t="s">
        <v>572</v>
      </c>
      <c r="C200" t="s">
        <v>671</v>
      </c>
      <c r="D200" t="s">
        <v>680</v>
      </c>
      <c r="E200" t="s">
        <v>399</v>
      </c>
      <c r="F200" t="s">
        <v>175</v>
      </c>
      <c r="G200" t="s">
        <v>408</v>
      </c>
      <c r="H200" t="s">
        <v>343</v>
      </c>
      <c r="I200">
        <v>1</v>
      </c>
      <c r="J200" t="s">
        <v>1197</v>
      </c>
      <c r="K200" t="s">
        <v>1226</v>
      </c>
      <c r="M200" t="s">
        <v>168</v>
      </c>
      <c r="N200" t="s">
        <v>175</v>
      </c>
      <c r="O200" t="s">
        <v>196</v>
      </c>
      <c r="P200" t="s">
        <v>343</v>
      </c>
      <c r="R200" t="str">
        <f>IF(D_PlanoFinanceiro[[#This Row],[Conta 4]]=D_PlanoFinanceiro[[#This Row],[Conta 4 (Atual]],"-","VALIDAR AJUSTE")</f>
        <v>-</v>
      </c>
    </row>
    <row r="201" spans="1:18" x14ac:dyDescent="0.25">
      <c r="A201" t="s">
        <v>502</v>
      </c>
      <c r="B201" t="s">
        <v>572</v>
      </c>
      <c r="C201" t="s">
        <v>671</v>
      </c>
      <c r="D201" t="s">
        <v>684</v>
      </c>
      <c r="E201" t="s">
        <v>399</v>
      </c>
      <c r="F201" t="s">
        <v>175</v>
      </c>
      <c r="G201" t="s">
        <v>408</v>
      </c>
      <c r="H201" t="s">
        <v>344</v>
      </c>
      <c r="I201">
        <v>1</v>
      </c>
      <c r="J201" t="s">
        <v>1197</v>
      </c>
      <c r="K201" t="s">
        <v>1226</v>
      </c>
      <c r="M201" t="s">
        <v>168</v>
      </c>
      <c r="N201" t="s">
        <v>175</v>
      </c>
      <c r="O201" t="s">
        <v>196</v>
      </c>
      <c r="P201" t="s">
        <v>344</v>
      </c>
      <c r="R201" t="str">
        <f>IF(D_PlanoFinanceiro[[#This Row],[Conta 4]]=D_PlanoFinanceiro[[#This Row],[Conta 4 (Atual]],"-","VALIDAR AJUSTE")</f>
        <v>-</v>
      </c>
    </row>
    <row r="202" spans="1:18" x14ac:dyDescent="0.25">
      <c r="A202" t="s">
        <v>502</v>
      </c>
      <c r="B202" t="s">
        <v>572</v>
      </c>
      <c r="C202" t="s">
        <v>671</v>
      </c>
      <c r="D202" t="s">
        <v>690</v>
      </c>
      <c r="E202" t="s">
        <v>399</v>
      </c>
      <c r="F202" t="s">
        <v>175</v>
      </c>
      <c r="G202" t="s">
        <v>408</v>
      </c>
      <c r="H202" t="s">
        <v>375</v>
      </c>
      <c r="I202">
        <v>1</v>
      </c>
      <c r="J202" t="s">
        <v>1197</v>
      </c>
      <c r="K202" t="s">
        <v>1226</v>
      </c>
      <c r="M202" t="s">
        <v>168</v>
      </c>
      <c r="N202" t="s">
        <v>175</v>
      </c>
      <c r="O202" t="s">
        <v>196</v>
      </c>
      <c r="P202" t="s">
        <v>375</v>
      </c>
      <c r="R202" t="str">
        <f>IF(D_PlanoFinanceiro[[#This Row],[Conta 4]]=D_PlanoFinanceiro[[#This Row],[Conta 4 (Atual]],"-","VALIDAR AJUSTE")</f>
        <v>-</v>
      </c>
    </row>
    <row r="203" spans="1:18" x14ac:dyDescent="0.25">
      <c r="A203" t="s">
        <v>502</v>
      </c>
      <c r="B203" t="s">
        <v>572</v>
      </c>
      <c r="C203" t="s">
        <v>671</v>
      </c>
      <c r="D203" t="s">
        <v>693</v>
      </c>
      <c r="E203" t="s">
        <v>399</v>
      </c>
      <c r="F203" t="s">
        <v>175</v>
      </c>
      <c r="G203" t="s">
        <v>408</v>
      </c>
      <c r="H203" t="s">
        <v>461</v>
      </c>
      <c r="I203">
        <v>1</v>
      </c>
      <c r="J203" t="s">
        <v>1197</v>
      </c>
      <c r="K203" t="s">
        <v>1226</v>
      </c>
      <c r="M203" t="s">
        <v>168</v>
      </c>
      <c r="N203" t="s">
        <v>175</v>
      </c>
      <c r="O203" t="s">
        <v>196</v>
      </c>
      <c r="P203" t="s">
        <v>461</v>
      </c>
      <c r="R203" t="str">
        <f>IF(D_PlanoFinanceiro[[#This Row],[Conta 4]]=D_PlanoFinanceiro[[#This Row],[Conta 4 (Atual]],"-","VALIDAR AJUSTE")</f>
        <v>-</v>
      </c>
    </row>
    <row r="204" spans="1:18" x14ac:dyDescent="0.25">
      <c r="A204" t="s">
        <v>502</v>
      </c>
      <c r="B204" t="s">
        <v>572</v>
      </c>
      <c r="C204" t="s">
        <v>707</v>
      </c>
      <c r="D204" t="s">
        <v>708</v>
      </c>
      <c r="E204" t="s">
        <v>399</v>
      </c>
      <c r="F204" t="s">
        <v>175</v>
      </c>
      <c r="G204" t="s">
        <v>349</v>
      </c>
      <c r="H204" t="s">
        <v>149</v>
      </c>
      <c r="I204">
        <v>1</v>
      </c>
      <c r="J204" t="s">
        <v>1197</v>
      </c>
      <c r="K204" t="s">
        <v>1243</v>
      </c>
      <c r="M204" t="s">
        <v>168</v>
      </c>
      <c r="N204" t="s">
        <v>175</v>
      </c>
      <c r="O204" t="s">
        <v>237</v>
      </c>
      <c r="P204" t="s">
        <v>149</v>
      </c>
      <c r="R204" t="str">
        <f>IF(D_PlanoFinanceiro[[#This Row],[Conta 4]]=D_PlanoFinanceiro[[#This Row],[Conta 4 (Atual]],"-","VALIDAR AJUSTE")</f>
        <v>-</v>
      </c>
    </row>
    <row r="205" spans="1:18" x14ac:dyDescent="0.25">
      <c r="A205" t="s">
        <v>502</v>
      </c>
      <c r="B205" t="s">
        <v>572</v>
      </c>
      <c r="C205" t="s">
        <v>631</v>
      </c>
      <c r="D205" t="s">
        <v>640</v>
      </c>
      <c r="E205" t="s">
        <v>399</v>
      </c>
      <c r="F205" t="s">
        <v>175</v>
      </c>
      <c r="G205" t="s">
        <v>395</v>
      </c>
      <c r="H205" t="s">
        <v>122</v>
      </c>
      <c r="I205">
        <v>1</v>
      </c>
      <c r="J205" t="s">
        <v>1197</v>
      </c>
      <c r="K205" t="s">
        <v>1243</v>
      </c>
      <c r="M205" t="s">
        <v>168</v>
      </c>
      <c r="N205" t="s">
        <v>175</v>
      </c>
      <c r="O205" t="s">
        <v>237</v>
      </c>
      <c r="P205" t="s">
        <v>238</v>
      </c>
      <c r="R205" t="str">
        <f>IF(D_PlanoFinanceiro[[#This Row],[Conta 4]]=D_PlanoFinanceiro[[#This Row],[Conta 4 (Atual]],"-","VALIDAR AJUSTE")</f>
        <v>VALIDAR AJUSTE</v>
      </c>
    </row>
    <row r="206" spans="1:18" x14ac:dyDescent="0.25">
      <c r="A206" t="s">
        <v>502</v>
      </c>
      <c r="B206" t="s">
        <v>572</v>
      </c>
      <c r="C206" t="s">
        <v>707</v>
      </c>
      <c r="D206" t="s">
        <v>711</v>
      </c>
      <c r="E206" t="s">
        <v>399</v>
      </c>
      <c r="F206" t="s">
        <v>175</v>
      </c>
      <c r="G206" t="s">
        <v>349</v>
      </c>
      <c r="H206" t="s">
        <v>139</v>
      </c>
      <c r="I206">
        <v>1</v>
      </c>
      <c r="J206" t="s">
        <v>1197</v>
      </c>
      <c r="K206" t="s">
        <v>1243</v>
      </c>
      <c r="M206" t="s">
        <v>168</v>
      </c>
      <c r="N206" t="s">
        <v>175</v>
      </c>
      <c r="O206" t="s">
        <v>237</v>
      </c>
      <c r="P206" t="s">
        <v>139</v>
      </c>
      <c r="R206" t="str">
        <f>IF(D_PlanoFinanceiro[[#This Row],[Conta 4]]=D_PlanoFinanceiro[[#This Row],[Conta 4 (Atual]],"-","VALIDAR AJUSTE")</f>
        <v>-</v>
      </c>
    </row>
    <row r="207" spans="1:18" x14ac:dyDescent="0.25">
      <c r="A207" t="s">
        <v>502</v>
      </c>
      <c r="B207" t="s">
        <v>572</v>
      </c>
      <c r="C207" t="s">
        <v>666</v>
      </c>
      <c r="D207" t="s">
        <v>668</v>
      </c>
      <c r="E207" t="s">
        <v>399</v>
      </c>
      <c r="F207" t="s">
        <v>175</v>
      </c>
      <c r="G207" t="s">
        <v>340</v>
      </c>
      <c r="H207" t="s">
        <v>364</v>
      </c>
      <c r="I207">
        <v>1</v>
      </c>
      <c r="J207" t="s">
        <v>1197</v>
      </c>
      <c r="K207" t="s">
        <v>1243</v>
      </c>
      <c r="M207" t="s">
        <v>168</v>
      </c>
      <c r="N207" s="26" t="s">
        <v>175</v>
      </c>
      <c r="O207" s="26" t="s">
        <v>237</v>
      </c>
      <c r="P207" t="s">
        <v>364</v>
      </c>
      <c r="R207" t="str">
        <f>IF(D_PlanoFinanceiro[[#This Row],[Conta 4]]=D_PlanoFinanceiro[[#This Row],[Conta 4 (Atual]],"-","VALIDAR AJUSTE")</f>
        <v>-</v>
      </c>
    </row>
    <row r="208" spans="1:18" x14ac:dyDescent="0.25">
      <c r="A208" t="s">
        <v>502</v>
      </c>
      <c r="B208" t="s">
        <v>572</v>
      </c>
      <c r="C208" t="s">
        <v>707</v>
      </c>
      <c r="D208" t="s">
        <v>709</v>
      </c>
      <c r="E208" t="s">
        <v>399</v>
      </c>
      <c r="F208" t="s">
        <v>175</v>
      </c>
      <c r="G208" t="s">
        <v>349</v>
      </c>
      <c r="H208" t="s">
        <v>76</v>
      </c>
      <c r="I208">
        <v>1</v>
      </c>
      <c r="J208" t="s">
        <v>1197</v>
      </c>
      <c r="K208" t="s">
        <v>1243</v>
      </c>
      <c r="M208" t="s">
        <v>168</v>
      </c>
      <c r="N208" t="s">
        <v>175</v>
      </c>
      <c r="O208" t="s">
        <v>237</v>
      </c>
      <c r="P208" t="s">
        <v>76</v>
      </c>
      <c r="R208" t="str">
        <f>IF(D_PlanoFinanceiro[[#This Row],[Conta 4]]=D_PlanoFinanceiro[[#This Row],[Conta 4 (Atual]],"-","VALIDAR AJUSTE")</f>
        <v>-</v>
      </c>
    </row>
    <row r="209" spans="1:18" x14ac:dyDescent="0.25">
      <c r="A209" t="s">
        <v>502</v>
      </c>
      <c r="B209" t="s">
        <v>712</v>
      </c>
      <c r="C209" t="s">
        <v>713</v>
      </c>
      <c r="D209" t="s">
        <v>716</v>
      </c>
      <c r="E209" t="s">
        <v>399</v>
      </c>
      <c r="F209" t="s">
        <v>411</v>
      </c>
      <c r="G209" t="s">
        <v>345</v>
      </c>
      <c r="H209" t="s">
        <v>57</v>
      </c>
      <c r="I209">
        <v>1</v>
      </c>
      <c r="J209" t="s">
        <v>1197</v>
      </c>
      <c r="K209" t="s">
        <v>1234</v>
      </c>
      <c r="M209" t="s">
        <v>168</v>
      </c>
      <c r="N209" t="s">
        <v>175</v>
      </c>
      <c r="O209" t="s">
        <v>915</v>
      </c>
      <c r="P209" t="s">
        <v>57</v>
      </c>
      <c r="R209" t="str">
        <f>IF(D_PlanoFinanceiro[[#This Row],[Conta 4]]=D_PlanoFinanceiro[[#This Row],[Conta 4 (Atual]],"-","VALIDAR AJUSTE")</f>
        <v>-</v>
      </c>
    </row>
    <row r="210" spans="1:18" x14ac:dyDescent="0.25">
      <c r="A210" t="s">
        <v>474</v>
      </c>
      <c r="B210" t="s">
        <v>484</v>
      </c>
      <c r="C210" t="s">
        <v>485</v>
      </c>
      <c r="D210" t="s">
        <v>487</v>
      </c>
      <c r="E210" t="s">
        <v>396</v>
      </c>
      <c r="F210" t="s">
        <v>397</v>
      </c>
      <c r="G210" t="s">
        <v>234</v>
      </c>
      <c r="H210" t="s">
        <v>311</v>
      </c>
      <c r="I210">
        <v>1</v>
      </c>
      <c r="J210" t="s">
        <v>1197</v>
      </c>
      <c r="K210" t="s">
        <v>1234</v>
      </c>
      <c r="M210" t="s">
        <v>168</v>
      </c>
      <c r="N210" t="s">
        <v>175</v>
      </c>
      <c r="O210" t="s">
        <v>915</v>
      </c>
      <c r="P210" t="s">
        <v>311</v>
      </c>
      <c r="R210" t="str">
        <f>IF(D_PlanoFinanceiro[[#This Row],[Conta 4]]=D_PlanoFinanceiro[[#This Row],[Conta 4 (Atual]],"-","VALIDAR AJUSTE")</f>
        <v>-</v>
      </c>
    </row>
    <row r="211" spans="1:18" x14ac:dyDescent="0.25">
      <c r="A211" t="s">
        <v>502</v>
      </c>
      <c r="B211" t="s">
        <v>712</v>
      </c>
      <c r="C211" t="s">
        <v>713</v>
      </c>
      <c r="D211" t="s">
        <v>715</v>
      </c>
      <c r="E211" t="s">
        <v>399</v>
      </c>
      <c r="F211" t="s">
        <v>411</v>
      </c>
      <c r="G211" t="s">
        <v>345</v>
      </c>
      <c r="H211" t="s">
        <v>413</v>
      </c>
      <c r="I211">
        <v>1</v>
      </c>
      <c r="J211" t="s">
        <v>1197</v>
      </c>
      <c r="K211" t="s">
        <v>1234</v>
      </c>
      <c r="M211" s="26" t="s">
        <v>168</v>
      </c>
      <c r="N211" s="26" t="s">
        <v>175</v>
      </c>
      <c r="O211" s="26" t="s">
        <v>915</v>
      </c>
      <c r="P211" t="s">
        <v>413</v>
      </c>
      <c r="R211" t="str">
        <f>IF(D_PlanoFinanceiro[[#This Row],[Conta 4]]=D_PlanoFinanceiro[[#This Row],[Conta 4 (Atual]],"-","VALIDAR AJUSTE")</f>
        <v>-</v>
      </c>
    </row>
    <row r="212" spans="1:18" x14ac:dyDescent="0.25">
      <c r="A212" t="s">
        <v>502</v>
      </c>
      <c r="B212" t="s">
        <v>712</v>
      </c>
      <c r="C212" t="s">
        <v>713</v>
      </c>
      <c r="D212" t="s">
        <v>722</v>
      </c>
      <c r="E212" t="s">
        <v>399</v>
      </c>
      <c r="F212" t="s">
        <v>411</v>
      </c>
      <c r="G212" t="s">
        <v>345</v>
      </c>
      <c r="H212" t="s">
        <v>427</v>
      </c>
      <c r="I212">
        <v>1</v>
      </c>
      <c r="J212" t="s">
        <v>1197</v>
      </c>
      <c r="K212" t="s">
        <v>1234</v>
      </c>
      <c r="M212" s="26" t="s">
        <v>168</v>
      </c>
      <c r="N212" s="26" t="s">
        <v>175</v>
      </c>
      <c r="O212" s="26" t="s">
        <v>915</v>
      </c>
      <c r="P212" t="s">
        <v>427</v>
      </c>
      <c r="R212" t="str">
        <f>IF(D_PlanoFinanceiro[[#This Row],[Conta 4]]=D_PlanoFinanceiro[[#This Row],[Conta 4 (Atual]],"-","VALIDAR AJUSTE")</f>
        <v>-</v>
      </c>
    </row>
    <row r="213" spans="1:18" x14ac:dyDescent="0.25">
      <c r="A213" t="s">
        <v>502</v>
      </c>
      <c r="B213" t="s">
        <v>712</v>
      </c>
      <c r="C213" t="s">
        <v>713</v>
      </c>
      <c r="D213" t="s">
        <v>723</v>
      </c>
      <c r="E213" t="s">
        <v>399</v>
      </c>
      <c r="F213" t="s">
        <v>411</v>
      </c>
      <c r="G213" t="s">
        <v>345</v>
      </c>
      <c r="H213" t="s">
        <v>469</v>
      </c>
      <c r="I213">
        <v>1</v>
      </c>
      <c r="J213" t="s">
        <v>1197</v>
      </c>
      <c r="K213" t="s">
        <v>1234</v>
      </c>
      <c r="M213" s="26" t="s">
        <v>168</v>
      </c>
      <c r="N213" s="26" t="s">
        <v>175</v>
      </c>
      <c r="O213" s="26" t="s">
        <v>915</v>
      </c>
      <c r="P213" t="s">
        <v>469</v>
      </c>
      <c r="R213" t="str">
        <f>IF(D_PlanoFinanceiro[[#This Row],[Conta 4]]=D_PlanoFinanceiro[[#This Row],[Conta 4 (Atual]],"-","VALIDAR AJUSTE")</f>
        <v>-</v>
      </c>
    </row>
    <row r="214" spans="1:18" x14ac:dyDescent="0.25">
      <c r="A214" t="s">
        <v>502</v>
      </c>
      <c r="B214" t="s">
        <v>572</v>
      </c>
      <c r="C214" t="s">
        <v>671</v>
      </c>
      <c r="D214" t="s">
        <v>682</v>
      </c>
      <c r="E214" t="s">
        <v>399</v>
      </c>
      <c r="F214" t="s">
        <v>175</v>
      </c>
      <c r="G214" t="s">
        <v>408</v>
      </c>
      <c r="H214" t="s">
        <v>141</v>
      </c>
      <c r="I214">
        <v>1</v>
      </c>
      <c r="J214" t="s">
        <v>1198</v>
      </c>
      <c r="K214" t="s">
        <v>1232</v>
      </c>
      <c r="M214" t="s">
        <v>168</v>
      </c>
      <c r="N214" t="s">
        <v>210</v>
      </c>
      <c r="O214" t="s">
        <v>211</v>
      </c>
      <c r="P214" t="s">
        <v>141</v>
      </c>
      <c r="R214" t="str">
        <f>IF(D_PlanoFinanceiro[[#This Row],[Conta 4]]=D_PlanoFinanceiro[[#This Row],[Conta 4 (Atual]],"-","VALIDAR AJUSTE")</f>
        <v>-</v>
      </c>
    </row>
    <row r="215" spans="1:18" x14ac:dyDescent="0.25">
      <c r="A215" t="s">
        <v>502</v>
      </c>
      <c r="B215" t="s">
        <v>572</v>
      </c>
      <c r="C215" t="s">
        <v>573</v>
      </c>
      <c r="D215" t="s">
        <v>594</v>
      </c>
      <c r="E215" t="s">
        <v>399</v>
      </c>
      <c r="F215" t="s">
        <v>175</v>
      </c>
      <c r="G215" t="s">
        <v>355</v>
      </c>
      <c r="H215" t="s">
        <v>144</v>
      </c>
      <c r="I215">
        <v>1</v>
      </c>
      <c r="J215" t="s">
        <v>1198</v>
      </c>
      <c r="K215" t="s">
        <v>1232</v>
      </c>
      <c r="M215" t="s">
        <v>168</v>
      </c>
      <c r="N215" t="s">
        <v>210</v>
      </c>
      <c r="O215" t="s">
        <v>211</v>
      </c>
      <c r="P215" t="s">
        <v>878</v>
      </c>
      <c r="R215" t="str">
        <f>IF(D_PlanoFinanceiro[[#This Row],[Conta 4]]=D_PlanoFinanceiro[[#This Row],[Conta 4 (Atual]],"-","VALIDAR AJUSTE")</f>
        <v>VALIDAR AJUSTE</v>
      </c>
    </row>
    <row r="216" spans="1:18" x14ac:dyDescent="0.25">
      <c r="A216" t="s">
        <v>474</v>
      </c>
      <c r="B216" t="s">
        <v>484</v>
      </c>
      <c r="C216" t="s">
        <v>489</v>
      </c>
      <c r="D216" t="s">
        <v>501</v>
      </c>
      <c r="E216" t="s">
        <v>396</v>
      </c>
      <c r="F216" t="s">
        <v>397</v>
      </c>
      <c r="G216" t="s">
        <v>29</v>
      </c>
      <c r="H216" t="s">
        <v>462</v>
      </c>
      <c r="I216">
        <v>1</v>
      </c>
      <c r="J216" t="s">
        <v>1198</v>
      </c>
      <c r="K216" t="s">
        <v>1232</v>
      </c>
      <c r="M216" t="s">
        <v>168</v>
      </c>
      <c r="N216" s="26" t="s">
        <v>210</v>
      </c>
      <c r="O216" s="26" t="s">
        <v>211</v>
      </c>
      <c r="P216" t="s">
        <v>462</v>
      </c>
      <c r="R216" t="str">
        <f>IF(D_PlanoFinanceiro[[#This Row],[Conta 4]]=D_PlanoFinanceiro[[#This Row],[Conta 4 (Atual]],"-","VALIDAR AJUSTE")</f>
        <v>-</v>
      </c>
    </row>
    <row r="217" spans="1:18" x14ac:dyDescent="0.25">
      <c r="A217" t="s">
        <v>502</v>
      </c>
      <c r="B217" t="s">
        <v>572</v>
      </c>
      <c r="C217" t="s">
        <v>671</v>
      </c>
      <c r="D217" t="s">
        <v>688</v>
      </c>
      <c r="E217" t="s">
        <v>399</v>
      </c>
      <c r="F217" t="s">
        <v>175</v>
      </c>
      <c r="G217" t="s">
        <v>408</v>
      </c>
      <c r="H217" t="s">
        <v>366</v>
      </c>
      <c r="I217">
        <v>1</v>
      </c>
      <c r="J217" t="s">
        <v>1198</v>
      </c>
      <c r="K217" t="s">
        <v>1232</v>
      </c>
      <c r="M217" t="s">
        <v>168</v>
      </c>
      <c r="N217" t="s">
        <v>210</v>
      </c>
      <c r="O217" t="s">
        <v>211</v>
      </c>
      <c r="P217" t="s">
        <v>366</v>
      </c>
      <c r="R217" t="str">
        <f>IF(D_PlanoFinanceiro[[#This Row],[Conta 4]]=D_PlanoFinanceiro[[#This Row],[Conta 4 (Atual]],"-","VALIDAR AJUSTE")</f>
        <v>-</v>
      </c>
    </row>
    <row r="218" spans="1:18" x14ac:dyDescent="0.25">
      <c r="A218" t="s">
        <v>502</v>
      </c>
      <c r="B218" t="s">
        <v>572</v>
      </c>
      <c r="C218" t="s">
        <v>671</v>
      </c>
      <c r="D218" t="s">
        <v>689</v>
      </c>
      <c r="E218" t="s">
        <v>399</v>
      </c>
      <c r="F218" t="s">
        <v>175</v>
      </c>
      <c r="G218" t="s">
        <v>408</v>
      </c>
      <c r="H218" t="s">
        <v>458</v>
      </c>
      <c r="I218">
        <v>1</v>
      </c>
      <c r="J218" t="s">
        <v>1198</v>
      </c>
      <c r="K218" t="s">
        <v>1232</v>
      </c>
      <c r="M218" t="s">
        <v>168</v>
      </c>
      <c r="N218" t="s">
        <v>210</v>
      </c>
      <c r="O218" t="s">
        <v>211</v>
      </c>
      <c r="P218" t="s">
        <v>458</v>
      </c>
      <c r="R218" t="str">
        <f>IF(D_PlanoFinanceiro[[#This Row],[Conta 4]]=D_PlanoFinanceiro[[#This Row],[Conta 4 (Atual]],"-","VALIDAR AJUSTE")</f>
        <v>-</v>
      </c>
    </row>
    <row r="219" spans="1:18" x14ac:dyDescent="0.25">
      <c r="A219" t="s">
        <v>502</v>
      </c>
      <c r="B219" t="s">
        <v>572</v>
      </c>
      <c r="C219" t="s">
        <v>573</v>
      </c>
      <c r="D219" t="s">
        <v>588</v>
      </c>
      <c r="E219" t="s">
        <v>399</v>
      </c>
      <c r="F219" t="s">
        <v>175</v>
      </c>
      <c r="G219" t="s">
        <v>355</v>
      </c>
      <c r="H219" t="s">
        <v>332</v>
      </c>
      <c r="I219">
        <v>1</v>
      </c>
      <c r="J219" t="s">
        <v>1198</v>
      </c>
      <c r="K219" t="s">
        <v>1265</v>
      </c>
      <c r="M219" t="s">
        <v>168</v>
      </c>
      <c r="N219" t="s">
        <v>210</v>
      </c>
      <c r="O219" t="s">
        <v>913</v>
      </c>
      <c r="P219" t="s">
        <v>1168</v>
      </c>
      <c r="R219" t="str">
        <f>IF(D_PlanoFinanceiro[[#This Row],[Conta 4]]=D_PlanoFinanceiro[[#This Row],[Conta 4 (Atual]],"-","VALIDAR AJUSTE")</f>
        <v>VALIDAR AJUSTE</v>
      </c>
    </row>
    <row r="220" spans="1:18" x14ac:dyDescent="0.25">
      <c r="A220" t="s">
        <v>474</v>
      </c>
      <c r="B220" t="s">
        <v>484</v>
      </c>
      <c r="C220" t="s">
        <v>489</v>
      </c>
      <c r="D220" t="s">
        <v>499</v>
      </c>
      <c r="E220" t="s">
        <v>396</v>
      </c>
      <c r="F220" t="s">
        <v>397</v>
      </c>
      <c r="G220" t="s">
        <v>29</v>
      </c>
      <c r="H220" t="s">
        <v>451</v>
      </c>
      <c r="I220">
        <v>1</v>
      </c>
      <c r="J220" t="s">
        <v>1198</v>
      </c>
      <c r="K220" t="s">
        <v>1259</v>
      </c>
      <c r="M220" t="s">
        <v>168</v>
      </c>
      <c r="N220" t="s">
        <v>210</v>
      </c>
      <c r="O220" t="s">
        <v>397</v>
      </c>
      <c r="P220" t="s">
        <v>1157</v>
      </c>
      <c r="R220" t="str">
        <f>IF(D_PlanoFinanceiro[[#This Row],[Conta 4]]=D_PlanoFinanceiro[[#This Row],[Conta 4 (Atual]],"-","VALIDAR AJUSTE")</f>
        <v>VALIDAR AJUSTE</v>
      </c>
    </row>
    <row r="221" spans="1:18" x14ac:dyDescent="0.25">
      <c r="A221" t="s">
        <v>502</v>
      </c>
      <c r="B221" t="s">
        <v>572</v>
      </c>
      <c r="C221" t="s">
        <v>704</v>
      </c>
      <c r="D221" t="s">
        <v>705</v>
      </c>
      <c r="E221" t="s">
        <v>399</v>
      </c>
      <c r="F221" t="s">
        <v>175</v>
      </c>
      <c r="G221" t="s">
        <v>348</v>
      </c>
      <c r="H221" t="s">
        <v>109</v>
      </c>
      <c r="I221">
        <v>1</v>
      </c>
      <c r="J221" t="s">
        <v>1199</v>
      </c>
      <c r="K221" t="s">
        <v>1231</v>
      </c>
      <c r="L221" t="s">
        <v>1323</v>
      </c>
      <c r="M221" t="s">
        <v>168</v>
      </c>
      <c r="N221" t="s">
        <v>208</v>
      </c>
      <c r="O221" t="s">
        <v>208</v>
      </c>
      <c r="P221" t="s">
        <v>109</v>
      </c>
      <c r="R221" t="str">
        <f>IF(D_PlanoFinanceiro[[#This Row],[Conta 4]]=D_PlanoFinanceiro[[#This Row],[Conta 4 (Atual]],"-","VALIDAR AJUSTE")</f>
        <v>-</v>
      </c>
    </row>
    <row r="222" spans="1:18" x14ac:dyDescent="0.25">
      <c r="A222" t="s">
        <v>502</v>
      </c>
      <c r="B222" t="s">
        <v>572</v>
      </c>
      <c r="C222" t="s">
        <v>704</v>
      </c>
      <c r="D222" t="s">
        <v>706</v>
      </c>
      <c r="E222" t="s">
        <v>399</v>
      </c>
      <c r="F222" t="s">
        <v>175</v>
      </c>
      <c r="G222" t="s">
        <v>348</v>
      </c>
      <c r="H222" t="s">
        <v>108</v>
      </c>
      <c r="I222">
        <v>1</v>
      </c>
      <c r="J222" t="s">
        <v>1199</v>
      </c>
      <c r="K222" t="s">
        <v>1231</v>
      </c>
      <c r="L222" t="s">
        <v>1324</v>
      </c>
      <c r="M222" t="s">
        <v>168</v>
      </c>
      <c r="N222" t="s">
        <v>208</v>
      </c>
      <c r="O222" t="s">
        <v>208</v>
      </c>
      <c r="P222" t="s">
        <v>209</v>
      </c>
      <c r="R222" t="str">
        <f>IF(D_PlanoFinanceiro[[#This Row],[Conta 4]]=D_PlanoFinanceiro[[#This Row],[Conta 4 (Atual]],"-","VALIDAR AJUSTE")</f>
        <v>VALIDAR AJUSTE</v>
      </c>
    </row>
    <row r="223" spans="1:18" x14ac:dyDescent="0.25">
      <c r="I223">
        <v>1</v>
      </c>
      <c r="J223" t="s">
        <v>1200</v>
      </c>
      <c r="K223" t="s">
        <v>1214</v>
      </c>
      <c r="L223" t="s">
        <v>1326</v>
      </c>
      <c r="M223" t="s">
        <v>168</v>
      </c>
      <c r="N223" t="s">
        <v>173</v>
      </c>
      <c r="O223" t="s">
        <v>174</v>
      </c>
      <c r="P223" t="s">
        <v>870</v>
      </c>
      <c r="R223" t="str">
        <f>IF(D_PlanoFinanceiro[[#This Row],[Conta 4]]=D_PlanoFinanceiro[[#This Row],[Conta 4 (Atual]],"-","VALIDAR AJUSTE")</f>
        <v>VALIDAR AJUSTE</v>
      </c>
    </row>
    <row r="224" spans="1:18" x14ac:dyDescent="0.25">
      <c r="A224" t="s">
        <v>502</v>
      </c>
      <c r="B224" t="s">
        <v>572</v>
      </c>
      <c r="C224" t="s">
        <v>605</v>
      </c>
      <c r="D224" t="s">
        <v>611</v>
      </c>
      <c r="E224" t="s">
        <v>399</v>
      </c>
      <c r="F224" t="s">
        <v>175</v>
      </c>
      <c r="G224" t="s">
        <v>335</v>
      </c>
      <c r="H224" t="s">
        <v>6</v>
      </c>
      <c r="I224">
        <v>1</v>
      </c>
      <c r="J224" t="s">
        <v>1200</v>
      </c>
      <c r="K224" t="s">
        <v>1214</v>
      </c>
      <c r="L224" t="s">
        <v>1325</v>
      </c>
      <c r="M224" t="s">
        <v>168</v>
      </c>
      <c r="N224" t="s">
        <v>173</v>
      </c>
      <c r="O224" t="s">
        <v>174</v>
      </c>
      <c r="P224" t="s">
        <v>6</v>
      </c>
      <c r="R224" t="str">
        <f>IF(D_PlanoFinanceiro[[#This Row],[Conta 4]]=D_PlanoFinanceiro[[#This Row],[Conta 4 (Atual]],"-","VALIDAR AJUSTE")</f>
        <v>-</v>
      </c>
    </row>
    <row r="225" spans="1:18" x14ac:dyDescent="0.25">
      <c r="A225" t="s">
        <v>474</v>
      </c>
      <c r="B225" t="s">
        <v>484</v>
      </c>
      <c r="C225" t="s">
        <v>489</v>
      </c>
      <c r="D225" t="s">
        <v>493</v>
      </c>
      <c r="E225" t="s">
        <v>396</v>
      </c>
      <c r="F225" t="s">
        <v>397</v>
      </c>
      <c r="G225" t="s">
        <v>29</v>
      </c>
      <c r="H225" t="s">
        <v>12</v>
      </c>
      <c r="I225">
        <v>1</v>
      </c>
      <c r="J225" t="s">
        <v>1200</v>
      </c>
      <c r="K225" t="s">
        <v>1215</v>
      </c>
      <c r="L225" t="s">
        <v>1327</v>
      </c>
      <c r="M225" t="s">
        <v>168</v>
      </c>
      <c r="N225" t="s">
        <v>173</v>
      </c>
      <c r="O225" t="s">
        <v>1123</v>
      </c>
      <c r="P225" t="s">
        <v>12</v>
      </c>
      <c r="R225" t="str">
        <f>IF(D_PlanoFinanceiro[[#This Row],[Conta 4]]=D_PlanoFinanceiro[[#This Row],[Conta 4 (Atual]],"-","VALIDAR AJUSTE")</f>
        <v>-</v>
      </c>
    </row>
    <row r="226" spans="1:18" x14ac:dyDescent="0.25">
      <c r="I226">
        <v>1</v>
      </c>
      <c r="J226" t="s">
        <v>1200</v>
      </c>
      <c r="K226" t="s">
        <v>1215</v>
      </c>
      <c r="L226" t="s">
        <v>1328</v>
      </c>
      <c r="M226" t="s">
        <v>168</v>
      </c>
      <c r="N226" t="s">
        <v>173</v>
      </c>
      <c r="O226" t="s">
        <v>1123</v>
      </c>
      <c r="P226" t="s">
        <v>1124</v>
      </c>
      <c r="R226" t="str">
        <f>IF(D_PlanoFinanceiro[[#This Row],[Conta 4]]=D_PlanoFinanceiro[[#This Row],[Conta 4 (Atual]],"-","VALIDAR AJUSTE")</f>
        <v>VALIDAR AJUSTE</v>
      </c>
    </row>
    <row r="227" spans="1:18" x14ac:dyDescent="0.25">
      <c r="I227">
        <v>2</v>
      </c>
      <c r="J227" t="s">
        <v>1201</v>
      </c>
      <c r="K227" t="s">
        <v>1224</v>
      </c>
      <c r="L227" t="s">
        <v>1306</v>
      </c>
      <c r="M227" t="s">
        <v>190</v>
      </c>
      <c r="N227" t="s">
        <v>191</v>
      </c>
      <c r="O227" t="s">
        <v>191</v>
      </c>
      <c r="P227" t="s">
        <v>202</v>
      </c>
      <c r="R227" t="str">
        <f>IF(D_PlanoFinanceiro[[#This Row],[Conta 4]]=D_PlanoFinanceiro[[#This Row],[Conta 4 (Atual]],"-","VALIDAR AJUSTE")</f>
        <v>VALIDAR AJUSTE</v>
      </c>
    </row>
    <row r="228" spans="1:18" x14ac:dyDescent="0.25">
      <c r="I228">
        <v>2</v>
      </c>
      <c r="J228" t="s">
        <v>1201</v>
      </c>
      <c r="K228" t="s">
        <v>1224</v>
      </c>
      <c r="L228" t="s">
        <v>1307</v>
      </c>
      <c r="M228" t="s">
        <v>190</v>
      </c>
      <c r="N228" t="s">
        <v>191</v>
      </c>
      <c r="O228" t="s">
        <v>191</v>
      </c>
      <c r="P228" t="s">
        <v>203</v>
      </c>
      <c r="R228" t="str">
        <f>IF(D_PlanoFinanceiro[[#This Row],[Conta 4]]=D_PlanoFinanceiro[[#This Row],[Conta 4 (Atual]],"-","VALIDAR AJUSTE")</f>
        <v>VALIDAR AJUSTE</v>
      </c>
    </row>
    <row r="229" spans="1:18" x14ac:dyDescent="0.25">
      <c r="I229">
        <v>2</v>
      </c>
      <c r="J229" t="s">
        <v>1201</v>
      </c>
      <c r="K229" t="s">
        <v>1224</v>
      </c>
      <c r="L229" t="s">
        <v>1308</v>
      </c>
      <c r="M229" t="s">
        <v>190</v>
      </c>
      <c r="N229" t="s">
        <v>191</v>
      </c>
      <c r="O229" t="s">
        <v>191</v>
      </c>
      <c r="P229" t="s">
        <v>204</v>
      </c>
      <c r="R229" t="str">
        <f>IF(D_PlanoFinanceiro[[#This Row],[Conta 4]]=D_PlanoFinanceiro[[#This Row],[Conta 4 (Atual]],"-","VALIDAR AJUSTE")</f>
        <v>VALIDAR AJUSTE</v>
      </c>
    </row>
    <row r="230" spans="1:18" x14ac:dyDescent="0.25">
      <c r="A230" t="s">
        <v>474</v>
      </c>
      <c r="B230" t="s">
        <v>484</v>
      </c>
      <c r="C230" t="s">
        <v>489</v>
      </c>
      <c r="D230" t="s">
        <v>492</v>
      </c>
      <c r="E230" t="s">
        <v>396</v>
      </c>
      <c r="F230" t="s">
        <v>397</v>
      </c>
      <c r="G230" t="s">
        <v>29</v>
      </c>
      <c r="H230" t="s">
        <v>312</v>
      </c>
      <c r="I230">
        <v>2</v>
      </c>
      <c r="J230" t="s">
        <v>1201</v>
      </c>
      <c r="K230" t="s">
        <v>1224</v>
      </c>
      <c r="L230" t="s">
        <v>1309</v>
      </c>
      <c r="M230" t="s">
        <v>190</v>
      </c>
      <c r="N230" t="s">
        <v>191</v>
      </c>
      <c r="O230" t="s">
        <v>191</v>
      </c>
      <c r="P230" t="s">
        <v>1126</v>
      </c>
      <c r="R230" t="str">
        <f>IF(D_PlanoFinanceiro[[#This Row],[Conta 4]]=D_PlanoFinanceiro[[#This Row],[Conta 4 (Atual]],"-","VALIDAR AJUSTE")</f>
        <v>VALIDAR AJUSTE</v>
      </c>
    </row>
    <row r="231" spans="1:18" x14ac:dyDescent="0.25">
      <c r="I231">
        <v>2</v>
      </c>
      <c r="J231" t="s">
        <v>1201</v>
      </c>
      <c r="K231" t="s">
        <v>1224</v>
      </c>
      <c r="L231" t="s">
        <v>1313</v>
      </c>
      <c r="M231" t="s">
        <v>190</v>
      </c>
      <c r="N231" t="s">
        <v>191</v>
      </c>
      <c r="O231" t="s">
        <v>191</v>
      </c>
      <c r="P231" t="s">
        <v>1179</v>
      </c>
      <c r="R231" t="str">
        <f>IF(D_PlanoFinanceiro[[#This Row],[Conta 4]]=D_PlanoFinanceiro[[#This Row],[Conta 4 (Atual]],"-","VALIDAR AJUSTE")</f>
        <v>VALIDAR AJUSTE</v>
      </c>
    </row>
    <row r="232" spans="1:18" x14ac:dyDescent="0.25">
      <c r="A232" t="s">
        <v>502</v>
      </c>
      <c r="B232" t="s">
        <v>712</v>
      </c>
      <c r="C232" t="s">
        <v>731</v>
      </c>
      <c r="D232" t="s">
        <v>732</v>
      </c>
      <c r="E232" t="s">
        <v>399</v>
      </c>
      <c r="F232" t="s">
        <v>411</v>
      </c>
      <c r="G232" t="s">
        <v>418</v>
      </c>
      <c r="H232" t="s">
        <v>92</v>
      </c>
      <c r="I232">
        <v>2</v>
      </c>
      <c r="J232" t="s">
        <v>1201</v>
      </c>
      <c r="K232" t="s">
        <v>1224</v>
      </c>
      <c r="L232" t="s">
        <v>1303</v>
      </c>
      <c r="M232" t="s">
        <v>190</v>
      </c>
      <c r="N232" t="s">
        <v>191</v>
      </c>
      <c r="O232" t="s">
        <v>191</v>
      </c>
      <c r="P232" t="s">
        <v>192</v>
      </c>
      <c r="R232" t="str">
        <f>IF(D_PlanoFinanceiro[[#This Row],[Conta 4]]=D_PlanoFinanceiro[[#This Row],[Conta 4 (Atual]],"-","VALIDAR AJUSTE")</f>
        <v>VALIDAR AJUSTE</v>
      </c>
    </row>
    <row r="233" spans="1:18" x14ac:dyDescent="0.25">
      <c r="A233" t="s">
        <v>502</v>
      </c>
      <c r="B233" t="s">
        <v>712</v>
      </c>
      <c r="C233" t="s">
        <v>731</v>
      </c>
      <c r="D233" t="s">
        <v>734</v>
      </c>
      <c r="E233" t="s">
        <v>399</v>
      </c>
      <c r="F233" t="s">
        <v>411</v>
      </c>
      <c r="G233" t="s">
        <v>418</v>
      </c>
      <c r="H233" t="s">
        <v>129</v>
      </c>
      <c r="I233">
        <v>2</v>
      </c>
      <c r="J233" t="s">
        <v>1201</v>
      </c>
      <c r="K233" t="s">
        <v>1224</v>
      </c>
      <c r="L233" t="s">
        <v>1304</v>
      </c>
      <c r="M233" t="s">
        <v>190</v>
      </c>
      <c r="N233" t="s">
        <v>191</v>
      </c>
      <c r="O233" t="s">
        <v>191</v>
      </c>
      <c r="P233" t="s">
        <v>195</v>
      </c>
      <c r="R233" t="str">
        <f>IF(D_PlanoFinanceiro[[#This Row],[Conta 4]]=D_PlanoFinanceiro[[#This Row],[Conta 4 (Atual]],"-","VALIDAR AJUSTE")</f>
        <v>VALIDAR AJUSTE</v>
      </c>
    </row>
    <row r="234" spans="1:18" x14ac:dyDescent="0.25">
      <c r="A234" t="s">
        <v>502</v>
      </c>
      <c r="B234" t="s">
        <v>712</v>
      </c>
      <c r="C234" t="s">
        <v>731</v>
      </c>
      <c r="D234" t="s">
        <v>740</v>
      </c>
      <c r="E234" t="s">
        <v>399</v>
      </c>
      <c r="F234" t="s">
        <v>411</v>
      </c>
      <c r="G234" t="s">
        <v>418</v>
      </c>
      <c r="H234" t="s">
        <v>90</v>
      </c>
      <c r="I234">
        <v>2</v>
      </c>
      <c r="J234" t="s">
        <v>1201</v>
      </c>
      <c r="K234" t="s">
        <v>1224</v>
      </c>
      <c r="L234" t="s">
        <v>1305</v>
      </c>
      <c r="M234" t="s">
        <v>190</v>
      </c>
      <c r="N234" t="s">
        <v>191</v>
      </c>
      <c r="O234" t="s">
        <v>191</v>
      </c>
      <c r="P234" t="s">
        <v>201</v>
      </c>
      <c r="R234" t="str">
        <f>IF(D_PlanoFinanceiro[[#This Row],[Conta 4]]=D_PlanoFinanceiro[[#This Row],[Conta 4 (Atual]],"-","VALIDAR AJUSTE")</f>
        <v>VALIDAR AJUSTE</v>
      </c>
    </row>
    <row r="235" spans="1:18" x14ac:dyDescent="0.25">
      <c r="A235" t="s">
        <v>502</v>
      </c>
      <c r="B235" t="s">
        <v>712</v>
      </c>
      <c r="C235" t="s">
        <v>731</v>
      </c>
      <c r="D235" t="s">
        <v>733</v>
      </c>
      <c r="E235" t="s">
        <v>399</v>
      </c>
      <c r="F235" t="s">
        <v>411</v>
      </c>
      <c r="G235" t="s">
        <v>418</v>
      </c>
      <c r="H235" t="s">
        <v>419</v>
      </c>
      <c r="I235">
        <v>2</v>
      </c>
      <c r="J235" t="s">
        <v>1201</v>
      </c>
      <c r="K235" t="s">
        <v>1224</v>
      </c>
      <c r="L235" t="s">
        <v>1310</v>
      </c>
      <c r="M235" t="s">
        <v>190</v>
      </c>
      <c r="N235" t="s">
        <v>191</v>
      </c>
      <c r="O235" t="s">
        <v>191</v>
      </c>
      <c r="P235" t="s">
        <v>1177</v>
      </c>
      <c r="R235" t="str">
        <f>IF(D_PlanoFinanceiro[[#This Row],[Conta 4]]=D_PlanoFinanceiro[[#This Row],[Conta 4 (Atual]],"-","VALIDAR AJUSTE")</f>
        <v>VALIDAR AJUSTE</v>
      </c>
    </row>
    <row r="236" spans="1:18" x14ac:dyDescent="0.25">
      <c r="A236" t="s">
        <v>502</v>
      </c>
      <c r="B236" t="s">
        <v>712</v>
      </c>
      <c r="C236" t="s">
        <v>731</v>
      </c>
      <c r="D236" t="s">
        <v>738</v>
      </c>
      <c r="E236" t="s">
        <v>399</v>
      </c>
      <c r="F236" t="s">
        <v>411</v>
      </c>
      <c r="G236" t="s">
        <v>418</v>
      </c>
      <c r="H236" t="s">
        <v>420</v>
      </c>
      <c r="I236">
        <v>2</v>
      </c>
      <c r="J236" t="s">
        <v>1201</v>
      </c>
      <c r="K236" t="s">
        <v>1224</v>
      </c>
      <c r="L236" t="s">
        <v>1314</v>
      </c>
      <c r="M236" t="s">
        <v>190</v>
      </c>
      <c r="N236" s="14" t="s">
        <v>191</v>
      </c>
      <c r="O236" s="14" t="s">
        <v>191</v>
      </c>
      <c r="P236" t="s">
        <v>1180</v>
      </c>
      <c r="R236" t="str">
        <f>IF(D_PlanoFinanceiro[[#This Row],[Conta 4]]=D_PlanoFinanceiro[[#This Row],[Conta 4 (Atual]],"-","VALIDAR AJUSTE")</f>
        <v>VALIDAR AJUSTE</v>
      </c>
    </row>
    <row r="237" spans="1:18" x14ac:dyDescent="0.25">
      <c r="A237" t="s">
        <v>502</v>
      </c>
      <c r="B237" t="s">
        <v>712</v>
      </c>
      <c r="C237" t="s">
        <v>731</v>
      </c>
      <c r="D237" t="s">
        <v>739</v>
      </c>
      <c r="E237" t="s">
        <v>399</v>
      </c>
      <c r="F237" t="s">
        <v>411</v>
      </c>
      <c r="G237" t="s">
        <v>418</v>
      </c>
      <c r="H237" t="s">
        <v>358</v>
      </c>
      <c r="I237">
        <v>2</v>
      </c>
      <c r="J237" t="s">
        <v>1201</v>
      </c>
      <c r="K237" t="s">
        <v>1224</v>
      </c>
      <c r="L237" t="s">
        <v>1315</v>
      </c>
      <c r="M237" t="s">
        <v>190</v>
      </c>
      <c r="N237" t="s">
        <v>191</v>
      </c>
      <c r="O237" t="s">
        <v>191</v>
      </c>
      <c r="P237" t="s">
        <v>1181</v>
      </c>
      <c r="R237" t="str">
        <f>IF(D_PlanoFinanceiro[[#This Row],[Conta 4]]=D_PlanoFinanceiro[[#This Row],[Conta 4 (Atual]],"-","VALIDAR AJUSTE")</f>
        <v>VALIDAR AJUSTE</v>
      </c>
    </row>
    <row r="238" spans="1:18" x14ac:dyDescent="0.25">
      <c r="A238" t="s">
        <v>502</v>
      </c>
      <c r="B238" t="s">
        <v>712</v>
      </c>
      <c r="C238" t="s">
        <v>731</v>
      </c>
      <c r="D238" t="s">
        <v>736</v>
      </c>
      <c r="E238" t="s">
        <v>399</v>
      </c>
      <c r="F238" t="s">
        <v>411</v>
      </c>
      <c r="G238" t="s">
        <v>418</v>
      </c>
      <c r="H238" t="s">
        <v>357</v>
      </c>
      <c r="I238">
        <v>2</v>
      </c>
      <c r="J238" t="s">
        <v>1201</v>
      </c>
      <c r="K238" t="s">
        <v>1224</v>
      </c>
      <c r="L238" t="s">
        <v>1312</v>
      </c>
      <c r="M238" t="s">
        <v>190</v>
      </c>
      <c r="N238" s="26" t="s">
        <v>191</v>
      </c>
      <c r="O238" s="26" t="s">
        <v>191</v>
      </c>
      <c r="P238" t="s">
        <v>357</v>
      </c>
      <c r="R238" t="str">
        <f>IF(D_PlanoFinanceiro[[#This Row],[Conta 4]]=D_PlanoFinanceiro[[#This Row],[Conta 4 (Atual]],"-","VALIDAR AJUSTE")</f>
        <v>-</v>
      </c>
    </row>
    <row r="239" spans="1:18" x14ac:dyDescent="0.25">
      <c r="A239" t="s">
        <v>502</v>
      </c>
      <c r="B239" t="s">
        <v>712</v>
      </c>
      <c r="C239" t="s">
        <v>731</v>
      </c>
      <c r="D239" t="s">
        <v>735</v>
      </c>
      <c r="E239" t="s">
        <v>399</v>
      </c>
      <c r="F239" t="s">
        <v>411</v>
      </c>
      <c r="G239" t="s">
        <v>418</v>
      </c>
      <c r="H239" t="s">
        <v>356</v>
      </c>
      <c r="I239">
        <v>2</v>
      </c>
      <c r="J239" t="s">
        <v>1201</v>
      </c>
      <c r="K239" t="s">
        <v>1224</v>
      </c>
      <c r="L239" t="s">
        <v>1311</v>
      </c>
      <c r="M239" t="s">
        <v>190</v>
      </c>
      <c r="N239" t="s">
        <v>191</v>
      </c>
      <c r="O239" t="s">
        <v>191</v>
      </c>
      <c r="P239" t="s">
        <v>1178</v>
      </c>
      <c r="R239" t="str">
        <f>IF(D_PlanoFinanceiro[[#This Row],[Conta 4]]=D_PlanoFinanceiro[[#This Row],[Conta 4 (Atual]],"-","VALIDAR AJUSTE")</f>
        <v>VALIDAR AJUSTE</v>
      </c>
    </row>
    <row r="240" spans="1:18" x14ac:dyDescent="0.25">
      <c r="A240" t="s">
        <v>502</v>
      </c>
      <c r="B240" t="s">
        <v>712</v>
      </c>
      <c r="C240" t="s">
        <v>731</v>
      </c>
      <c r="D240" t="s">
        <v>741</v>
      </c>
      <c r="E240" t="s">
        <v>399</v>
      </c>
      <c r="F240" t="s">
        <v>411</v>
      </c>
      <c r="G240" t="s">
        <v>418</v>
      </c>
      <c r="H240" t="s">
        <v>110</v>
      </c>
      <c r="I240">
        <v>2</v>
      </c>
      <c r="J240" t="s">
        <v>1202</v>
      </c>
      <c r="K240" t="s">
        <v>1225</v>
      </c>
      <c r="L240" t="s">
        <v>1316</v>
      </c>
      <c r="M240" t="s">
        <v>190</v>
      </c>
      <c r="N240" t="s">
        <v>193</v>
      </c>
      <c r="O240" t="s">
        <v>193</v>
      </c>
      <c r="P240" t="s">
        <v>110</v>
      </c>
      <c r="R240" t="str">
        <f>IF(D_PlanoFinanceiro[[#This Row],[Conta 4]]=D_PlanoFinanceiro[[#This Row],[Conta 4 (Atual]],"-","VALIDAR AJUSTE")</f>
        <v>-</v>
      </c>
    </row>
    <row r="241" spans="1:18" x14ac:dyDescent="0.25">
      <c r="A241" t="s">
        <v>502</v>
      </c>
      <c r="B241" t="s">
        <v>712</v>
      </c>
      <c r="C241" t="s">
        <v>731</v>
      </c>
      <c r="D241" t="s">
        <v>737</v>
      </c>
      <c r="E241" t="s">
        <v>399</v>
      </c>
      <c r="F241" t="s">
        <v>411</v>
      </c>
      <c r="G241" t="s">
        <v>418</v>
      </c>
      <c r="H241" t="s">
        <v>91</v>
      </c>
      <c r="I241">
        <v>2</v>
      </c>
      <c r="J241" t="s">
        <v>1202</v>
      </c>
      <c r="K241" t="s">
        <v>1225</v>
      </c>
      <c r="L241" t="s">
        <v>1317</v>
      </c>
      <c r="M241" t="s">
        <v>190</v>
      </c>
      <c r="N241" t="s">
        <v>193</v>
      </c>
      <c r="O241" t="s">
        <v>193</v>
      </c>
      <c r="P241" t="s">
        <v>194</v>
      </c>
      <c r="R241" t="str">
        <f>IF(D_PlanoFinanceiro[[#This Row],[Conta 4]]=D_PlanoFinanceiro[[#This Row],[Conta 4 (Atual]],"-","VALIDAR AJUSTE")</f>
        <v>VALIDAR AJUSTE</v>
      </c>
    </row>
    <row r="242" spans="1:18" x14ac:dyDescent="0.25">
      <c r="I242">
        <v>2</v>
      </c>
      <c r="J242" t="s">
        <v>1202</v>
      </c>
      <c r="K242" t="s">
        <v>1225</v>
      </c>
      <c r="L242" t="s">
        <v>1318</v>
      </c>
      <c r="M242" t="s">
        <v>190</v>
      </c>
      <c r="N242" t="s">
        <v>193</v>
      </c>
      <c r="O242" t="s">
        <v>193</v>
      </c>
      <c r="P242" t="s">
        <v>903</v>
      </c>
      <c r="R242" t="str">
        <f>IF(D_PlanoFinanceiro[[#This Row],[Conta 4]]=D_PlanoFinanceiro[[#This Row],[Conta 4 (Atual]],"-","VALIDAR AJUSTE")</f>
        <v>VALIDAR AJUSTE</v>
      </c>
    </row>
    <row r="243" spans="1:18" x14ac:dyDescent="0.25">
      <c r="A243" t="s">
        <v>502</v>
      </c>
      <c r="B243" t="s">
        <v>712</v>
      </c>
      <c r="C243" t="s">
        <v>742</v>
      </c>
      <c r="D243" t="s">
        <v>744</v>
      </c>
      <c r="E243" t="s">
        <v>399</v>
      </c>
      <c r="F243" t="s">
        <v>411</v>
      </c>
      <c r="G243" t="s">
        <v>421</v>
      </c>
      <c r="H243" t="s">
        <v>422</v>
      </c>
      <c r="I243">
        <v>2</v>
      </c>
      <c r="J243" t="s">
        <v>1203</v>
      </c>
      <c r="K243" t="s">
        <v>1227</v>
      </c>
      <c r="L243" t="s">
        <v>1319</v>
      </c>
      <c r="M243" t="s">
        <v>190</v>
      </c>
      <c r="N243" t="s">
        <v>421</v>
      </c>
      <c r="O243" t="s">
        <v>917</v>
      </c>
      <c r="P243" t="s">
        <v>422</v>
      </c>
      <c r="R243" t="str">
        <f>IF(D_PlanoFinanceiro[[#This Row],[Conta 4]]=D_PlanoFinanceiro[[#This Row],[Conta 4 (Atual]],"-","VALIDAR AJUSTE")</f>
        <v>-</v>
      </c>
    </row>
    <row r="244" spans="1:18" x14ac:dyDescent="0.25">
      <c r="A244" t="s">
        <v>502</v>
      </c>
      <c r="B244" t="s">
        <v>712</v>
      </c>
      <c r="C244" t="s">
        <v>742</v>
      </c>
      <c r="D244" t="s">
        <v>743</v>
      </c>
      <c r="E244" t="s">
        <v>399</v>
      </c>
      <c r="F244" t="s">
        <v>411</v>
      </c>
      <c r="G244" t="s">
        <v>421</v>
      </c>
      <c r="H244" t="s">
        <v>155</v>
      </c>
      <c r="I244">
        <v>2</v>
      </c>
      <c r="J244" t="s">
        <v>1203</v>
      </c>
      <c r="K244" t="s">
        <v>1227</v>
      </c>
      <c r="L244" t="s">
        <v>1320</v>
      </c>
      <c r="M244" t="s">
        <v>190</v>
      </c>
      <c r="N244" t="s">
        <v>421</v>
      </c>
      <c r="O244" t="s">
        <v>917</v>
      </c>
      <c r="P244" t="s">
        <v>155</v>
      </c>
      <c r="Q244" s="6" t="s">
        <v>197</v>
      </c>
      <c r="R244" t="str">
        <f>IF(D_PlanoFinanceiro[[#This Row],[Conta 4]]=D_PlanoFinanceiro[[#This Row],[Conta 4 (Atual]],"-","VALIDAR AJUSTE")</f>
        <v>-</v>
      </c>
    </row>
    <row r="245" spans="1:18" x14ac:dyDescent="0.25">
      <c r="A245" t="s">
        <v>502</v>
      </c>
      <c r="B245" t="s">
        <v>712</v>
      </c>
      <c r="C245" t="s">
        <v>745</v>
      </c>
      <c r="D245" t="s">
        <v>746</v>
      </c>
      <c r="E245" t="s">
        <v>399</v>
      </c>
      <c r="F245" t="s">
        <v>411</v>
      </c>
      <c r="G245" t="s">
        <v>423</v>
      </c>
      <c r="H245" t="s">
        <v>361</v>
      </c>
      <c r="I245">
        <v>2</v>
      </c>
      <c r="J245" t="s">
        <v>1204</v>
      </c>
      <c r="K245" t="s">
        <v>1270</v>
      </c>
      <c r="L245" t="s">
        <v>1321</v>
      </c>
      <c r="M245" t="s">
        <v>190</v>
      </c>
      <c r="N245" t="s">
        <v>423</v>
      </c>
      <c r="O245" t="s">
        <v>423</v>
      </c>
      <c r="P245" t="s">
        <v>1182</v>
      </c>
      <c r="R245" t="str">
        <f>IF(D_PlanoFinanceiro[[#This Row],[Conta 4]]=D_PlanoFinanceiro[[#This Row],[Conta 4 (Atual]],"-","VALIDAR AJUSTE")</f>
        <v>VALIDAR AJUSTE</v>
      </c>
    </row>
    <row r="246" spans="1:18" x14ac:dyDescent="0.25">
      <c r="A246" t="s">
        <v>502</v>
      </c>
      <c r="B246" t="s">
        <v>712</v>
      </c>
      <c r="C246" t="s">
        <v>745</v>
      </c>
      <c r="D246" t="s">
        <v>747</v>
      </c>
      <c r="E246" t="s">
        <v>399</v>
      </c>
      <c r="F246" t="s">
        <v>411</v>
      </c>
      <c r="G246" t="s">
        <v>423</v>
      </c>
      <c r="H246" t="s">
        <v>362</v>
      </c>
      <c r="I246">
        <v>2</v>
      </c>
      <c r="J246" t="s">
        <v>1204</v>
      </c>
      <c r="K246" t="s">
        <v>1270</v>
      </c>
      <c r="L246" t="s">
        <v>1322</v>
      </c>
      <c r="M246" t="s">
        <v>190</v>
      </c>
      <c r="N246" t="s">
        <v>423</v>
      </c>
      <c r="O246" t="s">
        <v>423</v>
      </c>
      <c r="P246" t="s">
        <v>362</v>
      </c>
      <c r="R246" t="str">
        <f>IF(D_PlanoFinanceiro[[#This Row],[Conta 4]]=D_PlanoFinanceiro[[#This Row],[Conta 4 (Atual]],"-","VALIDAR AJUSTE")</f>
        <v>-</v>
      </c>
    </row>
    <row r="247" spans="1:18" x14ac:dyDescent="0.25">
      <c r="I247">
        <v>3</v>
      </c>
      <c r="J247" t="s">
        <v>1205</v>
      </c>
      <c r="K247" t="s">
        <v>1256</v>
      </c>
      <c r="L247" t="s">
        <v>1287</v>
      </c>
      <c r="M247" t="s">
        <v>223</v>
      </c>
      <c r="N247" t="s">
        <v>224</v>
      </c>
      <c r="O247" t="s">
        <v>266</v>
      </c>
      <c r="P247" t="s">
        <v>874</v>
      </c>
      <c r="R247" t="str">
        <f>IF(D_PlanoFinanceiro[[#This Row],[Conta 4]]=D_PlanoFinanceiro[[#This Row],[Conta 4 (Atual]],"-","VALIDAR AJUSTE")</f>
        <v>VALIDAR AJUSTE</v>
      </c>
    </row>
    <row r="248" spans="1:18" x14ac:dyDescent="0.25">
      <c r="A248" t="s">
        <v>502</v>
      </c>
      <c r="B248" t="s">
        <v>712</v>
      </c>
      <c r="C248" t="s">
        <v>724</v>
      </c>
      <c r="D248" t="s">
        <v>726</v>
      </c>
      <c r="E248" t="s">
        <v>399</v>
      </c>
      <c r="F248" t="s">
        <v>411</v>
      </c>
      <c r="G248" t="s">
        <v>352</v>
      </c>
      <c r="H248" t="s">
        <v>353</v>
      </c>
      <c r="I248">
        <v>3</v>
      </c>
      <c r="J248" t="s">
        <v>1205</v>
      </c>
      <c r="K248" t="s">
        <v>1256</v>
      </c>
      <c r="L248" t="s">
        <v>1288</v>
      </c>
      <c r="M248" t="s">
        <v>223</v>
      </c>
      <c r="N248" t="s">
        <v>224</v>
      </c>
      <c r="O248" t="s">
        <v>266</v>
      </c>
      <c r="P248" t="s">
        <v>353</v>
      </c>
      <c r="R248" t="str">
        <f>IF(D_PlanoFinanceiro[[#This Row],[Conta 4]]=D_PlanoFinanceiro[[#This Row],[Conta 4 (Atual]],"-","VALIDAR AJUSTE")</f>
        <v>-</v>
      </c>
    </row>
    <row r="249" spans="1:18" x14ac:dyDescent="0.25">
      <c r="A249" t="s">
        <v>502</v>
      </c>
      <c r="B249" t="s">
        <v>712</v>
      </c>
      <c r="C249" t="s">
        <v>724</v>
      </c>
      <c r="D249" t="s">
        <v>727</v>
      </c>
      <c r="E249" t="s">
        <v>399</v>
      </c>
      <c r="F249" t="s">
        <v>411</v>
      </c>
      <c r="G249" t="s">
        <v>352</v>
      </c>
      <c r="H249" t="s">
        <v>354</v>
      </c>
      <c r="I249">
        <v>3</v>
      </c>
      <c r="J249" t="s">
        <v>1205</v>
      </c>
      <c r="K249" t="s">
        <v>1239</v>
      </c>
      <c r="L249" t="s">
        <v>1289</v>
      </c>
      <c r="M249" t="s">
        <v>223</v>
      </c>
      <c r="N249" t="s">
        <v>224</v>
      </c>
      <c r="O249" t="s">
        <v>916</v>
      </c>
      <c r="P249" t="s">
        <v>354</v>
      </c>
      <c r="R249" t="str">
        <f>IF(D_PlanoFinanceiro[[#This Row],[Conta 4]]=D_PlanoFinanceiro[[#This Row],[Conta 4 (Atual]],"-","VALIDAR AJUSTE")</f>
        <v>-</v>
      </c>
    </row>
    <row r="250" spans="1:18" x14ac:dyDescent="0.25">
      <c r="A250" t="s">
        <v>474</v>
      </c>
      <c r="B250" t="s">
        <v>484</v>
      </c>
      <c r="C250" t="s">
        <v>489</v>
      </c>
      <c r="D250" t="s">
        <v>498</v>
      </c>
      <c r="E250" t="s">
        <v>396</v>
      </c>
      <c r="F250" t="s">
        <v>397</v>
      </c>
      <c r="G250" t="s">
        <v>29</v>
      </c>
      <c r="H250" t="s">
        <v>30</v>
      </c>
      <c r="I250">
        <v>3</v>
      </c>
      <c r="J250" t="s">
        <v>1205</v>
      </c>
      <c r="K250" t="s">
        <v>1248</v>
      </c>
      <c r="L250" t="s">
        <v>1291</v>
      </c>
      <c r="M250" t="s">
        <v>223</v>
      </c>
      <c r="N250" t="s">
        <v>224</v>
      </c>
      <c r="O250" t="s">
        <v>248</v>
      </c>
      <c r="P250" t="s">
        <v>1137</v>
      </c>
      <c r="Q250" s="6" t="s">
        <v>875</v>
      </c>
      <c r="R250" t="str">
        <f>IF(D_PlanoFinanceiro[[#This Row],[Conta 4]]=D_PlanoFinanceiro[[#This Row],[Conta 4 (Atual]],"-","VALIDAR AJUSTE")</f>
        <v>VALIDAR AJUSTE</v>
      </c>
    </row>
    <row r="251" spans="1:18" x14ac:dyDescent="0.25">
      <c r="A251" t="s">
        <v>502</v>
      </c>
      <c r="B251" t="s">
        <v>712</v>
      </c>
      <c r="C251" t="s">
        <v>724</v>
      </c>
      <c r="D251" t="s">
        <v>729</v>
      </c>
      <c r="E251" t="s">
        <v>399</v>
      </c>
      <c r="F251" t="s">
        <v>411</v>
      </c>
      <c r="G251" t="s">
        <v>352</v>
      </c>
      <c r="H251" t="s">
        <v>126</v>
      </c>
      <c r="I251">
        <v>3</v>
      </c>
      <c r="J251" t="s">
        <v>1205</v>
      </c>
      <c r="K251" t="s">
        <v>1248</v>
      </c>
      <c r="L251" t="s">
        <v>1290</v>
      </c>
      <c r="M251" t="s">
        <v>223</v>
      </c>
      <c r="N251" t="s">
        <v>224</v>
      </c>
      <c r="O251" t="s">
        <v>248</v>
      </c>
      <c r="P251" t="s">
        <v>1184</v>
      </c>
      <c r="Q251" s="6" t="s">
        <v>875</v>
      </c>
      <c r="R251" t="str">
        <f>IF(D_PlanoFinanceiro[[#This Row],[Conta 4]]=D_PlanoFinanceiro[[#This Row],[Conta 4 (Atual]],"-","VALIDAR AJUSTE")</f>
        <v>VALIDAR AJUSTE</v>
      </c>
    </row>
    <row r="252" spans="1:18" x14ac:dyDescent="0.25">
      <c r="A252" t="s">
        <v>474</v>
      </c>
      <c r="B252" t="s">
        <v>484</v>
      </c>
      <c r="C252" t="s">
        <v>489</v>
      </c>
      <c r="D252" t="s">
        <v>496</v>
      </c>
      <c r="E252" t="s">
        <v>396</v>
      </c>
      <c r="F252" t="s">
        <v>397</v>
      </c>
      <c r="G252" t="s">
        <v>29</v>
      </c>
      <c r="H252" t="s">
        <v>313</v>
      </c>
      <c r="I252">
        <v>3</v>
      </c>
      <c r="J252" t="s">
        <v>1205</v>
      </c>
      <c r="K252" t="s">
        <v>1269</v>
      </c>
      <c r="L252" t="s">
        <v>1293</v>
      </c>
      <c r="M252" t="s">
        <v>223</v>
      </c>
      <c r="N252" t="s">
        <v>224</v>
      </c>
      <c r="O252" t="s">
        <v>225</v>
      </c>
      <c r="P252" t="s">
        <v>873</v>
      </c>
      <c r="R252" t="str">
        <f>IF(D_PlanoFinanceiro[[#This Row],[Conta 4]]=D_PlanoFinanceiro[[#This Row],[Conta 4 (Atual]],"-","VALIDAR AJUSTE")</f>
        <v>VALIDAR AJUSTE</v>
      </c>
    </row>
    <row r="253" spans="1:18" x14ac:dyDescent="0.25">
      <c r="A253" t="s">
        <v>502</v>
      </c>
      <c r="B253" t="s">
        <v>712</v>
      </c>
      <c r="C253" t="s">
        <v>724</v>
      </c>
      <c r="D253" t="s">
        <v>728</v>
      </c>
      <c r="E253" t="s">
        <v>399</v>
      </c>
      <c r="F253" t="s">
        <v>411</v>
      </c>
      <c r="G253" t="s">
        <v>352</v>
      </c>
      <c r="H253" t="s">
        <v>56</v>
      </c>
      <c r="I253">
        <v>3</v>
      </c>
      <c r="J253" t="s">
        <v>1205</v>
      </c>
      <c r="K253" t="s">
        <v>1269</v>
      </c>
      <c r="L253" t="s">
        <v>1292</v>
      </c>
      <c r="M253" t="s">
        <v>223</v>
      </c>
      <c r="N253" t="s">
        <v>224</v>
      </c>
      <c r="O253" t="s">
        <v>225</v>
      </c>
      <c r="P253" t="s">
        <v>872</v>
      </c>
      <c r="Q253" s="6" t="s">
        <v>875</v>
      </c>
      <c r="R253" t="str">
        <f>IF(D_PlanoFinanceiro[[#This Row],[Conta 4]]=D_PlanoFinanceiro[[#This Row],[Conta 4 (Atual]],"-","VALIDAR AJUSTE")</f>
        <v>VALIDAR AJUSTE</v>
      </c>
    </row>
    <row r="254" spans="1:18" x14ac:dyDescent="0.25">
      <c r="A254" t="s">
        <v>502</v>
      </c>
      <c r="B254" t="s">
        <v>572</v>
      </c>
      <c r="C254" t="s">
        <v>707</v>
      </c>
      <c r="D254" t="s">
        <v>710</v>
      </c>
      <c r="E254" t="s">
        <v>399</v>
      </c>
      <c r="F254" t="s">
        <v>175</v>
      </c>
      <c r="G254" t="s">
        <v>349</v>
      </c>
      <c r="H254" t="s">
        <v>378</v>
      </c>
      <c r="I254">
        <v>3</v>
      </c>
      <c r="J254" t="s">
        <v>1206</v>
      </c>
      <c r="K254" t="s">
        <v>1267</v>
      </c>
      <c r="L254" t="s">
        <v>1294</v>
      </c>
      <c r="M254" t="s">
        <v>223</v>
      </c>
      <c r="N254" t="s">
        <v>914</v>
      </c>
      <c r="O254" t="s">
        <v>914</v>
      </c>
      <c r="P254" t="s">
        <v>1097</v>
      </c>
      <c r="R254" t="str">
        <f>IF(D_PlanoFinanceiro[[#This Row],[Conta 4]]=D_PlanoFinanceiro[[#This Row],[Conta 4 (Atual]],"-","VALIDAR AJUSTE")</f>
        <v>VALIDAR AJUSTE</v>
      </c>
    </row>
    <row r="255" spans="1:18" x14ac:dyDescent="0.25">
      <c r="A255" t="s">
        <v>474</v>
      </c>
      <c r="B255" t="s">
        <v>484</v>
      </c>
      <c r="C255" t="s">
        <v>485</v>
      </c>
      <c r="D255" t="s">
        <v>486</v>
      </c>
      <c r="E255" t="s">
        <v>396</v>
      </c>
      <c r="F255" t="s">
        <v>397</v>
      </c>
      <c r="G255" t="s">
        <v>234</v>
      </c>
      <c r="H255" t="s">
        <v>19</v>
      </c>
      <c r="I255">
        <v>3</v>
      </c>
      <c r="J255" t="s">
        <v>1207</v>
      </c>
      <c r="K255" t="s">
        <v>1242</v>
      </c>
      <c r="L255" t="s">
        <v>1295</v>
      </c>
      <c r="M255" t="s">
        <v>223</v>
      </c>
      <c r="N255" t="s">
        <v>233</v>
      </c>
      <c r="O255" t="s">
        <v>234</v>
      </c>
      <c r="P255" t="s">
        <v>19</v>
      </c>
      <c r="R255" t="str">
        <f>IF(D_PlanoFinanceiro[[#This Row],[Conta 4]]=D_PlanoFinanceiro[[#This Row],[Conta 4 (Atual]],"-","VALIDAR AJUSTE")</f>
        <v>-</v>
      </c>
    </row>
    <row r="256" spans="1:18" x14ac:dyDescent="0.25">
      <c r="A256" t="s">
        <v>474</v>
      </c>
      <c r="B256" t="s">
        <v>484</v>
      </c>
      <c r="C256" t="s">
        <v>485</v>
      </c>
      <c r="D256" t="s">
        <v>488</v>
      </c>
      <c r="E256" t="s">
        <v>396</v>
      </c>
      <c r="F256" t="s">
        <v>397</v>
      </c>
      <c r="G256" t="s">
        <v>234</v>
      </c>
      <c r="H256" t="s">
        <v>100</v>
      </c>
      <c r="I256">
        <v>3</v>
      </c>
      <c r="J256" t="s">
        <v>1207</v>
      </c>
      <c r="K256" t="s">
        <v>1242</v>
      </c>
      <c r="L256" t="s">
        <v>1296</v>
      </c>
      <c r="M256" s="14" t="s">
        <v>223</v>
      </c>
      <c r="N256" s="14" t="s">
        <v>233</v>
      </c>
      <c r="O256" s="14" t="s">
        <v>234</v>
      </c>
      <c r="P256" t="s">
        <v>100</v>
      </c>
      <c r="Q256" s="6" t="s">
        <v>886</v>
      </c>
      <c r="R256" t="str">
        <f>IF(D_PlanoFinanceiro[[#This Row],[Conta 4]]=D_PlanoFinanceiro[[#This Row],[Conta 4 (Atual]],"-","VALIDAR AJUSTE")</f>
        <v>-</v>
      </c>
    </row>
    <row r="257" spans="1:18" x14ac:dyDescent="0.25">
      <c r="A257" t="s">
        <v>502</v>
      </c>
      <c r="B257" t="s">
        <v>572</v>
      </c>
      <c r="C257" t="s">
        <v>697</v>
      </c>
      <c r="D257" t="s">
        <v>701</v>
      </c>
      <c r="E257" t="s">
        <v>399</v>
      </c>
      <c r="F257" t="s">
        <v>175</v>
      </c>
      <c r="G257" t="s">
        <v>410</v>
      </c>
      <c r="H257" t="s">
        <v>20</v>
      </c>
      <c r="I257">
        <v>3</v>
      </c>
      <c r="J257" t="s">
        <v>1207</v>
      </c>
      <c r="K257" t="s">
        <v>1242</v>
      </c>
      <c r="L257" t="s">
        <v>1297</v>
      </c>
      <c r="M257" t="s">
        <v>223</v>
      </c>
      <c r="N257" t="s">
        <v>233</v>
      </c>
      <c r="O257" t="s">
        <v>234</v>
      </c>
      <c r="P257" t="s">
        <v>235</v>
      </c>
      <c r="Q257" s="6" t="s">
        <v>880</v>
      </c>
      <c r="R257" t="str">
        <f>IF(D_PlanoFinanceiro[[#This Row],[Conta 4]]=D_PlanoFinanceiro[[#This Row],[Conta 4 (Atual]],"-","VALIDAR AJUSTE")</f>
        <v>VALIDAR AJUSTE</v>
      </c>
    </row>
    <row r="258" spans="1:18" x14ac:dyDescent="0.25">
      <c r="A258" t="s">
        <v>502</v>
      </c>
      <c r="B258" t="s">
        <v>712</v>
      </c>
      <c r="C258" t="s">
        <v>713</v>
      </c>
      <c r="D258" t="s">
        <v>717</v>
      </c>
      <c r="E258" t="s">
        <v>399</v>
      </c>
      <c r="F258" t="s">
        <v>411</v>
      </c>
      <c r="G258" t="s">
        <v>345</v>
      </c>
      <c r="H258" t="s">
        <v>346</v>
      </c>
      <c r="I258">
        <v>3</v>
      </c>
      <c r="J258" t="s">
        <v>1207</v>
      </c>
      <c r="K258" t="s">
        <v>1268</v>
      </c>
      <c r="L258" t="s">
        <v>1298</v>
      </c>
      <c r="M258" t="s">
        <v>223</v>
      </c>
      <c r="N258" t="s">
        <v>233</v>
      </c>
      <c r="O258" t="s">
        <v>255</v>
      </c>
      <c r="P258" t="s">
        <v>1174</v>
      </c>
      <c r="R258" t="str">
        <f>IF(D_PlanoFinanceiro[[#This Row],[Conta 4]]=D_PlanoFinanceiro[[#This Row],[Conta 4 (Atual]],"-","VALIDAR AJUSTE")</f>
        <v>VALIDAR AJUSTE</v>
      </c>
    </row>
    <row r="259" spans="1:18" x14ac:dyDescent="0.25">
      <c r="A259" t="s">
        <v>502</v>
      </c>
      <c r="B259" t="s">
        <v>712</v>
      </c>
      <c r="C259" t="s">
        <v>713</v>
      </c>
      <c r="D259" t="s">
        <v>720</v>
      </c>
      <c r="E259" t="s">
        <v>399</v>
      </c>
      <c r="F259" t="s">
        <v>411</v>
      </c>
      <c r="G259" t="s">
        <v>345</v>
      </c>
      <c r="H259" t="s">
        <v>351</v>
      </c>
      <c r="I259">
        <v>3</v>
      </c>
      <c r="J259" t="s">
        <v>1207</v>
      </c>
      <c r="K259" t="s">
        <v>1268</v>
      </c>
      <c r="L259" t="s">
        <v>1299</v>
      </c>
      <c r="M259" t="s">
        <v>223</v>
      </c>
      <c r="N259" t="s">
        <v>233</v>
      </c>
      <c r="O259" t="s">
        <v>255</v>
      </c>
      <c r="P259" t="s">
        <v>351</v>
      </c>
      <c r="R259" t="str">
        <f>IF(D_PlanoFinanceiro[[#This Row],[Conta 4]]=D_PlanoFinanceiro[[#This Row],[Conta 4 (Atual]],"-","VALIDAR AJUSTE")</f>
        <v>-</v>
      </c>
    </row>
    <row r="260" spans="1:18" x14ac:dyDescent="0.25">
      <c r="A260" t="s">
        <v>502</v>
      </c>
      <c r="B260" t="s">
        <v>712</v>
      </c>
      <c r="C260" t="s">
        <v>724</v>
      </c>
      <c r="D260" t="s">
        <v>730</v>
      </c>
      <c r="E260" t="s">
        <v>399</v>
      </c>
      <c r="F260" t="s">
        <v>411</v>
      </c>
      <c r="G260" t="s">
        <v>352</v>
      </c>
      <c r="H260" t="s">
        <v>368</v>
      </c>
      <c r="I260">
        <v>3</v>
      </c>
      <c r="J260" t="s">
        <v>1207</v>
      </c>
      <c r="K260" t="s">
        <v>1268</v>
      </c>
      <c r="L260" t="s">
        <v>1300</v>
      </c>
      <c r="M260" s="26" t="s">
        <v>223</v>
      </c>
      <c r="N260" s="26" t="s">
        <v>233</v>
      </c>
      <c r="O260" s="26" t="s">
        <v>255</v>
      </c>
      <c r="P260" t="s">
        <v>1176</v>
      </c>
      <c r="R260" t="str">
        <f>IF(D_PlanoFinanceiro[[#This Row],[Conta 4]]=D_PlanoFinanceiro[[#This Row],[Conta 4 (Atual]],"-","VALIDAR AJUSTE")</f>
        <v>VALIDAR AJUSTE</v>
      </c>
    </row>
    <row r="261" spans="1:18" x14ac:dyDescent="0.25">
      <c r="A261" t="s">
        <v>502</v>
      </c>
      <c r="B261" t="s">
        <v>712</v>
      </c>
      <c r="C261" t="s">
        <v>713</v>
      </c>
      <c r="D261" t="s">
        <v>714</v>
      </c>
      <c r="E261" t="s">
        <v>399</v>
      </c>
      <c r="F261" t="s">
        <v>411</v>
      </c>
      <c r="G261" t="s">
        <v>345</v>
      </c>
      <c r="H261" t="s">
        <v>412</v>
      </c>
      <c r="I261">
        <v>3</v>
      </c>
      <c r="J261" t="s">
        <v>1207</v>
      </c>
      <c r="K261" t="s">
        <v>1268</v>
      </c>
      <c r="L261" t="s">
        <v>1301</v>
      </c>
      <c r="M261" s="14" t="s">
        <v>223</v>
      </c>
      <c r="N261" s="14" t="s">
        <v>233</v>
      </c>
      <c r="O261" s="14" t="s">
        <v>255</v>
      </c>
      <c r="P261" t="s">
        <v>412</v>
      </c>
      <c r="R261" t="str">
        <f>IF(D_PlanoFinanceiro[[#This Row],[Conta 4]]=D_PlanoFinanceiro[[#This Row],[Conta 4 (Atual]],"-","VALIDAR AJUSTE")</f>
        <v>-</v>
      </c>
    </row>
    <row r="262" spans="1:18" x14ac:dyDescent="0.25">
      <c r="I262">
        <v>3</v>
      </c>
      <c r="J262" t="s">
        <v>1207</v>
      </c>
      <c r="K262" t="s">
        <v>1251</v>
      </c>
      <c r="L262" t="s">
        <v>1302</v>
      </c>
      <c r="M262" s="14" t="s">
        <v>223</v>
      </c>
      <c r="N262" s="14" t="s">
        <v>233</v>
      </c>
      <c r="O262" s="14" t="s">
        <v>256</v>
      </c>
      <c r="P262" t="s">
        <v>1136</v>
      </c>
      <c r="R262" t="str">
        <f>IF(D_PlanoFinanceiro[[#This Row],[Conta 4]]=D_PlanoFinanceiro[[#This Row],[Conta 4 (Atual]],"-","VALIDAR AJUSTE")</f>
        <v>VALIDAR AJUSTE</v>
      </c>
    </row>
    <row r="263" spans="1:18" x14ac:dyDescent="0.25">
      <c r="A263" t="s">
        <v>474</v>
      </c>
      <c r="B263" t="s">
        <v>484</v>
      </c>
      <c r="C263" t="s">
        <v>489</v>
      </c>
      <c r="D263" t="s">
        <v>490</v>
      </c>
      <c r="E263" t="s">
        <v>396</v>
      </c>
      <c r="F263" t="s">
        <v>397</v>
      </c>
      <c r="G263" t="s">
        <v>29</v>
      </c>
      <c r="H263" t="s">
        <v>111</v>
      </c>
      <c r="I263">
        <v>4</v>
      </c>
      <c r="J263" t="s">
        <v>1208</v>
      </c>
      <c r="K263" t="s">
        <v>1221</v>
      </c>
      <c r="L263" t="s">
        <v>1280</v>
      </c>
      <c r="M263" t="s">
        <v>781</v>
      </c>
      <c r="N263" t="s">
        <v>184</v>
      </c>
      <c r="O263" t="s">
        <v>184</v>
      </c>
      <c r="P263" t="s">
        <v>111</v>
      </c>
      <c r="R263" t="str">
        <f>IF(D_PlanoFinanceiro[[#This Row],[Conta 4]]=D_PlanoFinanceiro[[#This Row],[Conta 4 (Atual]],"-","VALIDAR AJUSTE")</f>
        <v>-</v>
      </c>
    </row>
    <row r="264" spans="1:18" x14ac:dyDescent="0.25">
      <c r="I264">
        <v>4</v>
      </c>
      <c r="J264" t="s">
        <v>1208</v>
      </c>
      <c r="K264" t="s">
        <v>1221</v>
      </c>
      <c r="L264" t="s">
        <v>1279</v>
      </c>
      <c r="M264" t="s">
        <v>781</v>
      </c>
      <c r="N264" t="s">
        <v>184</v>
      </c>
      <c r="O264" t="s">
        <v>184</v>
      </c>
      <c r="P264" t="s">
        <v>185</v>
      </c>
      <c r="R264" t="str">
        <f>IF(D_PlanoFinanceiro[[#This Row],[Conta 4]]=D_PlanoFinanceiro[[#This Row],[Conta 4 (Atual]],"-","VALIDAR AJUSTE")</f>
        <v>VALIDAR AJUSTE</v>
      </c>
    </row>
    <row r="265" spans="1:18" x14ac:dyDescent="0.25">
      <c r="A265" t="s">
        <v>474</v>
      </c>
      <c r="B265" t="s">
        <v>484</v>
      </c>
      <c r="C265" t="s">
        <v>489</v>
      </c>
      <c r="D265" t="s">
        <v>500</v>
      </c>
      <c r="E265" t="s">
        <v>396</v>
      </c>
      <c r="F265" t="s">
        <v>397</v>
      </c>
      <c r="G265" t="s">
        <v>29</v>
      </c>
      <c r="H265" t="s">
        <v>460</v>
      </c>
      <c r="I265">
        <v>4</v>
      </c>
      <c r="J265" t="s">
        <v>1209</v>
      </c>
      <c r="K265" t="s">
        <v>1260</v>
      </c>
      <c r="L265" t="s">
        <v>1281</v>
      </c>
      <c r="M265" t="s">
        <v>781</v>
      </c>
      <c r="N265" t="s">
        <v>189</v>
      </c>
      <c r="O265" t="s">
        <v>189</v>
      </c>
      <c r="P265" t="s">
        <v>460</v>
      </c>
      <c r="R265" t="str">
        <f>IF(D_PlanoFinanceiro[[#This Row],[Conta 4]]=D_PlanoFinanceiro[[#This Row],[Conta 4 (Atual]],"-","VALIDAR AJUSTE")</f>
        <v>-</v>
      </c>
    </row>
    <row r="266" spans="1:18" x14ac:dyDescent="0.25">
      <c r="A266" t="s">
        <v>502</v>
      </c>
      <c r="B266" t="s">
        <v>572</v>
      </c>
      <c r="C266" t="s">
        <v>573</v>
      </c>
      <c r="D266" t="s">
        <v>598</v>
      </c>
      <c r="E266" t="s">
        <v>399</v>
      </c>
      <c r="F266" t="s">
        <v>175</v>
      </c>
      <c r="G266" t="s">
        <v>355</v>
      </c>
      <c r="H266" t="s">
        <v>334</v>
      </c>
      <c r="I266">
        <v>4</v>
      </c>
      <c r="J266" t="s">
        <v>1209</v>
      </c>
      <c r="K266" t="s">
        <v>1260</v>
      </c>
      <c r="L266" t="s">
        <v>1282</v>
      </c>
      <c r="M266" t="s">
        <v>781</v>
      </c>
      <c r="N266" t="s">
        <v>189</v>
      </c>
      <c r="O266" t="s">
        <v>189</v>
      </c>
      <c r="P266" t="s">
        <v>1170</v>
      </c>
      <c r="R266" t="str">
        <f>IF(D_PlanoFinanceiro[[#This Row],[Conta 4]]=D_PlanoFinanceiro[[#This Row],[Conta 4 (Atual]],"-","VALIDAR AJUSTE")</f>
        <v>VALIDAR AJUSTE</v>
      </c>
    </row>
    <row r="267" spans="1:18" x14ac:dyDescent="0.25">
      <c r="A267" t="s">
        <v>474</v>
      </c>
      <c r="B267" t="s">
        <v>484</v>
      </c>
      <c r="C267" t="s">
        <v>489</v>
      </c>
      <c r="D267" t="s">
        <v>491</v>
      </c>
      <c r="E267" t="s">
        <v>396</v>
      </c>
      <c r="F267" t="s">
        <v>397</v>
      </c>
      <c r="G267" t="s">
        <v>29</v>
      </c>
      <c r="H267" t="s">
        <v>398</v>
      </c>
      <c r="I267">
        <v>4</v>
      </c>
      <c r="J267" t="s">
        <v>1210</v>
      </c>
      <c r="K267" t="s">
        <v>1222</v>
      </c>
      <c r="L267" t="s">
        <v>1283</v>
      </c>
      <c r="M267" t="s">
        <v>781</v>
      </c>
      <c r="N267" t="s">
        <v>186</v>
      </c>
      <c r="O267" t="s">
        <v>186</v>
      </c>
      <c r="P267" t="s">
        <v>188</v>
      </c>
      <c r="R267" t="str">
        <f>IF(D_PlanoFinanceiro[[#This Row],[Conta 4]]=D_PlanoFinanceiro[[#This Row],[Conta 4 (Atual]],"-","VALIDAR AJUSTE")</f>
        <v>VALIDAR AJUSTE</v>
      </c>
    </row>
    <row r="268" spans="1:18" x14ac:dyDescent="0.25">
      <c r="I268">
        <v>4</v>
      </c>
      <c r="J268" t="s">
        <v>1210</v>
      </c>
      <c r="K268" t="s">
        <v>1222</v>
      </c>
      <c r="L268" t="s">
        <v>1284</v>
      </c>
      <c r="M268" t="s">
        <v>781</v>
      </c>
      <c r="N268" t="s">
        <v>186</v>
      </c>
      <c r="O268" t="s">
        <v>186</v>
      </c>
      <c r="P268" t="s">
        <v>187</v>
      </c>
      <c r="R268" t="str">
        <f>IF(D_PlanoFinanceiro[[#This Row],[Conta 4]]=D_PlanoFinanceiro[[#This Row],[Conta 4 (Atual]],"-","VALIDAR AJUSTE")</f>
        <v>VALIDAR AJUSTE</v>
      </c>
    </row>
    <row r="269" spans="1:18" x14ac:dyDescent="0.25">
      <c r="I269">
        <v>4</v>
      </c>
      <c r="J269" t="s">
        <v>1211</v>
      </c>
      <c r="K269" t="s">
        <v>1223</v>
      </c>
      <c r="L269" t="s">
        <v>1285</v>
      </c>
      <c r="M269" t="s">
        <v>781</v>
      </c>
      <c r="N269" t="s">
        <v>1129</v>
      </c>
      <c r="O269" t="s">
        <v>1129</v>
      </c>
      <c r="P269" t="s">
        <v>1130</v>
      </c>
      <c r="R269" t="str">
        <f>IF(D_PlanoFinanceiro[[#This Row],[Conta 4]]=D_PlanoFinanceiro[[#This Row],[Conta 4 (Atual]],"-","VALIDAR AJUSTE")</f>
        <v>VALIDAR AJUSTE</v>
      </c>
    </row>
    <row r="270" spans="1:18" x14ac:dyDescent="0.25">
      <c r="A270" t="s">
        <v>502</v>
      </c>
      <c r="B270" t="s">
        <v>712</v>
      </c>
      <c r="C270" t="s">
        <v>724</v>
      </c>
      <c r="D270" t="s">
        <v>725</v>
      </c>
      <c r="E270" t="s">
        <v>399</v>
      </c>
      <c r="F270" t="s">
        <v>411</v>
      </c>
      <c r="G270" t="s">
        <v>352</v>
      </c>
      <c r="H270" t="s">
        <v>415</v>
      </c>
      <c r="I270">
        <v>4</v>
      </c>
      <c r="J270" t="s">
        <v>1211</v>
      </c>
      <c r="K270" t="s">
        <v>1223</v>
      </c>
      <c r="L270" t="s">
        <v>1286</v>
      </c>
      <c r="M270" t="s">
        <v>781</v>
      </c>
      <c r="N270" t="s">
        <v>1129</v>
      </c>
      <c r="O270" t="s">
        <v>1129</v>
      </c>
      <c r="P270" t="s">
        <v>1175</v>
      </c>
      <c r="R270" t="str">
        <f>IF(D_PlanoFinanceiro[[#This Row],[Conta 4]]=D_PlanoFinanceiro[[#This Row],[Conta 4 (Atual]],"-","VALIDAR AJUSTE")</f>
        <v>VALIDAR AJUSTE</v>
      </c>
    </row>
    <row r="271" spans="1:18" x14ac:dyDescent="0.25">
      <c r="I271">
        <v>5</v>
      </c>
      <c r="J271" t="s">
        <v>1212</v>
      </c>
      <c r="K271" t="s">
        <v>1238</v>
      </c>
      <c r="L271" t="s">
        <v>1272</v>
      </c>
      <c r="M271" t="s">
        <v>212</v>
      </c>
      <c r="N271" s="4" t="s">
        <v>213</v>
      </c>
      <c r="O271" s="4" t="s">
        <v>220</v>
      </c>
      <c r="P271" s="4" t="s">
        <v>221</v>
      </c>
      <c r="R271" t="str">
        <f>IF(D_PlanoFinanceiro[[#This Row],[Conta 4]]=D_PlanoFinanceiro[[#This Row],[Conta 4 (Atual]],"-","VALIDAR AJUSTE")</f>
        <v>VALIDAR AJUSTE</v>
      </c>
    </row>
    <row r="272" spans="1:18" x14ac:dyDescent="0.25">
      <c r="A272" t="s">
        <v>502</v>
      </c>
      <c r="B272" t="s">
        <v>712</v>
      </c>
      <c r="C272" t="s">
        <v>713</v>
      </c>
      <c r="D272" t="s">
        <v>719</v>
      </c>
      <c r="E272" t="s">
        <v>399</v>
      </c>
      <c r="F272" t="s">
        <v>411</v>
      </c>
      <c r="G272" t="s">
        <v>345</v>
      </c>
      <c r="H272" t="s">
        <v>347</v>
      </c>
      <c r="I272">
        <v>5</v>
      </c>
      <c r="J272" t="s">
        <v>1212</v>
      </c>
      <c r="K272" t="s">
        <v>1238</v>
      </c>
      <c r="L272" t="s">
        <v>1273</v>
      </c>
      <c r="M272" t="s">
        <v>212</v>
      </c>
      <c r="N272" s="4" t="s">
        <v>213</v>
      </c>
      <c r="O272" s="4" t="s">
        <v>220</v>
      </c>
      <c r="P272" s="4" t="s">
        <v>222</v>
      </c>
      <c r="R272" t="str">
        <f>IF(D_PlanoFinanceiro[[#This Row],[Conta 4]]=D_PlanoFinanceiro[[#This Row],[Conta 4 (Atual]],"-","VALIDAR AJUSTE")</f>
        <v>VALIDAR AJUSTE</v>
      </c>
    </row>
    <row r="273" spans="1:18" x14ac:dyDescent="0.25">
      <c r="A273" t="s">
        <v>474</v>
      </c>
      <c r="B273" t="s">
        <v>484</v>
      </c>
      <c r="C273" t="s">
        <v>489</v>
      </c>
      <c r="D273" t="s">
        <v>495</v>
      </c>
      <c r="E273" t="s">
        <v>396</v>
      </c>
      <c r="F273" t="s">
        <v>397</v>
      </c>
      <c r="G273" t="s">
        <v>29</v>
      </c>
      <c r="H273" t="s">
        <v>128</v>
      </c>
      <c r="I273">
        <v>5</v>
      </c>
      <c r="J273" t="s">
        <v>1212</v>
      </c>
      <c r="K273" t="s">
        <v>1233</v>
      </c>
      <c r="L273" t="s">
        <v>1275</v>
      </c>
      <c r="M273" t="s">
        <v>212</v>
      </c>
      <c r="N273" s="4" t="s">
        <v>213</v>
      </c>
      <c r="O273" s="4" t="s">
        <v>214</v>
      </c>
      <c r="P273" s="4" t="s">
        <v>1128</v>
      </c>
      <c r="R273" t="str">
        <f>IF(D_PlanoFinanceiro[[#This Row],[Conta 4]]=D_PlanoFinanceiro[[#This Row],[Conta 4 (Atual]],"-","VALIDAR AJUSTE")</f>
        <v>VALIDAR AJUSTE</v>
      </c>
    </row>
    <row r="274" spans="1:18" x14ac:dyDescent="0.25">
      <c r="A274" t="s">
        <v>502</v>
      </c>
      <c r="B274" t="s">
        <v>712</v>
      </c>
      <c r="C274" t="s">
        <v>713</v>
      </c>
      <c r="D274" t="s">
        <v>721</v>
      </c>
      <c r="E274" t="s">
        <v>399</v>
      </c>
      <c r="F274" t="s">
        <v>411</v>
      </c>
      <c r="G274" t="s">
        <v>345</v>
      </c>
      <c r="H274" t="s">
        <v>74</v>
      </c>
      <c r="I274">
        <v>5</v>
      </c>
      <c r="J274" t="s">
        <v>1212</v>
      </c>
      <c r="K274" t="s">
        <v>1233</v>
      </c>
      <c r="L274" t="s">
        <v>1274</v>
      </c>
      <c r="M274" t="s">
        <v>212</v>
      </c>
      <c r="N274" s="4" t="s">
        <v>213</v>
      </c>
      <c r="O274" s="4" t="s">
        <v>214</v>
      </c>
      <c r="P274" s="4" t="s">
        <v>215</v>
      </c>
      <c r="R274" t="str">
        <f>IF(D_PlanoFinanceiro[[#This Row],[Conta 4]]=D_PlanoFinanceiro[[#This Row],[Conta 4 (Atual]],"-","VALIDAR AJUSTE")</f>
        <v>VALIDAR AJUSTE</v>
      </c>
    </row>
    <row r="275" spans="1:18" x14ac:dyDescent="0.25">
      <c r="A275" t="s">
        <v>502</v>
      </c>
      <c r="B275" t="s">
        <v>712</v>
      </c>
      <c r="C275" t="s">
        <v>748</v>
      </c>
      <c r="D275" t="s">
        <v>748</v>
      </c>
      <c r="E275" t="s">
        <v>399</v>
      </c>
      <c r="F275" t="s">
        <v>411</v>
      </c>
      <c r="G275" s="6" t="s">
        <v>463</v>
      </c>
      <c r="H275" s="6" t="s">
        <v>463</v>
      </c>
      <c r="I275" s="6">
        <v>5</v>
      </c>
      <c r="J275" s="6" t="s">
        <v>1212</v>
      </c>
      <c r="K275" s="6" t="s">
        <v>1271</v>
      </c>
      <c r="L275" s="6" t="s">
        <v>1276</v>
      </c>
      <c r="M275" t="s">
        <v>212</v>
      </c>
      <c r="N275" s="4" t="s">
        <v>213</v>
      </c>
      <c r="O275" t="s">
        <v>1089</v>
      </c>
      <c r="P275" t="s">
        <v>463</v>
      </c>
      <c r="R275" t="str">
        <f>IF(D_PlanoFinanceiro[[#This Row],[Conta 4]]=D_PlanoFinanceiro[[#This Row],[Conta 4 (Atual]],"-","VALIDAR AJUSTE")</f>
        <v>-</v>
      </c>
    </row>
    <row r="276" spans="1:18" x14ac:dyDescent="0.25">
      <c r="A276" t="s">
        <v>474</v>
      </c>
      <c r="B276" t="s">
        <v>484</v>
      </c>
      <c r="C276" t="s">
        <v>489</v>
      </c>
      <c r="D276" t="s">
        <v>494</v>
      </c>
      <c r="E276" t="s">
        <v>396</v>
      </c>
      <c r="F276" t="s">
        <v>397</v>
      </c>
      <c r="G276" t="s">
        <v>29</v>
      </c>
      <c r="H276" t="s">
        <v>119</v>
      </c>
      <c r="I276">
        <v>5</v>
      </c>
      <c r="J276" t="s">
        <v>1212</v>
      </c>
      <c r="K276" t="s">
        <v>1252</v>
      </c>
      <c r="L276" t="s">
        <v>1277</v>
      </c>
      <c r="M276" t="s">
        <v>212</v>
      </c>
      <c r="N276" s="4" t="s">
        <v>213</v>
      </c>
      <c r="O276" t="s">
        <v>1122</v>
      </c>
      <c r="P276" t="s">
        <v>1121</v>
      </c>
      <c r="Q276" s="6" t="s">
        <v>257</v>
      </c>
      <c r="R276" t="str">
        <f>IF(D_PlanoFinanceiro[[#This Row],[Conta 4]]=D_PlanoFinanceiro[[#This Row],[Conta 4 (Atual]],"-","VALIDAR AJUSTE")</f>
        <v>VALIDAR AJUSTE</v>
      </c>
    </row>
    <row r="277" spans="1:18" x14ac:dyDescent="0.25">
      <c r="I277">
        <v>5</v>
      </c>
      <c r="J277" t="s">
        <v>1212</v>
      </c>
      <c r="K277" t="s">
        <v>1252</v>
      </c>
      <c r="L277" t="s">
        <v>1278</v>
      </c>
      <c r="M277" s="14" t="s">
        <v>212</v>
      </c>
      <c r="N277" s="4" t="s">
        <v>213</v>
      </c>
      <c r="O277" t="s">
        <v>1122</v>
      </c>
      <c r="P277" t="s">
        <v>1183</v>
      </c>
      <c r="R277" t="str">
        <f>IF(D_PlanoFinanceiro[[#This Row],[Conta 4]]=D_PlanoFinanceiro[[#This Row],[Conta 4 (Atual]],"-","VALIDAR AJUSTE")</f>
        <v>VALIDAR AJUSTE</v>
      </c>
    </row>
    <row r="278" spans="1:18" x14ac:dyDescent="0.25">
      <c r="A278" t="s">
        <v>752</v>
      </c>
      <c r="B278" t="s">
        <v>752</v>
      </c>
      <c r="C278" t="s">
        <v>752</v>
      </c>
      <c r="D278" t="s">
        <v>752</v>
      </c>
      <c r="E278" t="s">
        <v>117</v>
      </c>
      <c r="F278" t="s">
        <v>117</v>
      </c>
      <c r="G278" t="s">
        <v>117</v>
      </c>
      <c r="H278" t="s">
        <v>117</v>
      </c>
      <c r="Q278" s="6" t="s">
        <v>877</v>
      </c>
      <c r="R278" t="str">
        <f>IF(D_PlanoFinanceiro[[#This Row],[Conta 4]]=D_PlanoFinanceiro[[#This Row],[Conta 4 (Atual]],"-","VALIDAR AJUSTE")</f>
        <v>VALIDAR AJUSTE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D7C6-E243-404B-9BC2-E6A45419E963}">
  <dimension ref="A1:D75"/>
  <sheetViews>
    <sheetView showGridLines="0" tabSelected="1" zoomScale="130" zoomScaleNormal="130" workbookViewId="0">
      <selection activeCell="C5" sqref="C5"/>
    </sheetView>
  </sheetViews>
  <sheetFormatPr defaultRowHeight="15" x14ac:dyDescent="0.25"/>
  <cols>
    <col min="1" max="1" width="10.7109375" bestFit="1" customWidth="1"/>
    <col min="2" max="2" width="11.5703125" customWidth="1"/>
    <col min="3" max="3" width="15.140625" customWidth="1"/>
    <col min="4" max="4" width="33.42578125" bestFit="1" customWidth="1"/>
  </cols>
  <sheetData>
    <row r="1" spans="1:4" x14ac:dyDescent="0.25">
      <c r="A1" s="2"/>
    </row>
    <row r="2" spans="1:4" x14ac:dyDescent="0.25">
      <c r="A2" s="2"/>
    </row>
    <row r="3" spans="1:4" x14ac:dyDescent="0.25">
      <c r="A3" s="1" t="s">
        <v>1098</v>
      </c>
      <c r="B3" s="1" t="s">
        <v>0</v>
      </c>
      <c r="C3" s="1" t="s">
        <v>1</v>
      </c>
      <c r="D3" s="1" t="s">
        <v>2</v>
      </c>
    </row>
    <row r="4" spans="1:4" x14ac:dyDescent="0.25">
      <c r="A4" s="2">
        <v>1</v>
      </c>
      <c r="B4" s="2" t="s">
        <v>168</v>
      </c>
    </row>
    <row r="5" spans="1:4" x14ac:dyDescent="0.25">
      <c r="B5" s="5" t="s">
        <v>1185</v>
      </c>
      <c r="C5" s="2" t="s">
        <v>249</v>
      </c>
    </row>
    <row r="6" spans="1:4" x14ac:dyDescent="0.25">
      <c r="B6" s="5" t="s">
        <v>1186</v>
      </c>
      <c r="C6" s="2" t="s">
        <v>199</v>
      </c>
    </row>
    <row r="7" spans="1:4" x14ac:dyDescent="0.25">
      <c r="B7" s="5" t="s">
        <v>1187</v>
      </c>
      <c r="C7" s="2" t="s">
        <v>1105</v>
      </c>
    </row>
    <row r="8" spans="1:4" x14ac:dyDescent="0.25">
      <c r="B8" s="5" t="s">
        <v>1188</v>
      </c>
      <c r="C8" s="2" t="s">
        <v>1096</v>
      </c>
    </row>
    <row r="9" spans="1:4" x14ac:dyDescent="0.25">
      <c r="B9" s="5" t="s">
        <v>1189</v>
      </c>
      <c r="C9" s="2" t="s">
        <v>908</v>
      </c>
    </row>
    <row r="10" spans="1:4" x14ac:dyDescent="0.25">
      <c r="B10" s="5" t="s">
        <v>1190</v>
      </c>
      <c r="C10" s="2" t="s">
        <v>920</v>
      </c>
    </row>
    <row r="11" spans="1:4" x14ac:dyDescent="0.25">
      <c r="B11" s="5" t="s">
        <v>1191</v>
      </c>
      <c r="C11" s="2" t="s">
        <v>919</v>
      </c>
    </row>
    <row r="12" spans="1:4" x14ac:dyDescent="0.25">
      <c r="B12" s="5" t="s">
        <v>1192</v>
      </c>
      <c r="C12" s="2" t="s">
        <v>1106</v>
      </c>
    </row>
    <row r="13" spans="1:4" x14ac:dyDescent="0.25">
      <c r="B13" s="5" t="s">
        <v>1193</v>
      </c>
      <c r="C13" s="2" t="s">
        <v>911</v>
      </c>
    </row>
    <row r="14" spans="1:4" x14ac:dyDescent="0.25">
      <c r="B14" s="5" t="s">
        <v>1194</v>
      </c>
      <c r="C14" s="2" t="s">
        <v>921</v>
      </c>
    </row>
    <row r="15" spans="1:4" x14ac:dyDescent="0.25">
      <c r="B15" s="5" t="s">
        <v>1195</v>
      </c>
      <c r="C15" s="2" t="s">
        <v>218</v>
      </c>
    </row>
    <row r="16" spans="1:4" x14ac:dyDescent="0.25">
      <c r="B16" s="5" t="s">
        <v>1196</v>
      </c>
      <c r="C16" s="2" t="s">
        <v>182</v>
      </c>
    </row>
    <row r="17" spans="1:3" x14ac:dyDescent="0.25">
      <c r="B17" s="5" t="s">
        <v>1197</v>
      </c>
      <c r="C17" s="2" t="s">
        <v>175</v>
      </c>
    </row>
    <row r="18" spans="1:3" x14ac:dyDescent="0.25">
      <c r="B18" s="5" t="s">
        <v>1198</v>
      </c>
      <c r="C18" s="2" t="s">
        <v>210</v>
      </c>
    </row>
    <row r="19" spans="1:3" x14ac:dyDescent="0.25">
      <c r="B19" s="5" t="s">
        <v>1199</v>
      </c>
      <c r="C19" s="2" t="s">
        <v>208</v>
      </c>
    </row>
    <row r="20" spans="1:3" x14ac:dyDescent="0.25">
      <c r="B20" s="5" t="s">
        <v>1200</v>
      </c>
      <c r="C20" s="2" t="s">
        <v>173</v>
      </c>
    </row>
    <row r="21" spans="1:3" x14ac:dyDescent="0.25">
      <c r="A21" s="2">
        <v>2</v>
      </c>
      <c r="B21" s="2" t="s">
        <v>190</v>
      </c>
    </row>
    <row r="22" spans="1:3" x14ac:dyDescent="0.25">
      <c r="A22" s="2">
        <v>3</v>
      </c>
      <c r="B22" s="2" t="s">
        <v>223</v>
      </c>
    </row>
    <row r="23" spans="1:3" x14ac:dyDescent="0.25">
      <c r="A23" s="2">
        <v>4</v>
      </c>
      <c r="B23" s="2" t="s">
        <v>781</v>
      </c>
    </row>
    <row r="24" spans="1:3" x14ac:dyDescent="0.25">
      <c r="A24" s="2">
        <v>5</v>
      </c>
      <c r="B24" s="2" t="s">
        <v>212</v>
      </c>
    </row>
    <row r="25" spans="1:3" x14ac:dyDescent="0.25">
      <c r="A25" s="2" t="s">
        <v>893</v>
      </c>
      <c r="B25" s="2" t="s">
        <v>893</v>
      </c>
    </row>
    <row r="26" spans="1:3" x14ac:dyDescent="0.25">
      <c r="A26" s="2" t="s">
        <v>165</v>
      </c>
    </row>
    <row r="63" spans="2:2" x14ac:dyDescent="0.25">
      <c r="B63" s="25"/>
    </row>
    <row r="64" spans="2:2" x14ac:dyDescent="0.25">
      <c r="B64" s="25"/>
    </row>
    <row r="65" spans="2:2" x14ac:dyDescent="0.25">
      <c r="B65" s="25"/>
    </row>
    <row r="66" spans="2:2" x14ac:dyDescent="0.25">
      <c r="B66" s="25"/>
    </row>
    <row r="67" spans="2:2" x14ac:dyDescent="0.25">
      <c r="B67" s="25"/>
    </row>
    <row r="68" spans="2:2" x14ac:dyDescent="0.25">
      <c r="B68" s="25"/>
    </row>
    <row r="69" spans="2:2" x14ac:dyDescent="0.25">
      <c r="B69" s="25"/>
    </row>
    <row r="70" spans="2:2" x14ac:dyDescent="0.25">
      <c r="B70" s="25"/>
    </row>
    <row r="71" spans="2:2" x14ac:dyDescent="0.25">
      <c r="B71" s="25"/>
    </row>
    <row r="72" spans="2:2" x14ac:dyDescent="0.25">
      <c r="B72" s="25"/>
    </row>
    <row r="73" spans="2:2" x14ac:dyDescent="0.25">
      <c r="B73" s="25"/>
    </row>
    <row r="74" spans="2:2" x14ac:dyDescent="0.25">
      <c r="B74" s="25"/>
    </row>
    <row r="75" spans="2:2" x14ac:dyDescent="0.25">
      <c r="B75" s="25"/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C0B0-03F8-4B62-9B11-3920020F7AC2}">
  <dimension ref="B2:D4"/>
  <sheetViews>
    <sheetView zoomScale="190" zoomScaleNormal="190" workbookViewId="0">
      <selection activeCell="C3" sqref="C3:C4"/>
    </sheetView>
  </sheetViews>
  <sheetFormatPr defaultRowHeight="15" x14ac:dyDescent="0.25"/>
  <cols>
    <col min="3" max="3" width="32.28515625" bestFit="1" customWidth="1"/>
    <col min="4" max="4" width="23.140625" customWidth="1"/>
  </cols>
  <sheetData>
    <row r="2" spans="2:4" x14ac:dyDescent="0.25">
      <c r="C2" t="s">
        <v>968</v>
      </c>
      <c r="D2" t="s">
        <v>1116</v>
      </c>
    </row>
    <row r="3" spans="2:4" x14ac:dyDescent="0.25">
      <c r="B3" t="s">
        <v>1117</v>
      </c>
      <c r="C3" t="s">
        <v>1120</v>
      </c>
      <c r="D3" t="s">
        <v>1119</v>
      </c>
    </row>
    <row r="4" spans="2:4" x14ac:dyDescent="0.25">
      <c r="B4" t="s">
        <v>1118</v>
      </c>
      <c r="C4" t="s">
        <v>1121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c06b4-45af-4020-829d-6b9c7f09631e" xsi:nil="true"/>
    <lcf76f155ced4ddcb4097134ff3c332f xmlns="898a895c-24dc-43d7-b051-a9af1a12d780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F50CF14D73E2478D5838ECF0051070" ma:contentTypeVersion="10" ma:contentTypeDescription="Crie um novo documento." ma:contentTypeScope="" ma:versionID="e19a2a0b9cb179f120fea6bff32d98f1">
  <xsd:schema xmlns:xsd="http://www.w3.org/2001/XMLSchema" xmlns:xs="http://www.w3.org/2001/XMLSchema" xmlns:p="http://schemas.microsoft.com/office/2006/metadata/properties" xmlns:ns2="898a895c-24dc-43d7-b051-a9af1a12d780" xmlns:ns3="73cc06b4-45af-4020-829d-6b9c7f09631e" targetNamespace="http://schemas.microsoft.com/office/2006/metadata/properties" ma:root="true" ma:fieldsID="362547ecb863547b3361001a9b5b0500" ns2:_="" ns3:_="">
    <xsd:import namespace="898a895c-24dc-43d7-b051-a9af1a12d780"/>
    <xsd:import namespace="73cc06b4-45af-4020-829d-6b9c7f0963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a895c-24dc-43d7-b051-a9af1a12d7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dce83b4-5c25-4aa7-a6c5-a8b396f90c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06b4-45af-4020-829d-6b9c7f09631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103e37-9f80-4a04-a0c9-0466d6125ca9}" ma:internalName="TaxCatchAll" ma:showField="CatchAllData" ma:web="73cc06b4-45af-4020-829d-6b9c7f0963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7C2C0B-4B19-4933-A7BA-66E1D3556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9D8E8F-3B12-44EE-A647-D8625A420E5B}">
  <ds:schemaRefs>
    <ds:schemaRef ds:uri="http://schemas.microsoft.com/office/2006/metadata/properties"/>
    <ds:schemaRef ds:uri="http://schemas.microsoft.com/office/infopath/2007/PartnerControls"/>
    <ds:schemaRef ds:uri="73cc06b4-45af-4020-829d-6b9c7f09631e"/>
    <ds:schemaRef ds:uri="898a895c-24dc-43d7-b051-a9af1a12d780"/>
  </ds:schemaRefs>
</ds:datastoreItem>
</file>

<file path=customXml/itemProps3.xml><?xml version="1.0" encoding="utf-8"?>
<ds:datastoreItem xmlns:ds="http://schemas.openxmlformats.org/officeDocument/2006/customXml" ds:itemID="{999BF8E1-5896-4DDD-9FF2-BAF2713B7EF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163FFFF-DA49-4C53-A170-F2F5D0FECD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8a895c-24dc-43d7-b051-a9af1a12d780"/>
    <ds:schemaRef ds:uri="73cc06b4-45af-4020-829d-6b9c7f0963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Plano Centro Resultados</vt:lpstr>
      <vt:lpstr>Tab_CentroResultado</vt:lpstr>
      <vt:lpstr>PLANO CENTRO DE RESULTADOS</vt:lpstr>
      <vt:lpstr>RESUMO CENTRO RESULTADOS</vt:lpstr>
      <vt:lpstr>Plano Naturezas</vt:lpstr>
      <vt:lpstr>Tab_PlanoNaturezas</vt:lpstr>
      <vt:lpstr>RESUMO PLANO NATUREZAS ATUAL</vt:lpstr>
      <vt:lpstr>PLANO FINANCEIRO</vt:lpstr>
      <vt:lpstr>RESUMO NOVO PLANO</vt:lpstr>
      <vt:lpstr>INTRAGRUPO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Flávia Cordeiro</dc:creator>
  <cp:keywords/>
  <dc:description/>
  <cp:lastModifiedBy>Flávia Cordeiro</cp:lastModifiedBy>
  <cp:revision/>
  <dcterms:created xsi:type="dcterms:W3CDTF">2025-12-12T12:15:45Z</dcterms:created>
  <dcterms:modified xsi:type="dcterms:W3CDTF">2026-03-10T18:32:25Z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0x0101003BF50CF14D73E2478D5838ECF0051070</vt:lpwstr>
  </property>
  <property fmtid="{D5CDD505-2E9C-101B-9397-08002B2CF9AE}" pid="3" name="MediaServiceImageTags">
    <vt:lpwstr/>
  </property>
</Properties>
</file>