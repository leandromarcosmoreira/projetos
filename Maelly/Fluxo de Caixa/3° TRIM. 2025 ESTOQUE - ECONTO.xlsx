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FÓRMULAS" sheetId="1" state="hidden" r:id="rId1"/>
    <sheet name="ITENS" sheetId="2" r:id="rId2"/>
    <sheet name="MOVIMENTO" sheetId="5" r:id="rId3"/>
    <sheet name="SALDO QTD" sheetId="3" r:id="rId4"/>
    <sheet name="CONTAGEM" sheetId="4" r:id="rId5"/>
    <sheet name="RELATÓRIO" sheetId="6" r:id="rId6"/>
    <sheet name="RELATÓRIO VENDAS" sheetId="7" r:id="rId7"/>
    <sheet name="07.2025" sheetId="8" r:id="rId8"/>
    <sheet name="08.2025" sheetId="9" r:id="rId9"/>
    <sheet name="09.2025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<sst xmlns="http://schemas.openxmlformats.org/spreadsheetml/2006/main" count="3086" uniqueCount="269">
  <si>
    <t>VENDA</t>
  </si>
  <si>
    <t>SAÍDA</t>
  </si>
  <si>
    <t>DOAÇÃO</t>
  </si>
  <si>
    <t>ENTRADA</t>
  </si>
  <si>
    <t>DEVOLUÇÃO</t>
  </si>
  <si>
    <t>PIX</t>
  </si>
  <si>
    <t>-</t>
  </si>
  <si>
    <t>DÉBITO</t>
  </si>
  <si>
    <t>*1,90%</t>
  </si>
  <si>
    <t>CRÉDITO</t>
  </si>
  <si>
    <t>CRÉDITO 2X</t>
  </si>
  <si>
    <t>PRODUTOS PARA VENDA</t>
  </si>
  <si>
    <t>CÓDIGO</t>
  </si>
  <si>
    <t>DESCRIÇÃO</t>
  </si>
  <si>
    <t>VLR ÚLTIMA COMPRA</t>
  </si>
  <si>
    <t>OBS</t>
  </si>
  <si>
    <t>CAMISA CHAMPIONS</t>
  </si>
  <si>
    <t>BONE LUXO</t>
  </si>
  <si>
    <t>BONÉ BRIM</t>
  </si>
  <si>
    <t>ETQ. LETRA PRINT FIX</t>
  </si>
  <si>
    <t>ETQ. NÚMERO PRINT FIX</t>
  </si>
  <si>
    <t>MASCOTE PORTO VITÓRIA</t>
  </si>
  <si>
    <t>COPO TÉRMICO TULIP 500ML</t>
  </si>
  <si>
    <t>GARRAFA TÉRMICA 660 ML</t>
  </si>
  <si>
    <t>CANECA PORTO</t>
  </si>
  <si>
    <t>REGATA BASQUETE</t>
  </si>
  <si>
    <t>Considerando R$10,00 de aplicação de detalhes</t>
  </si>
  <si>
    <t>CAMISA POLO</t>
  </si>
  <si>
    <t>CAMISA OFICIAL</t>
  </si>
  <si>
    <t>BERMUDA</t>
  </si>
  <si>
    <t>JAQUETA TORCEDOR</t>
  </si>
  <si>
    <t>CAMISA ESPECIAL RETRÔ</t>
  </si>
  <si>
    <t>- Portal de Vendas</t>
  </si>
  <si>
    <t>Alíquota SN</t>
  </si>
  <si>
    <t>CÓD. PRODUTO</t>
  </si>
  <si>
    <t>DESCRIÇÃO PRODUTO</t>
  </si>
  <si>
    <t>DESCRIÇÃO TOP</t>
  </si>
  <si>
    <t>QTD</t>
  </si>
  <si>
    <t>MOVIMENTO</t>
  </si>
  <si>
    <t>DT NEGOCIAÇÃO</t>
  </si>
  <si>
    <t>DIA DA SEMANA</t>
  </si>
  <si>
    <t>CÓD. PARCEIRO / DESCRIÇÃO</t>
  </si>
  <si>
    <t xml:space="preserve">NF </t>
  </si>
  <si>
    <t>VLR BRUTO</t>
  </si>
  <si>
    <t>DESCONTOS</t>
  </si>
  <si>
    <t>TOTAL</t>
  </si>
  <si>
    <t>TRIBUTOS</t>
  </si>
  <si>
    <t xml:space="preserve">TX CARTÃO </t>
  </si>
  <si>
    <t>MODALIDADE</t>
  </si>
  <si>
    <t>BANDEIRA</t>
  </si>
  <si>
    <t>VLR LÍQUIDO</t>
  </si>
  <si>
    <t>VLR UN. LÍQUIDO</t>
  </si>
  <si>
    <t>ENTRADA EXTRATO</t>
  </si>
  <si>
    <t>VLR EXTRATO</t>
  </si>
  <si>
    <t>3433 - CONSUMIDOR FINAL</t>
  </si>
  <si>
    <t>VISA</t>
  </si>
  <si>
    <t>JULHO</t>
  </si>
  <si>
    <t>Venda ocorreu dia 05/07/25</t>
  </si>
  <si>
    <t>BONÉ LUXO</t>
  </si>
  <si>
    <t>JUNHO</t>
  </si>
  <si>
    <t>Venda ocorreu dia 09/06/25</t>
  </si>
  <si>
    <t>Venda ocorreu dia 14/06 pelo Lindeyr</t>
  </si>
  <si>
    <t>MASTERCARD</t>
  </si>
  <si>
    <t xml:space="preserve">Venda ocorreu em junho </t>
  </si>
  <si>
    <t>TERÇA</t>
  </si>
  <si>
    <t>USADA PARA UM RECEBIMENTO DO DIA 13/06 QUE NÃO FOI EMITIDO NF</t>
  </si>
  <si>
    <t>AGOSTO</t>
  </si>
  <si>
    <t>Plataforma Stone</t>
  </si>
  <si>
    <t>QUARTA</t>
  </si>
  <si>
    <t>CRÉDITO 4X</t>
  </si>
  <si>
    <t>SETEMBRO</t>
  </si>
  <si>
    <t>OUTUBRO</t>
  </si>
  <si>
    <t>NOVEMBRO</t>
  </si>
  <si>
    <t>QUINTA</t>
  </si>
  <si>
    <t>2908 - MARCELO BRANDÃO</t>
  </si>
  <si>
    <t>SEXTA</t>
  </si>
  <si>
    <t>SÁBADO</t>
  </si>
  <si>
    <t>SEGUNDA</t>
  </si>
  <si>
    <t>PLATAFORMA  STONE</t>
  </si>
  <si>
    <t>ELO</t>
  </si>
  <si>
    <t>Venda dia 22/06</t>
  </si>
  <si>
    <t>Pix dia 23/06</t>
  </si>
  <si>
    <t>Pix dia 20/06</t>
  </si>
  <si>
    <t>Plataforma Stone / Venda externa</t>
  </si>
  <si>
    <t>6361 - ANA CAROLINA</t>
  </si>
  <si>
    <t>Venda feita dia 27/06</t>
  </si>
  <si>
    <t>Venda feita dia 30/06</t>
  </si>
  <si>
    <t>CRÉDITO 3X</t>
  </si>
  <si>
    <t>Venda feita dia 02/06</t>
  </si>
  <si>
    <t>Venda feita dia 01/07</t>
  </si>
  <si>
    <t>Venda feita dia 02/07</t>
  </si>
  <si>
    <t>MASCOTE PORTO</t>
  </si>
  <si>
    <t>DOMINGO</t>
  </si>
  <si>
    <t>Venda do dia 02/07</t>
  </si>
  <si>
    <t>Venda dia 10/07</t>
  </si>
  <si>
    <t>Venda dia 11/07</t>
  </si>
  <si>
    <t>Venda dia 14/06</t>
  </si>
  <si>
    <t>Venda dia 14/06 - PASSARAM PRIMEIRO 18,00 EM 2X E DEPOIS 62,00 EM 2X</t>
  </si>
  <si>
    <t>Venda dia 26/06</t>
  </si>
  <si>
    <t>CAMISA RETRÔ</t>
  </si>
  <si>
    <t>COMPRA</t>
  </si>
  <si>
    <t>1117 - ÍCONE</t>
  </si>
  <si>
    <t>6795 - GUILHERME CUNHA</t>
  </si>
  <si>
    <t>NF EMITIDA ERRADA - AO INVÉS DE DAR O DESCONTO, FOI ALTERADO O VLR UNITÁRIO DOS ITENS - VENDA EXTERNA</t>
  </si>
  <si>
    <t>PLATAFORMA STONE - VENDA EXTERNA 29/07</t>
  </si>
  <si>
    <t>NF EMITIDA ERRADA - AO INVÉS DE DAR O DESCONTO, FOI ALTERADO O VLR UNITÁRIO DOS ITENS - VENDA EXTERNA - DEV. NFE 124</t>
  </si>
  <si>
    <t>6798 - ERICK SALLES</t>
  </si>
  <si>
    <t>NF EMITIDA ERRADA - AO INVÉS DE DAR O DESCONTO, FOI ALTERADO O VLR UNITÁRIO DOS ITENS - VENDA EXTERNA - DEV. NFE 123</t>
  </si>
  <si>
    <t>6822 - MATHEUS GABRIEL</t>
  </si>
  <si>
    <t>NF EMITIDA ERRADA - AO INVÉS DE DAR O DESCONTO, FOI ALTERADO O VLR UNITÁRIO DOS ITENS - VENDA EXTERNA - DEV. NFE 127</t>
  </si>
  <si>
    <t>ACORDO ENTRE LEONARDO E JÚNIOR</t>
  </si>
  <si>
    <t>ACORDO ENTRE LEONARDO E HELBER</t>
  </si>
  <si>
    <t>VENDA DO DIA 29/07 - PLATAFORMA STONE</t>
  </si>
  <si>
    <t>4269 - ATHIRSON KAUAN</t>
  </si>
  <si>
    <t>6828 - ESTEVÃO FERRARI</t>
  </si>
  <si>
    <t>997 - ELDER PEREIRA</t>
  </si>
  <si>
    <t>4449 - MARIA DE FÁTIMA</t>
  </si>
  <si>
    <t>6831 - ALISON RIBEIRO</t>
  </si>
  <si>
    <t>COPO TÉRMICO</t>
  </si>
  <si>
    <t>NF EMITIDA ERRADA - AO INVÉS DE DAR O DESCONTO, FOI ALTERADO O VLR UNITÁRIO DOS ITENS - DEV. NFE 126</t>
  </si>
  <si>
    <t>NF EMITIDA ERRADA - AO INVÉS DE DAR O DESCONTO, FOI ALTERADO O VLR UNITÁRIO DOS ITENS - DEV. NFE 128</t>
  </si>
  <si>
    <t>6832 - MATHEUS H.</t>
  </si>
  <si>
    <t>NF EMITIDA ERRADA - AO INVÉS DE DAR O DESCONTO, FOI ALTERADO O VLR UNITÁRIO DOS ITENS - DEV. NFE 129</t>
  </si>
  <si>
    <t>6025 - GABRIEL B.</t>
  </si>
  <si>
    <t>NF EMITIDA ERRADA - AO INVÉS DE DAR O DESCONTO, FOI ALTERADO O VLR UNITÁRIO DOS ITENS - DEV. NFE 125</t>
  </si>
  <si>
    <t>6838 - LUCAS CHAVIER</t>
  </si>
  <si>
    <t>4268 - ALISSON SOARES</t>
  </si>
  <si>
    <t>6844 - ERIC NETTO</t>
  </si>
  <si>
    <t>PLATAFORMA STONE - VENDA EXTERNA 03/08</t>
  </si>
  <si>
    <t>NÃO SEI O MOTIVO DO DESCONTO - CADA CAMISA SAIU POR 126,66 - VENDA EXTERNA 03/08 - PLATAFORMA STONE</t>
  </si>
  <si>
    <t>VENDA EXTERNA 03/08 - PLATAFORMA STONE</t>
  </si>
  <si>
    <t>AMEX</t>
  </si>
  <si>
    <t>2422 - MARCOS VINICIUS</t>
  </si>
  <si>
    <t>DEZEMBRO</t>
  </si>
  <si>
    <t>DINHEIRO</t>
  </si>
  <si>
    <t>VENDA EXTERNA 03/08</t>
  </si>
  <si>
    <t>VENDA EXTERNA 29/07</t>
  </si>
  <si>
    <t>4536 - AYDHAN JUNIO</t>
  </si>
  <si>
    <t>6864 - HENRIQUE MELO</t>
  </si>
  <si>
    <t>6865 - THALLYSON AUGUSTO</t>
  </si>
  <si>
    <t>6866 - GETULIO GONÇALVES</t>
  </si>
  <si>
    <t>6867 - ARTHUR HENRIQUE</t>
  </si>
  <si>
    <t>R$80,00 PG NO CRÉDITO E R$100,00 EM DINHEIRO</t>
  </si>
  <si>
    <t>6898 - GUSTAVO DO NASCIMENTO</t>
  </si>
  <si>
    <t>6906 - GRAZIELE RODRIGUES</t>
  </si>
  <si>
    <t>28,00 NO DÉBITO E 288,00 NO CRÉDITO 2X</t>
  </si>
  <si>
    <t>FOI DOAÇÃO, NÃO ERA PRA TER SIDO EMITIDO NFC-E - DEV. 130</t>
  </si>
  <si>
    <t>FOI DOAÇÃO, NÃO ERA PRA TER SIDO EMITIDO NFC-E - DEV. 131</t>
  </si>
  <si>
    <t>87 - VINICIUS DEMO</t>
  </si>
  <si>
    <t>ACORDO ENTRE LEONARDO E VINICIUS</t>
  </si>
  <si>
    <t>5175 - DIOGO SILVA</t>
  </si>
  <si>
    <t>CARTÃO</t>
  </si>
  <si>
    <t>VENDA DO FINAL DE JUNHO +/- DIA 29 - NÃO FOI EMITIDA NF</t>
  </si>
  <si>
    <t>VENDA DO COMEÇO DE JULHO +/- DIA 06 OU 07 - NÃO FOI EMITIDA NF</t>
  </si>
  <si>
    <t>VENDA DO DIA 29/07 QUE NÃO FOI EMITIDA NF</t>
  </si>
  <si>
    <t>EMITIDA PARA "TAPAR" UM RECEBIDO MAS FOI IDENTIFICADA A NF CORRESPONDENTE POR ISSO A NF FOI DEVOLVIDA</t>
  </si>
  <si>
    <t>NF EMITIDA ERRADA - AO INVÉS DE DAR O DESCONTO, FOI ALTERADO O VLR UNITÁRIO DOS ITENS - VENDA EXTERNA - NFCe 1104</t>
  </si>
  <si>
    <t>PARA SUBSTITUIR A NFCe 1104 - VENDA EXTERNA 29/07 - PLATAFORMA STONE</t>
  </si>
  <si>
    <t>NF EMITIDA ERRADA - AO INVÉS DE DAR O DESCONTO, FOI ALTERADO O VLR UNITÁRIO DOS ITENS - VENDA EXTERNA - NFCe 1100</t>
  </si>
  <si>
    <t>PARA SUBSTITUIR A NFCe 1100 - VENDA EXTERNA 29/07 - PLATAFORMA STONE</t>
  </si>
  <si>
    <t>6925 KAREN ALVES</t>
  </si>
  <si>
    <t>PULO DE SEQUÊNCIA - VENDA DO DIA 23/08</t>
  </si>
  <si>
    <t>20,00 EM DINHEIRO E 160,00 NO CRÉDITO 2X</t>
  </si>
  <si>
    <t>DEVOLUÇÃO REF. NFC-E 1130</t>
  </si>
  <si>
    <t>PARA SUBSTITUIR A NFCe 1130 - VENDA DO DIA 03/08</t>
  </si>
  <si>
    <t>DEVOLUÇÃO REF. NFC-E 1127</t>
  </si>
  <si>
    <t>PARA SUBSTITUIR A NFCe 1127 - VENDA DO DIA 03/08</t>
  </si>
  <si>
    <t>DEVOLUÇÃO REF. NFC-E 1106</t>
  </si>
  <si>
    <t>PARA SUBSTITUIR A NFCe 1106 - VENDA DO DIA 31/07</t>
  </si>
  <si>
    <t>DEVOLUÇÃO REF. NFC-E 1128</t>
  </si>
  <si>
    <t>PARA SUBSTITUIR A NFCe 1128 - VENDA DO DIA 03/08</t>
  </si>
  <si>
    <t>DEVOLUÇÃO REF. NFC-E 1129</t>
  </si>
  <si>
    <t>PARA SUBSTITUIR A NFCe 1129 - VENDA DO DIA 03/08</t>
  </si>
  <si>
    <t>DEVOLUÇÃO REF. NFC-E 1199</t>
  </si>
  <si>
    <t>DEVOLUÇÃO REF. NFC-E 1200</t>
  </si>
  <si>
    <t>FOI ALTERADO O VLR UN. AO INVÉS DE APLICAR O VLR DE DESCONTO - DEV. N° 137</t>
  </si>
  <si>
    <t>FOI ALTERADO O VLR UN. AO INVÉS DE APLICAR O VLR DE DESCONTO - DEV. N° 133</t>
  </si>
  <si>
    <t>6994 - FELIPE DA COSTA</t>
  </si>
  <si>
    <t>7004 - ILCIMAR DA ROCHA</t>
  </si>
  <si>
    <t>FOI ALTERADO O VLR UN. AO INVÉS DE APLICAR O VLR DE DESCONTO - DEV. N° 134</t>
  </si>
  <si>
    <t>PLATAFORMA STONE</t>
  </si>
  <si>
    <t>2299 - ANDERSON LUIZ</t>
  </si>
  <si>
    <t>ESTOQUE NO 2° TRIM.</t>
  </si>
  <si>
    <t>MÊS/PERÍODO</t>
  </si>
  <si>
    <t>ESTOQUE FINAL</t>
  </si>
  <si>
    <t>GARRAFA 660ML</t>
  </si>
  <si>
    <t>JAQUETA</t>
  </si>
  <si>
    <t>digitar SOMENTE a coluna "DT CONTAGEM FÍSICA" e "CONTAGEM FÍSICA"</t>
  </si>
  <si>
    <t>CÓD.</t>
  </si>
  <si>
    <t>SALDO MÊS</t>
  </si>
  <si>
    <t>DT CONTAGEM FÍSICA</t>
  </si>
  <si>
    <t>CONTAGEM FÍSICA</t>
  </si>
  <si>
    <t>DIFERENÇA</t>
  </si>
  <si>
    <t xml:space="preserve">DESVIO % </t>
  </si>
  <si>
    <t xml:space="preserve">ACURACIDADE % </t>
  </si>
  <si>
    <t xml:space="preserve">AJUSTES </t>
  </si>
  <si>
    <t>COPO 500 ML</t>
  </si>
  <si>
    <t>Não teve contagem ou contagem totalmente desproporcional</t>
  </si>
  <si>
    <t>Contagem de Estoque</t>
  </si>
  <si>
    <t>COMPETÊNCIA</t>
  </si>
  <si>
    <t>*Aumento de quantidade física sem ter nota fiscal de compra</t>
  </si>
  <si>
    <t>Ano de 2025</t>
  </si>
  <si>
    <t>CHAMPIONS</t>
  </si>
  <si>
    <t xml:space="preserve">CANECA </t>
  </si>
  <si>
    <t xml:space="preserve">COPO </t>
  </si>
  <si>
    <t xml:space="preserve">MASCOTE </t>
  </si>
  <si>
    <t xml:space="preserve">REGATA </t>
  </si>
  <si>
    <t>VLR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</si>
  <si>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</si>
  <si>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</si>
  <si>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</si>
  <si>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</si>
  <si>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</si>
  <si>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</si>
  <si>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</si>
  <si>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</si>
  <si>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</si>
  <si>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r>
      <rPr>
        <i/>
        <sz val="10"/>
        <color theme="1"/>
        <rFont val="Arial"/>
        <charset val="134"/>
      </rPr>
      <t xml:space="preserve">Saldo total </t>
    </r>
    <r>
      <rPr>
        <b/>
        <i/>
        <sz val="10"/>
        <color theme="1"/>
        <rFont val="Arial"/>
        <charset val="134"/>
      </rPr>
      <t>por produto</t>
    </r>
    <r>
      <rPr>
        <i/>
        <sz val="10"/>
        <color theme="1"/>
        <rFont val="Arial"/>
        <charset val="134"/>
      </rPr>
      <t xml:space="preserve"> até setembro/2025</t>
    </r>
  </si>
  <si>
    <r>
      <rPr>
        <i/>
        <sz val="10"/>
        <color theme="1"/>
        <rFont val="Arial"/>
        <charset val="134"/>
      </rPr>
      <t xml:space="preserve">Saldo total </t>
    </r>
    <r>
      <rPr>
        <b/>
        <sz val="10"/>
        <color theme="1"/>
        <rFont val="Arial"/>
        <charset val="134"/>
      </rPr>
      <t>por mês</t>
    </r>
    <r>
      <rPr>
        <i/>
        <sz val="10"/>
        <color theme="1"/>
        <rFont val="Arial"/>
        <charset val="134"/>
      </rPr>
      <t xml:space="preserve"> até setembro/2025</t>
    </r>
  </si>
  <si>
    <t>PRODUTO</t>
  </si>
  <si>
    <t>VALOR</t>
  </si>
  <si>
    <t>MÊS</t>
  </si>
  <si>
    <t>JANEIRO</t>
  </si>
  <si>
    <t>FEVEREIRO</t>
  </si>
  <si>
    <t>MARÇO</t>
  </si>
  <si>
    <t>CANECA</t>
  </si>
  <si>
    <t>ABRIL</t>
  </si>
  <si>
    <t>COPO</t>
  </si>
  <si>
    <t>MAIO</t>
  </si>
  <si>
    <t>MASCOTE</t>
  </si>
  <si>
    <t>REGATA</t>
  </si>
  <si>
    <t>TOTAL PRODUTOS VENDIDOS ATÉ SETEMBRO/2025</t>
  </si>
  <si>
    <t>TOTAL DOS VALROES ATÉ SETEMBRO/2025</t>
  </si>
  <si>
    <t>* Foi consideras as vendas a partir do dia 15/01 (abertura do quiosque) + vendas externas + vendas para a diretoria</t>
  </si>
  <si>
    <t>* Para os valores foram considerados vlr bruto - desconto</t>
  </si>
  <si>
    <t>* Dados não são 100% iguais a realidade pois existem notas fiscais que foram emitidas em atraso / devolvidas / emitidas de forma errônea... apesar dos ajustes realizados, é preciso considerar uma margem de erros para quantidades e valores acima.</t>
  </si>
  <si>
    <t>* Os valores de cada mês não siginfica que entraram no extrato naquele mesmo mês, pois, vendas por cartão de crédito caem 1 mês após a venda.</t>
  </si>
  <si>
    <t>ANO DE 2024</t>
  </si>
  <si>
    <r>
      <rPr>
        <i/>
        <sz val="10"/>
        <color theme="1"/>
        <rFont val="Arial"/>
        <charset val="134"/>
      </rPr>
      <t xml:space="preserve">Saldo Total </t>
    </r>
    <r>
      <rPr>
        <b/>
        <i/>
        <sz val="10"/>
        <color theme="1"/>
        <rFont val="Arial"/>
        <charset val="134"/>
      </rPr>
      <t>por produto</t>
    </r>
    <r>
      <rPr>
        <i/>
        <sz val="10"/>
        <color theme="1"/>
        <rFont val="Arial"/>
        <charset val="134"/>
      </rPr>
      <t xml:space="preserve"> até setembro/2024</t>
    </r>
  </si>
  <si>
    <r>
      <rPr>
        <i/>
        <sz val="10"/>
        <color theme="1"/>
        <rFont val="Arial"/>
        <charset val="134"/>
      </rPr>
      <t xml:space="preserve">Saldo total </t>
    </r>
    <r>
      <rPr>
        <b/>
        <sz val="10"/>
        <color theme="1"/>
        <rFont val="Arial"/>
        <charset val="134"/>
      </rPr>
      <t>por mês</t>
    </r>
    <r>
      <rPr>
        <i/>
        <sz val="10"/>
        <color theme="1"/>
        <rFont val="Arial"/>
        <charset val="134"/>
      </rPr>
      <t xml:space="preserve"> até setembro/2024</t>
    </r>
  </si>
  <si>
    <t>TOTAL PRODUTOS VENDIDOS ATÉ SETEMBRO/2024</t>
  </si>
  <si>
    <t>TOTAL DOS VALROES ATÉ SETEMBRO/2024</t>
  </si>
  <si>
    <t>* Foi considera as vendas na prórpria Porto vitória (neste ano ainda não tinha o quiosque) + vendas externas + vendas para a diretoria</t>
  </si>
  <si>
    <t>REGISTRO DE INVENTÁRIO</t>
  </si>
  <si>
    <t>FIRMA: CONTO DE FIDELIDADE DO BRASIL LTDA</t>
  </si>
  <si>
    <t>INSC. ESTADUAL: 084037180</t>
  </si>
  <si>
    <t>CNPJ: 35.515.223/0001-76</t>
  </si>
  <si>
    <t>FOLHA: 2</t>
  </si>
  <si>
    <t>ESTOQUE EXISTENTES EM: 31/07/2025</t>
  </si>
  <si>
    <t>CLASSIFICAÇÃO FISCAL</t>
  </si>
  <si>
    <t>DISCRIMINAÇÃO</t>
  </si>
  <si>
    <t>UNIDADE</t>
  </si>
  <si>
    <t>QUANTIDADE</t>
  </si>
  <si>
    <t>VALORES</t>
  </si>
  <si>
    <t>UNITÁRIO</t>
  </si>
  <si>
    <t>61.05.20.00</t>
  </si>
  <si>
    <t>UN.</t>
  </si>
  <si>
    <t>65.05.00.11</t>
  </si>
  <si>
    <t>49.08.90.00</t>
  </si>
  <si>
    <t>95.03.00.31</t>
  </si>
  <si>
    <t>96.17.00.10</t>
  </si>
  <si>
    <t>69.12.00.00</t>
  </si>
  <si>
    <t>CANECA PORTO VITÓRIA</t>
  </si>
  <si>
    <t>REGATA BASQUETE ESPECIAL TORCEDOR</t>
  </si>
  <si>
    <t>CAMISA POLO TORCEDOR</t>
  </si>
  <si>
    <t>CAMISA OFICIAL T-SHIRT TORCEDOR</t>
  </si>
  <si>
    <t>BERMUDA DOPTEX TORCEDOR</t>
  </si>
  <si>
    <t>ESTOQUE EXISTENTES EM: 31/08/2025</t>
  </si>
  <si>
    <t>ESTOQUE EXISTENTES EM: 30/09/2025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</si>
</sst>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[$R$ -416]#,##0.00"/>
    <numFmt numFmtId="181" formatCode="mmmm/yyyy"/>
    <numFmt numFmtId="182" formatCode="d/m/yyyy"/>
  </numFmts>
  <fonts count="45">
    <font>
      <sz val="10"/>
      <color rgb="FF000000"/>
      <name val="Arial"/>
      <charset val="134"/>
      <scheme val="minor"/>
    </font>
    <font>
      <sz val="8"/>
      <color theme="1"/>
      <name val="Calibri"/>
      <charset val="134"/>
    </font>
    <font>
      <sz val="10"/>
      <name val="Arial"/>
      <charset val="134"/>
      <scheme val="minor"/>
    </font>
    <font>
      <sz val="10"/>
      <color theme="1"/>
      <name val="Arial"/>
      <charset val="134"/>
    </font>
    <font>
      <sz val="8"/>
      <color rgb="FF1F1F1F"/>
      <name val="Calibri"/>
      <charset val="134"/>
    </font>
    <font>
      <b/>
      <i/>
      <sz val="10"/>
      <color rgb="FFFF0000"/>
      <name val="Calibri"/>
      <charset val="134"/>
    </font>
    <font>
      <b/>
      <i/>
      <sz val="14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i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i/>
      <sz val="10"/>
      <color theme="1"/>
      <name val="Arial"/>
      <charset val="134"/>
    </font>
    <font>
      <b/>
      <i/>
      <sz val="10"/>
      <color rgb="FFFF0000"/>
      <name val="Arial"/>
      <charset val="134"/>
    </font>
    <font>
      <i/>
      <sz val="10"/>
      <color theme="1"/>
      <name val="Arial"/>
      <charset val="134"/>
    </font>
    <font>
      <i/>
      <u/>
      <sz val="10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color rgb="FF000000"/>
      <name val="Arial"/>
      <charset val="134"/>
    </font>
    <font>
      <b/>
      <sz val="10"/>
      <color rgb="FFFF0000"/>
      <name val="Arial"/>
      <charset val="134"/>
    </font>
    <font>
      <b/>
      <sz val="10"/>
      <color rgb="FFFF9900"/>
      <name val="Arial"/>
      <charset val="134"/>
      <scheme val="minor"/>
    </font>
    <font>
      <b/>
      <sz val="10"/>
      <color rgb="FFFF9900"/>
      <name val="Arial"/>
      <charset val="134"/>
    </font>
    <font>
      <sz val="10"/>
      <color rgb="FFFF0000"/>
      <name val="Arial"/>
      <charset val="134"/>
    </font>
    <font>
      <b/>
      <i/>
      <sz val="10"/>
      <color rgb="FFFF9900"/>
      <name val="Arial"/>
      <charset val="134"/>
    </font>
    <font>
      <sz val="10"/>
      <color rgb="FFFF0000"/>
      <name val="Arial"/>
      <charset val="134"/>
      <scheme val="minor"/>
    </font>
    <font>
      <b/>
      <sz val="10"/>
      <color rgb="FFFFFFFF"/>
      <name val="Arial"/>
      <charset val="134"/>
    </font>
    <font>
      <sz val="10"/>
      <color theme="1"/>
      <name val="Segoe UI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70AD47"/>
        <bgColor rgb="FF70AD47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2" borderId="3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3" borderId="35" applyNumberFormat="0" applyAlignment="0" applyProtection="0">
      <alignment vertical="center"/>
    </xf>
    <xf numFmtId="0" fontId="35" fillId="14" borderId="36" applyNumberFormat="0" applyAlignment="0" applyProtection="0">
      <alignment vertical="center"/>
    </xf>
    <xf numFmtId="0" fontId="36" fillId="14" borderId="35" applyNumberFormat="0" applyAlignment="0" applyProtection="0">
      <alignment vertical="center"/>
    </xf>
    <xf numFmtId="0" fontId="37" fillId="15" borderId="37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</cellStyleXfs>
  <cellXfs count="335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0" xfId="0" applyFont="1" applyFill="1" applyAlignment="1"/>
    <xf numFmtId="0" fontId="1" fillId="0" borderId="4" xfId="0" applyFont="1" applyBorder="1" applyAlignment="1"/>
    <xf numFmtId="0" fontId="3" fillId="0" borderId="0" xfId="0" applyFont="1" applyAlignment="1"/>
    <xf numFmtId="0" fontId="3" fillId="0" borderId="5" xfId="0" applyFont="1" applyBorder="1" applyAlignment="1"/>
    <xf numFmtId="0" fontId="1" fillId="0" borderId="0" xfId="0" applyFont="1" applyAlignment="1"/>
    <xf numFmtId="0" fontId="1" fillId="0" borderId="6" xfId="0" applyFont="1" applyBorder="1" applyAlignment="1"/>
    <xf numFmtId="0" fontId="3" fillId="0" borderId="7" xfId="0" applyFont="1" applyBorder="1" applyAlignment="1"/>
    <xf numFmtId="0" fontId="1" fillId="0" borderId="7" xfId="0" applyFont="1" applyBorder="1" applyAlignment="1"/>
    <xf numFmtId="0" fontId="3" fillId="0" borderId="8" xfId="0" applyFont="1" applyBorder="1" applyAlignment="1"/>
    <xf numFmtId="0" fontId="1" fillId="0" borderId="9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1" fillId="0" borderId="13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wrapText="1"/>
    </xf>
    <xf numFmtId="1" fontId="1" fillId="2" borderId="13" xfId="0" applyNumberFormat="1" applyFont="1" applyFill="1" applyBorder="1" applyAlignment="1">
      <alignment horizontal="center" wrapText="1"/>
    </xf>
    <xf numFmtId="180" fontId="1" fillId="2" borderId="13" xfId="0" applyNumberFormat="1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vertical="center" wrapText="1"/>
    </xf>
    <xf numFmtId="1" fontId="1" fillId="2" borderId="13" xfId="0" applyNumberFormat="1" applyFont="1" applyFill="1" applyBorder="1" applyAlignment="1">
      <alignment horizontal="center" vertical="center" wrapText="1"/>
    </xf>
    <xf numFmtId="180" fontId="1" fillId="2" borderId="13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80" fontId="3" fillId="2" borderId="0" xfId="0" applyNumberFormat="1" applyFont="1" applyFill="1" applyAlignment="1">
      <alignment horizontal="center" vertical="center" wrapText="1"/>
    </xf>
    <xf numFmtId="1" fontId="5" fillId="2" borderId="0" xfId="0" applyNumberFormat="1" applyFont="1" applyFill="1" applyAlignment="1">
      <alignment horizontal="center" vertical="center" wrapText="1"/>
    </xf>
    <xf numFmtId="180" fontId="5" fillId="2" borderId="0" xfId="0" applyNumberFormat="1" applyFont="1" applyFill="1" applyAlignment="1">
      <alignment horizontal="center" vertical="center" wrapText="1"/>
    </xf>
    <xf numFmtId="180" fontId="3" fillId="2" borderId="0" xfId="0" applyNumberFormat="1" applyFont="1" applyFill="1" applyAlignment="1"/>
    <xf numFmtId="0" fontId="6" fillId="3" borderId="0" xfId="0" applyFont="1" applyFill="1" applyAlignment="1"/>
    <xf numFmtId="0" fontId="7" fillId="2" borderId="0" xfId="0" applyFont="1" applyFill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7" fillId="3" borderId="16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9" fillId="2" borderId="0" xfId="0" applyFont="1" applyFill="1"/>
    <xf numFmtId="0" fontId="10" fillId="3" borderId="1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180" fontId="9" fillId="2" borderId="17" xfId="0" applyNumberFormat="1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vertical="center" wrapText="1"/>
    </xf>
    <xf numFmtId="180" fontId="3" fillId="2" borderId="17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center" wrapText="1"/>
    </xf>
    <xf numFmtId="0" fontId="11" fillId="2" borderId="0" xfId="0" applyFont="1" applyFill="1" applyAlignment="1">
      <alignment horizontal="center" vertical="center" wrapText="1"/>
    </xf>
    <xf numFmtId="1" fontId="12" fillId="2" borderId="0" xfId="0" applyNumberFormat="1" applyFont="1" applyFill="1" applyAlignment="1">
      <alignment horizontal="center" wrapText="1"/>
    </xf>
    <xf numFmtId="180" fontId="3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58" fontId="3" fillId="2" borderId="0" xfId="0" applyNumberFormat="1" applyFont="1" applyFill="1" applyAlignment="1">
      <alignment horizontal="center" wrapText="1"/>
    </xf>
    <xf numFmtId="1" fontId="13" fillId="2" borderId="0" xfId="0" applyNumberFormat="1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1" fontId="3" fillId="2" borderId="7" xfId="0" applyNumberFormat="1" applyFont="1" applyFill="1" applyBorder="1" applyAlignment="1">
      <alignment horizontal="left" vertical="center" wrapText="1"/>
    </xf>
    <xf numFmtId="0" fontId="2" fillId="0" borderId="7" xfId="0" applyFont="1" applyBorder="1"/>
    <xf numFmtId="1" fontId="12" fillId="2" borderId="7" xfId="0" applyNumberFormat="1" applyFont="1" applyFill="1" applyBorder="1" applyAlignment="1">
      <alignment horizontal="center" vertical="center" wrapText="1"/>
    </xf>
    <xf numFmtId="180" fontId="12" fillId="2" borderId="7" xfId="0" applyNumberFormat="1" applyFont="1" applyFill="1" applyBorder="1" applyAlignment="1">
      <alignment horizontal="center" vertical="center" wrapText="1"/>
    </xf>
    <xf numFmtId="1" fontId="12" fillId="2" borderId="18" xfId="0" applyNumberFormat="1" applyFont="1" applyFill="1" applyBorder="1" applyAlignment="1">
      <alignment horizontal="center" vertical="center" wrapText="1"/>
    </xf>
    <xf numFmtId="180" fontId="12" fillId="2" borderId="18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left" vertical="center" wrapText="1"/>
    </xf>
    <xf numFmtId="1" fontId="11" fillId="2" borderId="0" xfId="0" applyNumberFormat="1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wrapText="1"/>
    </xf>
    <xf numFmtId="1" fontId="11" fillId="2" borderId="0" xfId="0" applyNumberFormat="1" applyFont="1" applyFill="1" applyAlignment="1">
      <alignment horizontal="left" wrapText="1"/>
    </xf>
    <xf numFmtId="180" fontId="11" fillId="2" borderId="0" xfId="0" applyNumberFormat="1" applyFont="1" applyFill="1" applyAlignment="1">
      <alignment horizontal="center" wrapText="1"/>
    </xf>
    <xf numFmtId="1" fontId="14" fillId="2" borderId="0" xfId="0" applyNumberFormat="1" applyFont="1" applyFill="1" applyAlignment="1">
      <alignment horizontal="left" wrapText="1"/>
    </xf>
    <xf numFmtId="0" fontId="6" fillId="4" borderId="0" xfId="0" applyFont="1" applyFill="1" applyAlignment="1"/>
    <xf numFmtId="0" fontId="8" fillId="4" borderId="14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180" fontId="9" fillId="2" borderId="10" xfId="0" applyNumberFormat="1" applyFont="1" applyFill="1" applyBorder="1" applyAlignment="1">
      <alignment horizontal="center" vertical="center" wrapText="1"/>
    </xf>
    <xf numFmtId="180" fontId="3" fillId="2" borderId="10" xfId="0" applyNumberFormat="1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180" fontId="3" fillId="2" borderId="20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9" fillId="2" borderId="17" xfId="0" applyFont="1" applyFill="1" applyBorder="1" applyAlignment="1">
      <alignment horizontal="center" vertical="center" wrapText="1"/>
    </xf>
    <xf numFmtId="1" fontId="3" fillId="2" borderId="16" xfId="0" applyNumberFormat="1" applyFont="1" applyFill="1" applyBorder="1" applyAlignment="1">
      <alignment horizontal="center" vertical="center" wrapText="1"/>
    </xf>
    <xf numFmtId="1" fontId="9" fillId="2" borderId="16" xfId="0" applyNumberFormat="1" applyFont="1" applyFill="1" applyBorder="1" applyAlignment="1">
      <alignment horizontal="center" vertical="center" wrapText="1"/>
    </xf>
    <xf numFmtId="1" fontId="12" fillId="2" borderId="0" xfId="0" applyNumberFormat="1" applyFont="1" applyFill="1" applyAlignment="1">
      <alignment horizontal="center" vertical="center" wrapText="1"/>
    </xf>
    <xf numFmtId="180" fontId="12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80" fontId="9" fillId="2" borderId="0" xfId="0" applyNumberFormat="1" applyFont="1" applyFill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5" borderId="13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6" fillId="2" borderId="13" xfId="0" applyFont="1" applyFill="1" applyBorder="1" applyAlignment="1">
      <alignment horizontal="center" vertical="center" wrapText="1"/>
    </xf>
    <xf numFmtId="9" fontId="16" fillId="2" borderId="9" xfId="0" applyNumberFormat="1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58" fontId="3" fillId="2" borderId="24" xfId="0" applyNumberFormat="1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10" fontId="3" fillId="2" borderId="0" xfId="0" applyNumberFormat="1" applyFont="1" applyFill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0" borderId="26" xfId="0" applyFont="1" applyBorder="1"/>
    <xf numFmtId="0" fontId="17" fillId="2" borderId="2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4" fontId="3" fillId="2" borderId="0" xfId="0" applyNumberFormat="1" applyFont="1" applyFill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2" fillId="0" borderId="29" xfId="0" applyFont="1" applyBorder="1"/>
    <xf numFmtId="0" fontId="3" fillId="2" borderId="20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4" fontId="3" fillId="2" borderId="0" xfId="0" applyNumberFormat="1" applyFont="1" applyFill="1" applyAlignment="1">
      <alignment horizontal="left" vertical="center" wrapText="1"/>
    </xf>
    <xf numFmtId="0" fontId="9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9" fontId="16" fillId="2" borderId="13" xfId="0" applyNumberFormat="1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10" fontId="3" fillId="2" borderId="23" xfId="0" applyNumberFormat="1" applyFont="1" applyFill="1" applyBorder="1" applyAlignment="1">
      <alignment horizontal="center" vertical="center" wrapText="1"/>
    </xf>
    <xf numFmtId="10" fontId="3" fillId="2" borderId="13" xfId="0" applyNumberFormat="1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10" fontId="3" fillId="2" borderId="28" xfId="0" applyNumberFormat="1" applyFont="1" applyFill="1" applyBorder="1" applyAlignment="1">
      <alignment horizontal="center" vertical="center" wrapText="1"/>
    </xf>
    <xf numFmtId="10" fontId="3" fillId="2" borderId="12" xfId="0" applyNumberFormat="1" applyFont="1" applyFill="1" applyBorder="1" applyAlignment="1">
      <alignment horizontal="center" vertical="center" wrapText="1"/>
    </xf>
    <xf numFmtId="10" fontId="3" fillId="2" borderId="26" xfId="0" applyNumberFormat="1" applyFont="1" applyFill="1" applyBorder="1" applyAlignment="1">
      <alignment horizontal="center" vertical="center" wrapText="1"/>
    </xf>
    <xf numFmtId="58" fontId="3" fillId="2" borderId="0" xfId="0" applyNumberFormat="1" applyFont="1" applyFill="1" applyAlignment="1">
      <alignment horizontal="center" vertical="center" wrapText="1"/>
    </xf>
    <xf numFmtId="1" fontId="3" fillId="2" borderId="23" xfId="0" applyNumberFormat="1" applyFont="1" applyFill="1" applyBorder="1" applyAlignment="1">
      <alignment horizontal="center" vertical="center" wrapText="1"/>
    </xf>
    <xf numFmtId="4" fontId="3" fillId="2" borderId="25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right" vertical="center" wrapText="1"/>
    </xf>
    <xf numFmtId="1" fontId="18" fillId="2" borderId="0" xfId="0" applyNumberFormat="1" applyFont="1" applyFill="1" applyAlignment="1">
      <alignment horizontal="center" vertical="center" wrapText="1"/>
    </xf>
    <xf numFmtId="1" fontId="3" fillId="2" borderId="13" xfId="0" applyNumberFormat="1" applyFont="1" applyFill="1" applyBorder="1" applyAlignment="1">
      <alignment horizontal="center" vertical="center" wrapText="1"/>
    </xf>
    <xf numFmtId="4" fontId="3" fillId="2" borderId="17" xfId="0" applyNumberFormat="1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1" fontId="3" fillId="2" borderId="30" xfId="0" applyNumberFormat="1" applyFont="1" applyFill="1" applyBorder="1" applyAlignment="1">
      <alignment horizontal="right" vertical="center" wrapText="1"/>
    </xf>
    <xf numFmtId="1" fontId="3" fillId="2" borderId="29" xfId="0" applyNumberFormat="1" applyFont="1" applyFill="1" applyBorder="1" applyAlignment="1">
      <alignment horizontal="center" vertical="center" wrapText="1"/>
    </xf>
    <xf numFmtId="180" fontId="3" fillId="2" borderId="31" xfId="0" applyNumberFormat="1" applyFont="1" applyFill="1" applyBorder="1" applyAlignment="1">
      <alignment horizontal="center" vertical="center" wrapText="1"/>
    </xf>
    <xf numFmtId="10" fontId="3" fillId="2" borderId="9" xfId="0" applyNumberFormat="1" applyFont="1" applyFill="1" applyBorder="1" applyAlignment="1">
      <alignment horizontal="center" vertical="center" wrapText="1"/>
    </xf>
    <xf numFmtId="4" fontId="3" fillId="2" borderId="20" xfId="0" applyNumberFormat="1" applyFont="1" applyFill="1" applyBorder="1" applyAlignment="1">
      <alignment horizontal="center" vertical="center" wrapText="1"/>
    </xf>
    <xf numFmtId="180" fontId="10" fillId="2" borderId="0" xfId="0" applyNumberFormat="1" applyFont="1" applyFill="1" applyAlignment="1">
      <alignment horizontal="center" vertical="center" wrapText="1"/>
    </xf>
    <xf numFmtId="1" fontId="10" fillId="2" borderId="0" xfId="0" applyNumberFormat="1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58" fontId="20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58" fontId="21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180" fontId="20" fillId="2" borderId="0" xfId="0" applyNumberFormat="1" applyFont="1" applyFill="1" applyAlignment="1">
      <alignment horizontal="center" vertical="center" wrapText="1"/>
    </xf>
    <xf numFmtId="180" fontId="21" fillId="2" borderId="0" xfId="0" applyNumberFormat="1" applyFont="1" applyFill="1" applyAlignment="1">
      <alignment horizontal="center" vertical="center" wrapText="1"/>
    </xf>
    <xf numFmtId="180" fontId="22" fillId="2" borderId="0" xfId="0" applyNumberFormat="1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180" fontId="11" fillId="2" borderId="0" xfId="0" applyNumberFormat="1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wrapText="1"/>
    </xf>
    <xf numFmtId="0" fontId="16" fillId="2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/>
    </xf>
    <xf numFmtId="0" fontId="24" fillId="6" borderId="13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81" fontId="3" fillId="2" borderId="13" xfId="0" applyNumberFormat="1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81" fontId="24" fillId="6" borderId="13" xfId="0" applyNumberFormat="1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wrapText="1"/>
    </xf>
    <xf numFmtId="0" fontId="16" fillId="7" borderId="13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12" fillId="7" borderId="13" xfId="0" applyFont="1" applyFill="1" applyBorder="1" applyAlignment="1">
      <alignment horizontal="center" wrapText="1"/>
    </xf>
    <xf numFmtId="0" fontId="18" fillId="0" borderId="0" xfId="0" applyFont="1" applyAlignment="1">
      <alignment horizontal="center" vertical="center" wrapText="1"/>
    </xf>
    <xf numFmtId="9" fontId="18" fillId="0" borderId="0" xfId="0" applyNumberFormat="1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1" fontId="3" fillId="8" borderId="13" xfId="0" applyNumberFormat="1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58" fontId="3" fillId="8" borderId="13" xfId="0" applyNumberFormat="1" applyFont="1" applyFill="1" applyBorder="1" applyAlignment="1">
      <alignment horizontal="center" vertical="center" wrapText="1"/>
    </xf>
    <xf numFmtId="58" fontId="3" fillId="2" borderId="13" xfId="0" applyNumberFormat="1" applyFont="1" applyFill="1" applyBorder="1" applyAlignment="1">
      <alignment horizontal="center" vertical="center" wrapText="1"/>
    </xf>
    <xf numFmtId="1" fontId="3" fillId="2" borderId="9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58" fontId="3" fillId="2" borderId="9" xfId="0" applyNumberFormat="1" applyFont="1" applyFill="1" applyBorder="1" applyAlignment="1">
      <alignment horizontal="center" vertical="center" wrapText="1"/>
    </xf>
    <xf numFmtId="180" fontId="3" fillId="8" borderId="13" xfId="0" applyNumberFormat="1" applyFont="1" applyFill="1" applyBorder="1" applyAlignment="1">
      <alignment horizontal="center" vertical="center" wrapText="1"/>
    </xf>
    <xf numFmtId="180" fontId="10" fillId="8" borderId="13" xfId="0" applyNumberFormat="1" applyFont="1" applyFill="1" applyBorder="1" applyAlignment="1">
      <alignment horizontal="center" vertical="center" wrapText="1"/>
    </xf>
    <xf numFmtId="180" fontId="10" fillId="8" borderId="12" xfId="0" applyNumberFormat="1" applyFont="1" applyFill="1" applyBorder="1" applyAlignment="1">
      <alignment horizontal="center" vertical="center" wrapText="1"/>
    </xf>
    <xf numFmtId="180" fontId="3" fillId="2" borderId="13" xfId="0" applyNumberFormat="1" applyFont="1" applyFill="1" applyBorder="1" applyAlignment="1">
      <alignment horizontal="center" vertical="center" wrapText="1"/>
    </xf>
    <xf numFmtId="180" fontId="10" fillId="2" borderId="13" xfId="0" applyNumberFormat="1" applyFont="1" applyFill="1" applyBorder="1" applyAlignment="1">
      <alignment horizontal="center" vertical="center" wrapText="1"/>
    </xf>
    <xf numFmtId="180" fontId="10" fillId="2" borderId="12" xfId="0" applyNumberFormat="1" applyFont="1" applyFill="1" applyBorder="1" applyAlignment="1">
      <alignment horizontal="center" vertical="center" wrapText="1"/>
    </xf>
    <xf numFmtId="180" fontId="3" fillId="2" borderId="9" xfId="0" applyNumberFormat="1" applyFont="1" applyFill="1" applyBorder="1" applyAlignment="1">
      <alignment horizontal="center" vertical="center" wrapText="1"/>
    </xf>
    <xf numFmtId="180" fontId="10" fillId="2" borderId="9" xfId="0" applyNumberFormat="1" applyFont="1" applyFill="1" applyBorder="1" applyAlignment="1">
      <alignment horizontal="center" vertical="center" wrapText="1"/>
    </xf>
    <xf numFmtId="180" fontId="10" fillId="2" borderId="26" xfId="0" applyNumberFormat="1" applyFont="1" applyFill="1" applyBorder="1" applyAlignment="1">
      <alignment horizontal="center" vertical="center" wrapText="1"/>
    </xf>
    <xf numFmtId="180" fontId="10" fillId="0" borderId="0" xfId="0" applyNumberFormat="1" applyFont="1" applyAlignment="1">
      <alignment horizontal="center" vertical="center" wrapText="1"/>
    </xf>
    <xf numFmtId="1" fontId="10" fillId="8" borderId="12" xfId="0" applyNumberFormat="1" applyFont="1" applyFill="1" applyBorder="1" applyAlignment="1">
      <alignment horizontal="center" vertical="center" wrapText="1"/>
    </xf>
    <xf numFmtId="1" fontId="10" fillId="2" borderId="12" xfId="0" applyNumberFormat="1" applyFont="1" applyFill="1" applyBorder="1" applyAlignment="1">
      <alignment horizontal="center" vertical="center" wrapText="1"/>
    </xf>
    <xf numFmtId="1" fontId="10" fillId="2" borderId="26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 wrapText="1"/>
    </xf>
    <xf numFmtId="1" fontId="10" fillId="2" borderId="9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1" fontId="10" fillId="2" borderId="1" xfId="0" applyNumberFormat="1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center" vertical="center" wrapText="1"/>
    </xf>
    <xf numFmtId="180" fontId="10" fillId="2" borderId="1" xfId="0" applyNumberFormat="1" applyFont="1" applyFill="1" applyBorder="1" applyAlignment="1">
      <alignment horizontal="center" vertical="center" wrapText="1"/>
    </xf>
    <xf numFmtId="1" fontId="3" fillId="8" borderId="9" xfId="0" applyNumberFormat="1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58" fontId="3" fillId="8" borderId="9" xfId="0" applyNumberFormat="1" applyFont="1" applyFill="1" applyBorder="1" applyAlignment="1">
      <alignment horizontal="center" vertical="center" wrapText="1"/>
    </xf>
    <xf numFmtId="180" fontId="3" fillId="8" borderId="9" xfId="0" applyNumberFormat="1" applyFont="1" applyFill="1" applyBorder="1" applyAlignment="1">
      <alignment horizontal="center" vertical="center" wrapText="1"/>
    </xf>
    <xf numFmtId="180" fontId="10" fillId="8" borderId="9" xfId="0" applyNumberFormat="1" applyFont="1" applyFill="1" applyBorder="1" applyAlignment="1">
      <alignment horizontal="center" vertical="center" wrapText="1"/>
    </xf>
    <xf numFmtId="180" fontId="10" fillId="8" borderId="26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8" borderId="13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180" fontId="10" fillId="8" borderId="4" xfId="0" applyNumberFormat="1" applyFont="1" applyFill="1" applyBorder="1" applyAlignment="1">
      <alignment horizontal="center" vertical="center" wrapText="1"/>
    </xf>
    <xf numFmtId="1" fontId="10" fillId="8" borderId="9" xfId="0" applyNumberFormat="1" applyFont="1" applyFill="1" applyBorder="1" applyAlignment="1">
      <alignment horizontal="center" vertical="center" wrapText="1"/>
    </xf>
    <xf numFmtId="1" fontId="3" fillId="8" borderId="3" xfId="0" applyNumberFormat="1" applyFont="1" applyFill="1" applyBorder="1" applyAlignment="1">
      <alignment horizontal="center" vertical="center" wrapText="1"/>
    </xf>
    <xf numFmtId="1" fontId="10" fillId="8" borderId="26" xfId="0" applyNumberFormat="1" applyFont="1" applyFill="1" applyBorder="1" applyAlignment="1">
      <alignment horizontal="center" vertical="center" wrapText="1"/>
    </xf>
    <xf numFmtId="1" fontId="10" fillId="8" borderId="1" xfId="0" applyNumberFormat="1" applyFont="1" applyFill="1" applyBorder="1" applyAlignment="1">
      <alignment horizontal="center" vertical="center" wrapText="1"/>
    </xf>
    <xf numFmtId="1" fontId="10" fillId="8" borderId="4" xfId="0" applyNumberFormat="1" applyFont="1" applyFill="1" applyBorder="1" applyAlignment="1">
      <alignment horizontal="center" vertical="center" wrapText="1"/>
    </xf>
    <xf numFmtId="1" fontId="10" fillId="8" borderId="6" xfId="0" applyNumberFormat="1" applyFont="1" applyFill="1" applyBorder="1" applyAlignment="1">
      <alignment horizontal="center" vertical="center" wrapText="1"/>
    </xf>
    <xf numFmtId="1" fontId="10" fillId="8" borderId="13" xfId="0" applyNumberFormat="1" applyFont="1" applyFill="1" applyBorder="1" applyAlignment="1">
      <alignment horizontal="center" vertical="center" wrapText="1"/>
    </xf>
    <xf numFmtId="180" fontId="10" fillId="8" borderId="1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58" fontId="20" fillId="2" borderId="13" xfId="0" applyNumberFormat="1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/>
    </xf>
    <xf numFmtId="58" fontId="21" fillId="8" borderId="13" xfId="0" applyNumberFormat="1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58" fontId="21" fillId="0" borderId="13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58" fontId="3" fillId="0" borderId="13" xfId="0" applyNumberFormat="1" applyFont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58" fontId="3" fillId="9" borderId="9" xfId="0" applyNumberFormat="1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58" fontId="3" fillId="9" borderId="13" xfId="0" applyNumberFormat="1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58" fontId="3" fillId="10" borderId="13" xfId="0" applyNumberFormat="1" applyFont="1" applyFill="1" applyBorder="1" applyAlignment="1">
      <alignment horizontal="center" vertical="center" wrapText="1"/>
    </xf>
    <xf numFmtId="0" fontId="21" fillId="9" borderId="13" xfId="0" applyFont="1" applyFill="1" applyBorder="1" applyAlignment="1">
      <alignment horizontal="center" vertical="center" wrapText="1"/>
    </xf>
    <xf numFmtId="58" fontId="21" fillId="9" borderId="13" xfId="0" applyNumberFormat="1" applyFont="1" applyFill="1" applyBorder="1" applyAlignment="1">
      <alignment horizontal="center" vertical="center" wrapText="1"/>
    </xf>
    <xf numFmtId="180" fontId="20" fillId="2" borderId="13" xfId="0" applyNumberFormat="1" applyFont="1" applyFill="1" applyBorder="1" applyAlignment="1">
      <alignment horizontal="center" vertical="center" wrapText="1"/>
    </xf>
    <xf numFmtId="180" fontId="22" fillId="2" borderId="13" xfId="0" applyNumberFormat="1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180" fontId="21" fillId="8" borderId="13" xfId="0" applyNumberFormat="1" applyFont="1" applyFill="1" applyBorder="1" applyAlignment="1">
      <alignment horizontal="center" vertical="center" wrapText="1"/>
    </xf>
    <xf numFmtId="180" fontId="11" fillId="8" borderId="13" xfId="0" applyNumberFormat="1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180" fontId="21" fillId="0" borderId="13" xfId="0" applyNumberFormat="1" applyFont="1" applyBorder="1" applyAlignment="1">
      <alignment horizontal="center" vertical="center" wrapText="1"/>
    </xf>
    <xf numFmtId="180" fontId="11" fillId="0" borderId="13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80" fontId="3" fillId="0" borderId="13" xfId="0" applyNumberFormat="1" applyFont="1" applyBorder="1" applyAlignment="1">
      <alignment horizontal="center" vertical="center" wrapText="1"/>
    </xf>
    <xf numFmtId="180" fontId="10" fillId="0" borderId="9" xfId="0" applyNumberFormat="1" applyFont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180" fontId="3" fillId="9" borderId="9" xfId="0" applyNumberFormat="1" applyFont="1" applyFill="1" applyBorder="1" applyAlignment="1">
      <alignment horizontal="center" vertical="center" wrapText="1"/>
    </xf>
    <xf numFmtId="180" fontId="10" fillId="9" borderId="9" xfId="0" applyNumberFormat="1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180" fontId="3" fillId="9" borderId="13" xfId="0" applyNumberFormat="1" applyFont="1" applyFill="1" applyBorder="1" applyAlignment="1">
      <alignment horizontal="center" vertical="center" wrapText="1"/>
    </xf>
    <xf numFmtId="180" fontId="10" fillId="9" borderId="13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180" fontId="3" fillId="10" borderId="13" xfId="0" applyNumberFormat="1" applyFont="1" applyFill="1" applyBorder="1" applyAlignment="1">
      <alignment horizontal="center" vertical="center" wrapText="1"/>
    </xf>
    <xf numFmtId="180" fontId="10" fillId="10" borderId="13" xfId="0" applyNumberFormat="1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180" fontId="21" fillId="9" borderId="13" xfId="0" applyNumberFormat="1" applyFont="1" applyFill="1" applyBorder="1" applyAlignment="1">
      <alignment horizontal="center" vertical="center" wrapText="1"/>
    </xf>
    <xf numFmtId="180" fontId="11" fillId="9" borderId="13" xfId="0" applyNumberFormat="1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180" fontId="22" fillId="2" borderId="10" xfId="0" applyNumberFormat="1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180" fontId="22" fillId="2" borderId="3" xfId="0" applyNumberFormat="1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180" fontId="11" fillId="0" borderId="12" xfId="0" applyNumberFormat="1" applyFont="1" applyBorder="1" applyAlignment="1">
      <alignment horizontal="center" vertical="center" wrapText="1"/>
    </xf>
    <xf numFmtId="180" fontId="10" fillId="8" borderId="3" xfId="0" applyNumberFormat="1" applyFont="1" applyFill="1" applyBorder="1" applyAlignment="1">
      <alignment horizontal="center" vertical="center" wrapText="1"/>
    </xf>
    <xf numFmtId="180" fontId="10" fillId="8" borderId="8" xfId="0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80" fontId="10" fillId="0" borderId="13" xfId="0" applyNumberFormat="1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80" fontId="10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180" fontId="10" fillId="2" borderId="8" xfId="0" applyNumberFormat="1" applyFont="1" applyFill="1" applyBorder="1" applyAlignment="1">
      <alignment horizontal="center" vertical="center" wrapText="1"/>
    </xf>
    <xf numFmtId="180" fontId="10" fillId="9" borderId="1" xfId="0" applyNumberFormat="1" applyFont="1" applyFill="1" applyBorder="1" applyAlignment="1">
      <alignment horizontal="center" vertical="center" wrapText="1"/>
    </xf>
    <xf numFmtId="180" fontId="10" fillId="9" borderId="3" xfId="0" applyNumberFormat="1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 wrapText="1"/>
    </xf>
    <xf numFmtId="180" fontId="10" fillId="9" borderId="8" xfId="0" applyNumberFormat="1" applyFont="1" applyFill="1" applyBorder="1" applyAlignment="1">
      <alignment horizontal="center" vertical="center" wrapText="1"/>
    </xf>
    <xf numFmtId="180" fontId="10" fillId="9" borderId="12" xfId="0" applyNumberFormat="1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center" vertical="center" wrapText="1"/>
    </xf>
    <xf numFmtId="0" fontId="10" fillId="9" borderId="26" xfId="0" applyFont="1" applyFill="1" applyBorder="1" applyAlignment="1">
      <alignment horizontal="center" vertical="center" wrapText="1"/>
    </xf>
    <xf numFmtId="180" fontId="10" fillId="9" borderId="26" xfId="0" applyNumberFormat="1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 wrapText="1"/>
    </xf>
    <xf numFmtId="58" fontId="3" fillId="11" borderId="13" xfId="0" applyNumberFormat="1" applyFont="1" applyFill="1" applyBorder="1" applyAlignment="1">
      <alignment horizontal="center" vertical="center" wrapText="1"/>
    </xf>
    <xf numFmtId="180" fontId="3" fillId="11" borderId="13" xfId="0" applyNumberFormat="1" applyFont="1" applyFill="1" applyBorder="1" applyAlignment="1">
      <alignment horizontal="center" vertical="center" wrapText="1"/>
    </xf>
    <xf numFmtId="180" fontId="10" fillId="11" borderId="13" xfId="0" applyNumberFormat="1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 wrapText="1"/>
    </xf>
    <xf numFmtId="0" fontId="10" fillId="8" borderId="26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58" fontId="21" fillId="2" borderId="13" xfId="0" applyNumberFormat="1" applyFont="1" applyFill="1" applyBorder="1" applyAlignment="1">
      <alignment horizontal="center" vertical="center" wrapText="1"/>
    </xf>
    <xf numFmtId="180" fontId="3" fillId="9" borderId="1" xfId="0" applyNumberFormat="1" applyFont="1" applyFill="1" applyBorder="1" applyAlignment="1">
      <alignment horizontal="center" vertical="center" wrapText="1"/>
    </xf>
    <xf numFmtId="180" fontId="21" fillId="2" borderId="13" xfId="0" applyNumberFormat="1" applyFont="1" applyFill="1" applyBorder="1" applyAlignment="1">
      <alignment horizontal="center" vertical="center" wrapText="1"/>
    </xf>
    <xf numFmtId="180" fontId="11" fillId="2" borderId="13" xfId="0" applyNumberFormat="1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180" fontId="10" fillId="8" borderId="5" xfId="0" applyNumberFormat="1" applyFont="1" applyFill="1" applyBorder="1" applyAlignment="1">
      <alignment horizontal="center" vertical="center" wrapText="1"/>
    </xf>
    <xf numFmtId="58" fontId="3" fillId="0" borderId="9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58" fontId="21" fillId="0" borderId="9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80" fontId="3" fillId="0" borderId="9" xfId="0" applyNumberFormat="1" applyFont="1" applyBorder="1" applyAlignment="1">
      <alignment horizontal="center" vertical="center" wrapText="1"/>
    </xf>
    <xf numFmtId="180" fontId="9" fillId="0" borderId="9" xfId="0" applyNumberFormat="1" applyFont="1" applyBorder="1" applyAlignment="1">
      <alignment horizontal="center" vertical="center" wrapText="1"/>
    </xf>
    <xf numFmtId="180" fontId="10" fillId="0" borderId="26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80" fontId="10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80" fontId="10" fillId="0" borderId="12" xfId="0" applyNumberFormat="1" applyFont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24" fillId="6" borderId="0" xfId="0" applyFont="1" applyFill="1" applyAlignment="1">
      <alignment horizontal="center" wrapText="1"/>
    </xf>
    <xf numFmtId="0" fontId="24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wrapText="1"/>
    </xf>
    <xf numFmtId="180" fontId="12" fillId="2" borderId="0" xfId="0" applyNumberFormat="1" applyFont="1" applyFill="1" applyAlignment="1">
      <alignment horizontal="center" wrapText="1"/>
    </xf>
    <xf numFmtId="180" fontId="3" fillId="2" borderId="0" xfId="0" applyNumberFormat="1" applyFont="1" applyFill="1"/>
    <xf numFmtId="180" fontId="25" fillId="2" borderId="0" xfId="0" applyNumberFormat="1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180" fontId="12" fillId="3" borderId="0" xfId="0" applyNumberFormat="1" applyFont="1" applyFill="1" applyAlignment="1">
      <alignment horizontal="center" wrapText="1"/>
    </xf>
    <xf numFmtId="0" fontId="3" fillId="3" borderId="0" xfId="0" applyFont="1" applyFill="1"/>
    <xf numFmtId="182" fontId="3" fillId="2" borderId="0" xfId="0" applyNumberFormat="1" applyFont="1" applyFill="1" applyAlignment="1">
      <alignment horizontal="center" vertical="center" wrapText="1"/>
    </xf>
    <xf numFmtId="180" fontId="9" fillId="0" borderId="0" xfId="0" applyNumberFormat="1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B11"/>
  <sheetViews>
    <sheetView workbookViewId="0">
      <selection activeCell="A1" sqref="A1"/>
    </sheetView>
  </sheetViews>
  <sheetFormatPr defaultColWidth="12.6296296296296" defaultRowHeight="15.75" customHeight="1" outlineLevelCol="1"/>
  <sheetData>
    <row r="2" customHeight="1" spans="1:2">
      <c r="A2" s="166" t="s">
        <v>0</v>
      </c>
      <c r="B2" s="166" t="s">
        <v>1</v>
      </c>
    </row>
    <row r="3" customHeight="1" spans="1:2">
      <c r="A3" s="166" t="s">
        <v>2</v>
      </c>
      <c r="B3" s="166" t="s">
        <v>1</v>
      </c>
    </row>
    <row r="4" customHeight="1" spans="1:2">
      <c r="A4" s="166" t="s">
        <v>3</v>
      </c>
      <c r="B4" s="166" t="s">
        <v>3</v>
      </c>
    </row>
    <row r="5" customHeight="1" spans="1:2">
      <c r="A5" s="166" t="s">
        <v>4</v>
      </c>
      <c r="B5" s="166" t="s">
        <v>3</v>
      </c>
    </row>
    <row r="6" customHeight="1" spans="1:2">
      <c r="A6" s="166"/>
      <c r="B6" s="166"/>
    </row>
    <row r="7" customHeight="1" spans="1:2">
      <c r="A7" s="166" t="s">
        <v>5</v>
      </c>
      <c r="B7" s="166" t="s">
        <v>6</v>
      </c>
    </row>
    <row r="8" customHeight="1" spans="1:2">
      <c r="A8" s="166" t="s">
        <v>5</v>
      </c>
      <c r="B8" s="334">
        <v>0</v>
      </c>
    </row>
    <row r="9" customHeight="1" spans="1:2">
      <c r="A9" s="166" t="s">
        <v>7</v>
      </c>
      <c r="B9" s="334" t="s">
        <v>8</v>
      </c>
    </row>
    <row r="10" customHeight="1" spans="1:2">
      <c r="A10" s="166" t="s">
        <v>9</v>
      </c>
      <c r="B10" s="334"/>
    </row>
    <row r="11" customHeight="1" spans="1:2">
      <c r="A11" s="166" t="s">
        <v>10</v>
      </c>
      <c r="B11" s="33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9"/>
  <sheetViews>
    <sheetView showGridLines="0" workbookViewId="0">
      <selection activeCell="A1" sqref="A1"/>
    </sheetView>
  </sheetViews>
  <sheetFormatPr defaultColWidth="12.6296296296296" defaultRowHeight="15.75" customHeight="1"/>
  <cols>
    <col min="1" max="1" width="2.5" customWidth="1"/>
    <col min="3" max="3" width="24.8796296296296" customWidth="1"/>
    <col min="4" max="4" width="18.8796296296296" customWidth="1"/>
    <col min="5" max="5" width="40.5" customWidth="1"/>
  </cols>
  <sheetData>
    <row r="1" ht="16.5" customHeight="1" spans="2:13">
      <c r="B1" s="322" t="s">
        <v>11</v>
      </c>
      <c r="D1" s="6"/>
      <c r="E1" s="4"/>
      <c r="F1" s="36"/>
      <c r="G1" s="36"/>
      <c r="H1" s="36"/>
      <c r="I1" s="36"/>
      <c r="J1" s="36"/>
      <c r="K1" s="36"/>
      <c r="L1" s="36"/>
      <c r="M1" s="36"/>
    </row>
    <row r="2" ht="26.4" spans="2:13">
      <c r="B2" s="323" t="s">
        <v>12</v>
      </c>
      <c r="C2" s="323" t="s">
        <v>13</v>
      </c>
      <c r="D2" s="323" t="s">
        <v>14</v>
      </c>
      <c r="E2" s="323" t="s">
        <v>15</v>
      </c>
      <c r="F2" s="324"/>
      <c r="G2" s="324"/>
      <c r="H2" s="324"/>
      <c r="I2" s="324"/>
      <c r="J2" s="324"/>
      <c r="K2" s="324"/>
      <c r="L2" s="324"/>
      <c r="M2" s="324"/>
    </row>
    <row r="3" ht="15" spans="2:13">
      <c r="B3" s="325">
        <v>2470</v>
      </c>
      <c r="C3" s="47" t="s">
        <v>16</v>
      </c>
      <c r="D3" s="326">
        <v>109.9</v>
      </c>
      <c r="E3" s="327"/>
      <c r="F3" s="26"/>
      <c r="G3" s="328"/>
      <c r="H3" s="26"/>
      <c r="I3" s="129"/>
      <c r="J3" s="333"/>
      <c r="K3" s="26"/>
      <c r="L3" s="26"/>
      <c r="M3" s="129"/>
    </row>
    <row r="4" ht="15" spans="2:13">
      <c r="B4" s="329">
        <v>2550</v>
      </c>
      <c r="C4" s="330" t="s">
        <v>17</v>
      </c>
      <c r="D4" s="331">
        <v>29</v>
      </c>
      <c r="E4" s="332"/>
      <c r="F4" s="26"/>
      <c r="G4" s="328"/>
      <c r="H4" s="26"/>
      <c r="I4" s="129"/>
      <c r="J4" s="26"/>
      <c r="K4" s="26"/>
      <c r="L4" s="26"/>
      <c r="M4" s="129"/>
    </row>
    <row r="5" ht="15" spans="2:13">
      <c r="B5" s="325">
        <v>2731</v>
      </c>
      <c r="C5" s="47" t="s">
        <v>18</v>
      </c>
      <c r="D5" s="326">
        <v>29</v>
      </c>
      <c r="E5" s="327"/>
      <c r="F5" s="26"/>
      <c r="G5" s="328"/>
      <c r="H5" s="26"/>
      <c r="I5" s="129"/>
      <c r="J5" s="333"/>
      <c r="K5" s="26"/>
      <c r="L5" s="26"/>
      <c r="M5" s="129"/>
    </row>
    <row r="6" ht="15" spans="2:13">
      <c r="B6" s="329">
        <v>2827</v>
      </c>
      <c r="C6" s="330" t="s">
        <v>19</v>
      </c>
      <c r="D6" s="331">
        <v>0.57</v>
      </c>
      <c r="E6" s="332"/>
      <c r="F6" s="26"/>
      <c r="G6" s="328"/>
      <c r="H6" s="26"/>
      <c r="I6" s="129"/>
      <c r="J6" s="26"/>
      <c r="K6" s="26"/>
      <c r="L6" s="26"/>
      <c r="M6" s="129"/>
    </row>
    <row r="7" ht="15" spans="2:13">
      <c r="B7" s="325">
        <v>2828</v>
      </c>
      <c r="C7" s="47" t="s">
        <v>20</v>
      </c>
      <c r="D7" s="326">
        <v>4.28</v>
      </c>
      <c r="E7" s="327"/>
      <c r="F7" s="26"/>
      <c r="G7" s="328"/>
      <c r="H7" s="26"/>
      <c r="I7" s="129"/>
      <c r="J7" s="333"/>
      <c r="K7" s="26"/>
      <c r="L7" s="26"/>
      <c r="M7" s="129"/>
    </row>
    <row r="8" ht="15" spans="2:13">
      <c r="B8" s="329">
        <v>2946</v>
      </c>
      <c r="C8" s="330" t="s">
        <v>21</v>
      </c>
      <c r="D8" s="331">
        <v>62.5</v>
      </c>
      <c r="E8" s="332"/>
      <c r="F8" s="26"/>
      <c r="G8" s="328"/>
      <c r="H8" s="26"/>
      <c r="I8" s="129"/>
      <c r="J8" s="26"/>
      <c r="K8" s="26"/>
      <c r="L8" s="26"/>
      <c r="M8" s="129"/>
    </row>
    <row r="9" ht="26.4" spans="2:13">
      <c r="B9" s="325">
        <v>2953</v>
      </c>
      <c r="C9" s="47" t="s">
        <v>22</v>
      </c>
      <c r="D9" s="326">
        <v>150</v>
      </c>
      <c r="E9" s="327"/>
      <c r="F9" s="26"/>
      <c r="G9" s="328"/>
      <c r="H9" s="26"/>
      <c r="I9" s="129"/>
      <c r="J9" s="333"/>
      <c r="K9" s="26"/>
      <c r="L9" s="26"/>
      <c r="M9" s="129"/>
    </row>
    <row r="10" ht="15" spans="2:13">
      <c r="B10" s="329">
        <v>2957</v>
      </c>
      <c r="C10" s="330" t="s">
        <v>23</v>
      </c>
      <c r="D10" s="331">
        <v>180</v>
      </c>
      <c r="E10" s="332"/>
      <c r="F10" s="26"/>
      <c r="G10" s="328"/>
      <c r="H10" s="26"/>
      <c r="I10" s="129"/>
      <c r="J10" s="26"/>
      <c r="K10" s="26"/>
      <c r="L10" s="26"/>
      <c r="M10" s="129"/>
    </row>
    <row r="11" ht="15" spans="2:13">
      <c r="B11" s="325">
        <v>2959</v>
      </c>
      <c r="C11" s="47" t="s">
        <v>24</v>
      </c>
      <c r="D11" s="326">
        <v>15</v>
      </c>
      <c r="E11" s="327"/>
      <c r="F11" s="26"/>
      <c r="G11" s="328"/>
      <c r="H11" s="26"/>
      <c r="I11" s="129"/>
      <c r="J11" s="333"/>
      <c r="K11" s="26"/>
      <c r="L11" s="26"/>
      <c r="M11" s="129"/>
    </row>
    <row r="12" ht="15" spans="2:13">
      <c r="B12" s="329">
        <v>3006</v>
      </c>
      <c r="C12" s="330" t="s">
        <v>25</v>
      </c>
      <c r="D12" s="331">
        <f>79.92+10</f>
        <v>89.92</v>
      </c>
      <c r="E12" s="332" t="s">
        <v>26</v>
      </c>
      <c r="F12" s="26"/>
      <c r="G12" s="328"/>
      <c r="H12" s="26"/>
      <c r="I12" s="129"/>
      <c r="J12" s="26"/>
      <c r="K12" s="26"/>
      <c r="L12" s="26"/>
      <c r="M12" s="129"/>
    </row>
    <row r="13" ht="15" spans="2:13">
      <c r="B13" s="325">
        <v>3007</v>
      </c>
      <c r="C13" s="47" t="s">
        <v>27</v>
      </c>
      <c r="D13" s="326">
        <f t="shared" ref="D13:D14" si="0">119.9+10</f>
        <v>129.9</v>
      </c>
      <c r="E13" s="327" t="s">
        <v>26</v>
      </c>
      <c r="F13" s="26"/>
      <c r="G13" s="328"/>
      <c r="H13" s="26"/>
      <c r="I13" s="129"/>
      <c r="J13" s="333"/>
      <c r="K13" s="26"/>
      <c r="L13" s="26"/>
      <c r="M13" s="129"/>
    </row>
    <row r="14" ht="15" spans="2:13">
      <c r="B14" s="329">
        <v>3008</v>
      </c>
      <c r="C14" s="330" t="s">
        <v>28</v>
      </c>
      <c r="D14" s="331">
        <f t="shared" si="0"/>
        <v>129.9</v>
      </c>
      <c r="E14" s="332" t="s">
        <v>26</v>
      </c>
      <c r="F14" s="26"/>
      <c r="G14" s="328"/>
      <c r="H14" s="26"/>
      <c r="I14" s="129"/>
      <c r="J14" s="26"/>
      <c r="K14" s="26"/>
      <c r="L14" s="26"/>
      <c r="M14" s="129"/>
    </row>
    <row r="15" ht="15" spans="2:13">
      <c r="B15" s="325">
        <v>3009</v>
      </c>
      <c r="C15" s="47" t="s">
        <v>29</v>
      </c>
      <c r="D15" s="326">
        <f>79.9</f>
        <v>79.9</v>
      </c>
      <c r="E15" s="327"/>
      <c r="F15" s="26"/>
      <c r="G15" s="328"/>
      <c r="H15" s="26"/>
      <c r="I15" s="129"/>
      <c r="J15" s="333"/>
      <c r="K15" s="26"/>
      <c r="L15" s="26"/>
      <c r="M15" s="129"/>
    </row>
    <row r="16" ht="15" spans="2:13">
      <c r="B16" s="329">
        <v>3010</v>
      </c>
      <c r="C16" s="330" t="s">
        <v>30</v>
      </c>
      <c r="D16" s="331">
        <f>149.9+10</f>
        <v>159.9</v>
      </c>
      <c r="E16" s="332" t="s">
        <v>26</v>
      </c>
      <c r="F16" s="26"/>
      <c r="G16" s="328"/>
      <c r="H16" s="26"/>
      <c r="I16" s="129"/>
      <c r="J16" s="26"/>
      <c r="K16" s="26"/>
      <c r="L16" s="26"/>
      <c r="M16" s="129"/>
    </row>
    <row r="17" ht="15" spans="2:13">
      <c r="B17" s="325">
        <v>3049</v>
      </c>
      <c r="C17" s="47" t="s">
        <v>31</v>
      </c>
      <c r="D17" s="326">
        <v>129.9</v>
      </c>
      <c r="E17" s="327"/>
      <c r="F17" s="26"/>
      <c r="G17" s="328"/>
      <c r="H17" s="26"/>
      <c r="I17" s="129"/>
      <c r="J17" s="333"/>
      <c r="K17" s="26"/>
      <c r="L17" s="26"/>
      <c r="M17" s="129"/>
    </row>
    <row r="18" ht="15" spans="1:26">
      <c r="A18" s="36"/>
      <c r="B18" s="325"/>
      <c r="C18" s="47"/>
      <c r="D18" s="326"/>
      <c r="E18" s="85"/>
      <c r="F18" s="26"/>
      <c r="G18" s="328"/>
      <c r="H18" s="26"/>
      <c r="I18" s="129"/>
      <c r="J18" s="26"/>
      <c r="K18" s="26"/>
      <c r="L18" s="26"/>
      <c r="M18" s="129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3.2" spans="2:13">
      <c r="B19" s="166"/>
      <c r="C19" s="166"/>
      <c r="D19" s="82"/>
      <c r="E19" s="82"/>
      <c r="F19" s="82"/>
      <c r="G19" s="82"/>
      <c r="H19" s="82"/>
      <c r="I19" s="82"/>
      <c r="J19" s="82"/>
      <c r="K19" s="82"/>
      <c r="L19" s="82"/>
      <c r="M19" s="82"/>
    </row>
    <row r="20" ht="13.2" spans="4:13">
      <c r="D20" s="36"/>
      <c r="E20" s="36"/>
      <c r="F20" s="36"/>
      <c r="G20" s="36"/>
      <c r="H20" s="36"/>
      <c r="I20" s="36"/>
      <c r="J20" s="36"/>
      <c r="K20" s="36"/>
      <c r="L20" s="36"/>
      <c r="M20" s="36"/>
    </row>
    <row r="21" ht="13.2" spans="4:13"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ht="13.2" spans="4:13">
      <c r="D22" s="36"/>
      <c r="E22" s="36"/>
      <c r="F22" s="36"/>
      <c r="G22" s="36"/>
      <c r="H22" s="36"/>
      <c r="I22" s="36"/>
      <c r="J22" s="36"/>
      <c r="K22" s="36"/>
      <c r="L22" s="36"/>
      <c r="M22" s="36"/>
    </row>
    <row r="23" ht="13.2" spans="4:13"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ht="13.2" spans="4:13"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ht="13.2" spans="4:13">
      <c r="D25" s="36"/>
      <c r="E25" s="36"/>
      <c r="F25" s="36"/>
      <c r="G25" s="36"/>
      <c r="H25" s="36"/>
      <c r="I25" s="36"/>
      <c r="J25" s="36"/>
      <c r="K25" s="36"/>
      <c r="L25" s="36"/>
      <c r="M25" s="36"/>
    </row>
    <row r="26" ht="13.2" spans="4:13">
      <c r="D26" s="36"/>
      <c r="E26" s="36"/>
      <c r="F26" s="36"/>
      <c r="G26" s="36"/>
      <c r="H26" s="36"/>
      <c r="I26" s="36"/>
      <c r="J26" s="36"/>
      <c r="K26" s="36"/>
      <c r="L26" s="36"/>
      <c r="M26" s="36"/>
    </row>
    <row r="27" ht="13.2" spans="4:13">
      <c r="D27" s="36"/>
      <c r="E27" s="36"/>
      <c r="F27" s="36"/>
      <c r="G27" s="36"/>
      <c r="H27" s="36"/>
      <c r="I27" s="36"/>
      <c r="J27" s="36"/>
      <c r="K27" s="36"/>
      <c r="L27" s="36"/>
      <c r="M27" s="36"/>
    </row>
    <row r="28" ht="13.2" spans="4:13">
      <c r="D28" s="36"/>
      <c r="E28" s="36"/>
      <c r="F28" s="36"/>
      <c r="G28" s="36"/>
      <c r="H28" s="36"/>
      <c r="I28" s="36"/>
      <c r="J28" s="36"/>
      <c r="K28" s="36"/>
      <c r="L28" s="36"/>
      <c r="M28" s="36"/>
    </row>
    <row r="29" ht="13.2" spans="4:13">
      <c r="D29" s="36"/>
      <c r="E29" s="36"/>
      <c r="F29" s="36"/>
      <c r="G29" s="36"/>
      <c r="H29" s="36"/>
      <c r="I29" s="36"/>
      <c r="J29" s="36"/>
      <c r="K29" s="36"/>
      <c r="L29" s="36"/>
      <c r="M29" s="36"/>
    </row>
    <row r="30" ht="13.2" spans="4:13">
      <c r="D30" s="36"/>
      <c r="E30" s="36"/>
      <c r="F30" s="36"/>
      <c r="G30" s="36"/>
      <c r="H30" s="36"/>
      <c r="I30" s="36"/>
      <c r="J30" s="36"/>
      <c r="K30" s="36"/>
      <c r="L30" s="36"/>
      <c r="M30" s="36"/>
    </row>
    <row r="31" ht="13.2" spans="4:13">
      <c r="D31" s="36"/>
      <c r="E31" s="36"/>
      <c r="F31" s="36"/>
      <c r="G31" s="36"/>
      <c r="H31" s="36"/>
      <c r="I31" s="36"/>
      <c r="J31" s="36"/>
      <c r="K31" s="36"/>
      <c r="L31" s="36"/>
      <c r="M31" s="36"/>
    </row>
    <row r="32" ht="13.2" spans="4:13">
      <c r="D32" s="36"/>
      <c r="E32" s="36"/>
      <c r="F32" s="36"/>
      <c r="G32" s="36"/>
      <c r="H32" s="36"/>
      <c r="I32" s="36"/>
      <c r="J32" s="36"/>
      <c r="K32" s="36"/>
      <c r="L32" s="36"/>
      <c r="M32" s="36"/>
    </row>
    <row r="33" ht="13.2" spans="4:13">
      <c r="D33" s="36"/>
      <c r="E33" s="36"/>
      <c r="F33" s="36"/>
      <c r="G33" s="36"/>
      <c r="H33" s="36"/>
      <c r="I33" s="36"/>
      <c r="J33" s="36"/>
      <c r="K33" s="36"/>
      <c r="L33" s="36"/>
      <c r="M33" s="36"/>
    </row>
    <row r="34" ht="13.2" spans="4:13">
      <c r="D34" s="36"/>
      <c r="E34" s="36"/>
      <c r="F34" s="36"/>
      <c r="G34" s="36"/>
      <c r="H34" s="36"/>
      <c r="I34" s="36"/>
      <c r="J34" s="36"/>
      <c r="K34" s="36"/>
      <c r="L34" s="36"/>
      <c r="M34" s="36"/>
    </row>
    <row r="35" ht="13.2" spans="4:13"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ht="13.2" spans="4:13"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ht="13.2" spans="4:13"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ht="13.2" spans="4:13"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 ht="13.2" spans="4:13"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ht="13.2" spans="4:13"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ht="13.2" spans="4:13"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ht="13.2" spans="4:13"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 ht="13.2" spans="4:13"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ht="13.2" spans="4:13"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ht="13.2" spans="4:13"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ht="13.2" spans="4:13"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ht="13.2" spans="4:13"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ht="13.2" spans="4:13"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ht="13.2" spans="4:13"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ht="13.2" spans="4:13"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ht="13.2" spans="4:13"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 ht="13.2" spans="4:13"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ht="13.2" spans="4:13"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ht="13.2" spans="4:13"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ht="13.2" spans="4:13">
      <c r="D55" s="36"/>
      <c r="E55" s="36"/>
      <c r="F55" s="36"/>
      <c r="G55" s="36"/>
      <c r="H55" s="36"/>
      <c r="I55" s="36"/>
      <c r="J55" s="36"/>
      <c r="K55" s="36"/>
      <c r="L55" s="36"/>
      <c r="M55" s="36"/>
    </row>
    <row r="56" ht="13.2" spans="4:13"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 ht="13.2" spans="4:13">
      <c r="D57" s="36"/>
      <c r="E57" s="36"/>
      <c r="F57" s="36"/>
      <c r="G57" s="36"/>
      <c r="H57" s="36"/>
      <c r="I57" s="36"/>
      <c r="J57" s="36"/>
      <c r="K57" s="36"/>
      <c r="L57" s="36"/>
      <c r="M57" s="36"/>
    </row>
    <row r="58" ht="13.2" spans="4:13">
      <c r="D58" s="36"/>
      <c r="E58" s="36"/>
      <c r="F58" s="36"/>
      <c r="G58" s="36"/>
      <c r="H58" s="36"/>
      <c r="I58" s="36"/>
      <c r="J58" s="36"/>
      <c r="K58" s="36"/>
      <c r="L58" s="36"/>
      <c r="M58" s="36"/>
    </row>
    <row r="59" ht="13.2" spans="4:13">
      <c r="D59" s="36"/>
      <c r="E59" s="36"/>
      <c r="F59" s="36"/>
      <c r="G59" s="36"/>
      <c r="H59" s="36"/>
      <c r="I59" s="36"/>
      <c r="J59" s="36"/>
      <c r="K59" s="36"/>
      <c r="L59" s="36"/>
      <c r="M59" s="36"/>
    </row>
    <row r="60" ht="13.2" spans="4:13">
      <c r="D60" s="36"/>
      <c r="E60" s="36"/>
      <c r="F60" s="36"/>
      <c r="G60" s="36"/>
      <c r="H60" s="36"/>
      <c r="I60" s="36"/>
      <c r="J60" s="36"/>
      <c r="K60" s="36"/>
      <c r="L60" s="36"/>
      <c r="M60" s="36"/>
    </row>
    <row r="61" ht="13.2" spans="4:13"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ht="13.2" spans="4:13">
      <c r="D62" s="36"/>
      <c r="E62" s="36"/>
      <c r="F62" s="36"/>
      <c r="G62" s="36"/>
      <c r="H62" s="36"/>
      <c r="I62" s="36"/>
      <c r="J62" s="36"/>
      <c r="K62" s="36"/>
      <c r="L62" s="36"/>
      <c r="M62" s="36"/>
    </row>
    <row r="63" ht="13.2" spans="4:13">
      <c r="D63" s="36"/>
      <c r="E63" s="36"/>
      <c r="F63" s="36"/>
      <c r="G63" s="36"/>
      <c r="H63" s="36"/>
      <c r="I63" s="36"/>
      <c r="J63" s="36"/>
      <c r="K63" s="36"/>
      <c r="L63" s="36"/>
      <c r="M63" s="36"/>
    </row>
    <row r="64" ht="13.2" spans="4:13">
      <c r="D64" s="36"/>
      <c r="E64" s="36"/>
      <c r="F64" s="36"/>
      <c r="G64" s="36"/>
      <c r="H64" s="36"/>
      <c r="I64" s="36"/>
      <c r="J64" s="36"/>
      <c r="K64" s="36"/>
      <c r="L64" s="36"/>
      <c r="M64" s="36"/>
    </row>
    <row r="65" ht="13.2" spans="4:13">
      <c r="D65" s="36"/>
      <c r="E65" s="36"/>
      <c r="F65" s="36"/>
      <c r="G65" s="36"/>
      <c r="H65" s="36"/>
      <c r="I65" s="36"/>
      <c r="J65" s="36"/>
      <c r="K65" s="36"/>
      <c r="L65" s="36"/>
      <c r="M65" s="36"/>
    </row>
    <row r="66" ht="13.2" spans="4:13">
      <c r="D66" s="36"/>
      <c r="E66" s="36"/>
      <c r="F66" s="36"/>
      <c r="G66" s="36"/>
      <c r="H66" s="36"/>
      <c r="I66" s="36"/>
      <c r="J66" s="36"/>
      <c r="K66" s="36"/>
      <c r="L66" s="36"/>
      <c r="M66" s="36"/>
    </row>
    <row r="67" ht="13.2" spans="4:13">
      <c r="D67" s="36"/>
      <c r="E67" s="36"/>
      <c r="F67" s="36"/>
      <c r="G67" s="36"/>
      <c r="H67" s="36"/>
      <c r="I67" s="36"/>
      <c r="J67" s="36"/>
      <c r="K67" s="36"/>
      <c r="L67" s="36"/>
      <c r="M67" s="36"/>
    </row>
    <row r="68" ht="13.2" spans="4:13"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ht="13.2" spans="4:13"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 ht="13.2" spans="4:13"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ht="13.2" spans="4:13">
      <c r="D71" s="36"/>
      <c r="E71" s="36"/>
      <c r="F71" s="36"/>
      <c r="G71" s="36"/>
      <c r="H71" s="36"/>
      <c r="I71" s="36"/>
      <c r="J71" s="36"/>
      <c r="K71" s="36"/>
      <c r="L71" s="36"/>
      <c r="M71" s="36"/>
    </row>
    <row r="72" ht="13.2" spans="4:13"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 ht="13.2" spans="4:13">
      <c r="D73" s="36"/>
      <c r="E73" s="36"/>
      <c r="F73" s="36"/>
      <c r="G73" s="36"/>
      <c r="H73" s="36"/>
      <c r="I73" s="36"/>
      <c r="J73" s="36"/>
      <c r="K73" s="36"/>
      <c r="L73" s="36"/>
      <c r="M73" s="36"/>
    </row>
    <row r="74" ht="13.2" spans="4:13"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 ht="13.2" spans="4:13">
      <c r="D75" s="36"/>
      <c r="E75" s="36"/>
      <c r="F75" s="36"/>
      <c r="G75" s="36"/>
      <c r="H75" s="36"/>
      <c r="I75" s="36"/>
      <c r="J75" s="36"/>
      <c r="K75" s="36"/>
      <c r="L75" s="36"/>
      <c r="M75" s="36"/>
    </row>
    <row r="76" ht="13.2" spans="4:13">
      <c r="D76" s="36"/>
      <c r="E76" s="36"/>
      <c r="F76" s="36"/>
      <c r="G76" s="36"/>
      <c r="H76" s="36"/>
      <c r="I76" s="36"/>
      <c r="J76" s="36"/>
      <c r="K76" s="36"/>
      <c r="L76" s="36"/>
      <c r="M76" s="36"/>
    </row>
    <row r="77" ht="13.2" spans="4:13">
      <c r="D77" s="36"/>
      <c r="E77" s="36"/>
      <c r="F77" s="36"/>
      <c r="G77" s="36"/>
      <c r="H77" s="36"/>
      <c r="I77" s="36"/>
      <c r="J77" s="36"/>
      <c r="K77" s="36"/>
      <c r="L77" s="36"/>
      <c r="M77" s="36"/>
    </row>
    <row r="78" ht="13.2" spans="4:13">
      <c r="D78" s="36"/>
      <c r="E78" s="36"/>
      <c r="F78" s="36"/>
      <c r="G78" s="36"/>
      <c r="H78" s="36"/>
      <c r="I78" s="36"/>
      <c r="J78" s="36"/>
      <c r="K78" s="36"/>
      <c r="L78" s="36"/>
      <c r="M78" s="36"/>
    </row>
    <row r="79" ht="13.2" spans="4:13">
      <c r="D79" s="36"/>
      <c r="E79" s="36"/>
      <c r="F79" s="36"/>
      <c r="G79" s="36"/>
      <c r="H79" s="36"/>
      <c r="I79" s="36"/>
      <c r="J79" s="36"/>
      <c r="K79" s="36"/>
      <c r="L79" s="36"/>
      <c r="M79" s="36"/>
    </row>
    <row r="80" ht="13.2" spans="4:13">
      <c r="D80" s="36"/>
      <c r="E80" s="36"/>
      <c r="F80" s="36"/>
      <c r="G80" s="36"/>
      <c r="H80" s="36"/>
      <c r="I80" s="36"/>
      <c r="J80" s="36"/>
      <c r="K80" s="36"/>
      <c r="L80" s="36"/>
      <c r="M80" s="36"/>
    </row>
    <row r="81" ht="13.2" spans="4:13">
      <c r="D81" s="36"/>
      <c r="E81" s="36"/>
      <c r="F81" s="36"/>
      <c r="G81" s="36"/>
      <c r="H81" s="36"/>
      <c r="I81" s="36"/>
      <c r="J81" s="36"/>
      <c r="K81" s="36"/>
      <c r="L81" s="36"/>
      <c r="M81" s="36"/>
    </row>
    <row r="82" ht="13.2" spans="4:13">
      <c r="D82" s="36"/>
      <c r="E82" s="36"/>
      <c r="F82" s="36"/>
      <c r="G82" s="36"/>
      <c r="H82" s="36"/>
      <c r="I82" s="36"/>
      <c r="J82" s="36"/>
      <c r="K82" s="36"/>
      <c r="L82" s="36"/>
      <c r="M82" s="36"/>
    </row>
    <row r="83" ht="13.2" spans="4:13">
      <c r="D83" s="36"/>
      <c r="E83" s="36"/>
      <c r="F83" s="36"/>
      <c r="G83" s="36"/>
      <c r="H83" s="36"/>
      <c r="I83" s="36"/>
      <c r="J83" s="36"/>
      <c r="K83" s="36"/>
      <c r="L83" s="36"/>
      <c r="M83" s="36"/>
    </row>
    <row r="84" ht="13.2" spans="4:13">
      <c r="D84" s="36"/>
      <c r="E84" s="36"/>
      <c r="F84" s="36"/>
      <c r="G84" s="36"/>
      <c r="H84" s="36"/>
      <c r="I84" s="36"/>
      <c r="J84" s="36"/>
      <c r="K84" s="36"/>
      <c r="L84" s="36"/>
      <c r="M84" s="36"/>
    </row>
    <row r="85" ht="13.2" spans="4:13">
      <c r="D85" s="36"/>
      <c r="E85" s="36"/>
      <c r="F85" s="36"/>
      <c r="G85" s="36"/>
      <c r="H85" s="36"/>
      <c r="I85" s="36"/>
      <c r="J85" s="36"/>
      <c r="K85" s="36"/>
      <c r="L85" s="36"/>
      <c r="M85" s="36"/>
    </row>
    <row r="86" ht="13.2" spans="4:13">
      <c r="D86" s="36"/>
      <c r="E86" s="36"/>
      <c r="F86" s="36"/>
      <c r="G86" s="36"/>
      <c r="H86" s="36"/>
      <c r="I86" s="36"/>
      <c r="J86" s="36"/>
      <c r="K86" s="36"/>
      <c r="L86" s="36"/>
      <c r="M86" s="36"/>
    </row>
    <row r="87" ht="13.2" spans="4:13">
      <c r="D87" s="36"/>
      <c r="E87" s="36"/>
      <c r="F87" s="36"/>
      <c r="G87" s="36"/>
      <c r="H87" s="36"/>
      <c r="I87" s="36"/>
      <c r="J87" s="36"/>
      <c r="K87" s="36"/>
      <c r="L87" s="36"/>
      <c r="M87" s="36"/>
    </row>
    <row r="88" ht="13.2" spans="4:13">
      <c r="D88" s="36"/>
      <c r="E88" s="36"/>
      <c r="F88" s="36"/>
      <c r="G88" s="36"/>
      <c r="H88" s="36"/>
      <c r="I88" s="36"/>
      <c r="J88" s="36"/>
      <c r="K88" s="36"/>
      <c r="L88" s="36"/>
      <c r="M88" s="36"/>
    </row>
    <row r="89" ht="13.2" spans="4:13">
      <c r="D89" s="36"/>
      <c r="E89" s="36"/>
      <c r="F89" s="36"/>
      <c r="G89" s="36"/>
      <c r="H89" s="36"/>
      <c r="I89" s="36"/>
      <c r="J89" s="36"/>
      <c r="K89" s="36"/>
      <c r="L89" s="36"/>
      <c r="M89" s="36"/>
    </row>
    <row r="90" ht="13.2" spans="4:13">
      <c r="D90" s="36"/>
      <c r="E90" s="36"/>
      <c r="F90" s="36"/>
      <c r="G90" s="36"/>
      <c r="H90" s="36"/>
      <c r="I90" s="36"/>
      <c r="J90" s="36"/>
      <c r="K90" s="36"/>
      <c r="L90" s="36"/>
      <c r="M90" s="36"/>
    </row>
    <row r="91" ht="13.2" spans="4:13">
      <c r="D91" s="36"/>
      <c r="E91" s="36"/>
      <c r="F91" s="36"/>
      <c r="G91" s="36"/>
      <c r="H91" s="36"/>
      <c r="I91" s="36"/>
      <c r="J91" s="36"/>
      <c r="K91" s="36"/>
      <c r="L91" s="36"/>
      <c r="M91" s="36"/>
    </row>
    <row r="92" ht="13.2" spans="4:13">
      <c r="D92" s="36"/>
      <c r="E92" s="36"/>
      <c r="F92" s="36"/>
      <c r="G92" s="36"/>
      <c r="H92" s="36"/>
      <c r="I92" s="36"/>
      <c r="J92" s="36"/>
      <c r="K92" s="36"/>
      <c r="L92" s="36"/>
      <c r="M92" s="36"/>
    </row>
    <row r="93" ht="13.2" spans="4:13">
      <c r="D93" s="36"/>
      <c r="E93" s="36"/>
      <c r="F93" s="36"/>
      <c r="G93" s="36"/>
      <c r="H93" s="36"/>
      <c r="I93" s="36"/>
      <c r="J93" s="36"/>
      <c r="K93" s="36"/>
      <c r="L93" s="36"/>
      <c r="M93" s="36"/>
    </row>
    <row r="94" ht="13.2" spans="4:13">
      <c r="D94" s="36"/>
      <c r="E94" s="36"/>
      <c r="F94" s="36"/>
      <c r="G94" s="36"/>
      <c r="H94" s="36"/>
      <c r="I94" s="36"/>
      <c r="J94" s="36"/>
      <c r="K94" s="36"/>
      <c r="L94" s="36"/>
      <c r="M94" s="36"/>
    </row>
    <row r="95" ht="13.2" spans="4:13">
      <c r="D95" s="36"/>
      <c r="E95" s="36"/>
      <c r="F95" s="36"/>
      <c r="G95" s="36"/>
      <c r="H95" s="36"/>
      <c r="I95" s="36"/>
      <c r="J95" s="36"/>
      <c r="K95" s="36"/>
      <c r="L95" s="36"/>
      <c r="M95" s="36"/>
    </row>
    <row r="96" ht="13.2" spans="4:13">
      <c r="D96" s="36"/>
      <c r="E96" s="36"/>
      <c r="F96" s="36"/>
      <c r="G96" s="36"/>
      <c r="H96" s="36"/>
      <c r="I96" s="36"/>
      <c r="J96" s="36"/>
      <c r="K96" s="36"/>
      <c r="L96" s="36"/>
      <c r="M96" s="36"/>
    </row>
    <row r="97" ht="13.2" spans="4:13">
      <c r="D97" s="36"/>
      <c r="E97" s="36"/>
      <c r="F97" s="36"/>
      <c r="G97" s="36"/>
      <c r="H97" s="36"/>
      <c r="I97" s="36"/>
      <c r="J97" s="36"/>
      <c r="K97" s="36"/>
      <c r="L97" s="36"/>
      <c r="M97" s="36"/>
    </row>
    <row r="98" ht="13.2" spans="4:13">
      <c r="D98" s="36"/>
      <c r="E98" s="36"/>
      <c r="F98" s="36"/>
      <c r="G98" s="36"/>
      <c r="H98" s="36"/>
      <c r="I98" s="36"/>
      <c r="J98" s="36"/>
      <c r="K98" s="36"/>
      <c r="L98" s="36"/>
      <c r="M98" s="36"/>
    </row>
    <row r="99" ht="13.2" spans="4:13">
      <c r="D99" s="36"/>
      <c r="E99" s="36"/>
      <c r="F99" s="36"/>
      <c r="G99" s="36"/>
      <c r="H99" s="36"/>
      <c r="I99" s="36"/>
      <c r="J99" s="36"/>
      <c r="K99" s="36"/>
      <c r="L99" s="36"/>
      <c r="M99" s="36"/>
    </row>
    <row r="100" ht="13.2" spans="4:13">
      <c r="D100" s="36"/>
      <c r="E100" s="36"/>
      <c r="F100" s="36"/>
      <c r="G100" s="36"/>
      <c r="H100" s="36"/>
      <c r="I100" s="36"/>
      <c r="J100" s="36"/>
      <c r="K100" s="36"/>
      <c r="L100" s="36"/>
      <c r="M100" s="36"/>
    </row>
    <row r="101" ht="13.2" spans="4:13">
      <c r="D101" s="36"/>
      <c r="E101" s="36"/>
      <c r="F101" s="36"/>
      <c r="G101" s="36"/>
      <c r="H101" s="36"/>
      <c r="I101" s="36"/>
      <c r="J101" s="36"/>
      <c r="K101" s="36"/>
      <c r="L101" s="36"/>
      <c r="M101" s="36"/>
    </row>
    <row r="102" ht="13.2" spans="4:13">
      <c r="D102" s="36"/>
      <c r="E102" s="36"/>
      <c r="F102" s="36"/>
      <c r="G102" s="36"/>
      <c r="H102" s="36"/>
      <c r="I102" s="36"/>
      <c r="J102" s="36"/>
      <c r="K102" s="36"/>
      <c r="L102" s="36"/>
      <c r="M102" s="36"/>
    </row>
    <row r="103" ht="13.2" spans="4:13">
      <c r="D103" s="36"/>
      <c r="E103" s="36"/>
      <c r="F103" s="36"/>
      <c r="G103" s="36"/>
      <c r="H103" s="36"/>
      <c r="I103" s="36"/>
      <c r="J103" s="36"/>
      <c r="K103" s="36"/>
      <c r="L103" s="36"/>
      <c r="M103" s="36"/>
    </row>
    <row r="104" ht="13.2" spans="4:13">
      <c r="D104" s="36"/>
      <c r="E104" s="36"/>
      <c r="F104" s="36"/>
      <c r="G104" s="36"/>
      <c r="H104" s="36"/>
      <c r="I104" s="36"/>
      <c r="J104" s="36"/>
      <c r="K104" s="36"/>
      <c r="L104" s="36"/>
      <c r="M104" s="36"/>
    </row>
    <row r="105" ht="13.2" spans="4:13">
      <c r="D105" s="36"/>
      <c r="E105" s="36"/>
      <c r="F105" s="36"/>
      <c r="G105" s="36"/>
      <c r="H105" s="36"/>
      <c r="I105" s="36"/>
      <c r="J105" s="36"/>
      <c r="K105" s="36"/>
      <c r="L105" s="36"/>
      <c r="M105" s="36"/>
    </row>
    <row r="106" ht="13.2" spans="4:13">
      <c r="D106" s="36"/>
      <c r="E106" s="36"/>
      <c r="F106" s="36"/>
      <c r="G106" s="36"/>
      <c r="H106" s="36"/>
      <c r="I106" s="36"/>
      <c r="J106" s="36"/>
      <c r="K106" s="36"/>
      <c r="L106" s="36"/>
      <c r="M106" s="36"/>
    </row>
    <row r="107" ht="13.2" spans="4:13">
      <c r="D107" s="36"/>
      <c r="E107" s="36"/>
      <c r="F107" s="36"/>
      <c r="G107" s="36"/>
      <c r="H107" s="36"/>
      <c r="I107" s="36"/>
      <c r="J107" s="36"/>
      <c r="K107" s="36"/>
      <c r="L107" s="36"/>
      <c r="M107" s="36"/>
    </row>
    <row r="108" ht="13.2" spans="4:13">
      <c r="D108" s="36"/>
      <c r="E108" s="36"/>
      <c r="F108" s="36"/>
      <c r="G108" s="36"/>
      <c r="H108" s="36"/>
      <c r="I108" s="36"/>
      <c r="J108" s="36"/>
      <c r="K108" s="36"/>
      <c r="L108" s="36"/>
      <c r="M108" s="36"/>
    </row>
    <row r="109" ht="13.2" spans="4:13">
      <c r="D109" s="36"/>
      <c r="E109" s="36"/>
      <c r="F109" s="36"/>
      <c r="G109" s="36"/>
      <c r="H109" s="36"/>
      <c r="I109" s="36"/>
      <c r="J109" s="36"/>
      <c r="K109" s="36"/>
      <c r="L109" s="36"/>
      <c r="M109" s="36"/>
    </row>
    <row r="110" ht="13.2" spans="4:13">
      <c r="D110" s="36"/>
      <c r="E110" s="36"/>
      <c r="F110" s="36"/>
      <c r="G110" s="36"/>
      <c r="H110" s="36"/>
      <c r="I110" s="36"/>
      <c r="J110" s="36"/>
      <c r="K110" s="36"/>
      <c r="L110" s="36"/>
      <c r="M110" s="36"/>
    </row>
    <row r="111" ht="13.2" spans="4:13">
      <c r="D111" s="36"/>
      <c r="E111" s="36"/>
      <c r="F111" s="36"/>
      <c r="G111" s="36"/>
      <c r="H111" s="36"/>
      <c r="I111" s="36"/>
      <c r="J111" s="36"/>
      <c r="K111" s="36"/>
      <c r="L111" s="36"/>
      <c r="M111" s="36"/>
    </row>
    <row r="112" ht="13.2" spans="4:13">
      <c r="D112" s="36"/>
      <c r="E112" s="36"/>
      <c r="F112" s="36"/>
      <c r="G112" s="36"/>
      <c r="H112" s="36"/>
      <c r="I112" s="36"/>
      <c r="J112" s="36"/>
      <c r="K112" s="36"/>
      <c r="L112" s="36"/>
      <c r="M112" s="36"/>
    </row>
    <row r="113" ht="13.2" spans="4:13">
      <c r="D113" s="36"/>
      <c r="E113" s="36"/>
      <c r="F113" s="36"/>
      <c r="G113" s="36"/>
      <c r="H113" s="36"/>
      <c r="I113" s="36"/>
      <c r="J113" s="36"/>
      <c r="K113" s="36"/>
      <c r="L113" s="36"/>
      <c r="M113" s="36"/>
    </row>
    <row r="114" ht="13.2" spans="4:13">
      <c r="D114" s="36"/>
      <c r="E114" s="36"/>
      <c r="F114" s="36"/>
      <c r="G114" s="36"/>
      <c r="H114" s="36"/>
      <c r="I114" s="36"/>
      <c r="J114" s="36"/>
      <c r="K114" s="36"/>
      <c r="L114" s="36"/>
      <c r="M114" s="36"/>
    </row>
    <row r="115" ht="13.2" spans="4:13">
      <c r="D115" s="36"/>
      <c r="E115" s="36"/>
      <c r="F115" s="36"/>
      <c r="G115" s="36"/>
      <c r="H115" s="36"/>
      <c r="I115" s="36"/>
      <c r="J115" s="36"/>
      <c r="K115" s="36"/>
      <c r="L115" s="36"/>
      <c r="M115" s="36"/>
    </row>
    <row r="116" ht="13.2" spans="4:13">
      <c r="D116" s="36"/>
      <c r="E116" s="36"/>
      <c r="F116" s="36"/>
      <c r="G116" s="36"/>
      <c r="H116" s="36"/>
      <c r="I116" s="36"/>
      <c r="J116" s="36"/>
      <c r="K116" s="36"/>
      <c r="L116" s="36"/>
      <c r="M116" s="36"/>
    </row>
    <row r="117" ht="13.2" spans="4:13">
      <c r="D117" s="36"/>
      <c r="E117" s="36"/>
      <c r="F117" s="36"/>
      <c r="G117" s="36"/>
      <c r="H117" s="36"/>
      <c r="I117" s="36"/>
      <c r="J117" s="36"/>
      <c r="K117" s="36"/>
      <c r="L117" s="36"/>
      <c r="M117" s="36"/>
    </row>
    <row r="118" ht="13.2" spans="4:13">
      <c r="D118" s="36"/>
      <c r="E118" s="36"/>
      <c r="F118" s="36"/>
      <c r="G118" s="36"/>
      <c r="H118" s="36"/>
      <c r="I118" s="36"/>
      <c r="J118" s="36"/>
      <c r="K118" s="36"/>
      <c r="L118" s="36"/>
      <c r="M118" s="36"/>
    </row>
    <row r="119" ht="13.2" spans="4:13">
      <c r="D119" s="36"/>
      <c r="E119" s="36"/>
      <c r="F119" s="36"/>
      <c r="G119" s="36"/>
      <c r="H119" s="36"/>
      <c r="I119" s="36"/>
      <c r="J119" s="36"/>
      <c r="K119" s="36"/>
      <c r="L119" s="36"/>
      <c r="M119" s="36"/>
    </row>
    <row r="120" ht="13.2" spans="4:13">
      <c r="D120" s="36"/>
      <c r="E120" s="36"/>
      <c r="F120" s="36"/>
      <c r="G120" s="36"/>
      <c r="H120" s="36"/>
      <c r="I120" s="36"/>
      <c r="J120" s="36"/>
      <c r="K120" s="36"/>
      <c r="L120" s="36"/>
      <c r="M120" s="36"/>
    </row>
    <row r="121" ht="13.2" spans="4:13">
      <c r="D121" s="36"/>
      <c r="E121" s="36"/>
      <c r="F121" s="36"/>
      <c r="G121" s="36"/>
      <c r="H121" s="36"/>
      <c r="I121" s="36"/>
      <c r="J121" s="36"/>
      <c r="K121" s="36"/>
      <c r="L121" s="36"/>
      <c r="M121" s="36"/>
    </row>
    <row r="122" ht="13.2" spans="4:13">
      <c r="D122" s="36"/>
      <c r="E122" s="36"/>
      <c r="F122" s="36"/>
      <c r="G122" s="36"/>
      <c r="H122" s="36"/>
      <c r="I122" s="36"/>
      <c r="J122" s="36"/>
      <c r="K122" s="36"/>
      <c r="L122" s="36"/>
      <c r="M122" s="36"/>
    </row>
    <row r="123" ht="13.2" spans="4:13">
      <c r="D123" s="36"/>
      <c r="E123" s="36"/>
      <c r="F123" s="36"/>
      <c r="G123" s="36"/>
      <c r="H123" s="36"/>
      <c r="I123" s="36"/>
      <c r="J123" s="36"/>
      <c r="K123" s="36"/>
      <c r="L123" s="36"/>
      <c r="M123" s="36"/>
    </row>
    <row r="124" ht="13.2" spans="4:13">
      <c r="D124" s="36"/>
      <c r="E124" s="36"/>
      <c r="F124" s="36"/>
      <c r="G124" s="36"/>
      <c r="H124" s="36"/>
      <c r="I124" s="36"/>
      <c r="J124" s="36"/>
      <c r="K124" s="36"/>
      <c r="L124" s="36"/>
      <c r="M124" s="36"/>
    </row>
    <row r="125" ht="13.2" spans="4:13">
      <c r="D125" s="36"/>
      <c r="E125" s="36"/>
      <c r="F125" s="36"/>
      <c r="G125" s="36"/>
      <c r="H125" s="36"/>
      <c r="I125" s="36"/>
      <c r="J125" s="36"/>
      <c r="K125" s="36"/>
      <c r="L125" s="36"/>
      <c r="M125" s="36"/>
    </row>
    <row r="126" ht="13.2" spans="4:13">
      <c r="D126" s="36"/>
      <c r="E126" s="36"/>
      <c r="F126" s="36"/>
      <c r="G126" s="36"/>
      <c r="H126" s="36"/>
      <c r="I126" s="36"/>
      <c r="J126" s="36"/>
      <c r="K126" s="36"/>
      <c r="L126" s="36"/>
      <c r="M126" s="36"/>
    </row>
    <row r="127" ht="13.2" spans="4:13">
      <c r="D127" s="36"/>
      <c r="E127" s="36"/>
      <c r="F127" s="36"/>
      <c r="G127" s="36"/>
      <c r="H127" s="36"/>
      <c r="I127" s="36"/>
      <c r="J127" s="36"/>
      <c r="K127" s="36"/>
      <c r="L127" s="36"/>
      <c r="M127" s="36"/>
    </row>
    <row r="128" ht="13.2" spans="4:13">
      <c r="D128" s="36"/>
      <c r="E128" s="36"/>
      <c r="F128" s="36"/>
      <c r="G128" s="36"/>
      <c r="H128" s="36"/>
      <c r="I128" s="36"/>
      <c r="J128" s="36"/>
      <c r="K128" s="36"/>
      <c r="L128" s="36"/>
      <c r="M128" s="36"/>
    </row>
    <row r="129" ht="13.2" spans="4:13">
      <c r="D129" s="36"/>
      <c r="E129" s="36"/>
      <c r="F129" s="36"/>
      <c r="G129" s="36"/>
      <c r="H129" s="36"/>
      <c r="I129" s="36"/>
      <c r="J129" s="36"/>
      <c r="K129" s="36"/>
      <c r="L129" s="36"/>
      <c r="M129" s="36"/>
    </row>
    <row r="130" ht="13.2" spans="4:13">
      <c r="D130" s="36"/>
      <c r="E130" s="36"/>
      <c r="F130" s="36"/>
      <c r="G130" s="36"/>
      <c r="H130" s="36"/>
      <c r="I130" s="36"/>
      <c r="J130" s="36"/>
      <c r="K130" s="36"/>
      <c r="L130" s="36"/>
      <c r="M130" s="36"/>
    </row>
    <row r="131" ht="13.2" spans="4:13">
      <c r="D131" s="36"/>
      <c r="E131" s="36"/>
      <c r="F131" s="36"/>
      <c r="G131" s="36"/>
      <c r="H131" s="36"/>
      <c r="I131" s="36"/>
      <c r="J131" s="36"/>
      <c r="K131" s="36"/>
      <c r="L131" s="36"/>
      <c r="M131" s="36"/>
    </row>
    <row r="132" ht="13.2" spans="4:13">
      <c r="D132" s="36"/>
      <c r="E132" s="36"/>
      <c r="F132" s="36"/>
      <c r="G132" s="36"/>
      <c r="H132" s="36"/>
      <c r="I132" s="36"/>
      <c r="J132" s="36"/>
      <c r="K132" s="36"/>
      <c r="L132" s="36"/>
      <c r="M132" s="36"/>
    </row>
    <row r="133" ht="13.2" spans="4:13">
      <c r="D133" s="36"/>
      <c r="E133" s="36"/>
      <c r="F133" s="36"/>
      <c r="G133" s="36"/>
      <c r="H133" s="36"/>
      <c r="I133" s="36"/>
      <c r="J133" s="36"/>
      <c r="K133" s="36"/>
      <c r="L133" s="36"/>
      <c r="M133" s="36"/>
    </row>
    <row r="134" ht="13.2" spans="4:13">
      <c r="D134" s="36"/>
      <c r="E134" s="36"/>
      <c r="F134" s="36"/>
      <c r="G134" s="36"/>
      <c r="H134" s="36"/>
      <c r="I134" s="36"/>
      <c r="J134" s="36"/>
      <c r="K134" s="36"/>
      <c r="L134" s="36"/>
      <c r="M134" s="36"/>
    </row>
    <row r="135" ht="13.2" spans="4:13">
      <c r="D135" s="36"/>
      <c r="E135" s="36"/>
      <c r="F135" s="36"/>
      <c r="G135" s="36"/>
      <c r="H135" s="36"/>
      <c r="I135" s="36"/>
      <c r="J135" s="36"/>
      <c r="K135" s="36"/>
      <c r="L135" s="36"/>
      <c r="M135" s="36"/>
    </row>
    <row r="136" ht="13.2" spans="4:13">
      <c r="D136" s="36"/>
      <c r="E136" s="36"/>
      <c r="F136" s="36"/>
      <c r="G136" s="36"/>
      <c r="H136" s="36"/>
      <c r="I136" s="36"/>
      <c r="J136" s="36"/>
      <c r="K136" s="36"/>
      <c r="L136" s="36"/>
      <c r="M136" s="36"/>
    </row>
    <row r="137" ht="13.2" spans="4:13">
      <c r="D137" s="36"/>
      <c r="E137" s="36"/>
      <c r="F137" s="36"/>
      <c r="G137" s="36"/>
      <c r="H137" s="36"/>
      <c r="I137" s="36"/>
      <c r="J137" s="36"/>
      <c r="K137" s="36"/>
      <c r="L137" s="36"/>
      <c r="M137" s="36"/>
    </row>
    <row r="138" ht="13.2" spans="4:13">
      <c r="D138" s="36"/>
      <c r="E138" s="36"/>
      <c r="F138" s="36"/>
      <c r="G138" s="36"/>
      <c r="H138" s="36"/>
      <c r="I138" s="36"/>
      <c r="J138" s="36"/>
      <c r="K138" s="36"/>
      <c r="L138" s="36"/>
      <c r="M138" s="36"/>
    </row>
    <row r="139" ht="13.2" spans="4:13">
      <c r="D139" s="36"/>
      <c r="E139" s="36"/>
      <c r="F139" s="36"/>
      <c r="G139" s="36"/>
      <c r="H139" s="36"/>
      <c r="I139" s="36"/>
      <c r="J139" s="36"/>
      <c r="K139" s="36"/>
      <c r="L139" s="36"/>
      <c r="M139" s="36"/>
    </row>
    <row r="140" ht="13.2" spans="4:13">
      <c r="D140" s="36"/>
      <c r="E140" s="36"/>
      <c r="F140" s="36"/>
      <c r="G140" s="36"/>
      <c r="H140" s="36"/>
      <c r="I140" s="36"/>
      <c r="J140" s="36"/>
      <c r="K140" s="36"/>
      <c r="L140" s="36"/>
      <c r="M140" s="36"/>
    </row>
    <row r="141" ht="13.2" spans="4:13">
      <c r="D141" s="36"/>
      <c r="E141" s="36"/>
      <c r="F141" s="36"/>
      <c r="G141" s="36"/>
      <c r="H141" s="36"/>
      <c r="I141" s="36"/>
      <c r="J141" s="36"/>
      <c r="K141" s="36"/>
      <c r="L141" s="36"/>
      <c r="M141" s="36"/>
    </row>
    <row r="142" ht="13.2" spans="4:13">
      <c r="D142" s="36"/>
      <c r="E142" s="36"/>
      <c r="F142" s="36"/>
      <c r="G142" s="36"/>
      <c r="H142" s="36"/>
      <c r="I142" s="36"/>
      <c r="J142" s="36"/>
      <c r="K142" s="36"/>
      <c r="L142" s="36"/>
      <c r="M142" s="36"/>
    </row>
    <row r="143" ht="13.2" spans="4:13">
      <c r="D143" s="36"/>
      <c r="E143" s="36"/>
      <c r="F143" s="36"/>
      <c r="G143" s="36"/>
      <c r="H143" s="36"/>
      <c r="I143" s="36"/>
      <c r="J143" s="36"/>
      <c r="K143" s="36"/>
      <c r="L143" s="36"/>
      <c r="M143" s="36"/>
    </row>
    <row r="144" ht="13.2" spans="4:13">
      <c r="D144" s="36"/>
      <c r="E144" s="36"/>
      <c r="F144" s="36"/>
      <c r="G144" s="36"/>
      <c r="H144" s="36"/>
      <c r="I144" s="36"/>
      <c r="J144" s="36"/>
      <c r="K144" s="36"/>
      <c r="L144" s="36"/>
      <c r="M144" s="36"/>
    </row>
    <row r="145" ht="13.2" spans="4:13">
      <c r="D145" s="36"/>
      <c r="E145" s="36"/>
      <c r="F145" s="36"/>
      <c r="G145" s="36"/>
      <c r="H145" s="36"/>
      <c r="I145" s="36"/>
      <c r="J145" s="36"/>
      <c r="K145" s="36"/>
      <c r="L145" s="36"/>
      <c r="M145" s="36"/>
    </row>
    <row r="146" ht="13.2" spans="4:13">
      <c r="D146" s="36"/>
      <c r="E146" s="36"/>
      <c r="F146" s="36"/>
      <c r="G146" s="36"/>
      <c r="H146" s="36"/>
      <c r="I146" s="36"/>
      <c r="J146" s="36"/>
      <c r="K146" s="36"/>
      <c r="L146" s="36"/>
      <c r="M146" s="36"/>
    </row>
    <row r="147" ht="13.2" spans="4:13">
      <c r="D147" s="36"/>
      <c r="E147" s="36"/>
      <c r="F147" s="36"/>
      <c r="G147" s="36"/>
      <c r="H147" s="36"/>
      <c r="I147" s="36"/>
      <c r="J147" s="36"/>
      <c r="K147" s="36"/>
      <c r="L147" s="36"/>
      <c r="M147" s="36"/>
    </row>
    <row r="148" ht="13.2" spans="4:13">
      <c r="D148" s="36"/>
      <c r="E148" s="36"/>
      <c r="F148" s="36"/>
      <c r="G148" s="36"/>
      <c r="H148" s="36"/>
      <c r="I148" s="36"/>
      <c r="J148" s="36"/>
      <c r="K148" s="36"/>
      <c r="L148" s="36"/>
      <c r="M148" s="36"/>
    </row>
    <row r="149" ht="13.2" spans="4:13">
      <c r="D149" s="36"/>
      <c r="E149" s="36"/>
      <c r="F149" s="36"/>
      <c r="G149" s="36"/>
      <c r="H149" s="36"/>
      <c r="I149" s="36"/>
      <c r="J149" s="36"/>
      <c r="K149" s="36"/>
      <c r="L149" s="36"/>
      <c r="M149" s="36"/>
    </row>
    <row r="150" ht="13.2" spans="4:13">
      <c r="D150" s="36"/>
      <c r="E150" s="36"/>
      <c r="F150" s="36"/>
      <c r="G150" s="36"/>
      <c r="H150" s="36"/>
      <c r="I150" s="36"/>
      <c r="J150" s="36"/>
      <c r="K150" s="36"/>
      <c r="L150" s="36"/>
      <c r="M150" s="36"/>
    </row>
    <row r="151" ht="13.2" spans="4:13">
      <c r="D151" s="36"/>
      <c r="E151" s="36"/>
      <c r="F151" s="36"/>
      <c r="G151" s="36"/>
      <c r="H151" s="36"/>
      <c r="I151" s="36"/>
      <c r="J151" s="36"/>
      <c r="K151" s="36"/>
      <c r="L151" s="36"/>
      <c r="M151" s="36"/>
    </row>
    <row r="152" ht="13.2" spans="4:13">
      <c r="D152" s="36"/>
      <c r="E152" s="36"/>
      <c r="F152" s="36"/>
      <c r="G152" s="36"/>
      <c r="H152" s="36"/>
      <c r="I152" s="36"/>
      <c r="J152" s="36"/>
      <c r="K152" s="36"/>
      <c r="L152" s="36"/>
      <c r="M152" s="36"/>
    </row>
    <row r="153" ht="13.2" spans="4:13">
      <c r="D153" s="36"/>
      <c r="E153" s="36"/>
      <c r="F153" s="36"/>
      <c r="G153" s="36"/>
      <c r="H153" s="36"/>
      <c r="I153" s="36"/>
      <c r="J153" s="36"/>
      <c r="K153" s="36"/>
      <c r="L153" s="36"/>
      <c r="M153" s="36"/>
    </row>
    <row r="154" ht="13.2" spans="4:13">
      <c r="D154" s="36"/>
      <c r="E154" s="36"/>
      <c r="F154" s="36"/>
      <c r="G154" s="36"/>
      <c r="H154" s="36"/>
      <c r="I154" s="36"/>
      <c r="J154" s="36"/>
      <c r="K154" s="36"/>
      <c r="L154" s="36"/>
      <c r="M154" s="36"/>
    </row>
    <row r="155" ht="13.2" spans="4:13">
      <c r="D155" s="36"/>
      <c r="E155" s="36"/>
      <c r="F155" s="36"/>
      <c r="G155" s="36"/>
      <c r="H155" s="36"/>
      <c r="I155" s="36"/>
      <c r="J155" s="36"/>
      <c r="K155" s="36"/>
      <c r="L155" s="36"/>
      <c r="M155" s="36"/>
    </row>
    <row r="156" ht="13.2" spans="4:13">
      <c r="D156" s="36"/>
      <c r="E156" s="36"/>
      <c r="F156" s="36"/>
      <c r="G156" s="36"/>
      <c r="H156" s="36"/>
      <c r="I156" s="36"/>
      <c r="J156" s="36"/>
      <c r="K156" s="36"/>
      <c r="L156" s="36"/>
      <c r="M156" s="36"/>
    </row>
    <row r="157" ht="13.2" spans="4:13">
      <c r="D157" s="36"/>
      <c r="E157" s="36"/>
      <c r="F157" s="36"/>
      <c r="G157" s="36"/>
      <c r="H157" s="36"/>
      <c r="I157" s="36"/>
      <c r="J157" s="36"/>
      <c r="K157" s="36"/>
      <c r="L157" s="36"/>
      <c r="M157" s="36"/>
    </row>
    <row r="158" ht="13.2" spans="4:13">
      <c r="D158" s="36"/>
      <c r="E158" s="36"/>
      <c r="F158" s="36"/>
      <c r="G158" s="36"/>
      <c r="H158" s="36"/>
      <c r="I158" s="36"/>
      <c r="J158" s="36"/>
      <c r="K158" s="36"/>
      <c r="L158" s="36"/>
      <c r="M158" s="36"/>
    </row>
    <row r="159" ht="13.2" spans="4:13">
      <c r="D159" s="36"/>
      <c r="E159" s="36"/>
      <c r="F159" s="36"/>
      <c r="G159" s="36"/>
      <c r="H159" s="36"/>
      <c r="I159" s="36"/>
      <c r="J159" s="36"/>
      <c r="K159" s="36"/>
      <c r="L159" s="36"/>
      <c r="M159" s="36"/>
    </row>
    <row r="160" ht="13.2" spans="4:13">
      <c r="D160" s="36"/>
      <c r="E160" s="36"/>
      <c r="F160" s="36"/>
      <c r="G160" s="36"/>
      <c r="H160" s="36"/>
      <c r="I160" s="36"/>
      <c r="J160" s="36"/>
      <c r="K160" s="36"/>
      <c r="L160" s="36"/>
      <c r="M160" s="36"/>
    </row>
    <row r="161" ht="13.2" spans="4:13">
      <c r="D161" s="36"/>
      <c r="E161" s="36"/>
      <c r="F161" s="36"/>
      <c r="G161" s="36"/>
      <c r="H161" s="36"/>
      <c r="I161" s="36"/>
      <c r="J161" s="36"/>
      <c r="K161" s="36"/>
      <c r="L161" s="36"/>
      <c r="M161" s="36"/>
    </row>
    <row r="162" ht="13.2" spans="4:13">
      <c r="D162" s="36"/>
      <c r="E162" s="36"/>
      <c r="F162" s="36"/>
      <c r="G162" s="36"/>
      <c r="H162" s="36"/>
      <c r="I162" s="36"/>
      <c r="J162" s="36"/>
      <c r="K162" s="36"/>
      <c r="L162" s="36"/>
      <c r="M162" s="36"/>
    </row>
    <row r="163" ht="13.2" spans="4:13">
      <c r="D163" s="36"/>
      <c r="E163" s="36"/>
      <c r="F163" s="36"/>
      <c r="G163" s="36"/>
      <c r="H163" s="36"/>
      <c r="I163" s="36"/>
      <c r="J163" s="36"/>
      <c r="K163" s="36"/>
      <c r="L163" s="36"/>
      <c r="M163" s="36"/>
    </row>
    <row r="164" ht="13.2" spans="4:13">
      <c r="D164" s="36"/>
      <c r="E164" s="36"/>
      <c r="F164" s="36"/>
      <c r="G164" s="36"/>
      <c r="H164" s="36"/>
      <c r="I164" s="36"/>
      <c r="J164" s="36"/>
      <c r="K164" s="36"/>
      <c r="L164" s="36"/>
      <c r="M164" s="36"/>
    </row>
    <row r="165" ht="13.2" spans="4:13">
      <c r="D165" s="36"/>
      <c r="E165" s="36"/>
      <c r="F165" s="36"/>
      <c r="G165" s="36"/>
      <c r="H165" s="36"/>
      <c r="I165" s="36"/>
      <c r="J165" s="36"/>
      <c r="K165" s="36"/>
      <c r="L165" s="36"/>
      <c r="M165" s="36"/>
    </row>
    <row r="166" ht="13.2" spans="4:13">
      <c r="D166" s="36"/>
      <c r="E166" s="36"/>
      <c r="F166" s="36"/>
      <c r="G166" s="36"/>
      <c r="H166" s="36"/>
      <c r="I166" s="36"/>
      <c r="J166" s="36"/>
      <c r="K166" s="36"/>
      <c r="L166" s="36"/>
      <c r="M166" s="36"/>
    </row>
    <row r="167" ht="13.2" spans="4:13">
      <c r="D167" s="36"/>
      <c r="E167" s="36"/>
      <c r="F167" s="36"/>
      <c r="G167" s="36"/>
      <c r="H167" s="36"/>
      <c r="I167" s="36"/>
      <c r="J167" s="36"/>
      <c r="K167" s="36"/>
      <c r="L167" s="36"/>
      <c r="M167" s="36"/>
    </row>
    <row r="168" ht="13.2" spans="4:13">
      <c r="D168" s="36"/>
      <c r="E168" s="36"/>
      <c r="F168" s="36"/>
      <c r="G168" s="36"/>
      <c r="H168" s="36"/>
      <c r="I168" s="36"/>
      <c r="J168" s="36"/>
      <c r="K168" s="36"/>
      <c r="L168" s="36"/>
      <c r="M168" s="36"/>
    </row>
    <row r="169" ht="13.2" spans="4:13">
      <c r="D169" s="36"/>
      <c r="E169" s="36"/>
      <c r="F169" s="36"/>
      <c r="G169" s="36"/>
      <c r="H169" s="36"/>
      <c r="I169" s="36"/>
      <c r="J169" s="36"/>
      <c r="K169" s="36"/>
      <c r="L169" s="36"/>
      <c r="M169" s="36"/>
    </row>
    <row r="170" ht="13.2" spans="4:13">
      <c r="D170" s="36"/>
      <c r="E170" s="36"/>
      <c r="F170" s="36"/>
      <c r="G170" s="36"/>
      <c r="H170" s="36"/>
      <c r="I170" s="36"/>
      <c r="J170" s="36"/>
      <c r="K170" s="36"/>
      <c r="L170" s="36"/>
      <c r="M170" s="36"/>
    </row>
    <row r="171" ht="13.2" spans="4:13">
      <c r="D171" s="36"/>
      <c r="E171" s="36"/>
      <c r="F171" s="36"/>
      <c r="G171" s="36"/>
      <c r="H171" s="36"/>
      <c r="I171" s="36"/>
      <c r="J171" s="36"/>
      <c r="K171" s="36"/>
      <c r="L171" s="36"/>
      <c r="M171" s="36"/>
    </row>
    <row r="172" ht="13.2" spans="4:13">
      <c r="D172" s="36"/>
      <c r="E172" s="36"/>
      <c r="F172" s="36"/>
      <c r="G172" s="36"/>
      <c r="H172" s="36"/>
      <c r="I172" s="36"/>
      <c r="J172" s="36"/>
      <c r="K172" s="36"/>
      <c r="L172" s="36"/>
      <c r="M172" s="36"/>
    </row>
    <row r="173" ht="13.2" spans="4:13">
      <c r="D173" s="36"/>
      <c r="E173" s="36"/>
      <c r="F173" s="36"/>
      <c r="G173" s="36"/>
      <c r="H173" s="36"/>
      <c r="I173" s="36"/>
      <c r="J173" s="36"/>
      <c r="K173" s="36"/>
      <c r="L173" s="36"/>
      <c r="M173" s="36"/>
    </row>
    <row r="174" ht="13.2" spans="4:13">
      <c r="D174" s="36"/>
      <c r="E174" s="36"/>
      <c r="F174" s="36"/>
      <c r="G174" s="36"/>
      <c r="H174" s="36"/>
      <c r="I174" s="36"/>
      <c r="J174" s="36"/>
      <c r="K174" s="36"/>
      <c r="L174" s="36"/>
      <c r="M174" s="36"/>
    </row>
    <row r="175" ht="13.2" spans="4:13">
      <c r="D175" s="36"/>
      <c r="E175" s="36"/>
      <c r="F175" s="36"/>
      <c r="G175" s="36"/>
      <c r="H175" s="36"/>
      <c r="I175" s="36"/>
      <c r="J175" s="36"/>
      <c r="K175" s="36"/>
      <c r="L175" s="36"/>
      <c r="M175" s="36"/>
    </row>
    <row r="176" ht="13.2" spans="4:13">
      <c r="D176" s="36"/>
      <c r="E176" s="36"/>
      <c r="F176" s="36"/>
      <c r="G176" s="36"/>
      <c r="H176" s="36"/>
      <c r="I176" s="36"/>
      <c r="J176" s="36"/>
      <c r="K176" s="36"/>
      <c r="L176" s="36"/>
      <c r="M176" s="36"/>
    </row>
    <row r="177" ht="13.2" spans="4:13">
      <c r="D177" s="36"/>
      <c r="E177" s="36"/>
      <c r="F177" s="36"/>
      <c r="G177" s="36"/>
      <c r="H177" s="36"/>
      <c r="I177" s="36"/>
      <c r="J177" s="36"/>
      <c r="K177" s="36"/>
      <c r="L177" s="36"/>
      <c r="M177" s="36"/>
    </row>
    <row r="178" ht="13.2" spans="4:13">
      <c r="D178" s="36"/>
      <c r="E178" s="36"/>
      <c r="F178" s="36"/>
      <c r="G178" s="36"/>
      <c r="H178" s="36"/>
      <c r="I178" s="36"/>
      <c r="J178" s="36"/>
      <c r="K178" s="36"/>
      <c r="L178" s="36"/>
      <c r="M178" s="36"/>
    </row>
    <row r="179" ht="13.2" spans="4:13">
      <c r="D179" s="36"/>
      <c r="E179" s="36"/>
      <c r="F179" s="36"/>
      <c r="G179" s="36"/>
      <c r="H179" s="36"/>
      <c r="I179" s="36"/>
      <c r="J179" s="36"/>
      <c r="K179" s="36"/>
      <c r="L179" s="36"/>
      <c r="M179" s="36"/>
    </row>
    <row r="180" ht="13.2" spans="4:13">
      <c r="D180" s="36"/>
      <c r="E180" s="36"/>
      <c r="F180" s="36"/>
      <c r="G180" s="36"/>
      <c r="H180" s="36"/>
      <c r="I180" s="36"/>
      <c r="J180" s="36"/>
      <c r="K180" s="36"/>
      <c r="L180" s="36"/>
      <c r="M180" s="36"/>
    </row>
    <row r="181" ht="13.2" spans="4:13">
      <c r="D181" s="36"/>
      <c r="E181" s="36"/>
      <c r="F181" s="36"/>
      <c r="G181" s="36"/>
      <c r="H181" s="36"/>
      <c r="I181" s="36"/>
      <c r="J181" s="36"/>
      <c r="K181" s="36"/>
      <c r="L181" s="36"/>
      <c r="M181" s="36"/>
    </row>
    <row r="182" ht="13.2" spans="4:13">
      <c r="D182" s="36"/>
      <c r="E182" s="36"/>
      <c r="F182" s="36"/>
      <c r="G182" s="36"/>
      <c r="H182" s="36"/>
      <c r="I182" s="36"/>
      <c r="J182" s="36"/>
      <c r="K182" s="36"/>
      <c r="L182" s="36"/>
      <c r="M182" s="36"/>
    </row>
    <row r="183" ht="13.2" spans="4:13">
      <c r="D183" s="36"/>
      <c r="E183" s="36"/>
      <c r="F183" s="36"/>
      <c r="G183" s="36"/>
      <c r="H183" s="36"/>
      <c r="I183" s="36"/>
      <c r="J183" s="36"/>
      <c r="K183" s="36"/>
      <c r="L183" s="36"/>
      <c r="M183" s="36"/>
    </row>
    <row r="184" ht="13.2" spans="4:13">
      <c r="D184" s="36"/>
      <c r="E184" s="36"/>
      <c r="F184" s="36"/>
      <c r="G184" s="36"/>
      <c r="H184" s="36"/>
      <c r="I184" s="36"/>
      <c r="J184" s="36"/>
      <c r="K184" s="36"/>
      <c r="L184" s="36"/>
      <c r="M184" s="36"/>
    </row>
    <row r="185" ht="13.2" spans="4:13">
      <c r="D185" s="36"/>
      <c r="E185" s="36"/>
      <c r="F185" s="36"/>
      <c r="G185" s="36"/>
      <c r="H185" s="36"/>
      <c r="I185" s="36"/>
      <c r="J185" s="36"/>
      <c r="K185" s="36"/>
      <c r="L185" s="36"/>
      <c r="M185" s="36"/>
    </row>
    <row r="186" ht="13.2" spans="4:13">
      <c r="D186" s="36"/>
      <c r="E186" s="36"/>
      <c r="F186" s="36"/>
      <c r="G186" s="36"/>
      <c r="H186" s="36"/>
      <c r="I186" s="36"/>
      <c r="J186" s="36"/>
      <c r="K186" s="36"/>
      <c r="L186" s="36"/>
      <c r="M186" s="36"/>
    </row>
    <row r="187" ht="13.2" spans="4:13">
      <c r="D187" s="36"/>
      <c r="E187" s="36"/>
      <c r="F187" s="36"/>
      <c r="G187" s="36"/>
      <c r="H187" s="36"/>
      <c r="I187" s="36"/>
      <c r="J187" s="36"/>
      <c r="K187" s="36"/>
      <c r="L187" s="36"/>
      <c r="M187" s="36"/>
    </row>
    <row r="188" ht="13.2" spans="4:13">
      <c r="D188" s="36"/>
      <c r="E188" s="36"/>
      <c r="F188" s="36"/>
      <c r="G188" s="36"/>
      <c r="H188" s="36"/>
      <c r="I188" s="36"/>
      <c r="J188" s="36"/>
      <c r="K188" s="36"/>
      <c r="L188" s="36"/>
      <c r="M188" s="36"/>
    </row>
    <row r="189" ht="13.2" spans="4:13">
      <c r="D189" s="36"/>
      <c r="E189" s="36"/>
      <c r="F189" s="36"/>
      <c r="G189" s="36"/>
      <c r="H189" s="36"/>
      <c r="I189" s="36"/>
      <c r="J189" s="36"/>
      <c r="K189" s="36"/>
      <c r="L189" s="36"/>
      <c r="M189" s="36"/>
    </row>
    <row r="190" ht="13.2" spans="4:13">
      <c r="D190" s="36"/>
      <c r="E190" s="36"/>
      <c r="F190" s="36"/>
      <c r="G190" s="36"/>
      <c r="H190" s="36"/>
      <c r="I190" s="36"/>
      <c r="J190" s="36"/>
      <c r="K190" s="36"/>
      <c r="L190" s="36"/>
      <c r="M190" s="36"/>
    </row>
    <row r="191" ht="13.2" spans="4:13">
      <c r="D191" s="36"/>
      <c r="E191" s="36"/>
      <c r="F191" s="36"/>
      <c r="G191" s="36"/>
      <c r="H191" s="36"/>
      <c r="I191" s="36"/>
      <c r="J191" s="36"/>
      <c r="K191" s="36"/>
      <c r="L191" s="36"/>
      <c r="M191" s="36"/>
    </row>
    <row r="192" ht="13.2" spans="4:13">
      <c r="D192" s="36"/>
      <c r="E192" s="36"/>
      <c r="F192" s="36"/>
      <c r="G192" s="36"/>
      <c r="H192" s="36"/>
      <c r="I192" s="36"/>
      <c r="J192" s="36"/>
      <c r="K192" s="36"/>
      <c r="L192" s="36"/>
      <c r="M192" s="36"/>
    </row>
    <row r="193" ht="13.2" spans="4:13">
      <c r="D193" s="36"/>
      <c r="E193" s="36"/>
      <c r="F193" s="36"/>
      <c r="G193" s="36"/>
      <c r="H193" s="36"/>
      <c r="I193" s="36"/>
      <c r="J193" s="36"/>
      <c r="K193" s="36"/>
      <c r="L193" s="36"/>
      <c r="M193" s="36"/>
    </row>
    <row r="194" ht="13.2" spans="4:13">
      <c r="D194" s="36"/>
      <c r="E194" s="36"/>
      <c r="F194" s="36"/>
      <c r="G194" s="36"/>
      <c r="H194" s="36"/>
      <c r="I194" s="36"/>
      <c r="J194" s="36"/>
      <c r="K194" s="36"/>
      <c r="L194" s="36"/>
      <c r="M194" s="36"/>
    </row>
    <row r="195" ht="13.2" spans="4:13">
      <c r="D195" s="36"/>
      <c r="E195" s="36"/>
      <c r="F195" s="36"/>
      <c r="G195" s="36"/>
      <c r="H195" s="36"/>
      <c r="I195" s="36"/>
      <c r="J195" s="36"/>
      <c r="K195" s="36"/>
      <c r="L195" s="36"/>
      <c r="M195" s="36"/>
    </row>
    <row r="196" ht="13.2" spans="4:13">
      <c r="D196" s="36"/>
      <c r="E196" s="36"/>
      <c r="F196" s="36"/>
      <c r="G196" s="36"/>
      <c r="H196" s="36"/>
      <c r="I196" s="36"/>
      <c r="J196" s="36"/>
      <c r="K196" s="36"/>
      <c r="L196" s="36"/>
      <c r="M196" s="36"/>
    </row>
    <row r="197" ht="13.2" spans="4:13">
      <c r="D197" s="36"/>
      <c r="E197" s="36"/>
      <c r="F197" s="36"/>
      <c r="G197" s="36"/>
      <c r="H197" s="36"/>
      <c r="I197" s="36"/>
      <c r="J197" s="36"/>
      <c r="K197" s="36"/>
      <c r="L197" s="36"/>
      <c r="M197" s="36"/>
    </row>
    <row r="198" ht="13.2" spans="4:13">
      <c r="D198" s="36"/>
      <c r="E198" s="36"/>
      <c r="F198" s="36"/>
      <c r="G198" s="36"/>
      <c r="H198" s="36"/>
      <c r="I198" s="36"/>
      <c r="J198" s="36"/>
      <c r="K198" s="36"/>
      <c r="L198" s="36"/>
      <c r="M198" s="36"/>
    </row>
    <row r="199" ht="13.2" spans="4:13">
      <c r="D199" s="36"/>
      <c r="E199" s="36"/>
      <c r="F199" s="36"/>
      <c r="G199" s="36"/>
      <c r="H199" s="36"/>
      <c r="I199" s="36"/>
      <c r="J199" s="36"/>
      <c r="K199" s="36"/>
      <c r="L199" s="36"/>
      <c r="M199" s="36"/>
    </row>
    <row r="200" ht="13.2" spans="4:13">
      <c r="D200" s="36"/>
      <c r="E200" s="36"/>
      <c r="F200" s="36"/>
      <c r="G200" s="36"/>
      <c r="H200" s="36"/>
      <c r="I200" s="36"/>
      <c r="J200" s="36"/>
      <c r="K200" s="36"/>
      <c r="L200" s="36"/>
      <c r="M200" s="36"/>
    </row>
    <row r="201" ht="13.2" spans="4:13">
      <c r="D201" s="36"/>
      <c r="E201" s="36"/>
      <c r="F201" s="36"/>
      <c r="G201" s="36"/>
      <c r="H201" s="36"/>
      <c r="I201" s="36"/>
      <c r="J201" s="36"/>
      <c r="K201" s="36"/>
      <c r="L201" s="36"/>
      <c r="M201" s="36"/>
    </row>
    <row r="202" ht="13.2" spans="4:13">
      <c r="D202" s="36"/>
      <c r="E202" s="36"/>
      <c r="F202" s="36"/>
      <c r="G202" s="36"/>
      <c r="H202" s="36"/>
      <c r="I202" s="36"/>
      <c r="J202" s="36"/>
      <c r="K202" s="36"/>
      <c r="L202" s="36"/>
      <c r="M202" s="36"/>
    </row>
    <row r="203" ht="13.2" spans="4:13">
      <c r="D203" s="36"/>
      <c r="E203" s="36"/>
      <c r="F203" s="36"/>
      <c r="G203" s="36"/>
      <c r="H203" s="36"/>
      <c r="I203" s="36"/>
      <c r="J203" s="36"/>
      <c r="K203" s="36"/>
      <c r="L203" s="36"/>
      <c r="M203" s="36"/>
    </row>
    <row r="204" ht="13.2" spans="4:13">
      <c r="D204" s="36"/>
      <c r="E204" s="36"/>
      <c r="F204" s="36"/>
      <c r="G204" s="36"/>
      <c r="H204" s="36"/>
      <c r="I204" s="36"/>
      <c r="J204" s="36"/>
      <c r="K204" s="36"/>
      <c r="L204" s="36"/>
      <c r="M204" s="36"/>
    </row>
    <row r="205" ht="13.2" spans="4:13">
      <c r="D205" s="36"/>
      <c r="E205" s="36"/>
      <c r="F205" s="36"/>
      <c r="G205" s="36"/>
      <c r="H205" s="36"/>
      <c r="I205" s="36"/>
      <c r="J205" s="36"/>
      <c r="K205" s="36"/>
      <c r="L205" s="36"/>
      <c r="M205" s="36"/>
    </row>
    <row r="206" ht="13.2" spans="4:13">
      <c r="D206" s="36"/>
      <c r="E206" s="36"/>
      <c r="F206" s="36"/>
      <c r="G206" s="36"/>
      <c r="H206" s="36"/>
      <c r="I206" s="36"/>
      <c r="J206" s="36"/>
      <c r="K206" s="36"/>
      <c r="L206" s="36"/>
      <c r="M206" s="36"/>
    </row>
    <row r="207" ht="13.2" spans="4:13">
      <c r="D207" s="36"/>
      <c r="E207" s="36"/>
      <c r="F207" s="36"/>
      <c r="G207" s="36"/>
      <c r="H207" s="36"/>
      <c r="I207" s="36"/>
      <c r="J207" s="36"/>
      <c r="K207" s="36"/>
      <c r="L207" s="36"/>
      <c r="M207" s="36"/>
    </row>
    <row r="208" ht="13.2" spans="4:13">
      <c r="D208" s="36"/>
      <c r="E208" s="36"/>
      <c r="F208" s="36"/>
      <c r="G208" s="36"/>
      <c r="H208" s="36"/>
      <c r="I208" s="36"/>
      <c r="J208" s="36"/>
      <c r="K208" s="36"/>
      <c r="L208" s="36"/>
      <c r="M208" s="36"/>
    </row>
    <row r="209" ht="13.2" spans="4:13">
      <c r="D209" s="36"/>
      <c r="E209" s="36"/>
      <c r="F209" s="36"/>
      <c r="G209" s="36"/>
      <c r="H209" s="36"/>
      <c r="I209" s="36"/>
      <c r="J209" s="36"/>
      <c r="K209" s="36"/>
      <c r="L209" s="36"/>
      <c r="M209" s="36"/>
    </row>
    <row r="210" ht="13.2" spans="4:13">
      <c r="D210" s="36"/>
      <c r="E210" s="36"/>
      <c r="F210" s="36"/>
      <c r="G210" s="36"/>
      <c r="H210" s="36"/>
      <c r="I210" s="36"/>
      <c r="J210" s="36"/>
      <c r="K210" s="36"/>
      <c r="L210" s="36"/>
      <c r="M210" s="36"/>
    </row>
    <row r="211" ht="13.2" spans="4:13">
      <c r="D211" s="36"/>
      <c r="E211" s="36"/>
      <c r="F211" s="36"/>
      <c r="G211" s="36"/>
      <c r="H211" s="36"/>
      <c r="I211" s="36"/>
      <c r="J211" s="36"/>
      <c r="K211" s="36"/>
      <c r="L211" s="36"/>
      <c r="M211" s="36"/>
    </row>
    <row r="212" ht="13.2" spans="4:13">
      <c r="D212" s="36"/>
      <c r="E212" s="36"/>
      <c r="F212" s="36"/>
      <c r="G212" s="36"/>
      <c r="H212" s="36"/>
      <c r="I212" s="36"/>
      <c r="J212" s="36"/>
      <c r="K212" s="36"/>
      <c r="L212" s="36"/>
      <c r="M212" s="36"/>
    </row>
    <row r="213" ht="13.2" spans="4:13">
      <c r="D213" s="36"/>
      <c r="E213" s="36"/>
      <c r="F213" s="36"/>
      <c r="G213" s="36"/>
      <c r="H213" s="36"/>
      <c r="I213" s="36"/>
      <c r="J213" s="36"/>
      <c r="K213" s="36"/>
      <c r="L213" s="36"/>
      <c r="M213" s="36"/>
    </row>
    <row r="214" ht="13.2" spans="4:13">
      <c r="D214" s="36"/>
      <c r="E214" s="36"/>
      <c r="F214" s="36"/>
      <c r="G214" s="36"/>
      <c r="H214" s="36"/>
      <c r="I214" s="36"/>
      <c r="J214" s="36"/>
      <c r="K214" s="36"/>
      <c r="L214" s="36"/>
      <c r="M214" s="36"/>
    </row>
    <row r="215" ht="13.2" spans="4:13">
      <c r="D215" s="36"/>
      <c r="E215" s="36"/>
      <c r="F215" s="36"/>
      <c r="G215" s="36"/>
      <c r="H215" s="36"/>
      <c r="I215" s="36"/>
      <c r="J215" s="36"/>
      <c r="K215" s="36"/>
      <c r="L215" s="36"/>
      <c r="M215" s="36"/>
    </row>
    <row r="216" ht="13.2" spans="4:13">
      <c r="D216" s="36"/>
      <c r="E216" s="36"/>
      <c r="F216" s="36"/>
      <c r="G216" s="36"/>
      <c r="H216" s="36"/>
      <c r="I216" s="36"/>
      <c r="J216" s="36"/>
      <c r="K216" s="36"/>
      <c r="L216" s="36"/>
      <c r="M216" s="36"/>
    </row>
    <row r="217" ht="13.2" spans="4:13">
      <c r="D217" s="36"/>
      <c r="E217" s="36"/>
      <c r="F217" s="36"/>
      <c r="G217" s="36"/>
      <c r="H217" s="36"/>
      <c r="I217" s="36"/>
      <c r="J217" s="36"/>
      <c r="K217" s="36"/>
      <c r="L217" s="36"/>
      <c r="M217" s="36"/>
    </row>
    <row r="218" ht="13.2" spans="4:13">
      <c r="D218" s="36"/>
      <c r="E218" s="36"/>
      <c r="F218" s="36"/>
      <c r="G218" s="36"/>
      <c r="H218" s="36"/>
      <c r="I218" s="36"/>
      <c r="J218" s="36"/>
      <c r="K218" s="36"/>
      <c r="L218" s="36"/>
      <c r="M218" s="36"/>
    </row>
    <row r="219" ht="13.2" spans="4:13">
      <c r="D219" s="36"/>
      <c r="E219" s="36"/>
      <c r="F219" s="36"/>
      <c r="G219" s="36"/>
      <c r="H219" s="36"/>
      <c r="I219" s="36"/>
      <c r="J219" s="36"/>
      <c r="K219" s="36"/>
      <c r="L219" s="36"/>
      <c r="M219" s="36"/>
    </row>
    <row r="220" ht="13.2" spans="4:13">
      <c r="D220" s="36"/>
      <c r="E220" s="36"/>
      <c r="F220" s="36"/>
      <c r="G220" s="36"/>
      <c r="H220" s="36"/>
      <c r="I220" s="36"/>
      <c r="J220" s="36"/>
      <c r="K220" s="36"/>
      <c r="L220" s="36"/>
      <c r="M220" s="36"/>
    </row>
    <row r="221" ht="13.2" spans="4:13">
      <c r="D221" s="36"/>
      <c r="E221" s="36"/>
      <c r="F221" s="36"/>
      <c r="G221" s="36"/>
      <c r="H221" s="36"/>
      <c r="I221" s="36"/>
      <c r="J221" s="36"/>
      <c r="K221" s="36"/>
      <c r="L221" s="36"/>
      <c r="M221" s="36"/>
    </row>
    <row r="222" ht="13.2" spans="4:13">
      <c r="D222" s="36"/>
      <c r="E222" s="36"/>
      <c r="F222" s="36"/>
      <c r="G222" s="36"/>
      <c r="H222" s="36"/>
      <c r="I222" s="36"/>
      <c r="J222" s="36"/>
      <c r="K222" s="36"/>
      <c r="L222" s="36"/>
      <c r="M222" s="36"/>
    </row>
    <row r="223" ht="13.2" spans="4:13">
      <c r="D223" s="36"/>
      <c r="E223" s="36"/>
      <c r="F223" s="36"/>
      <c r="G223" s="36"/>
      <c r="H223" s="36"/>
      <c r="I223" s="36"/>
      <c r="J223" s="36"/>
      <c r="K223" s="36"/>
      <c r="L223" s="36"/>
      <c r="M223" s="36"/>
    </row>
    <row r="224" ht="13.2" spans="4:13">
      <c r="D224" s="36"/>
      <c r="E224" s="36"/>
      <c r="F224" s="36"/>
      <c r="G224" s="36"/>
      <c r="H224" s="36"/>
      <c r="I224" s="36"/>
      <c r="J224" s="36"/>
      <c r="K224" s="36"/>
      <c r="L224" s="36"/>
      <c r="M224" s="36"/>
    </row>
    <row r="225" ht="13.2" spans="4:13">
      <c r="D225" s="36"/>
      <c r="E225" s="36"/>
      <c r="F225" s="36"/>
      <c r="G225" s="36"/>
      <c r="H225" s="36"/>
      <c r="I225" s="36"/>
      <c r="J225" s="36"/>
      <c r="K225" s="36"/>
      <c r="L225" s="36"/>
      <c r="M225" s="36"/>
    </row>
    <row r="226" ht="13.2" spans="4:13">
      <c r="D226" s="36"/>
      <c r="E226" s="36"/>
      <c r="F226" s="36"/>
      <c r="G226" s="36"/>
      <c r="H226" s="36"/>
      <c r="I226" s="36"/>
      <c r="J226" s="36"/>
      <c r="K226" s="36"/>
      <c r="L226" s="36"/>
      <c r="M226" s="36"/>
    </row>
    <row r="227" ht="13.2" spans="4:13">
      <c r="D227" s="36"/>
      <c r="E227" s="36"/>
      <c r="F227" s="36"/>
      <c r="G227" s="36"/>
      <c r="H227" s="36"/>
      <c r="I227" s="36"/>
      <c r="J227" s="36"/>
      <c r="K227" s="36"/>
      <c r="L227" s="36"/>
      <c r="M227" s="36"/>
    </row>
    <row r="228" ht="13.2" spans="4:13">
      <c r="D228" s="36"/>
      <c r="E228" s="36"/>
      <c r="F228" s="36"/>
      <c r="G228" s="36"/>
      <c r="H228" s="36"/>
      <c r="I228" s="36"/>
      <c r="J228" s="36"/>
      <c r="K228" s="36"/>
      <c r="L228" s="36"/>
      <c r="M228" s="36"/>
    </row>
    <row r="229" ht="13.2" spans="4:13">
      <c r="D229" s="36"/>
      <c r="E229" s="36"/>
      <c r="F229" s="36"/>
      <c r="G229" s="36"/>
      <c r="H229" s="36"/>
      <c r="I229" s="36"/>
      <c r="J229" s="36"/>
      <c r="K229" s="36"/>
      <c r="L229" s="36"/>
      <c r="M229" s="36"/>
    </row>
    <row r="230" ht="13.2" spans="4:13">
      <c r="D230" s="36"/>
      <c r="E230" s="36"/>
      <c r="F230" s="36"/>
      <c r="G230" s="36"/>
      <c r="H230" s="36"/>
      <c r="I230" s="36"/>
      <c r="J230" s="36"/>
      <c r="K230" s="36"/>
      <c r="L230" s="36"/>
      <c r="M230" s="36"/>
    </row>
    <row r="231" ht="13.2" spans="4:13">
      <c r="D231" s="36"/>
      <c r="E231" s="36"/>
      <c r="F231" s="36"/>
      <c r="G231" s="36"/>
      <c r="H231" s="36"/>
      <c r="I231" s="36"/>
      <c r="J231" s="36"/>
      <c r="K231" s="36"/>
      <c r="L231" s="36"/>
      <c r="M231" s="36"/>
    </row>
    <row r="232" ht="13.2" spans="4:13">
      <c r="D232" s="36"/>
      <c r="E232" s="36"/>
      <c r="F232" s="36"/>
      <c r="G232" s="36"/>
      <c r="H232" s="36"/>
      <c r="I232" s="36"/>
      <c r="J232" s="36"/>
      <c r="K232" s="36"/>
      <c r="L232" s="36"/>
      <c r="M232" s="36"/>
    </row>
    <row r="233" ht="13.2" spans="4:13">
      <c r="D233" s="36"/>
      <c r="E233" s="36"/>
      <c r="F233" s="36"/>
      <c r="G233" s="36"/>
      <c r="H233" s="36"/>
      <c r="I233" s="36"/>
      <c r="J233" s="36"/>
      <c r="K233" s="36"/>
      <c r="L233" s="36"/>
      <c r="M233" s="36"/>
    </row>
    <row r="234" ht="13.2" spans="4:13">
      <c r="D234" s="36"/>
      <c r="E234" s="36"/>
      <c r="F234" s="36"/>
      <c r="G234" s="36"/>
      <c r="H234" s="36"/>
      <c r="I234" s="36"/>
      <c r="J234" s="36"/>
      <c r="K234" s="36"/>
      <c r="L234" s="36"/>
      <c r="M234" s="36"/>
    </row>
    <row r="235" ht="13.2" spans="4:13">
      <c r="D235" s="36"/>
      <c r="E235" s="36"/>
      <c r="F235" s="36"/>
      <c r="G235" s="36"/>
      <c r="H235" s="36"/>
      <c r="I235" s="36"/>
      <c r="J235" s="36"/>
      <c r="K235" s="36"/>
      <c r="L235" s="36"/>
      <c r="M235" s="36"/>
    </row>
    <row r="236" ht="13.2" spans="4:13">
      <c r="D236" s="36"/>
      <c r="E236" s="36"/>
      <c r="F236" s="36"/>
      <c r="G236" s="36"/>
      <c r="H236" s="36"/>
      <c r="I236" s="36"/>
      <c r="J236" s="36"/>
      <c r="K236" s="36"/>
      <c r="L236" s="36"/>
      <c r="M236" s="36"/>
    </row>
    <row r="237" ht="13.2" spans="4:13">
      <c r="D237" s="36"/>
      <c r="E237" s="36"/>
      <c r="F237" s="36"/>
      <c r="G237" s="36"/>
      <c r="H237" s="36"/>
      <c r="I237" s="36"/>
      <c r="J237" s="36"/>
      <c r="K237" s="36"/>
      <c r="L237" s="36"/>
      <c r="M237" s="36"/>
    </row>
    <row r="238" ht="13.2" spans="4:13">
      <c r="D238" s="36"/>
      <c r="E238" s="36"/>
      <c r="F238" s="36"/>
      <c r="G238" s="36"/>
      <c r="H238" s="36"/>
      <c r="I238" s="36"/>
      <c r="J238" s="36"/>
      <c r="K238" s="36"/>
      <c r="L238" s="36"/>
      <c r="M238" s="36"/>
    </row>
    <row r="239" ht="13.2" spans="4:13">
      <c r="D239" s="36"/>
      <c r="E239" s="36"/>
      <c r="F239" s="36"/>
      <c r="G239" s="36"/>
      <c r="H239" s="36"/>
      <c r="I239" s="36"/>
      <c r="J239" s="36"/>
      <c r="K239" s="36"/>
      <c r="L239" s="36"/>
      <c r="M239" s="36"/>
    </row>
    <row r="240" ht="13.2" spans="4:13">
      <c r="D240" s="36"/>
      <c r="E240" s="36"/>
      <c r="F240" s="36"/>
      <c r="G240" s="36"/>
      <c r="H240" s="36"/>
      <c r="I240" s="36"/>
      <c r="J240" s="36"/>
      <c r="K240" s="36"/>
      <c r="L240" s="36"/>
      <c r="M240" s="36"/>
    </row>
    <row r="241" ht="13.2" spans="4:13">
      <c r="D241" s="36"/>
      <c r="E241" s="36"/>
      <c r="F241" s="36"/>
      <c r="G241" s="36"/>
      <c r="H241" s="36"/>
      <c r="I241" s="36"/>
      <c r="J241" s="36"/>
      <c r="K241" s="36"/>
      <c r="L241" s="36"/>
      <c r="M241" s="36"/>
    </row>
    <row r="242" ht="13.2" spans="4:13">
      <c r="D242" s="36"/>
      <c r="E242" s="36"/>
      <c r="F242" s="36"/>
      <c r="G242" s="36"/>
      <c r="H242" s="36"/>
      <c r="I242" s="36"/>
      <c r="J242" s="36"/>
      <c r="K242" s="36"/>
      <c r="L242" s="36"/>
      <c r="M242" s="36"/>
    </row>
    <row r="243" ht="13.2" spans="4:13">
      <c r="D243" s="36"/>
      <c r="E243" s="36"/>
      <c r="F243" s="36"/>
      <c r="G243" s="36"/>
      <c r="H243" s="36"/>
      <c r="I243" s="36"/>
      <c r="J243" s="36"/>
      <c r="K243" s="36"/>
      <c r="L243" s="36"/>
      <c r="M243" s="36"/>
    </row>
    <row r="244" ht="13.2" spans="4:13">
      <c r="D244" s="36"/>
      <c r="E244" s="36"/>
      <c r="F244" s="36"/>
      <c r="G244" s="36"/>
      <c r="H244" s="36"/>
      <c r="I244" s="36"/>
      <c r="J244" s="36"/>
      <c r="K244" s="36"/>
      <c r="L244" s="36"/>
      <c r="M244" s="36"/>
    </row>
    <row r="245" ht="13.2" spans="4:13">
      <c r="D245" s="36"/>
      <c r="E245" s="36"/>
      <c r="F245" s="36"/>
      <c r="G245" s="36"/>
      <c r="H245" s="36"/>
      <c r="I245" s="36"/>
      <c r="J245" s="36"/>
      <c r="K245" s="36"/>
      <c r="L245" s="36"/>
      <c r="M245" s="36"/>
    </row>
    <row r="246" ht="13.2" spans="4:13">
      <c r="D246" s="36"/>
      <c r="E246" s="36"/>
      <c r="F246" s="36"/>
      <c r="G246" s="36"/>
      <c r="H246" s="36"/>
      <c r="I246" s="36"/>
      <c r="J246" s="36"/>
      <c r="K246" s="36"/>
      <c r="L246" s="36"/>
      <c r="M246" s="36"/>
    </row>
    <row r="247" ht="13.2" spans="4:13">
      <c r="D247" s="36"/>
      <c r="E247" s="36"/>
      <c r="F247" s="36"/>
      <c r="G247" s="36"/>
      <c r="H247" s="36"/>
      <c r="I247" s="36"/>
      <c r="J247" s="36"/>
      <c r="K247" s="36"/>
      <c r="L247" s="36"/>
      <c r="M247" s="36"/>
    </row>
    <row r="248" ht="13.2" spans="4:13">
      <c r="D248" s="36"/>
      <c r="E248" s="36"/>
      <c r="F248" s="36"/>
      <c r="G248" s="36"/>
      <c r="H248" s="36"/>
      <c r="I248" s="36"/>
      <c r="J248" s="36"/>
      <c r="K248" s="36"/>
      <c r="L248" s="36"/>
      <c r="M248" s="36"/>
    </row>
    <row r="249" ht="13.2" spans="4:13">
      <c r="D249" s="36"/>
      <c r="E249" s="36"/>
      <c r="F249" s="36"/>
      <c r="G249" s="36"/>
      <c r="H249" s="36"/>
      <c r="I249" s="36"/>
      <c r="J249" s="36"/>
      <c r="K249" s="36"/>
      <c r="L249" s="36"/>
      <c r="M249" s="36"/>
    </row>
    <row r="250" ht="13.2" spans="4:13">
      <c r="D250" s="36"/>
      <c r="E250" s="36"/>
      <c r="F250" s="36"/>
      <c r="G250" s="36"/>
      <c r="H250" s="36"/>
      <c r="I250" s="36"/>
      <c r="J250" s="36"/>
      <c r="K250" s="36"/>
      <c r="L250" s="36"/>
      <c r="M250" s="36"/>
    </row>
    <row r="251" ht="13.2" spans="4:13">
      <c r="D251" s="36"/>
      <c r="E251" s="36"/>
      <c r="F251" s="36"/>
      <c r="G251" s="36"/>
      <c r="H251" s="36"/>
      <c r="I251" s="36"/>
      <c r="J251" s="36"/>
      <c r="K251" s="36"/>
      <c r="L251" s="36"/>
      <c r="M251" s="36"/>
    </row>
    <row r="252" ht="13.2" spans="4:13">
      <c r="D252" s="36"/>
      <c r="E252" s="36"/>
      <c r="F252" s="36"/>
      <c r="G252" s="36"/>
      <c r="H252" s="36"/>
      <c r="I252" s="36"/>
      <c r="J252" s="36"/>
      <c r="K252" s="36"/>
      <c r="L252" s="36"/>
      <c r="M252" s="36"/>
    </row>
    <row r="253" ht="13.2" spans="4:13">
      <c r="D253" s="36"/>
      <c r="E253" s="36"/>
      <c r="F253" s="36"/>
      <c r="G253" s="36"/>
      <c r="H253" s="36"/>
      <c r="I253" s="36"/>
      <c r="J253" s="36"/>
      <c r="K253" s="36"/>
      <c r="L253" s="36"/>
      <c r="M253" s="36"/>
    </row>
    <row r="254" ht="13.2" spans="4:13">
      <c r="D254" s="36"/>
      <c r="E254" s="36"/>
      <c r="F254" s="36"/>
      <c r="G254" s="36"/>
      <c r="H254" s="36"/>
      <c r="I254" s="36"/>
      <c r="J254" s="36"/>
      <c r="K254" s="36"/>
      <c r="L254" s="36"/>
      <c r="M254" s="36"/>
    </row>
    <row r="255" ht="13.2" spans="4:13">
      <c r="D255" s="36"/>
      <c r="E255" s="36"/>
      <c r="F255" s="36"/>
      <c r="G255" s="36"/>
      <c r="H255" s="36"/>
      <c r="I255" s="36"/>
      <c r="J255" s="36"/>
      <c r="K255" s="36"/>
      <c r="L255" s="36"/>
      <c r="M255" s="36"/>
    </row>
    <row r="256" ht="13.2" spans="4:13">
      <c r="D256" s="36"/>
      <c r="E256" s="36"/>
      <c r="F256" s="36"/>
      <c r="G256" s="36"/>
      <c r="H256" s="36"/>
      <c r="I256" s="36"/>
      <c r="J256" s="36"/>
      <c r="K256" s="36"/>
      <c r="L256" s="36"/>
      <c r="M256" s="36"/>
    </row>
    <row r="257" ht="13.2" spans="4:13">
      <c r="D257" s="36"/>
      <c r="E257" s="36"/>
      <c r="F257" s="36"/>
      <c r="G257" s="36"/>
      <c r="H257" s="36"/>
      <c r="I257" s="36"/>
      <c r="J257" s="36"/>
      <c r="K257" s="36"/>
      <c r="L257" s="36"/>
      <c r="M257" s="36"/>
    </row>
    <row r="258" ht="13.2" spans="4:13">
      <c r="D258" s="36"/>
      <c r="E258" s="36"/>
      <c r="F258" s="36"/>
      <c r="G258" s="36"/>
      <c r="H258" s="36"/>
      <c r="I258" s="36"/>
      <c r="J258" s="36"/>
      <c r="K258" s="36"/>
      <c r="L258" s="36"/>
      <c r="M258" s="36"/>
    </row>
    <row r="259" ht="13.2" spans="4:13">
      <c r="D259" s="36"/>
      <c r="E259" s="36"/>
      <c r="F259" s="36"/>
      <c r="G259" s="36"/>
      <c r="H259" s="36"/>
      <c r="I259" s="36"/>
      <c r="J259" s="36"/>
      <c r="K259" s="36"/>
      <c r="L259" s="36"/>
      <c r="M259" s="36"/>
    </row>
    <row r="260" ht="13.2" spans="4:13">
      <c r="D260" s="36"/>
      <c r="E260" s="36"/>
      <c r="F260" s="36"/>
      <c r="G260" s="36"/>
      <c r="H260" s="36"/>
      <c r="I260" s="36"/>
      <c r="J260" s="36"/>
      <c r="K260" s="36"/>
      <c r="L260" s="36"/>
      <c r="M260" s="36"/>
    </row>
    <row r="261" ht="13.2" spans="4:13">
      <c r="D261" s="36"/>
      <c r="E261" s="36"/>
      <c r="F261" s="36"/>
      <c r="G261" s="36"/>
      <c r="H261" s="36"/>
      <c r="I261" s="36"/>
      <c r="J261" s="36"/>
      <c r="K261" s="36"/>
      <c r="L261" s="36"/>
      <c r="M261" s="36"/>
    </row>
    <row r="262" ht="13.2" spans="4:13">
      <c r="D262" s="36"/>
      <c r="E262" s="36"/>
      <c r="F262" s="36"/>
      <c r="G262" s="36"/>
      <c r="H262" s="36"/>
      <c r="I262" s="36"/>
      <c r="J262" s="36"/>
      <c r="K262" s="36"/>
      <c r="L262" s="36"/>
      <c r="M262" s="36"/>
    </row>
    <row r="263" ht="13.2" spans="4:13">
      <c r="D263" s="36"/>
      <c r="E263" s="36"/>
      <c r="F263" s="36"/>
      <c r="G263" s="36"/>
      <c r="H263" s="36"/>
      <c r="I263" s="36"/>
      <c r="J263" s="36"/>
      <c r="K263" s="36"/>
      <c r="L263" s="36"/>
      <c r="M263" s="36"/>
    </row>
    <row r="264" ht="13.2" spans="4:13">
      <c r="D264" s="36"/>
      <c r="E264" s="36"/>
      <c r="F264" s="36"/>
      <c r="G264" s="36"/>
      <c r="H264" s="36"/>
      <c r="I264" s="36"/>
      <c r="J264" s="36"/>
      <c r="K264" s="36"/>
      <c r="L264" s="36"/>
      <c r="M264" s="36"/>
    </row>
    <row r="265" ht="13.2" spans="4:13">
      <c r="D265" s="36"/>
      <c r="E265" s="36"/>
      <c r="F265" s="36"/>
      <c r="G265" s="36"/>
      <c r="H265" s="36"/>
      <c r="I265" s="36"/>
      <c r="J265" s="36"/>
      <c r="K265" s="36"/>
      <c r="L265" s="36"/>
      <c r="M265" s="36"/>
    </row>
    <row r="266" ht="13.2" spans="4:13">
      <c r="D266" s="36"/>
      <c r="E266" s="36"/>
      <c r="F266" s="36"/>
      <c r="G266" s="36"/>
      <c r="H266" s="36"/>
      <c r="I266" s="36"/>
      <c r="J266" s="36"/>
      <c r="K266" s="36"/>
      <c r="L266" s="36"/>
      <c r="M266" s="36"/>
    </row>
    <row r="267" ht="13.2" spans="4:13">
      <c r="D267" s="36"/>
      <c r="E267" s="36"/>
      <c r="F267" s="36"/>
      <c r="G267" s="36"/>
      <c r="H267" s="36"/>
      <c r="I267" s="36"/>
      <c r="J267" s="36"/>
      <c r="K267" s="36"/>
      <c r="L267" s="36"/>
      <c r="M267" s="36"/>
    </row>
    <row r="268" ht="13.2" spans="4:13">
      <c r="D268" s="36"/>
      <c r="E268" s="36"/>
      <c r="F268" s="36"/>
      <c r="G268" s="36"/>
      <c r="H268" s="36"/>
      <c r="I268" s="36"/>
      <c r="J268" s="36"/>
      <c r="K268" s="36"/>
      <c r="L268" s="36"/>
      <c r="M268" s="36"/>
    </row>
    <row r="269" ht="13.2" spans="4:13">
      <c r="D269" s="36"/>
      <c r="E269" s="36"/>
      <c r="F269" s="36"/>
      <c r="G269" s="36"/>
      <c r="H269" s="36"/>
      <c r="I269" s="36"/>
      <c r="J269" s="36"/>
      <c r="K269" s="36"/>
      <c r="L269" s="36"/>
      <c r="M269" s="36"/>
    </row>
    <row r="270" ht="13.2" spans="4:13">
      <c r="D270" s="36"/>
      <c r="E270" s="36"/>
      <c r="F270" s="36"/>
      <c r="G270" s="36"/>
      <c r="H270" s="36"/>
      <c r="I270" s="36"/>
      <c r="J270" s="36"/>
      <c r="K270" s="36"/>
      <c r="L270" s="36"/>
      <c r="M270" s="36"/>
    </row>
    <row r="271" ht="13.2" spans="4:13">
      <c r="D271" s="36"/>
      <c r="E271" s="36"/>
      <c r="F271" s="36"/>
      <c r="G271" s="36"/>
      <c r="H271" s="36"/>
      <c r="I271" s="36"/>
      <c r="J271" s="36"/>
      <c r="K271" s="36"/>
      <c r="L271" s="36"/>
      <c r="M271" s="36"/>
    </row>
    <row r="272" ht="13.2" spans="4:13">
      <c r="D272" s="36"/>
      <c r="E272" s="36"/>
      <c r="F272" s="36"/>
      <c r="G272" s="36"/>
      <c r="H272" s="36"/>
      <c r="I272" s="36"/>
      <c r="J272" s="36"/>
      <c r="K272" s="36"/>
      <c r="L272" s="36"/>
      <c r="M272" s="36"/>
    </row>
    <row r="273" ht="13.2" spans="4:13">
      <c r="D273" s="36"/>
      <c r="E273" s="36"/>
      <c r="F273" s="36"/>
      <c r="G273" s="36"/>
      <c r="H273" s="36"/>
      <c r="I273" s="36"/>
      <c r="J273" s="36"/>
      <c r="K273" s="36"/>
      <c r="L273" s="36"/>
      <c r="M273" s="36"/>
    </row>
    <row r="274" ht="13.2" spans="4:13">
      <c r="D274" s="36"/>
      <c r="E274" s="36"/>
      <c r="F274" s="36"/>
      <c r="G274" s="36"/>
      <c r="H274" s="36"/>
      <c r="I274" s="36"/>
      <c r="J274" s="36"/>
      <c r="K274" s="36"/>
      <c r="L274" s="36"/>
      <c r="M274" s="36"/>
    </row>
    <row r="275" ht="13.2" spans="4:13">
      <c r="D275" s="36"/>
      <c r="E275" s="36"/>
      <c r="F275" s="36"/>
      <c r="G275" s="36"/>
      <c r="H275" s="36"/>
      <c r="I275" s="36"/>
      <c r="J275" s="36"/>
      <c r="K275" s="36"/>
      <c r="L275" s="36"/>
      <c r="M275" s="36"/>
    </row>
    <row r="276" ht="13.2" spans="4:13">
      <c r="D276" s="36"/>
      <c r="E276" s="36"/>
      <c r="F276" s="36"/>
      <c r="G276" s="36"/>
      <c r="H276" s="36"/>
      <c r="I276" s="36"/>
      <c r="J276" s="36"/>
      <c r="K276" s="36"/>
      <c r="L276" s="36"/>
      <c r="M276" s="36"/>
    </row>
    <row r="277" ht="13.2" spans="4:13">
      <c r="D277" s="36"/>
      <c r="E277" s="36"/>
      <c r="F277" s="36"/>
      <c r="G277" s="36"/>
      <c r="H277" s="36"/>
      <c r="I277" s="36"/>
      <c r="J277" s="36"/>
      <c r="K277" s="36"/>
      <c r="L277" s="36"/>
      <c r="M277" s="36"/>
    </row>
    <row r="278" ht="13.2" spans="4:13">
      <c r="D278" s="36"/>
      <c r="E278" s="36"/>
      <c r="F278" s="36"/>
      <c r="G278" s="36"/>
      <c r="H278" s="36"/>
      <c r="I278" s="36"/>
      <c r="J278" s="36"/>
      <c r="K278" s="36"/>
      <c r="L278" s="36"/>
      <c r="M278" s="36"/>
    </row>
    <row r="279" ht="13.2" spans="4:13">
      <c r="D279" s="36"/>
      <c r="E279" s="36"/>
      <c r="F279" s="36"/>
      <c r="G279" s="36"/>
      <c r="H279" s="36"/>
      <c r="I279" s="36"/>
      <c r="J279" s="36"/>
      <c r="K279" s="36"/>
      <c r="L279" s="36"/>
      <c r="M279" s="36"/>
    </row>
    <row r="280" ht="13.2" spans="4:13">
      <c r="D280" s="36"/>
      <c r="E280" s="36"/>
      <c r="F280" s="36"/>
      <c r="G280" s="36"/>
      <c r="H280" s="36"/>
      <c r="I280" s="36"/>
      <c r="J280" s="36"/>
      <c r="K280" s="36"/>
      <c r="L280" s="36"/>
      <c r="M280" s="36"/>
    </row>
    <row r="281" ht="13.2" spans="4:13">
      <c r="D281" s="36"/>
      <c r="E281" s="36"/>
      <c r="F281" s="36"/>
      <c r="G281" s="36"/>
      <c r="H281" s="36"/>
      <c r="I281" s="36"/>
      <c r="J281" s="36"/>
      <c r="K281" s="36"/>
      <c r="L281" s="36"/>
      <c r="M281" s="36"/>
    </row>
    <row r="282" ht="13.2" spans="4:13">
      <c r="D282" s="36"/>
      <c r="E282" s="36"/>
      <c r="F282" s="36"/>
      <c r="G282" s="36"/>
      <c r="H282" s="36"/>
      <c r="I282" s="36"/>
      <c r="J282" s="36"/>
      <c r="K282" s="36"/>
      <c r="L282" s="36"/>
      <c r="M282" s="36"/>
    </row>
    <row r="283" ht="13.2" spans="4:13">
      <c r="D283" s="36"/>
      <c r="E283" s="36"/>
      <c r="F283" s="36"/>
      <c r="G283" s="36"/>
      <c r="H283" s="36"/>
      <c r="I283" s="36"/>
      <c r="J283" s="36"/>
      <c r="K283" s="36"/>
      <c r="L283" s="36"/>
      <c r="M283" s="36"/>
    </row>
    <row r="284" ht="13.2" spans="4:13">
      <c r="D284" s="36"/>
      <c r="E284" s="36"/>
      <c r="F284" s="36"/>
      <c r="G284" s="36"/>
      <c r="H284" s="36"/>
      <c r="I284" s="36"/>
      <c r="J284" s="36"/>
      <c r="K284" s="36"/>
      <c r="L284" s="36"/>
      <c r="M284" s="36"/>
    </row>
    <row r="285" ht="13.2" spans="4:13">
      <c r="D285" s="36"/>
      <c r="E285" s="36"/>
      <c r="F285" s="36"/>
      <c r="G285" s="36"/>
      <c r="H285" s="36"/>
      <c r="I285" s="36"/>
      <c r="J285" s="36"/>
      <c r="K285" s="36"/>
      <c r="L285" s="36"/>
      <c r="M285" s="36"/>
    </row>
    <row r="286" ht="13.2" spans="4:13">
      <c r="D286" s="36"/>
      <c r="E286" s="36"/>
      <c r="F286" s="36"/>
      <c r="G286" s="36"/>
      <c r="H286" s="36"/>
      <c r="I286" s="36"/>
      <c r="J286" s="36"/>
      <c r="K286" s="36"/>
      <c r="L286" s="36"/>
      <c r="M286" s="36"/>
    </row>
    <row r="287" ht="13.2" spans="4:13">
      <c r="D287" s="36"/>
      <c r="E287" s="36"/>
      <c r="F287" s="36"/>
      <c r="G287" s="36"/>
      <c r="H287" s="36"/>
      <c r="I287" s="36"/>
      <c r="J287" s="36"/>
      <c r="K287" s="36"/>
      <c r="L287" s="36"/>
      <c r="M287" s="36"/>
    </row>
    <row r="288" ht="13.2" spans="4:13">
      <c r="D288" s="36"/>
      <c r="E288" s="36"/>
      <c r="F288" s="36"/>
      <c r="G288" s="36"/>
      <c r="H288" s="36"/>
      <c r="I288" s="36"/>
      <c r="J288" s="36"/>
      <c r="K288" s="36"/>
      <c r="L288" s="36"/>
      <c r="M288" s="36"/>
    </row>
    <row r="289" ht="13.2" spans="4:13">
      <c r="D289" s="36"/>
      <c r="E289" s="36"/>
      <c r="F289" s="36"/>
      <c r="G289" s="36"/>
      <c r="H289" s="36"/>
      <c r="I289" s="36"/>
      <c r="J289" s="36"/>
      <c r="K289" s="36"/>
      <c r="L289" s="36"/>
      <c r="M289" s="36"/>
    </row>
    <row r="290" ht="13.2" spans="4:13">
      <c r="D290" s="36"/>
      <c r="E290" s="36"/>
      <c r="F290" s="36"/>
      <c r="G290" s="36"/>
      <c r="H290" s="36"/>
      <c r="I290" s="36"/>
      <c r="J290" s="36"/>
      <c r="K290" s="36"/>
      <c r="L290" s="36"/>
      <c r="M290" s="36"/>
    </row>
    <row r="291" ht="13.2" spans="4:13">
      <c r="D291" s="36"/>
      <c r="E291" s="36"/>
      <c r="F291" s="36"/>
      <c r="G291" s="36"/>
      <c r="H291" s="36"/>
      <c r="I291" s="36"/>
      <c r="J291" s="36"/>
      <c r="K291" s="36"/>
      <c r="L291" s="36"/>
      <c r="M291" s="36"/>
    </row>
    <row r="292" ht="13.2" spans="4:13">
      <c r="D292" s="36"/>
      <c r="E292" s="36"/>
      <c r="F292" s="36"/>
      <c r="G292" s="36"/>
      <c r="H292" s="36"/>
      <c r="I292" s="36"/>
      <c r="J292" s="36"/>
      <c r="K292" s="36"/>
      <c r="L292" s="36"/>
      <c r="M292" s="36"/>
    </row>
    <row r="293" ht="13.2" spans="4:13">
      <c r="D293" s="36"/>
      <c r="E293" s="36"/>
      <c r="F293" s="36"/>
      <c r="G293" s="36"/>
      <c r="H293" s="36"/>
      <c r="I293" s="36"/>
      <c r="J293" s="36"/>
      <c r="K293" s="36"/>
      <c r="L293" s="36"/>
      <c r="M293" s="36"/>
    </row>
    <row r="294" ht="13.2" spans="4:13">
      <c r="D294" s="36"/>
      <c r="E294" s="36"/>
      <c r="F294" s="36"/>
      <c r="G294" s="36"/>
      <c r="H294" s="36"/>
      <c r="I294" s="36"/>
      <c r="J294" s="36"/>
      <c r="K294" s="36"/>
      <c r="L294" s="36"/>
      <c r="M294" s="36"/>
    </row>
    <row r="295" ht="13.2" spans="4:13">
      <c r="D295" s="36"/>
      <c r="E295" s="36"/>
      <c r="F295" s="36"/>
      <c r="G295" s="36"/>
      <c r="H295" s="36"/>
      <c r="I295" s="36"/>
      <c r="J295" s="36"/>
      <c r="K295" s="36"/>
      <c r="L295" s="36"/>
      <c r="M295" s="36"/>
    </row>
    <row r="296" ht="13.2" spans="4:13">
      <c r="D296" s="36"/>
      <c r="E296" s="36"/>
      <c r="F296" s="36"/>
      <c r="G296" s="36"/>
      <c r="H296" s="36"/>
      <c r="I296" s="36"/>
      <c r="J296" s="36"/>
      <c r="K296" s="36"/>
      <c r="L296" s="36"/>
      <c r="M296" s="36"/>
    </row>
    <row r="297" ht="13.2" spans="4:13">
      <c r="D297" s="36"/>
      <c r="E297" s="36"/>
      <c r="F297" s="36"/>
      <c r="G297" s="36"/>
      <c r="H297" s="36"/>
      <c r="I297" s="36"/>
      <c r="J297" s="36"/>
      <c r="K297" s="36"/>
      <c r="L297" s="36"/>
      <c r="M297" s="36"/>
    </row>
    <row r="298" ht="13.2" spans="4:13">
      <c r="D298" s="36"/>
      <c r="E298" s="36"/>
      <c r="F298" s="36"/>
      <c r="G298" s="36"/>
      <c r="H298" s="36"/>
      <c r="I298" s="36"/>
      <c r="J298" s="36"/>
      <c r="K298" s="36"/>
      <c r="L298" s="36"/>
      <c r="M298" s="36"/>
    </row>
    <row r="299" ht="13.2" spans="4:13">
      <c r="D299" s="36"/>
      <c r="E299" s="36"/>
      <c r="F299" s="36"/>
      <c r="G299" s="36"/>
      <c r="H299" s="36"/>
      <c r="I299" s="36"/>
      <c r="J299" s="36"/>
      <c r="K299" s="36"/>
      <c r="L299" s="36"/>
      <c r="M299" s="36"/>
    </row>
    <row r="300" ht="13.2" spans="4:13">
      <c r="D300" s="36"/>
      <c r="E300" s="36"/>
      <c r="F300" s="36"/>
      <c r="G300" s="36"/>
      <c r="H300" s="36"/>
      <c r="I300" s="36"/>
      <c r="J300" s="36"/>
      <c r="K300" s="36"/>
      <c r="L300" s="36"/>
      <c r="M300" s="36"/>
    </row>
    <row r="301" ht="13.2" spans="4:13">
      <c r="D301" s="36"/>
      <c r="E301" s="36"/>
      <c r="F301" s="36"/>
      <c r="G301" s="36"/>
      <c r="H301" s="36"/>
      <c r="I301" s="36"/>
      <c r="J301" s="36"/>
      <c r="K301" s="36"/>
      <c r="L301" s="36"/>
      <c r="M301" s="36"/>
    </row>
    <row r="302" ht="13.2" spans="4:13">
      <c r="D302" s="36"/>
      <c r="E302" s="36"/>
      <c r="F302" s="36"/>
      <c r="G302" s="36"/>
      <c r="H302" s="36"/>
      <c r="I302" s="36"/>
      <c r="J302" s="36"/>
      <c r="K302" s="36"/>
      <c r="L302" s="36"/>
      <c r="M302" s="36"/>
    </row>
    <row r="303" ht="13.2" spans="4:13">
      <c r="D303" s="36"/>
      <c r="E303" s="36"/>
      <c r="F303" s="36"/>
      <c r="G303" s="36"/>
      <c r="H303" s="36"/>
      <c r="I303" s="36"/>
      <c r="J303" s="36"/>
      <c r="K303" s="36"/>
      <c r="L303" s="36"/>
      <c r="M303" s="36"/>
    </row>
    <row r="304" ht="13.2" spans="4:13">
      <c r="D304" s="36"/>
      <c r="E304" s="36"/>
      <c r="F304" s="36"/>
      <c r="G304" s="36"/>
      <c r="H304" s="36"/>
      <c r="I304" s="36"/>
      <c r="J304" s="36"/>
      <c r="K304" s="36"/>
      <c r="L304" s="36"/>
      <c r="M304" s="36"/>
    </row>
    <row r="305" ht="13.2" spans="4:13">
      <c r="D305" s="36"/>
      <c r="E305" s="36"/>
      <c r="F305" s="36"/>
      <c r="G305" s="36"/>
      <c r="H305" s="36"/>
      <c r="I305" s="36"/>
      <c r="J305" s="36"/>
      <c r="K305" s="36"/>
      <c r="L305" s="36"/>
      <c r="M305" s="36"/>
    </row>
    <row r="306" ht="13.2" spans="4:13">
      <c r="D306" s="36"/>
      <c r="E306" s="36"/>
      <c r="F306" s="36"/>
      <c r="G306" s="36"/>
      <c r="H306" s="36"/>
      <c r="I306" s="36"/>
      <c r="J306" s="36"/>
      <c r="K306" s="36"/>
      <c r="L306" s="36"/>
      <c r="M306" s="36"/>
    </row>
    <row r="307" ht="13.2" spans="4:13">
      <c r="D307" s="36"/>
      <c r="E307" s="36"/>
      <c r="F307" s="36"/>
      <c r="G307" s="36"/>
      <c r="H307" s="36"/>
      <c r="I307" s="36"/>
      <c r="J307" s="36"/>
      <c r="K307" s="36"/>
      <c r="L307" s="36"/>
      <c r="M307" s="36"/>
    </row>
    <row r="308" ht="13.2" spans="4:13">
      <c r="D308" s="36"/>
      <c r="E308" s="36"/>
      <c r="F308" s="36"/>
      <c r="G308" s="36"/>
      <c r="H308" s="36"/>
      <c r="I308" s="36"/>
      <c r="J308" s="36"/>
      <c r="K308" s="36"/>
      <c r="L308" s="36"/>
      <c r="M308" s="36"/>
    </row>
    <row r="309" ht="13.2" spans="4:13">
      <c r="D309" s="36"/>
      <c r="E309" s="36"/>
      <c r="F309" s="36"/>
      <c r="G309" s="36"/>
      <c r="H309" s="36"/>
      <c r="I309" s="36"/>
      <c r="J309" s="36"/>
      <c r="K309" s="36"/>
      <c r="L309" s="36"/>
      <c r="M309" s="36"/>
    </row>
    <row r="310" ht="13.2" spans="4:13">
      <c r="D310" s="36"/>
      <c r="E310" s="36"/>
      <c r="F310" s="36"/>
      <c r="G310" s="36"/>
      <c r="H310" s="36"/>
      <c r="I310" s="36"/>
      <c r="J310" s="36"/>
      <c r="K310" s="36"/>
      <c r="L310" s="36"/>
      <c r="M310" s="36"/>
    </row>
    <row r="311" ht="13.2" spans="4:13">
      <c r="D311" s="36"/>
      <c r="E311" s="36"/>
      <c r="F311" s="36"/>
      <c r="G311" s="36"/>
      <c r="H311" s="36"/>
      <c r="I311" s="36"/>
      <c r="J311" s="36"/>
      <c r="K311" s="36"/>
      <c r="L311" s="36"/>
      <c r="M311" s="36"/>
    </row>
    <row r="312" ht="13.2" spans="4:13">
      <c r="D312" s="36"/>
      <c r="E312" s="36"/>
      <c r="F312" s="36"/>
      <c r="G312" s="36"/>
      <c r="H312" s="36"/>
      <c r="I312" s="36"/>
      <c r="J312" s="36"/>
      <c r="K312" s="36"/>
      <c r="L312" s="36"/>
      <c r="M312" s="36"/>
    </row>
    <row r="313" ht="13.2" spans="4:13">
      <c r="D313" s="36"/>
      <c r="E313" s="36"/>
      <c r="F313" s="36"/>
      <c r="G313" s="36"/>
      <c r="H313" s="36"/>
      <c r="I313" s="36"/>
      <c r="J313" s="36"/>
      <c r="K313" s="36"/>
      <c r="L313" s="36"/>
      <c r="M313" s="36"/>
    </row>
    <row r="314" ht="13.2" spans="4:13">
      <c r="D314" s="36"/>
      <c r="E314" s="36"/>
      <c r="F314" s="36"/>
      <c r="G314" s="36"/>
      <c r="H314" s="36"/>
      <c r="I314" s="36"/>
      <c r="J314" s="36"/>
      <c r="K314" s="36"/>
      <c r="L314" s="36"/>
      <c r="M314" s="36"/>
    </row>
    <row r="315" ht="13.2" spans="4:13">
      <c r="D315" s="36"/>
      <c r="E315" s="36"/>
      <c r="F315" s="36"/>
      <c r="G315" s="36"/>
      <c r="H315" s="36"/>
      <c r="I315" s="36"/>
      <c r="J315" s="36"/>
      <c r="K315" s="36"/>
      <c r="L315" s="36"/>
      <c r="M315" s="36"/>
    </row>
    <row r="316" ht="13.2" spans="4:13">
      <c r="D316" s="36"/>
      <c r="E316" s="36"/>
      <c r="F316" s="36"/>
      <c r="G316" s="36"/>
      <c r="H316" s="36"/>
      <c r="I316" s="36"/>
      <c r="J316" s="36"/>
      <c r="K316" s="36"/>
      <c r="L316" s="36"/>
      <c r="M316" s="36"/>
    </row>
    <row r="317" ht="13.2" spans="4:13">
      <c r="D317" s="36"/>
      <c r="E317" s="36"/>
      <c r="F317" s="36"/>
      <c r="G317" s="36"/>
      <c r="H317" s="36"/>
      <c r="I317" s="36"/>
      <c r="J317" s="36"/>
      <c r="K317" s="36"/>
      <c r="L317" s="36"/>
      <c r="M317" s="36"/>
    </row>
    <row r="318" ht="13.2" spans="4:13">
      <c r="D318" s="36"/>
      <c r="E318" s="36"/>
      <c r="F318" s="36"/>
      <c r="G318" s="36"/>
      <c r="H318" s="36"/>
      <c r="I318" s="36"/>
      <c r="J318" s="36"/>
      <c r="K318" s="36"/>
      <c r="L318" s="36"/>
      <c r="M318" s="36"/>
    </row>
    <row r="319" ht="13.2" spans="4:13">
      <c r="D319" s="36"/>
      <c r="E319" s="36"/>
      <c r="F319" s="36"/>
      <c r="G319" s="36"/>
      <c r="H319" s="36"/>
      <c r="I319" s="36"/>
      <c r="J319" s="36"/>
      <c r="K319" s="36"/>
      <c r="L319" s="36"/>
      <c r="M319" s="36"/>
    </row>
    <row r="320" ht="13.2" spans="4:13">
      <c r="D320" s="36"/>
      <c r="E320" s="36"/>
      <c r="F320" s="36"/>
      <c r="G320" s="36"/>
      <c r="H320" s="36"/>
      <c r="I320" s="36"/>
      <c r="J320" s="36"/>
      <c r="K320" s="36"/>
      <c r="L320" s="36"/>
      <c r="M320" s="36"/>
    </row>
    <row r="321" ht="13.2" spans="4:13">
      <c r="D321" s="36"/>
      <c r="E321" s="36"/>
      <c r="F321" s="36"/>
      <c r="G321" s="36"/>
      <c r="H321" s="36"/>
      <c r="I321" s="36"/>
      <c r="J321" s="36"/>
      <c r="K321" s="36"/>
      <c r="L321" s="36"/>
      <c r="M321" s="36"/>
    </row>
    <row r="322" ht="13.2" spans="4:13">
      <c r="D322" s="36"/>
      <c r="E322" s="36"/>
      <c r="F322" s="36"/>
      <c r="G322" s="36"/>
      <c r="H322" s="36"/>
      <c r="I322" s="36"/>
      <c r="J322" s="36"/>
      <c r="K322" s="36"/>
      <c r="L322" s="36"/>
      <c r="M322" s="36"/>
    </row>
    <row r="323" ht="13.2" spans="4:13">
      <c r="D323" s="36"/>
      <c r="E323" s="36"/>
      <c r="F323" s="36"/>
      <c r="G323" s="36"/>
      <c r="H323" s="36"/>
      <c r="I323" s="36"/>
      <c r="J323" s="36"/>
      <c r="K323" s="36"/>
      <c r="L323" s="36"/>
      <c r="M323" s="36"/>
    </row>
    <row r="324" ht="13.2" spans="4:13">
      <c r="D324" s="36"/>
      <c r="E324" s="36"/>
      <c r="F324" s="36"/>
      <c r="G324" s="36"/>
      <c r="H324" s="36"/>
      <c r="I324" s="36"/>
      <c r="J324" s="36"/>
      <c r="K324" s="36"/>
      <c r="L324" s="36"/>
      <c r="M324" s="36"/>
    </row>
    <row r="325" ht="13.2" spans="4:13">
      <c r="D325" s="36"/>
      <c r="E325" s="36"/>
      <c r="F325" s="36"/>
      <c r="G325" s="36"/>
      <c r="H325" s="36"/>
      <c r="I325" s="36"/>
      <c r="J325" s="36"/>
      <c r="K325" s="36"/>
      <c r="L325" s="36"/>
      <c r="M325" s="36"/>
    </row>
    <row r="326" ht="13.2" spans="4:13">
      <c r="D326" s="36"/>
      <c r="E326" s="36"/>
      <c r="F326" s="36"/>
      <c r="G326" s="36"/>
      <c r="H326" s="36"/>
      <c r="I326" s="36"/>
      <c r="J326" s="36"/>
      <c r="K326" s="36"/>
      <c r="L326" s="36"/>
      <c r="M326" s="36"/>
    </row>
    <row r="327" ht="13.2" spans="4:13">
      <c r="D327" s="36"/>
      <c r="E327" s="36"/>
      <c r="F327" s="36"/>
      <c r="G327" s="36"/>
      <c r="H327" s="36"/>
      <c r="I327" s="36"/>
      <c r="J327" s="36"/>
      <c r="K327" s="36"/>
      <c r="L327" s="36"/>
      <c r="M327" s="36"/>
    </row>
    <row r="328" ht="13.2" spans="4:13">
      <c r="D328" s="36"/>
      <c r="E328" s="36"/>
      <c r="F328" s="36"/>
      <c r="G328" s="36"/>
      <c r="H328" s="36"/>
      <c r="I328" s="36"/>
      <c r="J328" s="36"/>
      <c r="K328" s="36"/>
      <c r="L328" s="36"/>
      <c r="M328" s="36"/>
    </row>
    <row r="329" ht="13.2" spans="4:13">
      <c r="D329" s="36"/>
      <c r="E329" s="36"/>
      <c r="F329" s="36"/>
      <c r="G329" s="36"/>
      <c r="H329" s="36"/>
      <c r="I329" s="36"/>
      <c r="J329" s="36"/>
      <c r="K329" s="36"/>
      <c r="L329" s="36"/>
      <c r="M329" s="36"/>
    </row>
    <row r="330" ht="13.2" spans="4:13">
      <c r="D330" s="36"/>
      <c r="E330" s="36"/>
      <c r="F330" s="36"/>
      <c r="G330" s="36"/>
      <c r="H330" s="36"/>
      <c r="I330" s="36"/>
      <c r="J330" s="36"/>
      <c r="K330" s="36"/>
      <c r="L330" s="36"/>
      <c r="M330" s="36"/>
    </row>
    <row r="331" ht="13.2" spans="4:13">
      <c r="D331" s="36"/>
      <c r="E331" s="36"/>
      <c r="F331" s="36"/>
      <c r="G331" s="36"/>
      <c r="H331" s="36"/>
      <c r="I331" s="36"/>
      <c r="J331" s="36"/>
      <c r="K331" s="36"/>
      <c r="L331" s="36"/>
      <c r="M331" s="36"/>
    </row>
    <row r="332" ht="13.2" spans="4:13">
      <c r="D332" s="36"/>
      <c r="E332" s="36"/>
      <c r="F332" s="36"/>
      <c r="G332" s="36"/>
      <c r="H332" s="36"/>
      <c r="I332" s="36"/>
      <c r="J332" s="36"/>
      <c r="K332" s="36"/>
      <c r="L332" s="36"/>
      <c r="M332" s="36"/>
    </row>
    <row r="333" ht="13.2" spans="4:13">
      <c r="D333" s="36"/>
      <c r="E333" s="36"/>
      <c r="F333" s="36"/>
      <c r="G333" s="36"/>
      <c r="H333" s="36"/>
      <c r="I333" s="36"/>
      <c r="J333" s="36"/>
      <c r="K333" s="36"/>
      <c r="L333" s="36"/>
      <c r="M333" s="36"/>
    </row>
    <row r="334" ht="13.2" spans="4:13">
      <c r="D334" s="36"/>
      <c r="E334" s="36"/>
      <c r="F334" s="36"/>
      <c r="G334" s="36"/>
      <c r="H334" s="36"/>
      <c r="I334" s="36"/>
      <c r="J334" s="36"/>
      <c r="K334" s="36"/>
      <c r="L334" s="36"/>
      <c r="M334" s="36"/>
    </row>
    <row r="335" ht="13.2" spans="4:13">
      <c r="D335" s="36"/>
      <c r="E335" s="36"/>
      <c r="F335" s="36"/>
      <c r="G335" s="36"/>
      <c r="H335" s="36"/>
      <c r="I335" s="36"/>
      <c r="J335" s="36"/>
      <c r="K335" s="36"/>
      <c r="L335" s="36"/>
      <c r="M335" s="36"/>
    </row>
    <row r="336" ht="13.2" spans="4:13">
      <c r="D336" s="36"/>
      <c r="E336" s="36"/>
      <c r="F336" s="36"/>
      <c r="G336" s="36"/>
      <c r="H336" s="36"/>
      <c r="I336" s="36"/>
      <c r="J336" s="36"/>
      <c r="K336" s="36"/>
      <c r="L336" s="36"/>
      <c r="M336" s="36"/>
    </row>
    <row r="337" ht="13.2" spans="4:13">
      <c r="D337" s="36"/>
      <c r="E337" s="36"/>
      <c r="F337" s="36"/>
      <c r="G337" s="36"/>
      <c r="H337" s="36"/>
      <c r="I337" s="36"/>
      <c r="J337" s="36"/>
      <c r="K337" s="36"/>
      <c r="L337" s="36"/>
      <c r="M337" s="36"/>
    </row>
    <row r="338" ht="13.2" spans="4:13">
      <c r="D338" s="36"/>
      <c r="E338" s="36"/>
      <c r="F338" s="36"/>
      <c r="G338" s="36"/>
      <c r="H338" s="36"/>
      <c r="I338" s="36"/>
      <c r="J338" s="36"/>
      <c r="K338" s="36"/>
      <c r="L338" s="36"/>
      <c r="M338" s="36"/>
    </row>
    <row r="339" ht="13.2" spans="4:13">
      <c r="D339" s="36"/>
      <c r="E339" s="36"/>
      <c r="F339" s="36"/>
      <c r="G339" s="36"/>
      <c r="H339" s="36"/>
      <c r="I339" s="36"/>
      <c r="J339" s="36"/>
      <c r="K339" s="36"/>
      <c r="L339" s="36"/>
      <c r="M339" s="36"/>
    </row>
    <row r="340" ht="13.2" spans="4:13">
      <c r="D340" s="36"/>
      <c r="E340" s="36"/>
      <c r="F340" s="36"/>
      <c r="G340" s="36"/>
      <c r="H340" s="36"/>
      <c r="I340" s="36"/>
      <c r="J340" s="36"/>
      <c r="K340" s="36"/>
      <c r="L340" s="36"/>
      <c r="M340" s="36"/>
    </row>
    <row r="341" ht="13.2" spans="4:13">
      <c r="D341" s="36"/>
      <c r="E341" s="36"/>
      <c r="F341" s="36"/>
      <c r="G341" s="36"/>
      <c r="H341" s="36"/>
      <c r="I341" s="36"/>
      <c r="J341" s="36"/>
      <c r="K341" s="36"/>
      <c r="L341" s="36"/>
      <c r="M341" s="36"/>
    </row>
    <row r="342" ht="13.2" spans="4:13">
      <c r="D342" s="36"/>
      <c r="E342" s="36"/>
      <c r="F342" s="36"/>
      <c r="G342" s="36"/>
      <c r="H342" s="36"/>
      <c r="I342" s="36"/>
      <c r="J342" s="36"/>
      <c r="K342" s="36"/>
      <c r="L342" s="36"/>
      <c r="M342" s="36"/>
    </row>
    <row r="343" ht="13.2" spans="4:13">
      <c r="D343" s="36"/>
      <c r="E343" s="36"/>
      <c r="F343" s="36"/>
      <c r="G343" s="36"/>
      <c r="H343" s="36"/>
      <c r="I343" s="36"/>
      <c r="J343" s="36"/>
      <c r="K343" s="36"/>
      <c r="L343" s="36"/>
      <c r="M343" s="36"/>
    </row>
    <row r="344" ht="13.2" spans="4:13">
      <c r="D344" s="36"/>
      <c r="E344" s="36"/>
      <c r="F344" s="36"/>
      <c r="G344" s="36"/>
      <c r="H344" s="36"/>
      <c r="I344" s="36"/>
      <c r="J344" s="36"/>
      <c r="K344" s="36"/>
      <c r="L344" s="36"/>
      <c r="M344" s="36"/>
    </row>
    <row r="345" ht="13.2" spans="4:13">
      <c r="D345" s="36"/>
      <c r="E345" s="36"/>
      <c r="F345" s="36"/>
      <c r="G345" s="36"/>
      <c r="H345" s="36"/>
      <c r="I345" s="36"/>
      <c r="J345" s="36"/>
      <c r="K345" s="36"/>
      <c r="L345" s="36"/>
      <c r="M345" s="36"/>
    </row>
    <row r="346" ht="13.2" spans="4:13">
      <c r="D346" s="36"/>
      <c r="E346" s="36"/>
      <c r="F346" s="36"/>
      <c r="G346" s="36"/>
      <c r="H346" s="36"/>
      <c r="I346" s="36"/>
      <c r="J346" s="36"/>
      <c r="K346" s="36"/>
      <c r="L346" s="36"/>
      <c r="M346" s="36"/>
    </row>
    <row r="347" ht="13.2" spans="4:13">
      <c r="D347" s="36"/>
      <c r="E347" s="36"/>
      <c r="F347" s="36"/>
      <c r="G347" s="36"/>
      <c r="H347" s="36"/>
      <c r="I347" s="36"/>
      <c r="J347" s="36"/>
      <c r="K347" s="36"/>
      <c r="L347" s="36"/>
      <c r="M347" s="36"/>
    </row>
    <row r="348" ht="13.2" spans="4:13">
      <c r="D348" s="36"/>
      <c r="E348" s="36"/>
      <c r="F348" s="36"/>
      <c r="G348" s="36"/>
      <c r="H348" s="36"/>
      <c r="I348" s="36"/>
      <c r="J348" s="36"/>
      <c r="K348" s="36"/>
      <c r="L348" s="36"/>
      <c r="M348" s="36"/>
    </row>
    <row r="349" ht="13.2" spans="4:13">
      <c r="D349" s="36"/>
      <c r="E349" s="36"/>
      <c r="F349" s="36"/>
      <c r="G349" s="36"/>
      <c r="H349" s="36"/>
      <c r="I349" s="36"/>
      <c r="J349" s="36"/>
      <c r="K349" s="36"/>
      <c r="L349" s="36"/>
      <c r="M349" s="36"/>
    </row>
    <row r="350" ht="13.2" spans="4:13">
      <c r="D350" s="36"/>
      <c r="E350" s="36"/>
      <c r="F350" s="36"/>
      <c r="G350" s="36"/>
      <c r="H350" s="36"/>
      <c r="I350" s="36"/>
      <c r="J350" s="36"/>
      <c r="K350" s="36"/>
      <c r="L350" s="36"/>
      <c r="M350" s="36"/>
    </row>
    <row r="351" ht="13.2" spans="4:13">
      <c r="D351" s="36"/>
      <c r="E351" s="36"/>
      <c r="F351" s="36"/>
      <c r="G351" s="36"/>
      <c r="H351" s="36"/>
      <c r="I351" s="36"/>
      <c r="J351" s="36"/>
      <c r="K351" s="36"/>
      <c r="L351" s="36"/>
      <c r="M351" s="36"/>
    </row>
    <row r="352" ht="13.2" spans="4:13">
      <c r="D352" s="36"/>
      <c r="E352" s="36"/>
      <c r="F352" s="36"/>
      <c r="G352" s="36"/>
      <c r="H352" s="36"/>
      <c r="I352" s="36"/>
      <c r="J352" s="36"/>
      <c r="K352" s="36"/>
      <c r="L352" s="36"/>
      <c r="M352" s="36"/>
    </row>
    <row r="353" ht="13.2" spans="4:13">
      <c r="D353" s="36"/>
      <c r="E353" s="36"/>
      <c r="F353" s="36"/>
      <c r="G353" s="36"/>
      <c r="H353" s="36"/>
      <c r="I353" s="36"/>
      <c r="J353" s="36"/>
      <c r="K353" s="36"/>
      <c r="L353" s="36"/>
      <c r="M353" s="36"/>
    </row>
    <row r="354" ht="13.2" spans="4:13">
      <c r="D354" s="36"/>
      <c r="E354" s="36"/>
      <c r="F354" s="36"/>
      <c r="G354" s="36"/>
      <c r="H354" s="36"/>
      <c r="I354" s="36"/>
      <c r="J354" s="36"/>
      <c r="K354" s="36"/>
      <c r="L354" s="36"/>
      <c r="M354" s="36"/>
    </row>
    <row r="355" ht="13.2" spans="4:13">
      <c r="D355" s="36"/>
      <c r="E355" s="36"/>
      <c r="F355" s="36"/>
      <c r="G355" s="36"/>
      <c r="H355" s="36"/>
      <c r="I355" s="36"/>
      <c r="J355" s="36"/>
      <c r="K355" s="36"/>
      <c r="L355" s="36"/>
      <c r="M355" s="36"/>
    </row>
    <row r="356" ht="13.2" spans="4:13">
      <c r="D356" s="36"/>
      <c r="E356" s="36"/>
      <c r="F356" s="36"/>
      <c r="G356" s="36"/>
      <c r="H356" s="36"/>
      <c r="I356" s="36"/>
      <c r="J356" s="36"/>
      <c r="K356" s="36"/>
      <c r="L356" s="36"/>
      <c r="M356" s="36"/>
    </row>
    <row r="357" ht="13.2" spans="4:13">
      <c r="D357" s="36"/>
      <c r="E357" s="36"/>
      <c r="F357" s="36"/>
      <c r="G357" s="36"/>
      <c r="H357" s="36"/>
      <c r="I357" s="36"/>
      <c r="J357" s="36"/>
      <c r="K357" s="36"/>
      <c r="L357" s="36"/>
      <c r="M357" s="36"/>
    </row>
    <row r="358" ht="13.2" spans="4:13">
      <c r="D358" s="36"/>
      <c r="E358" s="36"/>
      <c r="F358" s="36"/>
      <c r="G358" s="36"/>
      <c r="H358" s="36"/>
      <c r="I358" s="36"/>
      <c r="J358" s="36"/>
      <c r="K358" s="36"/>
      <c r="L358" s="36"/>
      <c r="M358" s="36"/>
    </row>
    <row r="359" ht="13.2" spans="4:13">
      <c r="D359" s="36"/>
      <c r="E359" s="36"/>
      <c r="F359" s="36"/>
      <c r="G359" s="36"/>
      <c r="H359" s="36"/>
      <c r="I359" s="36"/>
      <c r="J359" s="36"/>
      <c r="K359" s="36"/>
      <c r="L359" s="36"/>
      <c r="M359" s="36"/>
    </row>
    <row r="360" ht="13.2" spans="4:13">
      <c r="D360" s="36"/>
      <c r="E360" s="36"/>
      <c r="F360" s="36"/>
      <c r="G360" s="36"/>
      <c r="H360" s="36"/>
      <c r="I360" s="36"/>
      <c r="J360" s="36"/>
      <c r="K360" s="36"/>
      <c r="L360" s="36"/>
      <c r="M360" s="36"/>
    </row>
    <row r="361" ht="13.2" spans="4:13">
      <c r="D361" s="36"/>
      <c r="E361" s="36"/>
      <c r="F361" s="36"/>
      <c r="G361" s="36"/>
      <c r="H361" s="36"/>
      <c r="I361" s="36"/>
      <c r="J361" s="36"/>
      <c r="K361" s="36"/>
      <c r="L361" s="36"/>
      <c r="M361" s="36"/>
    </row>
    <row r="362" ht="13.2" spans="4:13">
      <c r="D362" s="36"/>
      <c r="E362" s="36"/>
      <c r="F362" s="36"/>
      <c r="G362" s="36"/>
      <c r="H362" s="36"/>
      <c r="I362" s="36"/>
      <c r="J362" s="36"/>
      <c r="K362" s="36"/>
      <c r="L362" s="36"/>
      <c r="M362" s="36"/>
    </row>
    <row r="363" ht="13.2" spans="4:13">
      <c r="D363" s="36"/>
      <c r="E363" s="36"/>
      <c r="F363" s="36"/>
      <c r="G363" s="36"/>
      <c r="H363" s="36"/>
      <c r="I363" s="36"/>
      <c r="J363" s="36"/>
      <c r="K363" s="36"/>
      <c r="L363" s="36"/>
      <c r="M363" s="36"/>
    </row>
    <row r="364" ht="13.2" spans="4:13">
      <c r="D364" s="36"/>
      <c r="E364" s="36"/>
      <c r="F364" s="36"/>
      <c r="G364" s="36"/>
      <c r="H364" s="36"/>
      <c r="I364" s="36"/>
      <c r="J364" s="36"/>
      <c r="K364" s="36"/>
      <c r="L364" s="36"/>
      <c r="M364" s="36"/>
    </row>
    <row r="365" ht="13.2" spans="4:13">
      <c r="D365" s="36"/>
      <c r="E365" s="36"/>
      <c r="F365" s="36"/>
      <c r="G365" s="36"/>
      <c r="H365" s="36"/>
      <c r="I365" s="36"/>
      <c r="J365" s="36"/>
      <c r="K365" s="36"/>
      <c r="L365" s="36"/>
      <c r="M365" s="36"/>
    </row>
    <row r="366" ht="13.2" spans="4:13">
      <c r="D366" s="36"/>
      <c r="E366" s="36"/>
      <c r="F366" s="36"/>
      <c r="G366" s="36"/>
      <c r="H366" s="36"/>
      <c r="I366" s="36"/>
      <c r="J366" s="36"/>
      <c r="K366" s="36"/>
      <c r="L366" s="36"/>
      <c r="M366" s="36"/>
    </row>
    <row r="367" ht="13.2" spans="4:13">
      <c r="D367" s="36"/>
      <c r="E367" s="36"/>
      <c r="F367" s="36"/>
      <c r="G367" s="36"/>
      <c r="H367" s="36"/>
      <c r="I367" s="36"/>
      <c r="J367" s="36"/>
      <c r="K367" s="36"/>
      <c r="L367" s="36"/>
      <c r="M367" s="36"/>
    </row>
    <row r="368" ht="13.2" spans="4:13">
      <c r="D368" s="36"/>
      <c r="E368" s="36"/>
      <c r="F368" s="36"/>
      <c r="G368" s="36"/>
      <c r="H368" s="36"/>
      <c r="I368" s="36"/>
      <c r="J368" s="36"/>
      <c r="K368" s="36"/>
      <c r="L368" s="36"/>
      <c r="M368" s="36"/>
    </row>
    <row r="369" ht="13.2" spans="4:13">
      <c r="D369" s="36"/>
      <c r="E369" s="36"/>
      <c r="F369" s="36"/>
      <c r="G369" s="36"/>
      <c r="H369" s="36"/>
      <c r="I369" s="36"/>
      <c r="J369" s="36"/>
      <c r="K369" s="36"/>
      <c r="L369" s="36"/>
      <c r="M369" s="36"/>
    </row>
    <row r="370" ht="13.2" spans="4:13">
      <c r="D370" s="36"/>
      <c r="E370" s="36"/>
      <c r="F370" s="36"/>
      <c r="G370" s="36"/>
      <c r="H370" s="36"/>
      <c r="I370" s="36"/>
      <c r="J370" s="36"/>
      <c r="K370" s="36"/>
      <c r="L370" s="36"/>
      <c r="M370" s="36"/>
    </row>
    <row r="371" ht="13.2" spans="4:13">
      <c r="D371" s="36"/>
      <c r="E371" s="36"/>
      <c r="F371" s="36"/>
      <c r="G371" s="36"/>
      <c r="H371" s="36"/>
      <c r="I371" s="36"/>
      <c r="J371" s="36"/>
      <c r="K371" s="36"/>
      <c r="L371" s="36"/>
      <c r="M371" s="36"/>
    </row>
    <row r="372" ht="13.2" spans="4:13">
      <c r="D372" s="36"/>
      <c r="E372" s="36"/>
      <c r="F372" s="36"/>
      <c r="G372" s="36"/>
      <c r="H372" s="36"/>
      <c r="I372" s="36"/>
      <c r="J372" s="36"/>
      <c r="K372" s="36"/>
      <c r="L372" s="36"/>
      <c r="M372" s="36"/>
    </row>
    <row r="373" ht="13.2" spans="4:13">
      <c r="D373" s="36"/>
      <c r="E373" s="36"/>
      <c r="F373" s="36"/>
      <c r="G373" s="36"/>
      <c r="H373" s="36"/>
      <c r="I373" s="36"/>
      <c r="J373" s="36"/>
      <c r="K373" s="36"/>
      <c r="L373" s="36"/>
      <c r="M373" s="36"/>
    </row>
    <row r="374" ht="13.2" spans="4:13">
      <c r="D374" s="36"/>
      <c r="E374" s="36"/>
      <c r="F374" s="36"/>
      <c r="G374" s="36"/>
      <c r="H374" s="36"/>
      <c r="I374" s="36"/>
      <c r="J374" s="36"/>
      <c r="K374" s="36"/>
      <c r="L374" s="36"/>
      <c r="M374" s="36"/>
    </row>
    <row r="375" ht="13.2" spans="4:13">
      <c r="D375" s="36"/>
      <c r="E375" s="36"/>
      <c r="F375" s="36"/>
      <c r="G375" s="36"/>
      <c r="H375" s="36"/>
      <c r="I375" s="36"/>
      <c r="J375" s="36"/>
      <c r="K375" s="36"/>
      <c r="L375" s="36"/>
      <c r="M375" s="36"/>
    </row>
    <row r="376" ht="13.2" spans="4:13">
      <c r="D376" s="36"/>
      <c r="E376" s="36"/>
      <c r="F376" s="36"/>
      <c r="G376" s="36"/>
      <c r="H376" s="36"/>
      <c r="I376" s="36"/>
      <c r="J376" s="36"/>
      <c r="K376" s="36"/>
      <c r="L376" s="36"/>
      <c r="M376" s="36"/>
    </row>
    <row r="377" ht="13.2" spans="4:13">
      <c r="D377" s="36"/>
      <c r="E377" s="36"/>
      <c r="F377" s="36"/>
      <c r="G377" s="36"/>
      <c r="H377" s="36"/>
      <c r="I377" s="36"/>
      <c r="J377" s="36"/>
      <c r="K377" s="36"/>
      <c r="L377" s="36"/>
      <c r="M377" s="36"/>
    </row>
    <row r="378" ht="13.2" spans="4:13">
      <c r="D378" s="36"/>
      <c r="E378" s="36"/>
      <c r="F378" s="36"/>
      <c r="G378" s="36"/>
      <c r="H378" s="36"/>
      <c r="I378" s="36"/>
      <c r="J378" s="36"/>
      <c r="K378" s="36"/>
      <c r="L378" s="36"/>
      <c r="M378" s="36"/>
    </row>
    <row r="379" ht="13.2" spans="4:13">
      <c r="D379" s="36"/>
      <c r="E379" s="36"/>
      <c r="F379" s="36"/>
      <c r="G379" s="36"/>
      <c r="H379" s="36"/>
      <c r="I379" s="36"/>
      <c r="J379" s="36"/>
      <c r="K379" s="36"/>
      <c r="L379" s="36"/>
      <c r="M379" s="36"/>
    </row>
    <row r="380" ht="13.2" spans="4:13">
      <c r="D380" s="36"/>
      <c r="E380" s="36"/>
      <c r="F380" s="36"/>
      <c r="G380" s="36"/>
      <c r="H380" s="36"/>
      <c r="I380" s="36"/>
      <c r="J380" s="36"/>
      <c r="K380" s="36"/>
      <c r="L380" s="36"/>
      <c r="M380" s="36"/>
    </row>
    <row r="381" ht="13.2" spans="4:13">
      <c r="D381" s="36"/>
      <c r="E381" s="36"/>
      <c r="F381" s="36"/>
      <c r="G381" s="36"/>
      <c r="H381" s="36"/>
      <c r="I381" s="36"/>
      <c r="J381" s="36"/>
      <c r="K381" s="36"/>
      <c r="L381" s="36"/>
      <c r="M381" s="36"/>
    </row>
    <row r="382" ht="13.2" spans="4:13">
      <c r="D382" s="36"/>
      <c r="E382" s="36"/>
      <c r="F382" s="36"/>
      <c r="G382" s="36"/>
      <c r="H382" s="36"/>
      <c r="I382" s="36"/>
      <c r="J382" s="36"/>
      <c r="K382" s="36"/>
      <c r="L382" s="36"/>
      <c r="M382" s="36"/>
    </row>
    <row r="383" ht="13.2" spans="4:13">
      <c r="D383" s="36"/>
      <c r="E383" s="36"/>
      <c r="F383" s="36"/>
      <c r="G383" s="36"/>
      <c r="H383" s="36"/>
      <c r="I383" s="36"/>
      <c r="J383" s="36"/>
      <c r="K383" s="36"/>
      <c r="L383" s="36"/>
      <c r="M383" s="36"/>
    </row>
    <row r="384" ht="13.2" spans="4:13">
      <c r="D384" s="36"/>
      <c r="E384" s="36"/>
      <c r="F384" s="36"/>
      <c r="G384" s="36"/>
      <c r="H384" s="36"/>
      <c r="I384" s="36"/>
      <c r="J384" s="36"/>
      <c r="K384" s="36"/>
      <c r="L384" s="36"/>
      <c r="M384" s="36"/>
    </row>
    <row r="385" ht="13.2" spans="4:13">
      <c r="D385" s="36"/>
      <c r="E385" s="36"/>
      <c r="F385" s="36"/>
      <c r="G385" s="36"/>
      <c r="H385" s="36"/>
      <c r="I385" s="36"/>
      <c r="J385" s="36"/>
      <c r="K385" s="36"/>
      <c r="L385" s="36"/>
      <c r="M385" s="36"/>
    </row>
    <row r="386" ht="13.2" spans="4:13">
      <c r="D386" s="36"/>
      <c r="E386" s="36"/>
      <c r="F386" s="36"/>
      <c r="G386" s="36"/>
      <c r="H386" s="36"/>
      <c r="I386" s="36"/>
      <c r="J386" s="36"/>
      <c r="K386" s="36"/>
      <c r="L386" s="36"/>
      <c r="M386" s="36"/>
    </row>
    <row r="387" ht="13.2" spans="4:13">
      <c r="D387" s="36"/>
      <c r="E387" s="36"/>
      <c r="F387" s="36"/>
      <c r="G387" s="36"/>
      <c r="H387" s="36"/>
      <c r="I387" s="36"/>
      <c r="J387" s="36"/>
      <c r="K387" s="36"/>
      <c r="L387" s="36"/>
      <c r="M387" s="36"/>
    </row>
    <row r="388" ht="13.2" spans="4:13">
      <c r="D388" s="36"/>
      <c r="E388" s="36"/>
      <c r="F388" s="36"/>
      <c r="G388" s="36"/>
      <c r="H388" s="36"/>
      <c r="I388" s="36"/>
      <c r="J388" s="36"/>
      <c r="K388" s="36"/>
      <c r="L388" s="36"/>
      <c r="M388" s="36"/>
    </row>
    <row r="389" ht="13.2" spans="4:13">
      <c r="D389" s="36"/>
      <c r="E389" s="36"/>
      <c r="F389" s="36"/>
      <c r="G389" s="36"/>
      <c r="H389" s="36"/>
      <c r="I389" s="36"/>
      <c r="J389" s="36"/>
      <c r="K389" s="36"/>
      <c r="L389" s="36"/>
      <c r="M389" s="36"/>
    </row>
    <row r="390" ht="13.2" spans="4:13">
      <c r="D390" s="36"/>
      <c r="E390" s="36"/>
      <c r="F390" s="36"/>
      <c r="G390" s="36"/>
      <c r="H390" s="36"/>
      <c r="I390" s="36"/>
      <c r="J390" s="36"/>
      <c r="K390" s="36"/>
      <c r="L390" s="36"/>
      <c r="M390" s="36"/>
    </row>
    <row r="391" ht="13.2" spans="4:13">
      <c r="D391" s="36"/>
      <c r="E391" s="36"/>
      <c r="F391" s="36"/>
      <c r="G391" s="36"/>
      <c r="H391" s="36"/>
      <c r="I391" s="36"/>
      <c r="J391" s="36"/>
      <c r="K391" s="36"/>
      <c r="L391" s="36"/>
      <c r="M391" s="36"/>
    </row>
    <row r="392" ht="13.2" spans="4:13">
      <c r="D392" s="36"/>
      <c r="E392" s="36"/>
      <c r="F392" s="36"/>
      <c r="G392" s="36"/>
      <c r="H392" s="36"/>
      <c r="I392" s="36"/>
      <c r="J392" s="36"/>
      <c r="K392" s="36"/>
      <c r="L392" s="36"/>
      <c r="M392" s="36"/>
    </row>
    <row r="393" ht="13.2" spans="4:13">
      <c r="D393" s="36"/>
      <c r="E393" s="36"/>
      <c r="F393" s="36"/>
      <c r="G393" s="36"/>
      <c r="H393" s="36"/>
      <c r="I393" s="36"/>
      <c r="J393" s="36"/>
      <c r="K393" s="36"/>
      <c r="L393" s="36"/>
      <c r="M393" s="36"/>
    </row>
    <row r="394" ht="13.2" spans="4:13">
      <c r="D394" s="36"/>
      <c r="E394" s="36"/>
      <c r="F394" s="36"/>
      <c r="G394" s="36"/>
      <c r="H394" s="36"/>
      <c r="I394" s="36"/>
      <c r="J394" s="36"/>
      <c r="K394" s="36"/>
      <c r="L394" s="36"/>
      <c r="M394" s="36"/>
    </row>
    <row r="395" ht="13.2" spans="4:13">
      <c r="D395" s="36"/>
      <c r="E395" s="36"/>
      <c r="F395" s="36"/>
      <c r="G395" s="36"/>
      <c r="H395" s="36"/>
      <c r="I395" s="36"/>
      <c r="J395" s="36"/>
      <c r="K395" s="36"/>
      <c r="L395" s="36"/>
      <c r="M395" s="36"/>
    </row>
    <row r="396" ht="13.2" spans="4:13">
      <c r="D396" s="36"/>
      <c r="E396" s="36"/>
      <c r="F396" s="36"/>
      <c r="G396" s="36"/>
      <c r="H396" s="36"/>
      <c r="I396" s="36"/>
      <c r="J396" s="36"/>
      <c r="K396" s="36"/>
      <c r="L396" s="36"/>
      <c r="M396" s="36"/>
    </row>
    <row r="397" ht="13.2" spans="4:13">
      <c r="D397" s="36"/>
      <c r="E397" s="36"/>
      <c r="F397" s="36"/>
      <c r="G397" s="36"/>
      <c r="H397" s="36"/>
      <c r="I397" s="36"/>
      <c r="J397" s="36"/>
      <c r="K397" s="36"/>
      <c r="L397" s="36"/>
      <c r="M397" s="36"/>
    </row>
    <row r="398" ht="13.2" spans="4:13">
      <c r="D398" s="36"/>
      <c r="E398" s="36"/>
      <c r="F398" s="36"/>
      <c r="G398" s="36"/>
      <c r="H398" s="36"/>
      <c r="I398" s="36"/>
      <c r="J398" s="36"/>
      <c r="K398" s="36"/>
      <c r="L398" s="36"/>
      <c r="M398" s="36"/>
    </row>
    <row r="399" ht="13.2" spans="4:13">
      <c r="D399" s="36"/>
      <c r="E399" s="36"/>
      <c r="F399" s="36"/>
      <c r="G399" s="36"/>
      <c r="H399" s="36"/>
      <c r="I399" s="36"/>
      <c r="J399" s="36"/>
      <c r="K399" s="36"/>
      <c r="L399" s="36"/>
      <c r="M399" s="36"/>
    </row>
    <row r="400" ht="13.2" spans="4:13">
      <c r="D400" s="36"/>
      <c r="E400" s="36"/>
      <c r="F400" s="36"/>
      <c r="G400" s="36"/>
      <c r="H400" s="36"/>
      <c r="I400" s="36"/>
      <c r="J400" s="36"/>
      <c r="K400" s="36"/>
      <c r="L400" s="36"/>
      <c r="M400" s="36"/>
    </row>
    <row r="401" ht="13.2" spans="4:13">
      <c r="D401" s="36"/>
      <c r="E401" s="36"/>
      <c r="F401" s="36"/>
      <c r="G401" s="36"/>
      <c r="H401" s="36"/>
      <c r="I401" s="36"/>
      <c r="J401" s="36"/>
      <c r="K401" s="36"/>
      <c r="L401" s="36"/>
      <c r="M401" s="36"/>
    </row>
    <row r="402" ht="13.2" spans="4:13">
      <c r="D402" s="36"/>
      <c r="E402" s="36"/>
      <c r="F402" s="36"/>
      <c r="G402" s="36"/>
      <c r="H402" s="36"/>
      <c r="I402" s="36"/>
      <c r="J402" s="36"/>
      <c r="K402" s="36"/>
      <c r="L402" s="36"/>
      <c r="M402" s="36"/>
    </row>
    <row r="403" ht="13.2" spans="4:13">
      <c r="D403" s="36"/>
      <c r="E403" s="36"/>
      <c r="F403" s="36"/>
      <c r="G403" s="36"/>
      <c r="H403" s="36"/>
      <c r="I403" s="36"/>
      <c r="J403" s="36"/>
      <c r="K403" s="36"/>
      <c r="L403" s="36"/>
      <c r="M403" s="36"/>
    </row>
    <row r="404" ht="13.2" spans="4:13">
      <c r="D404" s="36"/>
      <c r="E404" s="36"/>
      <c r="F404" s="36"/>
      <c r="G404" s="36"/>
      <c r="H404" s="36"/>
      <c r="I404" s="36"/>
      <c r="J404" s="36"/>
      <c r="K404" s="36"/>
      <c r="L404" s="36"/>
      <c r="M404" s="36"/>
    </row>
    <row r="405" ht="13.2" spans="4:13">
      <c r="D405" s="36"/>
      <c r="E405" s="36"/>
      <c r="F405" s="36"/>
      <c r="G405" s="36"/>
      <c r="H405" s="36"/>
      <c r="I405" s="36"/>
      <c r="J405" s="36"/>
      <c r="K405" s="36"/>
      <c r="L405" s="36"/>
      <c r="M405" s="36"/>
    </row>
    <row r="406" ht="13.2" spans="4:13">
      <c r="D406" s="36"/>
      <c r="E406" s="36"/>
      <c r="F406" s="36"/>
      <c r="G406" s="36"/>
      <c r="H406" s="36"/>
      <c r="I406" s="36"/>
      <c r="J406" s="36"/>
      <c r="K406" s="36"/>
      <c r="L406" s="36"/>
      <c r="M406" s="36"/>
    </row>
    <row r="407" ht="13.2" spans="4:13">
      <c r="D407" s="36"/>
      <c r="E407" s="36"/>
      <c r="F407" s="36"/>
      <c r="G407" s="36"/>
      <c r="H407" s="36"/>
      <c r="I407" s="36"/>
      <c r="J407" s="36"/>
      <c r="K407" s="36"/>
      <c r="L407" s="36"/>
      <c r="M407" s="36"/>
    </row>
    <row r="408" ht="13.2" spans="4:13">
      <c r="D408" s="36"/>
      <c r="E408" s="36"/>
      <c r="F408" s="36"/>
      <c r="G408" s="36"/>
      <c r="H408" s="36"/>
      <c r="I408" s="36"/>
      <c r="J408" s="36"/>
      <c r="K408" s="36"/>
      <c r="L408" s="36"/>
      <c r="M408" s="36"/>
    </row>
    <row r="409" ht="13.2" spans="4:13">
      <c r="D409" s="36"/>
      <c r="E409" s="36"/>
      <c r="F409" s="36"/>
      <c r="G409" s="36"/>
      <c r="H409" s="36"/>
      <c r="I409" s="36"/>
      <c r="J409" s="36"/>
      <c r="K409" s="36"/>
      <c r="L409" s="36"/>
      <c r="M409" s="36"/>
    </row>
    <row r="410" ht="13.2" spans="4:13">
      <c r="D410" s="36"/>
      <c r="E410" s="36"/>
      <c r="F410" s="36"/>
      <c r="G410" s="36"/>
      <c r="H410" s="36"/>
      <c r="I410" s="36"/>
      <c r="J410" s="36"/>
      <c r="K410" s="36"/>
      <c r="L410" s="36"/>
      <c r="M410" s="36"/>
    </row>
    <row r="411" ht="13.2" spans="4:13">
      <c r="D411" s="36"/>
      <c r="E411" s="36"/>
      <c r="F411" s="36"/>
      <c r="G411" s="36"/>
      <c r="H411" s="36"/>
      <c r="I411" s="36"/>
      <c r="J411" s="36"/>
      <c r="K411" s="36"/>
      <c r="L411" s="36"/>
      <c r="M411" s="36"/>
    </row>
    <row r="412" ht="13.2" spans="4:13">
      <c r="D412" s="36"/>
      <c r="E412" s="36"/>
      <c r="F412" s="36"/>
      <c r="G412" s="36"/>
      <c r="H412" s="36"/>
      <c r="I412" s="36"/>
      <c r="J412" s="36"/>
      <c r="K412" s="36"/>
      <c r="L412" s="36"/>
      <c r="M412" s="36"/>
    </row>
    <row r="413" ht="13.2" spans="4:13">
      <c r="D413" s="36"/>
      <c r="E413" s="36"/>
      <c r="F413" s="36"/>
      <c r="G413" s="36"/>
      <c r="H413" s="36"/>
      <c r="I413" s="36"/>
      <c r="J413" s="36"/>
      <c r="K413" s="36"/>
      <c r="L413" s="36"/>
      <c r="M413" s="36"/>
    </row>
    <row r="414" ht="13.2" spans="4:13">
      <c r="D414" s="36"/>
      <c r="E414" s="36"/>
      <c r="F414" s="36"/>
      <c r="G414" s="36"/>
      <c r="H414" s="36"/>
      <c r="I414" s="36"/>
      <c r="J414" s="36"/>
      <c r="K414" s="36"/>
      <c r="L414" s="36"/>
      <c r="M414" s="36"/>
    </row>
    <row r="415" ht="13.2" spans="4:13">
      <c r="D415" s="36"/>
      <c r="E415" s="36"/>
      <c r="F415" s="36"/>
      <c r="G415" s="36"/>
      <c r="H415" s="36"/>
      <c r="I415" s="36"/>
      <c r="J415" s="36"/>
      <c r="K415" s="36"/>
      <c r="L415" s="36"/>
      <c r="M415" s="36"/>
    </row>
    <row r="416" ht="13.2" spans="4:13">
      <c r="D416" s="36"/>
      <c r="E416" s="36"/>
      <c r="F416" s="36"/>
      <c r="G416" s="36"/>
      <c r="H416" s="36"/>
      <c r="I416" s="36"/>
      <c r="J416" s="36"/>
      <c r="K416" s="36"/>
      <c r="L416" s="36"/>
      <c r="M416" s="36"/>
    </row>
    <row r="417" ht="13.2" spans="4:13">
      <c r="D417" s="36"/>
      <c r="E417" s="36"/>
      <c r="F417" s="36"/>
      <c r="G417" s="36"/>
      <c r="H417" s="36"/>
      <c r="I417" s="36"/>
      <c r="J417" s="36"/>
      <c r="K417" s="36"/>
      <c r="L417" s="36"/>
      <c r="M417" s="36"/>
    </row>
    <row r="418" ht="13.2" spans="4:13">
      <c r="D418" s="36"/>
      <c r="E418" s="36"/>
      <c r="F418" s="36"/>
      <c r="G418" s="36"/>
      <c r="H418" s="36"/>
      <c r="I418" s="36"/>
      <c r="J418" s="36"/>
      <c r="K418" s="36"/>
      <c r="L418" s="36"/>
      <c r="M418" s="36"/>
    </row>
    <row r="419" ht="13.2" spans="4:13">
      <c r="D419" s="36"/>
      <c r="E419" s="36"/>
      <c r="F419" s="36"/>
      <c r="G419" s="36"/>
      <c r="H419" s="36"/>
      <c r="I419" s="36"/>
      <c r="J419" s="36"/>
      <c r="K419" s="36"/>
      <c r="L419" s="36"/>
      <c r="M419" s="36"/>
    </row>
    <row r="420" ht="13.2" spans="4:13">
      <c r="D420" s="36"/>
      <c r="E420" s="36"/>
      <c r="F420" s="36"/>
      <c r="G420" s="36"/>
      <c r="H420" s="36"/>
      <c r="I420" s="36"/>
      <c r="J420" s="36"/>
      <c r="K420" s="36"/>
      <c r="L420" s="36"/>
      <c r="M420" s="36"/>
    </row>
    <row r="421" ht="13.2" spans="4:13">
      <c r="D421" s="36"/>
      <c r="E421" s="36"/>
      <c r="F421" s="36"/>
      <c r="G421" s="36"/>
      <c r="H421" s="36"/>
      <c r="I421" s="36"/>
      <c r="J421" s="36"/>
      <c r="K421" s="36"/>
      <c r="L421" s="36"/>
      <c r="M421" s="36"/>
    </row>
    <row r="422" ht="13.2" spans="4:13">
      <c r="D422" s="36"/>
      <c r="E422" s="36"/>
      <c r="F422" s="36"/>
      <c r="G422" s="36"/>
      <c r="H422" s="36"/>
      <c r="I422" s="36"/>
      <c r="J422" s="36"/>
      <c r="K422" s="36"/>
      <c r="L422" s="36"/>
      <c r="M422" s="36"/>
    </row>
    <row r="423" ht="13.2" spans="4:13">
      <c r="D423" s="36"/>
      <c r="E423" s="36"/>
      <c r="F423" s="36"/>
      <c r="G423" s="36"/>
      <c r="H423" s="36"/>
      <c r="I423" s="36"/>
      <c r="J423" s="36"/>
      <c r="K423" s="36"/>
      <c r="L423" s="36"/>
      <c r="M423" s="36"/>
    </row>
    <row r="424" ht="13.2" spans="4:13">
      <c r="D424" s="36"/>
      <c r="E424" s="36"/>
      <c r="F424" s="36"/>
      <c r="G424" s="36"/>
      <c r="H424" s="36"/>
      <c r="I424" s="36"/>
      <c r="J424" s="36"/>
      <c r="K424" s="36"/>
      <c r="L424" s="36"/>
      <c r="M424" s="36"/>
    </row>
    <row r="425" ht="13.2" spans="4:13">
      <c r="D425" s="36"/>
      <c r="E425" s="36"/>
      <c r="F425" s="36"/>
      <c r="G425" s="36"/>
      <c r="H425" s="36"/>
      <c r="I425" s="36"/>
      <c r="J425" s="36"/>
      <c r="K425" s="36"/>
      <c r="L425" s="36"/>
      <c r="M425" s="36"/>
    </row>
    <row r="426" ht="13.2" spans="4:13">
      <c r="D426" s="36"/>
      <c r="E426" s="36"/>
      <c r="F426" s="36"/>
      <c r="G426" s="36"/>
      <c r="H426" s="36"/>
      <c r="I426" s="36"/>
      <c r="J426" s="36"/>
      <c r="K426" s="36"/>
      <c r="L426" s="36"/>
      <c r="M426" s="36"/>
    </row>
    <row r="427" ht="13.2" spans="4:13">
      <c r="D427" s="36"/>
      <c r="E427" s="36"/>
      <c r="F427" s="36"/>
      <c r="G427" s="36"/>
      <c r="H427" s="36"/>
      <c r="I427" s="36"/>
      <c r="J427" s="36"/>
      <c r="K427" s="36"/>
      <c r="L427" s="36"/>
      <c r="M427" s="36"/>
    </row>
    <row r="428" ht="13.2" spans="4:13">
      <c r="D428" s="36"/>
      <c r="E428" s="36"/>
      <c r="F428" s="36"/>
      <c r="G428" s="36"/>
      <c r="H428" s="36"/>
      <c r="I428" s="36"/>
      <c r="J428" s="36"/>
      <c r="K428" s="36"/>
      <c r="L428" s="36"/>
      <c r="M428" s="36"/>
    </row>
    <row r="429" ht="13.2" spans="4:13">
      <c r="D429" s="36"/>
      <c r="E429" s="36"/>
      <c r="F429" s="36"/>
      <c r="G429" s="36"/>
      <c r="H429" s="36"/>
      <c r="I429" s="36"/>
      <c r="J429" s="36"/>
      <c r="K429" s="36"/>
      <c r="L429" s="36"/>
      <c r="M429" s="36"/>
    </row>
    <row r="430" ht="13.2" spans="4:13">
      <c r="D430" s="36"/>
      <c r="E430" s="36"/>
      <c r="F430" s="36"/>
      <c r="G430" s="36"/>
      <c r="H430" s="36"/>
      <c r="I430" s="36"/>
      <c r="J430" s="36"/>
      <c r="K430" s="36"/>
      <c r="L430" s="36"/>
      <c r="M430" s="36"/>
    </row>
    <row r="431" ht="13.2" spans="4:13">
      <c r="D431" s="36"/>
      <c r="E431" s="36"/>
      <c r="F431" s="36"/>
      <c r="G431" s="36"/>
      <c r="H431" s="36"/>
      <c r="I431" s="36"/>
      <c r="J431" s="36"/>
      <c r="K431" s="36"/>
      <c r="L431" s="36"/>
      <c r="M431" s="36"/>
    </row>
    <row r="432" ht="13.2" spans="4:13">
      <c r="D432" s="36"/>
      <c r="E432" s="36"/>
      <c r="F432" s="36"/>
      <c r="G432" s="36"/>
      <c r="H432" s="36"/>
      <c r="I432" s="36"/>
      <c r="J432" s="36"/>
      <c r="K432" s="36"/>
      <c r="L432" s="36"/>
      <c r="M432" s="36"/>
    </row>
    <row r="433" ht="13.2" spans="4:13">
      <c r="D433" s="36"/>
      <c r="E433" s="36"/>
      <c r="F433" s="36"/>
      <c r="G433" s="36"/>
      <c r="H433" s="36"/>
      <c r="I433" s="36"/>
      <c r="J433" s="36"/>
      <c r="K433" s="36"/>
      <c r="L433" s="36"/>
      <c r="M433" s="36"/>
    </row>
    <row r="434" ht="13.2" spans="4:13">
      <c r="D434" s="36"/>
      <c r="E434" s="36"/>
      <c r="F434" s="36"/>
      <c r="G434" s="36"/>
      <c r="H434" s="36"/>
      <c r="I434" s="36"/>
      <c r="J434" s="36"/>
      <c r="K434" s="36"/>
      <c r="L434" s="36"/>
      <c r="M434" s="36"/>
    </row>
    <row r="435" ht="13.2" spans="4:13">
      <c r="D435" s="36"/>
      <c r="E435" s="36"/>
      <c r="F435" s="36"/>
      <c r="G435" s="36"/>
      <c r="H435" s="36"/>
      <c r="I435" s="36"/>
      <c r="J435" s="36"/>
      <c r="K435" s="36"/>
      <c r="L435" s="36"/>
      <c r="M435" s="36"/>
    </row>
    <row r="436" ht="13.2" spans="4:13">
      <c r="D436" s="36"/>
      <c r="E436" s="36"/>
      <c r="F436" s="36"/>
      <c r="G436" s="36"/>
      <c r="H436" s="36"/>
      <c r="I436" s="36"/>
      <c r="J436" s="36"/>
      <c r="K436" s="36"/>
      <c r="L436" s="36"/>
      <c r="M436" s="36"/>
    </row>
    <row r="437" ht="13.2" spans="4:13">
      <c r="D437" s="36"/>
      <c r="E437" s="36"/>
      <c r="F437" s="36"/>
      <c r="G437" s="36"/>
      <c r="H437" s="36"/>
      <c r="I437" s="36"/>
      <c r="J437" s="36"/>
      <c r="K437" s="36"/>
      <c r="L437" s="36"/>
      <c r="M437" s="36"/>
    </row>
    <row r="438" ht="13.2" spans="4:13">
      <c r="D438" s="36"/>
      <c r="E438" s="36"/>
      <c r="F438" s="36"/>
      <c r="G438" s="36"/>
      <c r="H438" s="36"/>
      <c r="I438" s="36"/>
      <c r="J438" s="36"/>
      <c r="K438" s="36"/>
      <c r="L438" s="36"/>
      <c r="M438" s="36"/>
    </row>
    <row r="439" ht="13.2" spans="4:13">
      <c r="D439" s="36"/>
      <c r="E439" s="36"/>
      <c r="F439" s="36"/>
      <c r="G439" s="36"/>
      <c r="H439" s="36"/>
      <c r="I439" s="36"/>
      <c r="J439" s="36"/>
      <c r="K439" s="36"/>
      <c r="L439" s="36"/>
      <c r="M439" s="36"/>
    </row>
    <row r="440" ht="13.2" spans="4:13">
      <c r="D440" s="36"/>
      <c r="E440" s="36"/>
      <c r="F440" s="36"/>
      <c r="G440" s="36"/>
      <c r="H440" s="36"/>
      <c r="I440" s="36"/>
      <c r="J440" s="36"/>
      <c r="K440" s="36"/>
      <c r="L440" s="36"/>
      <c r="M440" s="36"/>
    </row>
    <row r="441" ht="13.2" spans="4:13">
      <c r="D441" s="36"/>
      <c r="E441" s="36"/>
      <c r="F441" s="36"/>
      <c r="G441" s="36"/>
      <c r="H441" s="36"/>
      <c r="I441" s="36"/>
      <c r="J441" s="36"/>
      <c r="K441" s="36"/>
      <c r="L441" s="36"/>
      <c r="M441" s="36"/>
    </row>
    <row r="442" ht="13.2" spans="4:13">
      <c r="D442" s="36"/>
      <c r="E442" s="36"/>
      <c r="F442" s="36"/>
      <c r="G442" s="36"/>
      <c r="H442" s="36"/>
      <c r="I442" s="36"/>
      <c r="J442" s="36"/>
      <c r="K442" s="36"/>
      <c r="L442" s="36"/>
      <c r="M442" s="36"/>
    </row>
    <row r="443" ht="13.2" spans="4:13">
      <c r="D443" s="36"/>
      <c r="E443" s="36"/>
      <c r="F443" s="36"/>
      <c r="G443" s="36"/>
      <c r="H443" s="36"/>
      <c r="I443" s="36"/>
      <c r="J443" s="36"/>
      <c r="K443" s="36"/>
      <c r="L443" s="36"/>
      <c r="M443" s="36"/>
    </row>
    <row r="444" ht="13.2" spans="4:13">
      <c r="D444" s="36"/>
      <c r="E444" s="36"/>
      <c r="F444" s="36"/>
      <c r="G444" s="36"/>
      <c r="H444" s="36"/>
      <c r="I444" s="36"/>
      <c r="J444" s="36"/>
      <c r="K444" s="36"/>
      <c r="L444" s="36"/>
      <c r="M444" s="36"/>
    </row>
    <row r="445" ht="13.2" spans="4:13">
      <c r="D445" s="36"/>
      <c r="E445" s="36"/>
      <c r="F445" s="36"/>
      <c r="G445" s="36"/>
      <c r="H445" s="36"/>
      <c r="I445" s="36"/>
      <c r="J445" s="36"/>
      <c r="K445" s="36"/>
      <c r="L445" s="36"/>
      <c r="M445" s="36"/>
    </row>
    <row r="446" ht="13.2" spans="4:13">
      <c r="D446" s="36"/>
      <c r="E446" s="36"/>
      <c r="F446" s="36"/>
      <c r="G446" s="36"/>
      <c r="H446" s="36"/>
      <c r="I446" s="36"/>
      <c r="J446" s="36"/>
      <c r="K446" s="36"/>
      <c r="L446" s="36"/>
      <c r="M446" s="36"/>
    </row>
    <row r="447" ht="13.2" spans="4:13">
      <c r="D447" s="36"/>
      <c r="E447" s="36"/>
      <c r="F447" s="36"/>
      <c r="G447" s="36"/>
      <c r="H447" s="36"/>
      <c r="I447" s="36"/>
      <c r="J447" s="36"/>
      <c r="K447" s="36"/>
      <c r="L447" s="36"/>
      <c r="M447" s="36"/>
    </row>
    <row r="448" ht="13.2" spans="4:13">
      <c r="D448" s="36"/>
      <c r="E448" s="36"/>
      <c r="F448" s="36"/>
      <c r="G448" s="36"/>
      <c r="H448" s="36"/>
      <c r="I448" s="36"/>
      <c r="J448" s="36"/>
      <c r="K448" s="36"/>
      <c r="L448" s="36"/>
      <c r="M448" s="36"/>
    </row>
    <row r="449" ht="13.2" spans="4:13">
      <c r="D449" s="36"/>
      <c r="E449" s="36"/>
      <c r="F449" s="36"/>
      <c r="G449" s="36"/>
      <c r="H449" s="36"/>
      <c r="I449" s="36"/>
      <c r="J449" s="36"/>
      <c r="K449" s="36"/>
      <c r="L449" s="36"/>
      <c r="M449" s="36"/>
    </row>
    <row r="450" ht="13.2" spans="4:13">
      <c r="D450" s="36"/>
      <c r="E450" s="36"/>
      <c r="F450" s="36"/>
      <c r="G450" s="36"/>
      <c r="H450" s="36"/>
      <c r="I450" s="36"/>
      <c r="J450" s="36"/>
      <c r="K450" s="36"/>
      <c r="L450" s="36"/>
      <c r="M450" s="36"/>
    </row>
    <row r="451" ht="13.2" spans="4:13">
      <c r="D451" s="36"/>
      <c r="E451" s="36"/>
      <c r="F451" s="36"/>
      <c r="G451" s="36"/>
      <c r="H451" s="36"/>
      <c r="I451" s="36"/>
      <c r="J451" s="36"/>
      <c r="K451" s="36"/>
      <c r="L451" s="36"/>
      <c r="M451" s="36"/>
    </row>
    <row r="452" ht="13.2" spans="4:13">
      <c r="D452" s="36"/>
      <c r="E452" s="36"/>
      <c r="F452" s="36"/>
      <c r="G452" s="36"/>
      <c r="H452" s="36"/>
      <c r="I452" s="36"/>
      <c r="J452" s="36"/>
      <c r="K452" s="36"/>
      <c r="L452" s="36"/>
      <c r="M452" s="36"/>
    </row>
    <row r="453" ht="13.2" spans="4:13">
      <c r="D453" s="36"/>
      <c r="E453" s="36"/>
      <c r="F453" s="36"/>
      <c r="G453" s="36"/>
      <c r="H453" s="36"/>
      <c r="I453" s="36"/>
      <c r="J453" s="36"/>
      <c r="K453" s="36"/>
      <c r="L453" s="36"/>
      <c r="M453" s="36"/>
    </row>
    <row r="454" ht="13.2" spans="4:13">
      <c r="D454" s="36"/>
      <c r="E454" s="36"/>
      <c r="F454" s="36"/>
      <c r="G454" s="36"/>
      <c r="H454" s="36"/>
      <c r="I454" s="36"/>
      <c r="J454" s="36"/>
      <c r="K454" s="36"/>
      <c r="L454" s="36"/>
      <c r="M454" s="36"/>
    </row>
    <row r="455" ht="13.2" spans="4:13">
      <c r="D455" s="36"/>
      <c r="E455" s="36"/>
      <c r="F455" s="36"/>
      <c r="G455" s="36"/>
      <c r="H455" s="36"/>
      <c r="I455" s="36"/>
      <c r="J455" s="36"/>
      <c r="K455" s="36"/>
      <c r="L455" s="36"/>
      <c r="M455" s="36"/>
    </row>
    <row r="456" ht="13.2" spans="4:13">
      <c r="D456" s="36"/>
      <c r="E456" s="36"/>
      <c r="F456" s="36"/>
      <c r="G456" s="36"/>
      <c r="H456" s="36"/>
      <c r="I456" s="36"/>
      <c r="J456" s="36"/>
      <c r="K456" s="36"/>
      <c r="L456" s="36"/>
      <c r="M456" s="36"/>
    </row>
    <row r="457" ht="13.2" spans="4:13">
      <c r="D457" s="36"/>
      <c r="E457" s="36"/>
      <c r="F457" s="36"/>
      <c r="G457" s="36"/>
      <c r="H457" s="36"/>
      <c r="I457" s="36"/>
      <c r="J457" s="36"/>
      <c r="K457" s="36"/>
      <c r="L457" s="36"/>
      <c r="M457" s="36"/>
    </row>
    <row r="458" ht="13.2" spans="4:13">
      <c r="D458" s="36"/>
      <c r="E458" s="36"/>
      <c r="F458" s="36"/>
      <c r="G458" s="36"/>
      <c r="H458" s="36"/>
      <c r="I458" s="36"/>
      <c r="J458" s="36"/>
      <c r="K458" s="36"/>
      <c r="L458" s="36"/>
      <c r="M458" s="36"/>
    </row>
    <row r="459" ht="13.2" spans="4:13">
      <c r="D459" s="36"/>
      <c r="E459" s="36"/>
      <c r="F459" s="36"/>
      <c r="G459" s="36"/>
      <c r="H459" s="36"/>
      <c r="I459" s="36"/>
      <c r="J459" s="36"/>
      <c r="K459" s="36"/>
      <c r="L459" s="36"/>
      <c r="M459" s="36"/>
    </row>
    <row r="460" ht="13.2" spans="4:13">
      <c r="D460" s="36"/>
      <c r="E460" s="36"/>
      <c r="F460" s="36"/>
      <c r="G460" s="36"/>
      <c r="H460" s="36"/>
      <c r="I460" s="36"/>
      <c r="J460" s="36"/>
      <c r="K460" s="36"/>
      <c r="L460" s="36"/>
      <c r="M460" s="36"/>
    </row>
    <row r="461" ht="13.2" spans="4:13">
      <c r="D461" s="36"/>
      <c r="E461" s="36"/>
      <c r="F461" s="36"/>
      <c r="G461" s="36"/>
      <c r="H461" s="36"/>
      <c r="I461" s="36"/>
      <c r="J461" s="36"/>
      <c r="K461" s="36"/>
      <c r="L461" s="36"/>
      <c r="M461" s="36"/>
    </row>
    <row r="462" ht="13.2" spans="4:13">
      <c r="D462" s="36"/>
      <c r="E462" s="36"/>
      <c r="F462" s="36"/>
      <c r="G462" s="36"/>
      <c r="H462" s="36"/>
      <c r="I462" s="36"/>
      <c r="J462" s="36"/>
      <c r="K462" s="36"/>
      <c r="L462" s="36"/>
      <c r="M462" s="36"/>
    </row>
    <row r="463" ht="13.2" spans="4:13">
      <c r="D463" s="36"/>
      <c r="E463" s="36"/>
      <c r="F463" s="36"/>
      <c r="G463" s="36"/>
      <c r="H463" s="36"/>
      <c r="I463" s="36"/>
      <c r="J463" s="36"/>
      <c r="K463" s="36"/>
      <c r="L463" s="36"/>
      <c r="M463" s="36"/>
    </row>
    <row r="464" ht="13.2" spans="4:13">
      <c r="D464" s="36"/>
      <c r="E464" s="36"/>
      <c r="F464" s="36"/>
      <c r="G464" s="36"/>
      <c r="H464" s="36"/>
      <c r="I464" s="36"/>
      <c r="J464" s="36"/>
      <c r="K464" s="36"/>
      <c r="L464" s="36"/>
      <c r="M464" s="36"/>
    </row>
    <row r="465" ht="13.2" spans="4:13">
      <c r="D465" s="36"/>
      <c r="E465" s="36"/>
      <c r="F465" s="36"/>
      <c r="G465" s="36"/>
      <c r="H465" s="36"/>
      <c r="I465" s="36"/>
      <c r="J465" s="36"/>
      <c r="K465" s="36"/>
      <c r="L465" s="36"/>
      <c r="M465" s="36"/>
    </row>
    <row r="466" ht="13.2" spans="4:13">
      <c r="D466" s="36"/>
      <c r="E466" s="36"/>
      <c r="F466" s="36"/>
      <c r="G466" s="36"/>
      <c r="H466" s="36"/>
      <c r="I466" s="36"/>
      <c r="J466" s="36"/>
      <c r="K466" s="36"/>
      <c r="L466" s="36"/>
      <c r="M466" s="36"/>
    </row>
    <row r="467" ht="13.2" spans="4:13">
      <c r="D467" s="36"/>
      <c r="E467" s="36"/>
      <c r="F467" s="36"/>
      <c r="G467" s="36"/>
      <c r="H467" s="36"/>
      <c r="I467" s="36"/>
      <c r="J467" s="36"/>
      <c r="K467" s="36"/>
      <c r="L467" s="36"/>
      <c r="M467" s="36"/>
    </row>
    <row r="468" ht="13.2" spans="4:13">
      <c r="D468" s="36"/>
      <c r="E468" s="36"/>
      <c r="F468" s="36"/>
      <c r="G468" s="36"/>
      <c r="H468" s="36"/>
      <c r="I468" s="36"/>
      <c r="J468" s="36"/>
      <c r="K468" s="36"/>
      <c r="L468" s="36"/>
      <c r="M468" s="36"/>
    </row>
    <row r="469" ht="13.2" spans="4:13">
      <c r="D469" s="36"/>
      <c r="E469" s="36"/>
      <c r="F469" s="36"/>
      <c r="G469" s="36"/>
      <c r="H469" s="36"/>
      <c r="I469" s="36"/>
      <c r="J469" s="36"/>
      <c r="K469" s="36"/>
      <c r="L469" s="36"/>
      <c r="M469" s="36"/>
    </row>
    <row r="470" ht="13.2" spans="4:13">
      <c r="D470" s="36"/>
      <c r="E470" s="36"/>
      <c r="F470" s="36"/>
      <c r="G470" s="36"/>
      <c r="H470" s="36"/>
      <c r="I470" s="36"/>
      <c r="J470" s="36"/>
      <c r="K470" s="36"/>
      <c r="L470" s="36"/>
      <c r="M470" s="36"/>
    </row>
    <row r="471" ht="13.2" spans="4:13">
      <c r="D471" s="36"/>
      <c r="E471" s="36"/>
      <c r="F471" s="36"/>
      <c r="G471" s="36"/>
      <c r="H471" s="36"/>
      <c r="I471" s="36"/>
      <c r="J471" s="36"/>
      <c r="K471" s="36"/>
      <c r="L471" s="36"/>
      <c r="M471" s="36"/>
    </row>
    <row r="472" ht="13.2" spans="4:13">
      <c r="D472" s="36"/>
      <c r="E472" s="36"/>
      <c r="F472" s="36"/>
      <c r="G472" s="36"/>
      <c r="H472" s="36"/>
      <c r="I472" s="36"/>
      <c r="J472" s="36"/>
      <c r="K472" s="36"/>
      <c r="L472" s="36"/>
      <c r="M472" s="36"/>
    </row>
    <row r="473" ht="13.2" spans="4:13">
      <c r="D473" s="36"/>
      <c r="E473" s="36"/>
      <c r="F473" s="36"/>
      <c r="G473" s="36"/>
      <c r="H473" s="36"/>
      <c r="I473" s="36"/>
      <c r="J473" s="36"/>
      <c r="K473" s="36"/>
      <c r="L473" s="36"/>
      <c r="M473" s="36"/>
    </row>
    <row r="474" ht="13.2" spans="4:13">
      <c r="D474" s="36"/>
      <c r="E474" s="36"/>
      <c r="F474" s="36"/>
      <c r="G474" s="36"/>
      <c r="H474" s="36"/>
      <c r="I474" s="36"/>
      <c r="J474" s="36"/>
      <c r="K474" s="36"/>
      <c r="L474" s="36"/>
      <c r="M474" s="36"/>
    </row>
    <row r="475" ht="13.2" spans="4:13">
      <c r="D475" s="36"/>
      <c r="E475" s="36"/>
      <c r="F475" s="36"/>
      <c r="G475" s="36"/>
      <c r="H475" s="36"/>
      <c r="I475" s="36"/>
      <c r="J475" s="36"/>
      <c r="K475" s="36"/>
      <c r="L475" s="36"/>
      <c r="M475" s="36"/>
    </row>
    <row r="476" ht="13.2" spans="4:13">
      <c r="D476" s="36"/>
      <c r="E476" s="36"/>
      <c r="F476" s="36"/>
      <c r="G476" s="36"/>
      <c r="H476" s="36"/>
      <c r="I476" s="36"/>
      <c r="J476" s="36"/>
      <c r="K476" s="36"/>
      <c r="L476" s="36"/>
      <c r="M476" s="36"/>
    </row>
    <row r="477" ht="13.2" spans="4:13">
      <c r="D477" s="36"/>
      <c r="E477" s="36"/>
      <c r="F477" s="36"/>
      <c r="G477" s="36"/>
      <c r="H477" s="36"/>
      <c r="I477" s="36"/>
      <c r="J477" s="36"/>
      <c r="K477" s="36"/>
      <c r="L477" s="36"/>
      <c r="M477" s="36"/>
    </row>
    <row r="478" ht="13.2" spans="4:13">
      <c r="D478" s="36"/>
      <c r="E478" s="36"/>
      <c r="F478" s="36"/>
      <c r="G478" s="36"/>
      <c r="H478" s="36"/>
      <c r="I478" s="36"/>
      <c r="J478" s="36"/>
      <c r="K478" s="36"/>
      <c r="L478" s="36"/>
      <c r="M478" s="36"/>
    </row>
    <row r="479" ht="13.2" spans="4:13">
      <c r="D479" s="36"/>
      <c r="E479" s="36"/>
      <c r="F479" s="36"/>
      <c r="G479" s="36"/>
      <c r="H479" s="36"/>
      <c r="I479" s="36"/>
      <c r="J479" s="36"/>
      <c r="K479" s="36"/>
      <c r="L479" s="36"/>
      <c r="M479" s="36"/>
    </row>
    <row r="480" ht="13.2" spans="4:13">
      <c r="D480" s="36"/>
      <c r="E480" s="36"/>
      <c r="F480" s="36"/>
      <c r="G480" s="36"/>
      <c r="H480" s="36"/>
      <c r="I480" s="36"/>
      <c r="J480" s="36"/>
      <c r="K480" s="36"/>
      <c r="L480" s="36"/>
      <c r="M480" s="36"/>
    </row>
    <row r="481" ht="13.2" spans="4:13">
      <c r="D481" s="36"/>
      <c r="E481" s="36"/>
      <c r="F481" s="36"/>
      <c r="G481" s="36"/>
      <c r="H481" s="36"/>
      <c r="I481" s="36"/>
      <c r="J481" s="36"/>
      <c r="K481" s="36"/>
      <c r="L481" s="36"/>
      <c r="M481" s="36"/>
    </row>
    <row r="482" ht="13.2" spans="4:13">
      <c r="D482" s="36"/>
      <c r="E482" s="36"/>
      <c r="F482" s="36"/>
      <c r="G482" s="36"/>
      <c r="H482" s="36"/>
      <c r="I482" s="36"/>
      <c r="J482" s="36"/>
      <c r="K482" s="36"/>
      <c r="L482" s="36"/>
      <c r="M482" s="36"/>
    </row>
    <row r="483" ht="13.2" spans="4:13">
      <c r="D483" s="36"/>
      <c r="E483" s="36"/>
      <c r="F483" s="36"/>
      <c r="G483" s="36"/>
      <c r="H483" s="36"/>
      <c r="I483" s="36"/>
      <c r="J483" s="36"/>
      <c r="K483" s="36"/>
      <c r="L483" s="36"/>
      <c r="M483" s="36"/>
    </row>
    <row r="484" ht="13.2" spans="4:13">
      <c r="D484" s="36"/>
      <c r="E484" s="36"/>
      <c r="F484" s="36"/>
      <c r="G484" s="36"/>
      <c r="H484" s="36"/>
      <c r="I484" s="36"/>
      <c r="J484" s="36"/>
      <c r="K484" s="36"/>
      <c r="L484" s="36"/>
      <c r="M484" s="36"/>
    </row>
    <row r="485" ht="13.2" spans="4:13">
      <c r="D485" s="36"/>
      <c r="E485" s="36"/>
      <c r="F485" s="36"/>
      <c r="G485" s="36"/>
      <c r="H485" s="36"/>
      <c r="I485" s="36"/>
      <c r="J485" s="36"/>
      <c r="K485" s="36"/>
      <c r="L485" s="36"/>
      <c r="M485" s="36"/>
    </row>
    <row r="486" ht="13.2" spans="4:13">
      <c r="D486" s="36"/>
      <c r="E486" s="36"/>
      <c r="F486" s="36"/>
      <c r="G486" s="36"/>
      <c r="H486" s="36"/>
      <c r="I486" s="36"/>
      <c r="J486" s="36"/>
      <c r="K486" s="36"/>
      <c r="L486" s="36"/>
      <c r="M486" s="36"/>
    </row>
    <row r="487" ht="13.2" spans="4:13">
      <c r="D487" s="36"/>
      <c r="E487" s="36"/>
      <c r="F487" s="36"/>
      <c r="G487" s="36"/>
      <c r="H487" s="36"/>
      <c r="I487" s="36"/>
      <c r="J487" s="36"/>
      <c r="K487" s="36"/>
      <c r="L487" s="36"/>
      <c r="M487" s="36"/>
    </row>
    <row r="488" ht="13.2" spans="4:13">
      <c r="D488" s="36"/>
      <c r="E488" s="36"/>
      <c r="F488" s="36"/>
      <c r="G488" s="36"/>
      <c r="H488" s="36"/>
      <c r="I488" s="36"/>
      <c r="J488" s="36"/>
      <c r="K488" s="36"/>
      <c r="L488" s="36"/>
      <c r="M488" s="36"/>
    </row>
    <row r="489" ht="13.2" spans="4:13">
      <c r="D489" s="36"/>
      <c r="E489" s="36"/>
      <c r="F489" s="36"/>
      <c r="G489" s="36"/>
      <c r="H489" s="36"/>
      <c r="I489" s="36"/>
      <c r="J489" s="36"/>
      <c r="K489" s="36"/>
      <c r="L489" s="36"/>
      <c r="M489" s="36"/>
    </row>
    <row r="490" ht="13.2" spans="4:13">
      <c r="D490" s="36"/>
      <c r="E490" s="36"/>
      <c r="F490" s="36"/>
      <c r="G490" s="36"/>
      <c r="H490" s="36"/>
      <c r="I490" s="36"/>
      <c r="J490" s="36"/>
      <c r="K490" s="36"/>
      <c r="L490" s="36"/>
      <c r="M490" s="36"/>
    </row>
    <row r="491" ht="13.2" spans="4:13">
      <c r="D491" s="36"/>
      <c r="E491" s="36"/>
      <c r="F491" s="36"/>
      <c r="G491" s="36"/>
      <c r="H491" s="36"/>
      <c r="I491" s="36"/>
      <c r="J491" s="36"/>
      <c r="K491" s="36"/>
      <c r="L491" s="36"/>
      <c r="M491" s="36"/>
    </row>
    <row r="492" ht="13.2" spans="4:13">
      <c r="D492" s="36"/>
      <c r="E492" s="36"/>
      <c r="F492" s="36"/>
      <c r="G492" s="36"/>
      <c r="H492" s="36"/>
      <c r="I492" s="36"/>
      <c r="J492" s="36"/>
      <c r="K492" s="36"/>
      <c r="L492" s="36"/>
      <c r="M492" s="36"/>
    </row>
    <row r="493" ht="13.2" spans="4:13">
      <c r="D493" s="36"/>
      <c r="E493" s="36"/>
      <c r="F493" s="36"/>
      <c r="G493" s="36"/>
      <c r="H493" s="36"/>
      <c r="I493" s="36"/>
      <c r="J493" s="36"/>
      <c r="K493" s="36"/>
      <c r="L493" s="36"/>
      <c r="M493" s="36"/>
    </row>
    <row r="494" ht="13.2" spans="4:13">
      <c r="D494" s="36"/>
      <c r="E494" s="36"/>
      <c r="F494" s="36"/>
      <c r="G494" s="36"/>
      <c r="H494" s="36"/>
      <c r="I494" s="36"/>
      <c r="J494" s="36"/>
      <c r="K494" s="36"/>
      <c r="L494" s="36"/>
      <c r="M494" s="36"/>
    </row>
    <row r="495" ht="13.2" spans="4:13">
      <c r="D495" s="36"/>
      <c r="E495" s="36"/>
      <c r="F495" s="36"/>
      <c r="G495" s="36"/>
      <c r="H495" s="36"/>
      <c r="I495" s="36"/>
      <c r="J495" s="36"/>
      <c r="K495" s="36"/>
      <c r="L495" s="36"/>
      <c r="M495" s="36"/>
    </row>
    <row r="496" ht="13.2" spans="4:13">
      <c r="D496" s="36"/>
      <c r="E496" s="36"/>
      <c r="F496" s="36"/>
      <c r="G496" s="36"/>
      <c r="H496" s="36"/>
      <c r="I496" s="36"/>
      <c r="J496" s="36"/>
      <c r="K496" s="36"/>
      <c r="L496" s="36"/>
      <c r="M496" s="36"/>
    </row>
    <row r="497" ht="13.2" spans="4:13">
      <c r="D497" s="36"/>
      <c r="E497" s="36"/>
      <c r="F497" s="36"/>
      <c r="G497" s="36"/>
      <c r="H497" s="36"/>
      <c r="I497" s="36"/>
      <c r="J497" s="36"/>
      <c r="K497" s="36"/>
      <c r="L497" s="36"/>
      <c r="M497" s="36"/>
    </row>
    <row r="498" ht="13.2" spans="4:13">
      <c r="D498" s="36"/>
      <c r="E498" s="36"/>
      <c r="F498" s="36"/>
      <c r="G498" s="36"/>
      <c r="H498" s="36"/>
      <c r="I498" s="36"/>
      <c r="J498" s="36"/>
      <c r="K498" s="36"/>
      <c r="L498" s="36"/>
      <c r="M498" s="36"/>
    </row>
    <row r="499" ht="13.2" spans="4:13">
      <c r="D499" s="36"/>
      <c r="E499" s="36"/>
      <c r="F499" s="36"/>
      <c r="G499" s="36"/>
      <c r="H499" s="36"/>
      <c r="I499" s="36"/>
      <c r="J499" s="36"/>
      <c r="K499" s="36"/>
      <c r="L499" s="36"/>
      <c r="M499" s="36"/>
    </row>
    <row r="500" ht="13.2" spans="4:13">
      <c r="D500" s="36"/>
      <c r="E500" s="36"/>
      <c r="F500" s="36"/>
      <c r="G500" s="36"/>
      <c r="H500" s="36"/>
      <c r="I500" s="36"/>
      <c r="J500" s="36"/>
      <c r="K500" s="36"/>
      <c r="L500" s="36"/>
      <c r="M500" s="36"/>
    </row>
    <row r="501" ht="13.2" spans="4:13">
      <c r="D501" s="36"/>
      <c r="E501" s="36"/>
      <c r="F501" s="36"/>
      <c r="G501" s="36"/>
      <c r="H501" s="36"/>
      <c r="I501" s="36"/>
      <c r="J501" s="36"/>
      <c r="K501" s="36"/>
      <c r="L501" s="36"/>
      <c r="M501" s="36"/>
    </row>
    <row r="502" ht="13.2" spans="4:13">
      <c r="D502" s="36"/>
      <c r="E502" s="36"/>
      <c r="F502" s="36"/>
      <c r="G502" s="36"/>
      <c r="H502" s="36"/>
      <c r="I502" s="36"/>
      <c r="J502" s="36"/>
      <c r="K502" s="36"/>
      <c r="L502" s="36"/>
      <c r="M502" s="36"/>
    </row>
    <row r="503" ht="13.2" spans="4:13">
      <c r="D503" s="36"/>
      <c r="E503" s="36"/>
      <c r="F503" s="36"/>
      <c r="G503" s="36"/>
      <c r="H503" s="36"/>
      <c r="I503" s="36"/>
      <c r="J503" s="36"/>
      <c r="K503" s="36"/>
      <c r="L503" s="36"/>
      <c r="M503" s="36"/>
    </row>
    <row r="504" ht="13.2" spans="4:13">
      <c r="D504" s="36"/>
      <c r="E504" s="36"/>
      <c r="F504" s="36"/>
      <c r="G504" s="36"/>
      <c r="H504" s="36"/>
      <c r="I504" s="36"/>
      <c r="J504" s="36"/>
      <c r="K504" s="36"/>
      <c r="L504" s="36"/>
      <c r="M504" s="36"/>
    </row>
    <row r="505" ht="13.2" spans="4:13">
      <c r="D505" s="36"/>
      <c r="E505" s="36"/>
      <c r="F505" s="36"/>
      <c r="G505" s="36"/>
      <c r="H505" s="36"/>
      <c r="I505" s="36"/>
      <c r="J505" s="36"/>
      <c r="K505" s="36"/>
      <c r="L505" s="36"/>
      <c r="M505" s="36"/>
    </row>
    <row r="506" ht="13.2" spans="4:13">
      <c r="D506" s="36"/>
      <c r="E506" s="36"/>
      <c r="F506" s="36"/>
      <c r="G506" s="36"/>
      <c r="H506" s="36"/>
      <c r="I506" s="36"/>
      <c r="J506" s="36"/>
      <c r="K506" s="36"/>
      <c r="L506" s="36"/>
      <c r="M506" s="36"/>
    </row>
    <row r="507" ht="13.2" spans="4:13">
      <c r="D507" s="36"/>
      <c r="E507" s="36"/>
      <c r="F507" s="36"/>
      <c r="G507" s="36"/>
      <c r="H507" s="36"/>
      <c r="I507" s="36"/>
      <c r="J507" s="36"/>
      <c r="K507" s="36"/>
      <c r="L507" s="36"/>
      <c r="M507" s="36"/>
    </row>
    <row r="508" ht="13.2" spans="4:13">
      <c r="D508" s="36"/>
      <c r="E508" s="36"/>
      <c r="F508" s="36"/>
      <c r="G508" s="36"/>
      <c r="H508" s="36"/>
      <c r="I508" s="36"/>
      <c r="J508" s="36"/>
      <c r="K508" s="36"/>
      <c r="L508" s="36"/>
      <c r="M508" s="36"/>
    </row>
    <row r="509" ht="13.2" spans="4:13">
      <c r="D509" s="36"/>
      <c r="E509" s="36"/>
      <c r="F509" s="36"/>
      <c r="G509" s="36"/>
      <c r="H509" s="36"/>
      <c r="I509" s="36"/>
      <c r="J509" s="36"/>
      <c r="K509" s="36"/>
      <c r="L509" s="36"/>
      <c r="M509" s="36"/>
    </row>
    <row r="510" ht="13.2" spans="4:13">
      <c r="D510" s="36"/>
      <c r="E510" s="36"/>
      <c r="F510" s="36"/>
      <c r="G510" s="36"/>
      <c r="H510" s="36"/>
      <c r="I510" s="36"/>
      <c r="J510" s="36"/>
      <c r="K510" s="36"/>
      <c r="L510" s="36"/>
      <c r="M510" s="36"/>
    </row>
    <row r="511" ht="13.2" spans="4:13">
      <c r="D511" s="36"/>
      <c r="E511" s="36"/>
      <c r="F511" s="36"/>
      <c r="G511" s="36"/>
      <c r="H511" s="36"/>
      <c r="I511" s="36"/>
      <c r="J511" s="36"/>
      <c r="K511" s="36"/>
      <c r="L511" s="36"/>
      <c r="M511" s="36"/>
    </row>
    <row r="512" ht="13.2" spans="4:13">
      <c r="D512" s="36"/>
      <c r="E512" s="36"/>
      <c r="F512" s="36"/>
      <c r="G512" s="36"/>
      <c r="H512" s="36"/>
      <c r="I512" s="36"/>
      <c r="J512" s="36"/>
      <c r="K512" s="36"/>
      <c r="L512" s="36"/>
      <c r="M512" s="36"/>
    </row>
    <row r="513" ht="13.2" spans="4:13">
      <c r="D513" s="36"/>
      <c r="E513" s="36"/>
      <c r="F513" s="36"/>
      <c r="G513" s="36"/>
      <c r="H513" s="36"/>
      <c r="I513" s="36"/>
      <c r="J513" s="36"/>
      <c r="K513" s="36"/>
      <c r="L513" s="36"/>
      <c r="M513" s="36"/>
    </row>
    <row r="514" ht="13.2" spans="4:13">
      <c r="D514" s="36"/>
      <c r="E514" s="36"/>
      <c r="F514" s="36"/>
      <c r="G514" s="36"/>
      <c r="H514" s="36"/>
      <c r="I514" s="36"/>
      <c r="J514" s="36"/>
      <c r="K514" s="36"/>
      <c r="L514" s="36"/>
      <c r="M514" s="36"/>
    </row>
    <row r="515" ht="13.2" spans="4:13">
      <c r="D515" s="36"/>
      <c r="E515" s="36"/>
      <c r="F515" s="36"/>
      <c r="G515" s="36"/>
      <c r="H515" s="36"/>
      <c r="I515" s="36"/>
      <c r="J515" s="36"/>
      <c r="K515" s="36"/>
      <c r="L515" s="36"/>
      <c r="M515" s="36"/>
    </row>
    <row r="516" ht="13.2" spans="4:13">
      <c r="D516" s="36"/>
      <c r="E516" s="36"/>
      <c r="F516" s="36"/>
      <c r="G516" s="36"/>
      <c r="H516" s="36"/>
      <c r="I516" s="36"/>
      <c r="J516" s="36"/>
      <c r="K516" s="36"/>
      <c r="L516" s="36"/>
      <c r="M516" s="36"/>
    </row>
    <row r="517" ht="13.2" spans="4:13">
      <c r="D517" s="36"/>
      <c r="E517" s="36"/>
      <c r="F517" s="36"/>
      <c r="G517" s="36"/>
      <c r="H517" s="36"/>
      <c r="I517" s="36"/>
      <c r="J517" s="36"/>
      <c r="K517" s="36"/>
      <c r="L517" s="36"/>
      <c r="M517" s="36"/>
    </row>
    <row r="518" ht="13.2" spans="4:13">
      <c r="D518" s="36"/>
      <c r="E518" s="36"/>
      <c r="F518" s="36"/>
      <c r="G518" s="36"/>
      <c r="H518" s="36"/>
      <c r="I518" s="36"/>
      <c r="J518" s="36"/>
      <c r="K518" s="36"/>
      <c r="L518" s="36"/>
      <c r="M518" s="36"/>
    </row>
    <row r="519" ht="13.2" spans="4:13">
      <c r="D519" s="36"/>
      <c r="E519" s="36"/>
      <c r="F519" s="36"/>
      <c r="G519" s="36"/>
      <c r="H519" s="36"/>
      <c r="I519" s="36"/>
      <c r="J519" s="36"/>
      <c r="K519" s="36"/>
      <c r="L519" s="36"/>
      <c r="M519" s="36"/>
    </row>
    <row r="520" ht="13.2" spans="4:13">
      <c r="D520" s="36"/>
      <c r="E520" s="36"/>
      <c r="F520" s="36"/>
      <c r="G520" s="36"/>
      <c r="H520" s="36"/>
      <c r="I520" s="36"/>
      <c r="J520" s="36"/>
      <c r="K520" s="36"/>
      <c r="L520" s="36"/>
      <c r="M520" s="36"/>
    </row>
    <row r="521" ht="13.2" spans="4:13">
      <c r="D521" s="36"/>
      <c r="E521" s="36"/>
      <c r="F521" s="36"/>
      <c r="G521" s="36"/>
      <c r="H521" s="36"/>
      <c r="I521" s="36"/>
      <c r="J521" s="36"/>
      <c r="K521" s="36"/>
      <c r="L521" s="36"/>
      <c r="M521" s="36"/>
    </row>
    <row r="522" ht="13.2" spans="4:13">
      <c r="D522" s="36"/>
      <c r="E522" s="36"/>
      <c r="F522" s="36"/>
      <c r="G522" s="36"/>
      <c r="H522" s="36"/>
      <c r="I522" s="36"/>
      <c r="J522" s="36"/>
      <c r="K522" s="36"/>
      <c r="L522" s="36"/>
      <c r="M522" s="36"/>
    </row>
    <row r="523" ht="13.2" spans="4:13">
      <c r="D523" s="36"/>
      <c r="E523" s="36"/>
      <c r="F523" s="36"/>
      <c r="G523" s="36"/>
      <c r="H523" s="36"/>
      <c r="I523" s="36"/>
      <c r="J523" s="36"/>
      <c r="K523" s="36"/>
      <c r="L523" s="36"/>
      <c r="M523" s="36"/>
    </row>
    <row r="524" ht="13.2" spans="4:13">
      <c r="D524" s="36"/>
      <c r="E524" s="36"/>
      <c r="F524" s="36"/>
      <c r="G524" s="36"/>
      <c r="H524" s="36"/>
      <c r="I524" s="36"/>
      <c r="J524" s="36"/>
      <c r="K524" s="36"/>
      <c r="L524" s="36"/>
      <c r="M524" s="36"/>
    </row>
    <row r="525" ht="13.2" spans="4:13">
      <c r="D525" s="36"/>
      <c r="E525" s="36"/>
      <c r="F525" s="36"/>
      <c r="G525" s="36"/>
      <c r="H525" s="36"/>
      <c r="I525" s="36"/>
      <c r="J525" s="36"/>
      <c r="K525" s="36"/>
      <c r="L525" s="36"/>
      <c r="M525" s="36"/>
    </row>
    <row r="526" ht="13.2" spans="4:13">
      <c r="D526" s="36"/>
      <c r="E526" s="36"/>
      <c r="F526" s="36"/>
      <c r="G526" s="36"/>
      <c r="H526" s="36"/>
      <c r="I526" s="36"/>
      <c r="J526" s="36"/>
      <c r="K526" s="36"/>
      <c r="L526" s="36"/>
      <c r="M526" s="36"/>
    </row>
    <row r="527" ht="13.2" spans="4:13">
      <c r="D527" s="36"/>
      <c r="E527" s="36"/>
      <c r="F527" s="36"/>
      <c r="G527" s="36"/>
      <c r="H527" s="36"/>
      <c r="I527" s="36"/>
      <c r="J527" s="36"/>
      <c r="K527" s="36"/>
      <c r="L527" s="36"/>
      <c r="M527" s="36"/>
    </row>
    <row r="528" ht="13.2" spans="4:13">
      <c r="D528" s="36"/>
      <c r="E528" s="36"/>
      <c r="F528" s="36"/>
      <c r="G528" s="36"/>
      <c r="H528" s="36"/>
      <c r="I528" s="36"/>
      <c r="J528" s="36"/>
      <c r="K528" s="36"/>
      <c r="L528" s="36"/>
      <c r="M528" s="36"/>
    </row>
    <row r="529" ht="13.2" spans="4:13">
      <c r="D529" s="36"/>
      <c r="E529" s="36"/>
      <c r="F529" s="36"/>
      <c r="G529" s="36"/>
      <c r="H529" s="36"/>
      <c r="I529" s="36"/>
      <c r="J529" s="36"/>
      <c r="K529" s="36"/>
      <c r="L529" s="36"/>
      <c r="M529" s="36"/>
    </row>
    <row r="530" ht="13.2" spans="4:13">
      <c r="D530" s="36"/>
      <c r="E530" s="36"/>
      <c r="F530" s="36"/>
      <c r="G530" s="36"/>
      <c r="H530" s="36"/>
      <c r="I530" s="36"/>
      <c r="J530" s="36"/>
      <c r="K530" s="36"/>
      <c r="L530" s="36"/>
      <c r="M530" s="36"/>
    </row>
    <row r="531" ht="13.2" spans="4:13">
      <c r="D531" s="36"/>
      <c r="E531" s="36"/>
      <c r="F531" s="36"/>
      <c r="G531" s="36"/>
      <c r="H531" s="36"/>
      <c r="I531" s="36"/>
      <c r="J531" s="36"/>
      <c r="K531" s="36"/>
      <c r="L531" s="36"/>
      <c r="M531" s="36"/>
    </row>
    <row r="532" ht="13.2" spans="4:13">
      <c r="D532" s="36"/>
      <c r="E532" s="36"/>
      <c r="F532" s="36"/>
      <c r="G532" s="36"/>
      <c r="H532" s="36"/>
      <c r="I532" s="36"/>
      <c r="J532" s="36"/>
      <c r="K532" s="36"/>
      <c r="L532" s="36"/>
      <c r="M532" s="36"/>
    </row>
    <row r="533" ht="13.2" spans="4:13">
      <c r="D533" s="36"/>
      <c r="E533" s="36"/>
      <c r="F533" s="36"/>
      <c r="G533" s="36"/>
      <c r="H533" s="36"/>
      <c r="I533" s="36"/>
      <c r="J533" s="36"/>
      <c r="K533" s="36"/>
      <c r="L533" s="36"/>
      <c r="M533" s="36"/>
    </row>
    <row r="534" ht="13.2" spans="4:13">
      <c r="D534" s="36"/>
      <c r="E534" s="36"/>
      <c r="F534" s="36"/>
      <c r="G534" s="36"/>
      <c r="H534" s="36"/>
      <c r="I534" s="36"/>
      <c r="J534" s="36"/>
      <c r="K534" s="36"/>
      <c r="L534" s="36"/>
      <c r="M534" s="36"/>
    </row>
    <row r="535" ht="13.2" spans="4:13">
      <c r="D535" s="36"/>
      <c r="E535" s="36"/>
      <c r="F535" s="36"/>
      <c r="G535" s="36"/>
      <c r="H535" s="36"/>
      <c r="I535" s="36"/>
      <c r="J535" s="36"/>
      <c r="K535" s="36"/>
      <c r="L535" s="36"/>
      <c r="M535" s="36"/>
    </row>
    <row r="536" ht="13.2" spans="4:13">
      <c r="D536" s="36"/>
      <c r="E536" s="36"/>
      <c r="F536" s="36"/>
      <c r="G536" s="36"/>
      <c r="H536" s="36"/>
      <c r="I536" s="36"/>
      <c r="J536" s="36"/>
      <c r="K536" s="36"/>
      <c r="L536" s="36"/>
      <c r="M536" s="36"/>
    </row>
    <row r="537" ht="13.2" spans="4:13">
      <c r="D537" s="36"/>
      <c r="E537" s="36"/>
      <c r="F537" s="36"/>
      <c r="G537" s="36"/>
      <c r="H537" s="36"/>
      <c r="I537" s="36"/>
      <c r="J537" s="36"/>
      <c r="K537" s="36"/>
      <c r="L537" s="36"/>
      <c r="M537" s="36"/>
    </row>
    <row r="538" ht="13.2" spans="4:13">
      <c r="D538" s="36"/>
      <c r="E538" s="36"/>
      <c r="F538" s="36"/>
      <c r="G538" s="36"/>
      <c r="H538" s="36"/>
      <c r="I538" s="36"/>
      <c r="J538" s="36"/>
      <c r="K538" s="36"/>
      <c r="L538" s="36"/>
      <c r="M538" s="36"/>
    </row>
    <row r="539" ht="13.2" spans="4:13">
      <c r="D539" s="36"/>
      <c r="E539" s="36"/>
      <c r="F539" s="36"/>
      <c r="G539" s="36"/>
      <c r="H539" s="36"/>
      <c r="I539" s="36"/>
      <c r="J539" s="36"/>
      <c r="K539" s="36"/>
      <c r="L539" s="36"/>
      <c r="M539" s="36"/>
    </row>
    <row r="540" ht="13.2" spans="4:13">
      <c r="D540" s="36"/>
      <c r="E540" s="36"/>
      <c r="F540" s="36"/>
      <c r="G540" s="36"/>
      <c r="H540" s="36"/>
      <c r="I540" s="36"/>
      <c r="J540" s="36"/>
      <c r="K540" s="36"/>
      <c r="L540" s="36"/>
      <c r="M540" s="36"/>
    </row>
    <row r="541" ht="13.2" spans="4:13">
      <c r="D541" s="36"/>
      <c r="E541" s="36"/>
      <c r="F541" s="36"/>
      <c r="G541" s="36"/>
      <c r="H541" s="36"/>
      <c r="I541" s="36"/>
      <c r="J541" s="36"/>
      <c r="K541" s="36"/>
      <c r="L541" s="36"/>
      <c r="M541" s="36"/>
    </row>
    <row r="542" ht="13.2" spans="4:13">
      <c r="D542" s="36"/>
      <c r="E542" s="36"/>
      <c r="F542" s="36"/>
      <c r="G542" s="36"/>
      <c r="H542" s="36"/>
      <c r="I542" s="36"/>
      <c r="J542" s="36"/>
      <c r="K542" s="36"/>
      <c r="L542" s="36"/>
      <c r="M542" s="36"/>
    </row>
    <row r="543" ht="13.2" spans="4:13">
      <c r="D543" s="36"/>
      <c r="E543" s="36"/>
      <c r="F543" s="36"/>
      <c r="G543" s="36"/>
      <c r="H543" s="36"/>
      <c r="I543" s="36"/>
      <c r="J543" s="36"/>
      <c r="K543" s="36"/>
      <c r="L543" s="36"/>
      <c r="M543" s="36"/>
    </row>
    <row r="544" ht="13.2" spans="4:13">
      <c r="D544" s="36"/>
      <c r="E544" s="36"/>
      <c r="F544" s="36"/>
      <c r="G544" s="36"/>
      <c r="H544" s="36"/>
      <c r="I544" s="36"/>
      <c r="J544" s="36"/>
      <c r="K544" s="36"/>
      <c r="L544" s="36"/>
      <c r="M544" s="36"/>
    </row>
    <row r="545" ht="13.2" spans="4:13">
      <c r="D545" s="36"/>
      <c r="E545" s="36"/>
      <c r="F545" s="36"/>
      <c r="G545" s="36"/>
      <c r="H545" s="36"/>
      <c r="I545" s="36"/>
      <c r="J545" s="36"/>
      <c r="K545" s="36"/>
      <c r="L545" s="36"/>
      <c r="M545" s="36"/>
    </row>
    <row r="546" ht="13.2" spans="4:13">
      <c r="D546" s="36"/>
      <c r="E546" s="36"/>
      <c r="F546" s="36"/>
      <c r="G546" s="36"/>
      <c r="H546" s="36"/>
      <c r="I546" s="36"/>
      <c r="J546" s="36"/>
      <c r="K546" s="36"/>
      <c r="L546" s="36"/>
      <c r="M546" s="36"/>
    </row>
    <row r="547" ht="13.2" spans="4:13">
      <c r="D547" s="36"/>
      <c r="E547" s="36"/>
      <c r="F547" s="36"/>
      <c r="G547" s="36"/>
      <c r="H547" s="36"/>
      <c r="I547" s="36"/>
      <c r="J547" s="36"/>
      <c r="K547" s="36"/>
      <c r="L547" s="36"/>
      <c r="M547" s="36"/>
    </row>
    <row r="548" ht="13.2" spans="4:13">
      <c r="D548" s="36"/>
      <c r="E548" s="36"/>
      <c r="F548" s="36"/>
      <c r="G548" s="36"/>
      <c r="H548" s="36"/>
      <c r="I548" s="36"/>
      <c r="J548" s="36"/>
      <c r="K548" s="36"/>
      <c r="L548" s="36"/>
      <c r="M548" s="36"/>
    </row>
    <row r="549" ht="13.2" spans="4:13">
      <c r="D549" s="36"/>
      <c r="E549" s="36"/>
      <c r="F549" s="36"/>
      <c r="G549" s="36"/>
      <c r="H549" s="36"/>
      <c r="I549" s="36"/>
      <c r="J549" s="36"/>
      <c r="K549" s="36"/>
      <c r="L549" s="36"/>
      <c r="M549" s="36"/>
    </row>
    <row r="550" ht="13.2" spans="4:13">
      <c r="D550" s="36"/>
      <c r="E550" s="36"/>
      <c r="F550" s="36"/>
      <c r="G550" s="36"/>
      <c r="H550" s="36"/>
      <c r="I550" s="36"/>
      <c r="J550" s="36"/>
      <c r="K550" s="36"/>
      <c r="L550" s="36"/>
      <c r="M550" s="36"/>
    </row>
    <row r="551" ht="13.2" spans="4:13">
      <c r="D551" s="36"/>
      <c r="E551" s="36"/>
      <c r="F551" s="36"/>
      <c r="G551" s="36"/>
      <c r="H551" s="36"/>
      <c r="I551" s="36"/>
      <c r="J551" s="36"/>
      <c r="K551" s="36"/>
      <c r="L551" s="36"/>
      <c r="M551" s="36"/>
    </row>
    <row r="552" ht="13.2" spans="4:13">
      <c r="D552" s="36"/>
      <c r="E552" s="36"/>
      <c r="F552" s="36"/>
      <c r="G552" s="36"/>
      <c r="H552" s="36"/>
      <c r="I552" s="36"/>
      <c r="J552" s="36"/>
      <c r="K552" s="36"/>
      <c r="L552" s="36"/>
      <c r="M552" s="36"/>
    </row>
    <row r="553" ht="13.2" spans="4:13">
      <c r="D553" s="36"/>
      <c r="E553" s="36"/>
      <c r="F553" s="36"/>
      <c r="G553" s="36"/>
      <c r="H553" s="36"/>
      <c r="I553" s="36"/>
      <c r="J553" s="36"/>
      <c r="K553" s="36"/>
      <c r="L553" s="36"/>
      <c r="M553" s="36"/>
    </row>
    <row r="554" ht="13.2" spans="4:13">
      <c r="D554" s="36"/>
      <c r="E554" s="36"/>
      <c r="F554" s="36"/>
      <c r="G554" s="36"/>
      <c r="H554" s="36"/>
      <c r="I554" s="36"/>
      <c r="J554" s="36"/>
      <c r="K554" s="36"/>
      <c r="L554" s="36"/>
      <c r="M554" s="36"/>
    </row>
    <row r="555" ht="13.2" spans="4:13">
      <c r="D555" s="36"/>
      <c r="E555" s="36"/>
      <c r="F555" s="36"/>
      <c r="G555" s="36"/>
      <c r="H555" s="36"/>
      <c r="I555" s="36"/>
      <c r="J555" s="36"/>
      <c r="K555" s="36"/>
      <c r="L555" s="36"/>
      <c r="M555" s="36"/>
    </row>
    <row r="556" ht="13.2" spans="4:13">
      <c r="D556" s="36"/>
      <c r="E556" s="36"/>
      <c r="F556" s="36"/>
      <c r="G556" s="36"/>
      <c r="H556" s="36"/>
      <c r="I556" s="36"/>
      <c r="J556" s="36"/>
      <c r="K556" s="36"/>
      <c r="L556" s="36"/>
      <c r="M556" s="36"/>
    </row>
    <row r="557" ht="13.2" spans="4:13">
      <c r="D557" s="36"/>
      <c r="E557" s="36"/>
      <c r="F557" s="36"/>
      <c r="G557" s="36"/>
      <c r="H557" s="36"/>
      <c r="I557" s="36"/>
      <c r="J557" s="36"/>
      <c r="K557" s="36"/>
      <c r="L557" s="36"/>
      <c r="M557" s="36"/>
    </row>
    <row r="558" ht="13.2" spans="4:13">
      <c r="D558" s="36"/>
      <c r="E558" s="36"/>
      <c r="F558" s="36"/>
      <c r="G558" s="36"/>
      <c r="H558" s="36"/>
      <c r="I558" s="36"/>
      <c r="J558" s="36"/>
      <c r="K558" s="36"/>
      <c r="L558" s="36"/>
      <c r="M558" s="36"/>
    </row>
    <row r="559" ht="13.2" spans="4:13">
      <c r="D559" s="36"/>
      <c r="E559" s="36"/>
      <c r="F559" s="36"/>
      <c r="G559" s="36"/>
      <c r="H559" s="36"/>
      <c r="I559" s="36"/>
      <c r="J559" s="36"/>
      <c r="K559" s="36"/>
      <c r="L559" s="36"/>
      <c r="M559" s="36"/>
    </row>
    <row r="560" ht="13.2" spans="4:13">
      <c r="D560" s="36"/>
      <c r="E560" s="36"/>
      <c r="F560" s="36"/>
      <c r="G560" s="36"/>
      <c r="H560" s="36"/>
      <c r="I560" s="36"/>
      <c r="J560" s="36"/>
      <c r="K560" s="36"/>
      <c r="L560" s="36"/>
      <c r="M560" s="36"/>
    </row>
    <row r="561" ht="13.2" spans="4:13">
      <c r="D561" s="36"/>
      <c r="E561" s="36"/>
      <c r="F561" s="36"/>
      <c r="G561" s="36"/>
      <c r="H561" s="36"/>
      <c r="I561" s="36"/>
      <c r="J561" s="36"/>
      <c r="K561" s="36"/>
      <c r="L561" s="36"/>
      <c r="M561" s="36"/>
    </row>
    <row r="562" ht="13.2" spans="4:13">
      <c r="D562" s="36"/>
      <c r="E562" s="36"/>
      <c r="F562" s="36"/>
      <c r="G562" s="36"/>
      <c r="H562" s="36"/>
      <c r="I562" s="36"/>
      <c r="J562" s="36"/>
      <c r="K562" s="36"/>
      <c r="L562" s="36"/>
      <c r="M562" s="36"/>
    </row>
    <row r="563" ht="13.2" spans="4:13">
      <c r="D563" s="36"/>
      <c r="E563" s="36"/>
      <c r="F563" s="36"/>
      <c r="G563" s="36"/>
      <c r="H563" s="36"/>
      <c r="I563" s="36"/>
      <c r="J563" s="36"/>
      <c r="K563" s="36"/>
      <c r="L563" s="36"/>
      <c r="M563" s="36"/>
    </row>
    <row r="564" ht="13.2" spans="4:13">
      <c r="D564" s="36"/>
      <c r="E564" s="36"/>
      <c r="F564" s="36"/>
      <c r="G564" s="36"/>
      <c r="H564" s="36"/>
      <c r="I564" s="36"/>
      <c r="J564" s="36"/>
      <c r="K564" s="36"/>
      <c r="L564" s="36"/>
      <c r="M564" s="36"/>
    </row>
    <row r="565" ht="13.2" spans="4:13">
      <c r="D565" s="36"/>
      <c r="E565" s="36"/>
      <c r="F565" s="36"/>
      <c r="G565" s="36"/>
      <c r="H565" s="36"/>
      <c r="I565" s="36"/>
      <c r="J565" s="36"/>
      <c r="K565" s="36"/>
      <c r="L565" s="36"/>
      <c r="M565" s="36"/>
    </row>
    <row r="566" ht="13.2" spans="4:13">
      <c r="D566" s="36"/>
      <c r="E566" s="36"/>
      <c r="F566" s="36"/>
      <c r="G566" s="36"/>
      <c r="H566" s="36"/>
      <c r="I566" s="36"/>
      <c r="J566" s="36"/>
      <c r="K566" s="36"/>
      <c r="L566" s="36"/>
      <c r="M566" s="36"/>
    </row>
    <row r="567" ht="13.2" spans="4:13">
      <c r="D567" s="36"/>
      <c r="E567" s="36"/>
      <c r="F567" s="36"/>
      <c r="G567" s="36"/>
      <c r="H567" s="36"/>
      <c r="I567" s="36"/>
      <c r="J567" s="36"/>
      <c r="K567" s="36"/>
      <c r="L567" s="36"/>
      <c r="M567" s="36"/>
    </row>
    <row r="568" ht="13.2" spans="4:13">
      <c r="D568" s="36"/>
      <c r="E568" s="36"/>
      <c r="F568" s="36"/>
      <c r="G568" s="36"/>
      <c r="H568" s="36"/>
      <c r="I568" s="36"/>
      <c r="J568" s="36"/>
      <c r="K568" s="36"/>
      <c r="L568" s="36"/>
      <c r="M568" s="36"/>
    </row>
    <row r="569" ht="13.2" spans="4:13">
      <c r="D569" s="36"/>
      <c r="E569" s="36"/>
      <c r="F569" s="36"/>
      <c r="G569" s="36"/>
      <c r="H569" s="36"/>
      <c r="I569" s="36"/>
      <c r="J569" s="36"/>
      <c r="K569" s="36"/>
      <c r="L569" s="36"/>
      <c r="M569" s="36"/>
    </row>
    <row r="570" ht="13.2" spans="4:13">
      <c r="D570" s="36"/>
      <c r="E570" s="36"/>
      <c r="F570" s="36"/>
      <c r="G570" s="36"/>
      <c r="H570" s="36"/>
      <c r="I570" s="36"/>
      <c r="J570" s="36"/>
      <c r="K570" s="36"/>
      <c r="L570" s="36"/>
      <c r="M570" s="36"/>
    </row>
    <row r="571" ht="13.2" spans="4:13">
      <c r="D571" s="36"/>
      <c r="E571" s="36"/>
      <c r="F571" s="36"/>
      <c r="G571" s="36"/>
      <c r="H571" s="36"/>
      <c r="I571" s="36"/>
      <c r="J571" s="36"/>
      <c r="K571" s="36"/>
      <c r="L571" s="36"/>
      <c r="M571" s="36"/>
    </row>
    <row r="572" ht="13.2" spans="4:13">
      <c r="D572" s="36"/>
      <c r="E572" s="36"/>
      <c r="F572" s="36"/>
      <c r="G572" s="36"/>
      <c r="H572" s="36"/>
      <c r="I572" s="36"/>
      <c r="J572" s="36"/>
      <c r="K572" s="36"/>
      <c r="L572" s="36"/>
      <c r="M572" s="36"/>
    </row>
    <row r="573" ht="13.2" spans="4:13">
      <c r="D573" s="36"/>
      <c r="E573" s="36"/>
      <c r="F573" s="36"/>
      <c r="G573" s="36"/>
      <c r="H573" s="36"/>
      <c r="I573" s="36"/>
      <c r="J573" s="36"/>
      <c r="K573" s="36"/>
      <c r="L573" s="36"/>
      <c r="M573" s="36"/>
    </row>
    <row r="574" ht="13.2" spans="4:13">
      <c r="D574" s="36"/>
      <c r="E574" s="36"/>
      <c r="F574" s="36"/>
      <c r="G574" s="36"/>
      <c r="H574" s="36"/>
      <c r="I574" s="36"/>
      <c r="J574" s="36"/>
      <c r="K574" s="36"/>
      <c r="L574" s="36"/>
      <c r="M574" s="36"/>
    </row>
    <row r="575" ht="13.2" spans="4:13">
      <c r="D575" s="36"/>
      <c r="E575" s="36"/>
      <c r="F575" s="36"/>
      <c r="G575" s="36"/>
      <c r="H575" s="36"/>
      <c r="I575" s="36"/>
      <c r="J575" s="36"/>
      <c r="K575" s="36"/>
      <c r="L575" s="36"/>
      <c r="M575" s="36"/>
    </row>
    <row r="576" ht="13.2" spans="4:13">
      <c r="D576" s="36"/>
      <c r="E576" s="36"/>
      <c r="F576" s="36"/>
      <c r="G576" s="36"/>
      <c r="H576" s="36"/>
      <c r="I576" s="36"/>
      <c r="J576" s="36"/>
      <c r="K576" s="36"/>
      <c r="L576" s="36"/>
      <c r="M576" s="36"/>
    </row>
    <row r="577" ht="13.2" spans="4:13">
      <c r="D577" s="36"/>
      <c r="E577" s="36"/>
      <c r="F577" s="36"/>
      <c r="G577" s="36"/>
      <c r="H577" s="36"/>
      <c r="I577" s="36"/>
      <c r="J577" s="36"/>
      <c r="K577" s="36"/>
      <c r="L577" s="36"/>
      <c r="M577" s="36"/>
    </row>
    <row r="578" ht="13.2" spans="4:13">
      <c r="D578" s="36"/>
      <c r="E578" s="36"/>
      <c r="F578" s="36"/>
      <c r="G578" s="36"/>
      <c r="H578" s="36"/>
      <c r="I578" s="36"/>
      <c r="J578" s="36"/>
      <c r="K578" s="36"/>
      <c r="L578" s="36"/>
      <c r="M578" s="36"/>
    </row>
    <row r="579" ht="13.2" spans="4:13">
      <c r="D579" s="36"/>
      <c r="E579" s="36"/>
      <c r="F579" s="36"/>
      <c r="G579" s="36"/>
      <c r="H579" s="36"/>
      <c r="I579" s="36"/>
      <c r="J579" s="36"/>
      <c r="K579" s="36"/>
      <c r="L579" s="36"/>
      <c r="M579" s="36"/>
    </row>
    <row r="580" ht="13.2" spans="4:13">
      <c r="D580" s="36"/>
      <c r="E580" s="36"/>
      <c r="F580" s="36"/>
      <c r="G580" s="36"/>
      <c r="H580" s="36"/>
      <c r="I580" s="36"/>
      <c r="J580" s="36"/>
      <c r="K580" s="36"/>
      <c r="L580" s="36"/>
      <c r="M580" s="36"/>
    </row>
    <row r="581" ht="13.2" spans="4:13">
      <c r="D581" s="36"/>
      <c r="E581" s="36"/>
      <c r="F581" s="36"/>
      <c r="G581" s="36"/>
      <c r="H581" s="36"/>
      <c r="I581" s="36"/>
      <c r="J581" s="36"/>
      <c r="K581" s="36"/>
      <c r="L581" s="36"/>
      <c r="M581" s="36"/>
    </row>
    <row r="582" ht="13.2" spans="4:13">
      <c r="D582" s="36"/>
      <c r="E582" s="36"/>
      <c r="F582" s="36"/>
      <c r="G582" s="36"/>
      <c r="H582" s="36"/>
      <c r="I582" s="36"/>
      <c r="J582" s="36"/>
      <c r="K582" s="36"/>
      <c r="L582" s="36"/>
      <c r="M582" s="36"/>
    </row>
    <row r="583" ht="13.2" spans="4:13">
      <c r="D583" s="36"/>
      <c r="E583" s="36"/>
      <c r="F583" s="36"/>
      <c r="G583" s="36"/>
      <c r="H583" s="36"/>
      <c r="I583" s="36"/>
      <c r="J583" s="36"/>
      <c r="K583" s="36"/>
      <c r="L583" s="36"/>
      <c r="M583" s="36"/>
    </row>
    <row r="584" ht="13.2" spans="4:13">
      <c r="D584" s="36"/>
      <c r="E584" s="36"/>
      <c r="F584" s="36"/>
      <c r="G584" s="36"/>
      <c r="H584" s="36"/>
      <c r="I584" s="36"/>
      <c r="J584" s="36"/>
      <c r="K584" s="36"/>
      <c r="L584" s="36"/>
      <c r="M584" s="36"/>
    </row>
    <row r="585" ht="13.2" spans="4:13">
      <c r="D585" s="36"/>
      <c r="E585" s="36"/>
      <c r="F585" s="36"/>
      <c r="G585" s="36"/>
      <c r="H585" s="36"/>
      <c r="I585" s="36"/>
      <c r="J585" s="36"/>
      <c r="K585" s="36"/>
      <c r="L585" s="36"/>
      <c r="M585" s="36"/>
    </row>
    <row r="586" ht="13.2" spans="4:13">
      <c r="D586" s="36"/>
      <c r="E586" s="36"/>
      <c r="F586" s="36"/>
      <c r="G586" s="36"/>
      <c r="H586" s="36"/>
      <c r="I586" s="36"/>
      <c r="J586" s="36"/>
      <c r="K586" s="36"/>
      <c r="L586" s="36"/>
      <c r="M586" s="36"/>
    </row>
    <row r="587" ht="13.2" spans="4:13">
      <c r="D587" s="36"/>
      <c r="E587" s="36"/>
      <c r="F587" s="36"/>
      <c r="G587" s="36"/>
      <c r="H587" s="36"/>
      <c r="I587" s="36"/>
      <c r="J587" s="36"/>
      <c r="K587" s="36"/>
      <c r="L587" s="36"/>
      <c r="M587" s="36"/>
    </row>
    <row r="588" ht="13.2" spans="4:13">
      <c r="D588" s="36"/>
      <c r="E588" s="36"/>
      <c r="F588" s="36"/>
      <c r="G588" s="36"/>
      <c r="H588" s="36"/>
      <c r="I588" s="36"/>
      <c r="J588" s="36"/>
      <c r="K588" s="36"/>
      <c r="L588" s="36"/>
      <c r="M588" s="36"/>
    </row>
    <row r="589" ht="13.2" spans="4:13">
      <c r="D589" s="36"/>
      <c r="E589" s="36"/>
      <c r="F589" s="36"/>
      <c r="G589" s="36"/>
      <c r="H589" s="36"/>
      <c r="I589" s="36"/>
      <c r="J589" s="36"/>
      <c r="K589" s="36"/>
      <c r="L589" s="36"/>
      <c r="M589" s="36"/>
    </row>
    <row r="590" ht="13.2" spans="4:13">
      <c r="D590" s="36"/>
      <c r="E590" s="36"/>
      <c r="F590" s="36"/>
      <c r="G590" s="36"/>
      <c r="H590" s="36"/>
      <c r="I590" s="36"/>
      <c r="J590" s="36"/>
      <c r="K590" s="36"/>
      <c r="L590" s="36"/>
      <c r="M590" s="36"/>
    </row>
    <row r="591" ht="13.2" spans="4:13">
      <c r="D591" s="36"/>
      <c r="E591" s="36"/>
      <c r="F591" s="36"/>
      <c r="G591" s="36"/>
      <c r="H591" s="36"/>
      <c r="I591" s="36"/>
      <c r="J591" s="36"/>
      <c r="K591" s="36"/>
      <c r="L591" s="36"/>
      <c r="M591" s="36"/>
    </row>
    <row r="592" ht="13.2" spans="4:13">
      <c r="D592" s="36"/>
      <c r="E592" s="36"/>
      <c r="F592" s="36"/>
      <c r="G592" s="36"/>
      <c r="H592" s="36"/>
      <c r="I592" s="36"/>
      <c r="J592" s="36"/>
      <c r="K592" s="36"/>
      <c r="L592" s="36"/>
      <c r="M592" s="36"/>
    </row>
    <row r="593" ht="13.2" spans="4:13">
      <c r="D593" s="36"/>
      <c r="E593" s="36"/>
      <c r="F593" s="36"/>
      <c r="G593" s="36"/>
      <c r="H593" s="36"/>
      <c r="I593" s="36"/>
      <c r="J593" s="36"/>
      <c r="K593" s="36"/>
      <c r="L593" s="36"/>
      <c r="M593" s="36"/>
    </row>
    <row r="594" ht="13.2" spans="4:13">
      <c r="D594" s="36"/>
      <c r="E594" s="36"/>
      <c r="F594" s="36"/>
      <c r="G594" s="36"/>
      <c r="H594" s="36"/>
      <c r="I594" s="36"/>
      <c r="J594" s="36"/>
      <c r="K594" s="36"/>
      <c r="L594" s="36"/>
      <c r="M594" s="36"/>
    </row>
    <row r="595" ht="13.2" spans="4:13">
      <c r="D595" s="36"/>
      <c r="E595" s="36"/>
      <c r="F595" s="36"/>
      <c r="G595" s="36"/>
      <c r="H595" s="36"/>
      <c r="I595" s="36"/>
      <c r="J595" s="36"/>
      <c r="K595" s="36"/>
      <c r="L595" s="36"/>
      <c r="M595" s="36"/>
    </row>
    <row r="596" ht="13.2" spans="4:13">
      <c r="D596" s="36"/>
      <c r="E596" s="36"/>
      <c r="F596" s="36"/>
      <c r="G596" s="36"/>
      <c r="H596" s="36"/>
      <c r="I596" s="36"/>
      <c r="J596" s="36"/>
      <c r="K596" s="36"/>
      <c r="L596" s="36"/>
      <c r="M596" s="36"/>
    </row>
    <row r="597" ht="13.2" spans="4:13">
      <c r="D597" s="36"/>
      <c r="E597" s="36"/>
      <c r="F597" s="36"/>
      <c r="G597" s="36"/>
      <c r="H597" s="36"/>
      <c r="I597" s="36"/>
      <c r="J597" s="36"/>
      <c r="K597" s="36"/>
      <c r="L597" s="36"/>
      <c r="M597" s="36"/>
    </row>
    <row r="598" ht="13.2" spans="4:13">
      <c r="D598" s="36"/>
      <c r="E598" s="36"/>
      <c r="F598" s="36"/>
      <c r="G598" s="36"/>
      <c r="H598" s="36"/>
      <c r="I598" s="36"/>
      <c r="J598" s="36"/>
      <c r="K598" s="36"/>
      <c r="L598" s="36"/>
      <c r="M598" s="36"/>
    </row>
    <row r="599" ht="13.2" spans="4:13">
      <c r="D599" s="36"/>
      <c r="E599" s="36"/>
      <c r="F599" s="36"/>
      <c r="G599" s="36"/>
      <c r="H599" s="36"/>
      <c r="I599" s="36"/>
      <c r="J599" s="36"/>
      <c r="K599" s="36"/>
      <c r="L599" s="36"/>
      <c r="M599" s="36"/>
    </row>
    <row r="600" ht="13.2" spans="4:13">
      <c r="D600" s="36"/>
      <c r="E600" s="36"/>
      <c r="F600" s="36"/>
      <c r="G600" s="36"/>
      <c r="H600" s="36"/>
      <c r="I600" s="36"/>
      <c r="J600" s="36"/>
      <c r="K600" s="36"/>
      <c r="L600" s="36"/>
      <c r="M600" s="36"/>
    </row>
    <row r="601" ht="13.2" spans="4:13">
      <c r="D601" s="36"/>
      <c r="E601" s="36"/>
      <c r="F601" s="36"/>
      <c r="G601" s="36"/>
      <c r="H601" s="36"/>
      <c r="I601" s="36"/>
      <c r="J601" s="36"/>
      <c r="K601" s="36"/>
      <c r="L601" s="36"/>
      <c r="M601" s="36"/>
    </row>
    <row r="602" ht="13.2" spans="4:13">
      <c r="D602" s="36"/>
      <c r="E602" s="36"/>
      <c r="F602" s="36"/>
      <c r="G602" s="36"/>
      <c r="H602" s="36"/>
      <c r="I602" s="36"/>
      <c r="J602" s="36"/>
      <c r="K602" s="36"/>
      <c r="L602" s="36"/>
      <c r="M602" s="36"/>
    </row>
    <row r="603" ht="13.2" spans="4:13">
      <c r="D603" s="36"/>
      <c r="E603" s="36"/>
      <c r="F603" s="36"/>
      <c r="G603" s="36"/>
      <c r="H603" s="36"/>
      <c r="I603" s="36"/>
      <c r="J603" s="36"/>
      <c r="K603" s="36"/>
      <c r="L603" s="36"/>
      <c r="M603" s="36"/>
    </row>
    <row r="604" ht="13.2" spans="4:13">
      <c r="D604" s="36"/>
      <c r="E604" s="36"/>
      <c r="F604" s="36"/>
      <c r="G604" s="36"/>
      <c r="H604" s="36"/>
      <c r="I604" s="36"/>
      <c r="J604" s="36"/>
      <c r="K604" s="36"/>
      <c r="L604" s="36"/>
      <c r="M604" s="36"/>
    </row>
    <row r="605" ht="13.2" spans="4:13">
      <c r="D605" s="36"/>
      <c r="E605" s="36"/>
      <c r="F605" s="36"/>
      <c r="G605" s="36"/>
      <c r="H605" s="36"/>
      <c r="I605" s="36"/>
      <c r="J605" s="36"/>
      <c r="K605" s="36"/>
      <c r="L605" s="36"/>
      <c r="M605" s="36"/>
    </row>
    <row r="606" ht="13.2" spans="4:13">
      <c r="D606" s="36"/>
      <c r="E606" s="36"/>
      <c r="F606" s="36"/>
      <c r="G606" s="36"/>
      <c r="H606" s="36"/>
      <c r="I606" s="36"/>
      <c r="J606" s="36"/>
      <c r="K606" s="36"/>
      <c r="L606" s="36"/>
      <c r="M606" s="36"/>
    </row>
    <row r="607" ht="13.2" spans="4:13">
      <c r="D607" s="36"/>
      <c r="E607" s="36"/>
      <c r="F607" s="36"/>
      <c r="G607" s="36"/>
      <c r="H607" s="36"/>
      <c r="I607" s="36"/>
      <c r="J607" s="36"/>
      <c r="K607" s="36"/>
      <c r="L607" s="36"/>
      <c r="M607" s="36"/>
    </row>
    <row r="608" ht="13.2" spans="4:13">
      <c r="D608" s="36"/>
      <c r="E608" s="36"/>
      <c r="F608" s="36"/>
      <c r="G608" s="36"/>
      <c r="H608" s="36"/>
      <c r="I608" s="36"/>
      <c r="J608" s="36"/>
      <c r="K608" s="36"/>
      <c r="L608" s="36"/>
      <c r="M608" s="36"/>
    </row>
    <row r="609" ht="13.2" spans="4:13">
      <c r="D609" s="36"/>
      <c r="E609" s="36"/>
      <c r="F609" s="36"/>
      <c r="G609" s="36"/>
      <c r="H609" s="36"/>
      <c r="I609" s="36"/>
      <c r="J609" s="36"/>
      <c r="K609" s="36"/>
      <c r="L609" s="36"/>
      <c r="M609" s="36"/>
    </row>
    <row r="610" ht="13.2" spans="4:13">
      <c r="D610" s="36"/>
      <c r="E610" s="36"/>
      <c r="F610" s="36"/>
      <c r="G610" s="36"/>
      <c r="H610" s="36"/>
      <c r="I610" s="36"/>
      <c r="J610" s="36"/>
      <c r="K610" s="36"/>
      <c r="L610" s="36"/>
      <c r="M610" s="36"/>
    </row>
    <row r="611" ht="13.2" spans="4:13">
      <c r="D611" s="36"/>
      <c r="E611" s="36"/>
      <c r="F611" s="36"/>
      <c r="G611" s="36"/>
      <c r="H611" s="36"/>
      <c r="I611" s="36"/>
      <c r="J611" s="36"/>
      <c r="K611" s="36"/>
      <c r="L611" s="36"/>
      <c r="M611" s="36"/>
    </row>
    <row r="612" ht="13.2" spans="4:13">
      <c r="D612" s="36"/>
      <c r="E612" s="36"/>
      <c r="F612" s="36"/>
      <c r="G612" s="36"/>
      <c r="H612" s="36"/>
      <c r="I612" s="36"/>
      <c r="J612" s="36"/>
      <c r="K612" s="36"/>
      <c r="L612" s="36"/>
      <c r="M612" s="36"/>
    </row>
    <row r="613" ht="13.2" spans="4:13">
      <c r="D613" s="36"/>
      <c r="E613" s="36"/>
      <c r="F613" s="36"/>
      <c r="G613" s="36"/>
      <c r="H613" s="36"/>
      <c r="I613" s="36"/>
      <c r="J613" s="36"/>
      <c r="K613" s="36"/>
      <c r="L613" s="36"/>
      <c r="M613" s="36"/>
    </row>
    <row r="614" ht="13.2" spans="4:13">
      <c r="D614" s="36"/>
      <c r="E614" s="36"/>
      <c r="F614" s="36"/>
      <c r="G614" s="36"/>
      <c r="H614" s="36"/>
      <c r="I614" s="36"/>
      <c r="J614" s="36"/>
      <c r="K614" s="36"/>
      <c r="L614" s="36"/>
      <c r="M614" s="36"/>
    </row>
    <row r="615" ht="13.2" spans="4:13">
      <c r="D615" s="36"/>
      <c r="E615" s="36"/>
      <c r="F615" s="36"/>
      <c r="G615" s="36"/>
      <c r="H615" s="36"/>
      <c r="I615" s="36"/>
      <c r="J615" s="36"/>
      <c r="K615" s="36"/>
      <c r="L615" s="36"/>
      <c r="M615" s="36"/>
    </row>
    <row r="616" ht="13.2" spans="4:13">
      <c r="D616" s="36"/>
      <c r="E616" s="36"/>
      <c r="F616" s="36"/>
      <c r="G616" s="36"/>
      <c r="H616" s="36"/>
      <c r="I616" s="36"/>
      <c r="J616" s="36"/>
      <c r="K616" s="36"/>
      <c r="L616" s="36"/>
      <c r="M616" s="36"/>
    </row>
    <row r="617" ht="13.2" spans="4:13">
      <c r="D617" s="36"/>
      <c r="E617" s="36"/>
      <c r="F617" s="36"/>
      <c r="G617" s="36"/>
      <c r="H617" s="36"/>
      <c r="I617" s="36"/>
      <c r="J617" s="36"/>
      <c r="K617" s="36"/>
      <c r="L617" s="36"/>
      <c r="M617" s="36"/>
    </row>
    <row r="618" ht="13.2" spans="4:13">
      <c r="D618" s="36"/>
      <c r="E618" s="36"/>
      <c r="F618" s="36"/>
      <c r="G618" s="36"/>
      <c r="H618" s="36"/>
      <c r="I618" s="36"/>
      <c r="J618" s="36"/>
      <c r="K618" s="36"/>
      <c r="L618" s="36"/>
      <c r="M618" s="36"/>
    </row>
    <row r="619" ht="13.2" spans="4:13">
      <c r="D619" s="36"/>
      <c r="E619" s="36"/>
      <c r="F619" s="36"/>
      <c r="G619" s="36"/>
      <c r="H619" s="36"/>
      <c r="I619" s="36"/>
      <c r="J619" s="36"/>
      <c r="K619" s="36"/>
      <c r="L619" s="36"/>
      <c r="M619" s="36"/>
    </row>
    <row r="620" ht="13.2" spans="4:13">
      <c r="D620" s="36"/>
      <c r="E620" s="36"/>
      <c r="F620" s="36"/>
      <c r="G620" s="36"/>
      <c r="H620" s="36"/>
      <c r="I620" s="36"/>
      <c r="J620" s="36"/>
      <c r="K620" s="36"/>
      <c r="L620" s="36"/>
      <c r="M620" s="36"/>
    </row>
    <row r="621" ht="13.2" spans="4:13">
      <c r="D621" s="36"/>
      <c r="E621" s="36"/>
      <c r="F621" s="36"/>
      <c r="G621" s="36"/>
      <c r="H621" s="36"/>
      <c r="I621" s="36"/>
      <c r="J621" s="36"/>
      <c r="K621" s="36"/>
      <c r="L621" s="36"/>
      <c r="M621" s="36"/>
    </row>
    <row r="622" ht="13.2" spans="4:13">
      <c r="D622" s="36"/>
      <c r="E622" s="36"/>
      <c r="F622" s="36"/>
      <c r="G622" s="36"/>
      <c r="H622" s="36"/>
      <c r="I622" s="36"/>
      <c r="J622" s="36"/>
      <c r="K622" s="36"/>
      <c r="L622" s="36"/>
      <c r="M622" s="36"/>
    </row>
    <row r="623" ht="13.2" spans="4:13">
      <c r="D623" s="36"/>
      <c r="E623" s="36"/>
      <c r="F623" s="36"/>
      <c r="G623" s="36"/>
      <c r="H623" s="36"/>
      <c r="I623" s="36"/>
      <c r="J623" s="36"/>
      <c r="K623" s="36"/>
      <c r="L623" s="36"/>
      <c r="M623" s="36"/>
    </row>
    <row r="624" ht="13.2" spans="4:13">
      <c r="D624" s="36"/>
      <c r="E624" s="36"/>
      <c r="F624" s="36"/>
      <c r="G624" s="36"/>
      <c r="H624" s="36"/>
      <c r="I624" s="36"/>
      <c r="J624" s="36"/>
      <c r="K624" s="36"/>
      <c r="L624" s="36"/>
      <c r="M624" s="36"/>
    </row>
    <row r="625" ht="13.2" spans="4:13">
      <c r="D625" s="36"/>
      <c r="E625" s="36"/>
      <c r="F625" s="36"/>
      <c r="G625" s="36"/>
      <c r="H625" s="36"/>
      <c r="I625" s="36"/>
      <c r="J625" s="36"/>
      <c r="K625" s="36"/>
      <c r="L625" s="36"/>
      <c r="M625" s="36"/>
    </row>
    <row r="626" ht="13.2" spans="4:13">
      <c r="D626" s="36"/>
      <c r="E626" s="36"/>
      <c r="F626" s="36"/>
      <c r="G626" s="36"/>
      <c r="H626" s="36"/>
      <c r="I626" s="36"/>
      <c r="J626" s="36"/>
      <c r="K626" s="36"/>
      <c r="L626" s="36"/>
      <c r="M626" s="36"/>
    </row>
    <row r="627" ht="13.2" spans="4:13">
      <c r="D627" s="36"/>
      <c r="E627" s="36"/>
      <c r="F627" s="36"/>
      <c r="G627" s="36"/>
      <c r="H627" s="36"/>
      <c r="I627" s="36"/>
      <c r="J627" s="36"/>
      <c r="K627" s="36"/>
      <c r="L627" s="36"/>
      <c r="M627" s="36"/>
    </row>
    <row r="628" ht="13.2" spans="4:13">
      <c r="D628" s="36"/>
      <c r="E628" s="36"/>
      <c r="F628" s="36"/>
      <c r="G628" s="36"/>
      <c r="H628" s="36"/>
      <c r="I628" s="36"/>
      <c r="J628" s="36"/>
      <c r="K628" s="36"/>
      <c r="L628" s="36"/>
      <c r="M628" s="36"/>
    </row>
    <row r="629" ht="13.2" spans="4:13">
      <c r="D629" s="36"/>
      <c r="E629" s="36"/>
      <c r="F629" s="36"/>
      <c r="G629" s="36"/>
      <c r="H629" s="36"/>
      <c r="I629" s="36"/>
      <c r="J629" s="36"/>
      <c r="K629" s="36"/>
      <c r="L629" s="36"/>
      <c r="M629" s="36"/>
    </row>
    <row r="630" ht="13.2" spans="4:13">
      <c r="D630" s="36"/>
      <c r="E630" s="36"/>
      <c r="F630" s="36"/>
      <c r="G630" s="36"/>
      <c r="H630" s="36"/>
      <c r="I630" s="36"/>
      <c r="J630" s="36"/>
      <c r="K630" s="36"/>
      <c r="L630" s="36"/>
      <c r="M630" s="36"/>
    </row>
    <row r="631" ht="13.2" spans="4:13">
      <c r="D631" s="36"/>
      <c r="E631" s="36"/>
      <c r="F631" s="36"/>
      <c r="G631" s="36"/>
      <c r="H631" s="36"/>
      <c r="I631" s="36"/>
      <c r="J631" s="36"/>
      <c r="K631" s="36"/>
      <c r="L631" s="36"/>
      <c r="M631" s="36"/>
    </row>
    <row r="632" ht="13.2" spans="4:13">
      <c r="D632" s="36"/>
      <c r="E632" s="36"/>
      <c r="F632" s="36"/>
      <c r="G632" s="36"/>
      <c r="H632" s="36"/>
      <c r="I632" s="36"/>
      <c r="J632" s="36"/>
      <c r="K632" s="36"/>
      <c r="L632" s="36"/>
      <c r="M632" s="36"/>
    </row>
    <row r="633" ht="13.2" spans="4:13">
      <c r="D633" s="36"/>
      <c r="E633" s="36"/>
      <c r="F633" s="36"/>
      <c r="G633" s="36"/>
      <c r="H633" s="36"/>
      <c r="I633" s="36"/>
      <c r="J633" s="36"/>
      <c r="K633" s="36"/>
      <c r="L633" s="36"/>
      <c r="M633" s="36"/>
    </row>
    <row r="634" ht="13.2" spans="4:13">
      <c r="D634" s="36"/>
      <c r="E634" s="36"/>
      <c r="F634" s="36"/>
      <c r="G634" s="36"/>
      <c r="H634" s="36"/>
      <c r="I634" s="36"/>
      <c r="J634" s="36"/>
      <c r="K634" s="36"/>
      <c r="L634" s="36"/>
      <c r="M634" s="36"/>
    </row>
    <row r="635" ht="13.2" spans="4:13">
      <c r="D635" s="36"/>
      <c r="E635" s="36"/>
      <c r="F635" s="36"/>
      <c r="G635" s="36"/>
      <c r="H635" s="36"/>
      <c r="I635" s="36"/>
      <c r="J635" s="36"/>
      <c r="K635" s="36"/>
      <c r="L635" s="36"/>
      <c r="M635" s="36"/>
    </row>
    <row r="636" ht="13.2" spans="4:13">
      <c r="D636" s="36"/>
      <c r="E636" s="36"/>
      <c r="F636" s="36"/>
      <c r="G636" s="36"/>
      <c r="H636" s="36"/>
      <c r="I636" s="36"/>
      <c r="J636" s="36"/>
      <c r="K636" s="36"/>
      <c r="L636" s="36"/>
      <c r="M636" s="36"/>
    </row>
    <row r="637" ht="13.2" spans="4:13">
      <c r="D637" s="36"/>
      <c r="E637" s="36"/>
      <c r="F637" s="36"/>
      <c r="G637" s="36"/>
      <c r="H637" s="36"/>
      <c r="I637" s="36"/>
      <c r="J637" s="36"/>
      <c r="K637" s="36"/>
      <c r="L637" s="36"/>
      <c r="M637" s="36"/>
    </row>
    <row r="638" ht="13.2" spans="4:13">
      <c r="D638" s="36"/>
      <c r="E638" s="36"/>
      <c r="F638" s="36"/>
      <c r="G638" s="36"/>
      <c r="H638" s="36"/>
      <c r="I638" s="36"/>
      <c r="J638" s="36"/>
      <c r="K638" s="36"/>
      <c r="L638" s="36"/>
      <c r="M638" s="36"/>
    </row>
    <row r="639" ht="13.2" spans="4:13">
      <c r="D639" s="36"/>
      <c r="E639" s="36"/>
      <c r="F639" s="36"/>
      <c r="G639" s="36"/>
      <c r="H639" s="36"/>
      <c r="I639" s="36"/>
      <c r="J639" s="36"/>
      <c r="K639" s="36"/>
      <c r="L639" s="36"/>
      <c r="M639" s="36"/>
    </row>
    <row r="640" ht="13.2" spans="4:13">
      <c r="D640" s="36"/>
      <c r="E640" s="36"/>
      <c r="F640" s="36"/>
      <c r="G640" s="36"/>
      <c r="H640" s="36"/>
      <c r="I640" s="36"/>
      <c r="J640" s="36"/>
      <c r="K640" s="36"/>
      <c r="L640" s="36"/>
      <c r="M640" s="36"/>
    </row>
    <row r="641" ht="13.2" spans="4:13">
      <c r="D641" s="36"/>
      <c r="E641" s="36"/>
      <c r="F641" s="36"/>
      <c r="G641" s="36"/>
      <c r="H641" s="36"/>
      <c r="I641" s="36"/>
      <c r="J641" s="36"/>
      <c r="K641" s="36"/>
      <c r="L641" s="36"/>
      <c r="M641" s="36"/>
    </row>
    <row r="642" ht="13.2" spans="4:13">
      <c r="D642" s="36"/>
      <c r="E642" s="36"/>
      <c r="F642" s="36"/>
      <c r="G642" s="36"/>
      <c r="H642" s="36"/>
      <c r="I642" s="36"/>
      <c r="J642" s="36"/>
      <c r="K642" s="36"/>
      <c r="L642" s="36"/>
      <c r="M642" s="36"/>
    </row>
    <row r="643" ht="13.2" spans="4:13">
      <c r="D643" s="36"/>
      <c r="E643" s="36"/>
      <c r="F643" s="36"/>
      <c r="G643" s="36"/>
      <c r="H643" s="36"/>
      <c r="I643" s="36"/>
      <c r="J643" s="36"/>
      <c r="K643" s="36"/>
      <c r="L643" s="36"/>
      <c r="M643" s="36"/>
    </row>
    <row r="644" ht="13.2" spans="4:13">
      <c r="D644" s="36"/>
      <c r="E644" s="36"/>
      <c r="F644" s="36"/>
      <c r="G644" s="36"/>
      <c r="H644" s="36"/>
      <c r="I644" s="36"/>
      <c r="J644" s="36"/>
      <c r="K644" s="36"/>
      <c r="L644" s="36"/>
      <c r="M644" s="36"/>
    </row>
    <row r="645" ht="13.2" spans="4:13">
      <c r="D645" s="36"/>
      <c r="E645" s="36"/>
      <c r="F645" s="36"/>
      <c r="G645" s="36"/>
      <c r="H645" s="36"/>
      <c r="I645" s="36"/>
      <c r="J645" s="36"/>
      <c r="K645" s="36"/>
      <c r="L645" s="36"/>
      <c r="M645" s="36"/>
    </row>
    <row r="646" ht="13.2" spans="4:13">
      <c r="D646" s="36"/>
      <c r="E646" s="36"/>
      <c r="F646" s="36"/>
      <c r="G646" s="36"/>
      <c r="H646" s="36"/>
      <c r="I646" s="36"/>
      <c r="J646" s="36"/>
      <c r="K646" s="36"/>
      <c r="L646" s="36"/>
      <c r="M646" s="36"/>
    </row>
    <row r="647" ht="13.2" spans="4:13">
      <c r="D647" s="36"/>
      <c r="E647" s="36"/>
      <c r="F647" s="36"/>
      <c r="G647" s="36"/>
      <c r="H647" s="36"/>
      <c r="I647" s="36"/>
      <c r="J647" s="36"/>
      <c r="K647" s="36"/>
      <c r="L647" s="36"/>
      <c r="M647" s="36"/>
    </row>
    <row r="648" ht="13.2" spans="4:13">
      <c r="D648" s="36"/>
      <c r="E648" s="36"/>
      <c r="F648" s="36"/>
      <c r="G648" s="36"/>
      <c r="H648" s="36"/>
      <c r="I648" s="36"/>
      <c r="J648" s="36"/>
      <c r="K648" s="36"/>
      <c r="L648" s="36"/>
      <c r="M648" s="36"/>
    </row>
    <row r="649" ht="13.2" spans="4:13">
      <c r="D649" s="36"/>
      <c r="E649" s="36"/>
      <c r="F649" s="36"/>
      <c r="G649" s="36"/>
      <c r="H649" s="36"/>
      <c r="I649" s="36"/>
      <c r="J649" s="36"/>
      <c r="K649" s="36"/>
      <c r="L649" s="36"/>
      <c r="M649" s="36"/>
    </row>
    <row r="650" ht="13.2" spans="4:13">
      <c r="D650" s="36"/>
      <c r="E650" s="36"/>
      <c r="F650" s="36"/>
      <c r="G650" s="36"/>
      <c r="H650" s="36"/>
      <c r="I650" s="36"/>
      <c r="J650" s="36"/>
      <c r="K650" s="36"/>
      <c r="L650" s="36"/>
      <c r="M650" s="36"/>
    </row>
    <row r="651" ht="13.2" spans="4:13">
      <c r="D651" s="36"/>
      <c r="E651" s="36"/>
      <c r="F651" s="36"/>
      <c r="G651" s="36"/>
      <c r="H651" s="36"/>
      <c r="I651" s="36"/>
      <c r="J651" s="36"/>
      <c r="K651" s="36"/>
      <c r="L651" s="36"/>
      <c r="M651" s="36"/>
    </row>
    <row r="652" ht="13.2" spans="4:13">
      <c r="D652" s="36"/>
      <c r="E652" s="36"/>
      <c r="F652" s="36"/>
      <c r="G652" s="36"/>
      <c r="H652" s="36"/>
      <c r="I652" s="36"/>
      <c r="J652" s="36"/>
      <c r="K652" s="36"/>
      <c r="L652" s="36"/>
      <c r="M652" s="36"/>
    </row>
    <row r="653" ht="13.2" spans="4:13">
      <c r="D653" s="36"/>
      <c r="E653" s="36"/>
      <c r="F653" s="36"/>
      <c r="G653" s="36"/>
      <c r="H653" s="36"/>
      <c r="I653" s="36"/>
      <c r="J653" s="36"/>
      <c r="K653" s="36"/>
      <c r="L653" s="36"/>
      <c r="M653" s="36"/>
    </row>
    <row r="654" ht="13.2" spans="4:13">
      <c r="D654" s="36"/>
      <c r="E654" s="36"/>
      <c r="F654" s="36"/>
      <c r="G654" s="36"/>
      <c r="H654" s="36"/>
      <c r="I654" s="36"/>
      <c r="J654" s="36"/>
      <c r="K654" s="36"/>
      <c r="L654" s="36"/>
      <c r="M654" s="36"/>
    </row>
    <row r="655" ht="13.2" spans="4:13">
      <c r="D655" s="36"/>
      <c r="E655" s="36"/>
      <c r="F655" s="36"/>
      <c r="G655" s="36"/>
      <c r="H655" s="36"/>
      <c r="I655" s="36"/>
      <c r="J655" s="36"/>
      <c r="K655" s="36"/>
      <c r="L655" s="36"/>
      <c r="M655" s="36"/>
    </row>
    <row r="656" ht="13.2" spans="4:13">
      <c r="D656" s="36"/>
      <c r="E656" s="36"/>
      <c r="F656" s="36"/>
      <c r="G656" s="36"/>
      <c r="H656" s="36"/>
      <c r="I656" s="36"/>
      <c r="J656" s="36"/>
      <c r="K656" s="36"/>
      <c r="L656" s="36"/>
      <c r="M656" s="36"/>
    </row>
    <row r="657" ht="13.2" spans="4:13">
      <c r="D657" s="36"/>
      <c r="E657" s="36"/>
      <c r="F657" s="36"/>
      <c r="G657" s="36"/>
      <c r="H657" s="36"/>
      <c r="I657" s="36"/>
      <c r="J657" s="36"/>
      <c r="K657" s="36"/>
      <c r="L657" s="36"/>
      <c r="M657" s="36"/>
    </row>
    <row r="658" ht="13.2" spans="4:13">
      <c r="D658" s="36"/>
      <c r="E658" s="36"/>
      <c r="F658" s="36"/>
      <c r="G658" s="36"/>
      <c r="H658" s="36"/>
      <c r="I658" s="36"/>
      <c r="J658" s="36"/>
      <c r="K658" s="36"/>
      <c r="L658" s="36"/>
      <c r="M658" s="36"/>
    </row>
    <row r="659" ht="13.2" spans="4:13">
      <c r="D659" s="36"/>
      <c r="E659" s="36"/>
      <c r="F659" s="36"/>
      <c r="G659" s="36"/>
      <c r="H659" s="36"/>
      <c r="I659" s="36"/>
      <c r="J659" s="36"/>
      <c r="K659" s="36"/>
      <c r="L659" s="36"/>
      <c r="M659" s="36"/>
    </row>
    <row r="660" ht="13.2" spans="4:13">
      <c r="D660" s="36"/>
      <c r="E660" s="36"/>
      <c r="F660" s="36"/>
      <c r="G660" s="36"/>
      <c r="H660" s="36"/>
      <c r="I660" s="36"/>
      <c r="J660" s="36"/>
      <c r="K660" s="36"/>
      <c r="L660" s="36"/>
      <c r="M660" s="36"/>
    </row>
    <row r="661" ht="13.2" spans="4:13">
      <c r="D661" s="36"/>
      <c r="E661" s="36"/>
      <c r="F661" s="36"/>
      <c r="G661" s="36"/>
      <c r="H661" s="36"/>
      <c r="I661" s="36"/>
      <c r="J661" s="36"/>
      <c r="K661" s="36"/>
      <c r="L661" s="36"/>
      <c r="M661" s="36"/>
    </row>
    <row r="662" ht="13.2" spans="4:13">
      <c r="D662" s="36"/>
      <c r="E662" s="36"/>
      <c r="F662" s="36"/>
      <c r="G662" s="36"/>
      <c r="H662" s="36"/>
      <c r="I662" s="36"/>
      <c r="J662" s="36"/>
      <c r="K662" s="36"/>
      <c r="L662" s="36"/>
      <c r="M662" s="36"/>
    </row>
    <row r="663" ht="13.2" spans="4:13">
      <c r="D663" s="36"/>
      <c r="E663" s="36"/>
      <c r="F663" s="36"/>
      <c r="G663" s="36"/>
      <c r="H663" s="36"/>
      <c r="I663" s="36"/>
      <c r="J663" s="36"/>
      <c r="K663" s="36"/>
      <c r="L663" s="36"/>
      <c r="M663" s="36"/>
    </row>
    <row r="664" ht="13.2" spans="4:13">
      <c r="D664" s="36"/>
      <c r="E664" s="36"/>
      <c r="F664" s="36"/>
      <c r="G664" s="36"/>
      <c r="H664" s="36"/>
      <c r="I664" s="36"/>
      <c r="J664" s="36"/>
      <c r="K664" s="36"/>
      <c r="L664" s="36"/>
      <c r="M664" s="36"/>
    </row>
    <row r="665" ht="13.2" spans="4:13">
      <c r="D665" s="36"/>
      <c r="E665" s="36"/>
      <c r="F665" s="36"/>
      <c r="G665" s="36"/>
      <c r="H665" s="36"/>
      <c r="I665" s="36"/>
      <c r="J665" s="36"/>
      <c r="K665" s="36"/>
      <c r="L665" s="36"/>
      <c r="M665" s="36"/>
    </row>
    <row r="666" ht="13.2" spans="4:13">
      <c r="D666" s="36"/>
      <c r="E666" s="36"/>
      <c r="F666" s="36"/>
      <c r="G666" s="36"/>
      <c r="H666" s="36"/>
      <c r="I666" s="36"/>
      <c r="J666" s="36"/>
      <c r="K666" s="36"/>
      <c r="L666" s="36"/>
      <c r="M666" s="36"/>
    </row>
    <row r="667" ht="13.2" spans="4:13">
      <c r="D667" s="36"/>
      <c r="E667" s="36"/>
      <c r="F667" s="36"/>
      <c r="G667" s="36"/>
      <c r="H667" s="36"/>
      <c r="I667" s="36"/>
      <c r="J667" s="36"/>
      <c r="K667" s="36"/>
      <c r="L667" s="36"/>
      <c r="M667" s="36"/>
    </row>
    <row r="668" ht="13.2" spans="4:13">
      <c r="D668" s="36"/>
      <c r="E668" s="36"/>
      <c r="F668" s="36"/>
      <c r="G668" s="36"/>
      <c r="H668" s="36"/>
      <c r="I668" s="36"/>
      <c r="J668" s="36"/>
      <c r="K668" s="36"/>
      <c r="L668" s="36"/>
      <c r="M668" s="36"/>
    </row>
    <row r="669" ht="13.2" spans="4:13">
      <c r="D669" s="36"/>
      <c r="E669" s="36"/>
      <c r="F669" s="36"/>
      <c r="G669" s="36"/>
      <c r="H669" s="36"/>
      <c r="I669" s="36"/>
      <c r="J669" s="36"/>
      <c r="K669" s="36"/>
      <c r="L669" s="36"/>
      <c r="M669" s="36"/>
    </row>
    <row r="670" ht="13.2" spans="4:13">
      <c r="D670" s="36"/>
      <c r="E670" s="36"/>
      <c r="F670" s="36"/>
      <c r="G670" s="36"/>
      <c r="H670" s="36"/>
      <c r="I670" s="36"/>
      <c r="J670" s="36"/>
      <c r="K670" s="36"/>
      <c r="L670" s="36"/>
      <c r="M670" s="36"/>
    </row>
    <row r="671" ht="13.2" spans="4:13">
      <c r="D671" s="36"/>
      <c r="E671" s="36"/>
      <c r="F671" s="36"/>
      <c r="G671" s="36"/>
      <c r="H671" s="36"/>
      <c r="I671" s="36"/>
      <c r="J671" s="36"/>
      <c r="K671" s="36"/>
      <c r="L671" s="36"/>
      <c r="M671" s="36"/>
    </row>
    <row r="672" ht="13.2" spans="4:13">
      <c r="D672" s="36"/>
      <c r="E672" s="36"/>
      <c r="F672" s="36"/>
      <c r="G672" s="36"/>
      <c r="H672" s="36"/>
      <c r="I672" s="36"/>
      <c r="J672" s="36"/>
      <c r="K672" s="36"/>
      <c r="L672" s="36"/>
      <c r="M672" s="36"/>
    </row>
    <row r="673" ht="13.2" spans="4:13">
      <c r="D673" s="36"/>
      <c r="E673" s="36"/>
      <c r="F673" s="36"/>
      <c r="G673" s="36"/>
      <c r="H673" s="36"/>
      <c r="I673" s="36"/>
      <c r="J673" s="36"/>
      <c r="K673" s="36"/>
      <c r="L673" s="36"/>
      <c r="M673" s="36"/>
    </row>
    <row r="674" ht="13.2" spans="4:13">
      <c r="D674" s="36"/>
      <c r="E674" s="36"/>
      <c r="F674" s="36"/>
      <c r="G674" s="36"/>
      <c r="H674" s="36"/>
      <c r="I674" s="36"/>
      <c r="J674" s="36"/>
      <c r="K674" s="36"/>
      <c r="L674" s="36"/>
      <c r="M674" s="36"/>
    </row>
    <row r="675" ht="13.2" spans="4:13">
      <c r="D675" s="36"/>
      <c r="E675" s="36"/>
      <c r="F675" s="36"/>
      <c r="G675" s="36"/>
      <c r="H675" s="36"/>
      <c r="I675" s="36"/>
      <c r="J675" s="36"/>
      <c r="K675" s="36"/>
      <c r="L675" s="36"/>
      <c r="M675" s="36"/>
    </row>
    <row r="676" ht="13.2" spans="4:13">
      <c r="D676" s="36"/>
      <c r="E676" s="36"/>
      <c r="F676" s="36"/>
      <c r="G676" s="36"/>
      <c r="H676" s="36"/>
      <c r="I676" s="36"/>
      <c r="J676" s="36"/>
      <c r="K676" s="36"/>
      <c r="L676" s="36"/>
      <c r="M676" s="36"/>
    </row>
    <row r="677" ht="13.2" spans="4:13">
      <c r="D677" s="36"/>
      <c r="E677" s="36"/>
      <c r="F677" s="36"/>
      <c r="G677" s="36"/>
      <c r="H677" s="36"/>
      <c r="I677" s="36"/>
      <c r="J677" s="36"/>
      <c r="K677" s="36"/>
      <c r="L677" s="36"/>
      <c r="M677" s="36"/>
    </row>
    <row r="678" ht="13.2" spans="4:13">
      <c r="D678" s="36"/>
      <c r="E678" s="36"/>
      <c r="F678" s="36"/>
      <c r="G678" s="36"/>
      <c r="H678" s="36"/>
      <c r="I678" s="36"/>
      <c r="J678" s="36"/>
      <c r="K678" s="36"/>
      <c r="L678" s="36"/>
      <c r="M678" s="36"/>
    </row>
    <row r="679" ht="13.2" spans="4:13">
      <c r="D679" s="36"/>
      <c r="E679" s="36"/>
      <c r="F679" s="36"/>
      <c r="G679" s="36"/>
      <c r="H679" s="36"/>
      <c r="I679" s="36"/>
      <c r="J679" s="36"/>
      <c r="K679" s="36"/>
      <c r="L679" s="36"/>
      <c r="M679" s="36"/>
    </row>
    <row r="680" ht="13.2" spans="4:13">
      <c r="D680" s="36"/>
      <c r="E680" s="36"/>
      <c r="F680" s="36"/>
      <c r="G680" s="36"/>
      <c r="H680" s="36"/>
      <c r="I680" s="36"/>
      <c r="J680" s="36"/>
      <c r="K680" s="36"/>
      <c r="L680" s="36"/>
      <c r="M680" s="36"/>
    </row>
    <row r="681" ht="13.2" spans="4:13">
      <c r="D681" s="36"/>
      <c r="E681" s="36"/>
      <c r="F681" s="36"/>
      <c r="G681" s="36"/>
      <c r="H681" s="36"/>
      <c r="I681" s="36"/>
      <c r="J681" s="36"/>
      <c r="K681" s="36"/>
      <c r="L681" s="36"/>
      <c r="M681" s="36"/>
    </row>
    <row r="682" ht="13.2" spans="4:13">
      <c r="D682" s="36"/>
      <c r="E682" s="36"/>
      <c r="F682" s="36"/>
      <c r="G682" s="36"/>
      <c r="H682" s="36"/>
      <c r="I682" s="36"/>
      <c r="J682" s="36"/>
      <c r="K682" s="36"/>
      <c r="L682" s="36"/>
      <c r="M682" s="36"/>
    </row>
    <row r="683" ht="13.2" spans="4:13">
      <c r="D683" s="36"/>
      <c r="E683" s="36"/>
      <c r="F683" s="36"/>
      <c r="G683" s="36"/>
      <c r="H683" s="36"/>
      <c r="I683" s="36"/>
      <c r="J683" s="36"/>
      <c r="K683" s="36"/>
      <c r="L683" s="36"/>
      <c r="M683" s="36"/>
    </row>
    <row r="684" ht="13.2" spans="4:13">
      <c r="D684" s="36"/>
      <c r="E684" s="36"/>
      <c r="F684" s="36"/>
      <c r="G684" s="36"/>
      <c r="H684" s="36"/>
      <c r="I684" s="36"/>
      <c r="J684" s="36"/>
      <c r="K684" s="36"/>
      <c r="L684" s="36"/>
      <c r="M684" s="36"/>
    </row>
    <row r="685" ht="13.2" spans="4:13">
      <c r="D685" s="36"/>
      <c r="E685" s="36"/>
      <c r="F685" s="36"/>
      <c r="G685" s="36"/>
      <c r="H685" s="36"/>
      <c r="I685" s="36"/>
      <c r="J685" s="36"/>
      <c r="K685" s="36"/>
      <c r="L685" s="36"/>
      <c r="M685" s="36"/>
    </row>
    <row r="686" ht="13.2" spans="4:13">
      <c r="D686" s="36"/>
      <c r="E686" s="36"/>
      <c r="F686" s="36"/>
      <c r="G686" s="36"/>
      <c r="H686" s="36"/>
      <c r="I686" s="36"/>
      <c r="J686" s="36"/>
      <c r="K686" s="36"/>
      <c r="L686" s="36"/>
      <c r="M686" s="36"/>
    </row>
    <row r="687" ht="13.2" spans="4:13">
      <c r="D687" s="36"/>
      <c r="E687" s="36"/>
      <c r="F687" s="36"/>
      <c r="G687" s="36"/>
      <c r="H687" s="36"/>
      <c r="I687" s="36"/>
      <c r="J687" s="36"/>
      <c r="K687" s="36"/>
      <c r="L687" s="36"/>
      <c r="M687" s="36"/>
    </row>
    <row r="688" ht="13.2" spans="4:13">
      <c r="D688" s="36"/>
      <c r="E688" s="36"/>
      <c r="F688" s="36"/>
      <c r="G688" s="36"/>
      <c r="H688" s="36"/>
      <c r="I688" s="36"/>
      <c r="J688" s="36"/>
      <c r="K688" s="36"/>
      <c r="L688" s="36"/>
      <c r="M688" s="36"/>
    </row>
    <row r="689" ht="13.2" spans="4:13">
      <c r="D689" s="36"/>
      <c r="E689" s="36"/>
      <c r="F689" s="36"/>
      <c r="G689" s="36"/>
      <c r="H689" s="36"/>
      <c r="I689" s="36"/>
      <c r="J689" s="36"/>
      <c r="K689" s="36"/>
      <c r="L689" s="36"/>
      <c r="M689" s="36"/>
    </row>
    <row r="690" ht="13.2" spans="4:13">
      <c r="D690" s="36"/>
      <c r="E690" s="36"/>
      <c r="F690" s="36"/>
      <c r="G690" s="36"/>
      <c r="H690" s="36"/>
      <c r="I690" s="36"/>
      <c r="J690" s="36"/>
      <c r="K690" s="36"/>
      <c r="L690" s="36"/>
      <c r="M690" s="36"/>
    </row>
    <row r="691" ht="13.2" spans="4:13">
      <c r="D691" s="36"/>
      <c r="E691" s="36"/>
      <c r="F691" s="36"/>
      <c r="G691" s="36"/>
      <c r="H691" s="36"/>
      <c r="I691" s="36"/>
      <c r="J691" s="36"/>
      <c r="K691" s="36"/>
      <c r="L691" s="36"/>
      <c r="M691" s="36"/>
    </row>
    <row r="692" ht="13.2" spans="4:13">
      <c r="D692" s="36"/>
      <c r="E692" s="36"/>
      <c r="F692" s="36"/>
      <c r="G692" s="36"/>
      <c r="H692" s="36"/>
      <c r="I692" s="36"/>
      <c r="J692" s="36"/>
      <c r="K692" s="36"/>
      <c r="L692" s="36"/>
      <c r="M692" s="36"/>
    </row>
    <row r="693" ht="13.2" spans="4:13">
      <c r="D693" s="36"/>
      <c r="E693" s="36"/>
      <c r="F693" s="36"/>
      <c r="G693" s="36"/>
      <c r="H693" s="36"/>
      <c r="I693" s="36"/>
      <c r="J693" s="36"/>
      <c r="K693" s="36"/>
      <c r="L693" s="36"/>
      <c r="M693" s="36"/>
    </row>
    <row r="694" ht="13.2" spans="4:13">
      <c r="D694" s="36"/>
      <c r="E694" s="36"/>
      <c r="F694" s="36"/>
      <c r="G694" s="36"/>
      <c r="H694" s="36"/>
      <c r="I694" s="36"/>
      <c r="J694" s="36"/>
      <c r="K694" s="36"/>
      <c r="L694" s="36"/>
      <c r="M694" s="36"/>
    </row>
    <row r="695" ht="13.2" spans="4:13">
      <c r="D695" s="36"/>
      <c r="E695" s="36"/>
      <c r="F695" s="36"/>
      <c r="G695" s="36"/>
      <c r="H695" s="36"/>
      <c r="I695" s="36"/>
      <c r="J695" s="36"/>
      <c r="K695" s="36"/>
      <c r="L695" s="36"/>
      <c r="M695" s="36"/>
    </row>
    <row r="696" ht="13.2" spans="4:13">
      <c r="D696" s="36"/>
      <c r="E696" s="36"/>
      <c r="F696" s="36"/>
      <c r="G696" s="36"/>
      <c r="H696" s="36"/>
      <c r="I696" s="36"/>
      <c r="J696" s="36"/>
      <c r="K696" s="36"/>
      <c r="L696" s="36"/>
      <c r="M696" s="36"/>
    </row>
    <row r="697" ht="13.2" spans="4:13">
      <c r="D697" s="36"/>
      <c r="E697" s="36"/>
      <c r="F697" s="36"/>
      <c r="G697" s="36"/>
      <c r="H697" s="36"/>
      <c r="I697" s="36"/>
      <c r="J697" s="36"/>
      <c r="K697" s="36"/>
      <c r="L697" s="36"/>
      <c r="M697" s="36"/>
    </row>
    <row r="698" ht="13.2" spans="4:13">
      <c r="D698" s="36"/>
      <c r="E698" s="36"/>
      <c r="F698" s="36"/>
      <c r="G698" s="36"/>
      <c r="H698" s="36"/>
      <c r="I698" s="36"/>
      <c r="J698" s="36"/>
      <c r="K698" s="36"/>
      <c r="L698" s="36"/>
      <c r="M698" s="36"/>
    </row>
    <row r="699" ht="13.2" spans="4:13">
      <c r="D699" s="36"/>
      <c r="E699" s="36"/>
      <c r="F699" s="36"/>
      <c r="G699" s="36"/>
      <c r="H699" s="36"/>
      <c r="I699" s="36"/>
      <c r="J699" s="36"/>
      <c r="K699" s="36"/>
      <c r="L699" s="36"/>
      <c r="M699" s="36"/>
    </row>
    <row r="700" ht="13.2" spans="4:13">
      <c r="D700" s="36"/>
      <c r="E700" s="36"/>
      <c r="F700" s="36"/>
      <c r="G700" s="36"/>
      <c r="H700" s="36"/>
      <c r="I700" s="36"/>
      <c r="J700" s="36"/>
      <c r="K700" s="36"/>
      <c r="L700" s="36"/>
      <c r="M700" s="36"/>
    </row>
    <row r="701" ht="13.2" spans="4:13">
      <c r="D701" s="36"/>
      <c r="E701" s="36"/>
      <c r="F701" s="36"/>
      <c r="G701" s="36"/>
      <c r="H701" s="36"/>
      <c r="I701" s="36"/>
      <c r="J701" s="36"/>
      <c r="K701" s="36"/>
      <c r="L701" s="36"/>
      <c r="M701" s="36"/>
    </row>
    <row r="702" ht="13.2" spans="4:13">
      <c r="D702" s="36"/>
      <c r="E702" s="36"/>
      <c r="F702" s="36"/>
      <c r="G702" s="36"/>
      <c r="H702" s="36"/>
      <c r="I702" s="36"/>
      <c r="J702" s="36"/>
      <c r="K702" s="36"/>
      <c r="L702" s="36"/>
      <c r="M702" s="36"/>
    </row>
    <row r="703" ht="13.2" spans="4:13">
      <c r="D703" s="36"/>
      <c r="E703" s="36"/>
      <c r="F703" s="36"/>
      <c r="G703" s="36"/>
      <c r="H703" s="36"/>
      <c r="I703" s="36"/>
      <c r="J703" s="36"/>
      <c r="K703" s="36"/>
      <c r="L703" s="36"/>
      <c r="M703" s="36"/>
    </row>
    <row r="704" ht="13.2" spans="4:13">
      <c r="D704" s="36"/>
      <c r="E704" s="36"/>
      <c r="F704" s="36"/>
      <c r="G704" s="36"/>
      <c r="H704" s="36"/>
      <c r="I704" s="36"/>
      <c r="J704" s="36"/>
      <c r="K704" s="36"/>
      <c r="L704" s="36"/>
      <c r="M704" s="36"/>
    </row>
    <row r="705" ht="13.2" spans="4:13">
      <c r="D705" s="36"/>
      <c r="E705" s="36"/>
      <c r="F705" s="36"/>
      <c r="G705" s="36"/>
      <c r="H705" s="36"/>
      <c r="I705" s="36"/>
      <c r="J705" s="36"/>
      <c r="K705" s="36"/>
      <c r="L705" s="36"/>
      <c r="M705" s="36"/>
    </row>
    <row r="706" ht="13.2" spans="4:13">
      <c r="D706" s="36"/>
      <c r="E706" s="36"/>
      <c r="F706" s="36"/>
      <c r="G706" s="36"/>
      <c r="H706" s="36"/>
      <c r="I706" s="36"/>
      <c r="J706" s="36"/>
      <c r="K706" s="36"/>
      <c r="L706" s="36"/>
      <c r="M706" s="36"/>
    </row>
    <row r="707" ht="13.2" spans="4:13">
      <c r="D707" s="36"/>
      <c r="E707" s="36"/>
      <c r="F707" s="36"/>
      <c r="G707" s="36"/>
      <c r="H707" s="36"/>
      <c r="I707" s="36"/>
      <c r="J707" s="36"/>
      <c r="K707" s="36"/>
      <c r="L707" s="36"/>
      <c r="M707" s="36"/>
    </row>
    <row r="708" ht="13.2" spans="4:13">
      <c r="D708" s="36"/>
      <c r="E708" s="36"/>
      <c r="F708" s="36"/>
      <c r="G708" s="36"/>
      <c r="H708" s="36"/>
      <c r="I708" s="36"/>
      <c r="J708" s="36"/>
      <c r="K708" s="36"/>
      <c r="L708" s="36"/>
      <c r="M708" s="36"/>
    </row>
    <row r="709" ht="13.2" spans="4:13">
      <c r="D709" s="36"/>
      <c r="E709" s="36"/>
      <c r="F709" s="36"/>
      <c r="G709" s="36"/>
      <c r="H709" s="36"/>
      <c r="I709" s="36"/>
      <c r="J709" s="36"/>
      <c r="K709" s="36"/>
      <c r="L709" s="36"/>
      <c r="M709" s="36"/>
    </row>
    <row r="710" ht="13.2" spans="4:13">
      <c r="D710" s="36"/>
      <c r="E710" s="36"/>
      <c r="F710" s="36"/>
      <c r="G710" s="36"/>
      <c r="H710" s="36"/>
      <c r="I710" s="36"/>
      <c r="J710" s="36"/>
      <c r="K710" s="36"/>
      <c r="L710" s="36"/>
      <c r="M710" s="36"/>
    </row>
    <row r="711" ht="13.2" spans="4:13">
      <c r="D711" s="36"/>
      <c r="E711" s="36"/>
      <c r="F711" s="36"/>
      <c r="G711" s="36"/>
      <c r="H711" s="36"/>
      <c r="I711" s="36"/>
      <c r="J711" s="36"/>
      <c r="K711" s="36"/>
      <c r="L711" s="36"/>
      <c r="M711" s="36"/>
    </row>
    <row r="712" ht="13.2" spans="4:13">
      <c r="D712" s="36"/>
      <c r="E712" s="36"/>
      <c r="F712" s="36"/>
      <c r="G712" s="36"/>
      <c r="H712" s="36"/>
      <c r="I712" s="36"/>
      <c r="J712" s="36"/>
      <c r="K712" s="36"/>
      <c r="L712" s="36"/>
      <c r="M712" s="36"/>
    </row>
    <row r="713" ht="13.2" spans="4:13">
      <c r="D713" s="36"/>
      <c r="E713" s="36"/>
      <c r="F713" s="36"/>
      <c r="G713" s="36"/>
      <c r="H713" s="36"/>
      <c r="I713" s="36"/>
      <c r="J713" s="36"/>
      <c r="K713" s="36"/>
      <c r="L713" s="36"/>
      <c r="M713" s="36"/>
    </row>
    <row r="714" ht="13.2" spans="4:13">
      <c r="D714" s="36"/>
      <c r="E714" s="36"/>
      <c r="F714" s="36"/>
      <c r="G714" s="36"/>
      <c r="H714" s="36"/>
      <c r="I714" s="36"/>
      <c r="J714" s="36"/>
      <c r="K714" s="36"/>
      <c r="L714" s="36"/>
      <c r="M714" s="36"/>
    </row>
    <row r="715" ht="13.2" spans="4:13">
      <c r="D715" s="36"/>
      <c r="E715" s="36"/>
      <c r="F715" s="36"/>
      <c r="G715" s="36"/>
      <c r="H715" s="36"/>
      <c r="I715" s="36"/>
      <c r="J715" s="36"/>
      <c r="K715" s="36"/>
      <c r="L715" s="36"/>
      <c r="M715" s="36"/>
    </row>
    <row r="716" ht="13.2" spans="4:13">
      <c r="D716" s="36"/>
      <c r="E716" s="36"/>
      <c r="F716" s="36"/>
      <c r="G716" s="36"/>
      <c r="H716" s="36"/>
      <c r="I716" s="36"/>
      <c r="J716" s="36"/>
      <c r="K716" s="36"/>
      <c r="L716" s="36"/>
      <c r="M716" s="36"/>
    </row>
    <row r="717" ht="13.2" spans="4:13">
      <c r="D717" s="36"/>
      <c r="E717" s="36"/>
      <c r="F717" s="36"/>
      <c r="G717" s="36"/>
      <c r="H717" s="36"/>
      <c r="I717" s="36"/>
      <c r="J717" s="36"/>
      <c r="K717" s="36"/>
      <c r="L717" s="36"/>
      <c r="M717" s="36"/>
    </row>
    <row r="718" ht="13.2" spans="4:13">
      <c r="D718" s="36"/>
      <c r="E718" s="36"/>
      <c r="F718" s="36"/>
      <c r="G718" s="36"/>
      <c r="H718" s="36"/>
      <c r="I718" s="36"/>
      <c r="J718" s="36"/>
      <c r="K718" s="36"/>
      <c r="L718" s="36"/>
      <c r="M718" s="36"/>
    </row>
    <row r="719" ht="13.2" spans="4:13">
      <c r="D719" s="36"/>
      <c r="E719" s="36"/>
      <c r="F719" s="36"/>
      <c r="G719" s="36"/>
      <c r="H719" s="36"/>
      <c r="I719" s="36"/>
      <c r="J719" s="36"/>
      <c r="K719" s="36"/>
      <c r="L719" s="36"/>
      <c r="M719" s="36"/>
    </row>
    <row r="720" ht="13.2" spans="4:13">
      <c r="D720" s="36"/>
      <c r="E720" s="36"/>
      <c r="F720" s="36"/>
      <c r="G720" s="36"/>
      <c r="H720" s="36"/>
      <c r="I720" s="36"/>
      <c r="J720" s="36"/>
      <c r="K720" s="36"/>
      <c r="L720" s="36"/>
      <c r="M720" s="36"/>
    </row>
    <row r="721" ht="13.2" spans="4:13">
      <c r="D721" s="36"/>
      <c r="E721" s="36"/>
      <c r="F721" s="36"/>
      <c r="G721" s="36"/>
      <c r="H721" s="36"/>
      <c r="I721" s="36"/>
      <c r="J721" s="36"/>
      <c r="K721" s="36"/>
      <c r="L721" s="36"/>
      <c r="M721" s="36"/>
    </row>
    <row r="722" ht="13.2" spans="4:13">
      <c r="D722" s="36"/>
      <c r="E722" s="36"/>
      <c r="F722" s="36"/>
      <c r="G722" s="36"/>
      <c r="H722" s="36"/>
      <c r="I722" s="36"/>
      <c r="J722" s="36"/>
      <c r="K722" s="36"/>
      <c r="L722" s="36"/>
      <c r="M722" s="36"/>
    </row>
    <row r="723" ht="13.2" spans="4:13">
      <c r="D723" s="36"/>
      <c r="E723" s="36"/>
      <c r="F723" s="36"/>
      <c r="G723" s="36"/>
      <c r="H723" s="36"/>
      <c r="I723" s="36"/>
      <c r="J723" s="36"/>
      <c r="K723" s="36"/>
      <c r="L723" s="36"/>
      <c r="M723" s="36"/>
    </row>
    <row r="724" ht="13.2" spans="4:13">
      <c r="D724" s="36"/>
      <c r="E724" s="36"/>
      <c r="F724" s="36"/>
      <c r="G724" s="36"/>
      <c r="H724" s="36"/>
      <c r="I724" s="36"/>
      <c r="J724" s="36"/>
      <c r="K724" s="36"/>
      <c r="L724" s="36"/>
      <c r="M724" s="36"/>
    </row>
    <row r="725" ht="13.2" spans="4:13">
      <c r="D725" s="36"/>
      <c r="E725" s="36"/>
      <c r="F725" s="36"/>
      <c r="G725" s="36"/>
      <c r="H725" s="36"/>
      <c r="I725" s="36"/>
      <c r="J725" s="36"/>
      <c r="K725" s="36"/>
      <c r="L725" s="36"/>
      <c r="M725" s="36"/>
    </row>
    <row r="726" ht="13.2" spans="4:13">
      <c r="D726" s="36"/>
      <c r="E726" s="36"/>
      <c r="F726" s="36"/>
      <c r="G726" s="36"/>
      <c r="H726" s="36"/>
      <c r="I726" s="36"/>
      <c r="J726" s="36"/>
      <c r="K726" s="36"/>
      <c r="L726" s="36"/>
      <c r="M726" s="36"/>
    </row>
    <row r="727" ht="13.2" spans="4:13">
      <c r="D727" s="36"/>
      <c r="E727" s="36"/>
      <c r="F727" s="36"/>
      <c r="G727" s="36"/>
      <c r="H727" s="36"/>
      <c r="I727" s="36"/>
      <c r="J727" s="36"/>
      <c r="K727" s="36"/>
      <c r="L727" s="36"/>
      <c r="M727" s="36"/>
    </row>
    <row r="728" ht="13.2" spans="4:13">
      <c r="D728" s="36"/>
      <c r="E728" s="36"/>
      <c r="F728" s="36"/>
      <c r="G728" s="36"/>
      <c r="H728" s="36"/>
      <c r="I728" s="36"/>
      <c r="J728" s="36"/>
      <c r="K728" s="36"/>
      <c r="L728" s="36"/>
      <c r="M728" s="36"/>
    </row>
    <row r="729" ht="13.2" spans="4:13">
      <c r="D729" s="36"/>
      <c r="E729" s="36"/>
      <c r="F729" s="36"/>
      <c r="G729" s="36"/>
      <c r="H729" s="36"/>
      <c r="I729" s="36"/>
      <c r="J729" s="36"/>
      <c r="K729" s="36"/>
      <c r="L729" s="36"/>
      <c r="M729" s="36"/>
    </row>
    <row r="730" ht="13.2" spans="4:13">
      <c r="D730" s="36"/>
      <c r="E730" s="36"/>
      <c r="F730" s="36"/>
      <c r="G730" s="36"/>
      <c r="H730" s="36"/>
      <c r="I730" s="36"/>
      <c r="J730" s="36"/>
      <c r="K730" s="36"/>
      <c r="L730" s="36"/>
      <c r="M730" s="36"/>
    </row>
    <row r="731" ht="13.2" spans="4:13">
      <c r="D731" s="36"/>
      <c r="E731" s="36"/>
      <c r="F731" s="36"/>
      <c r="G731" s="36"/>
      <c r="H731" s="36"/>
      <c r="I731" s="36"/>
      <c r="J731" s="36"/>
      <c r="K731" s="36"/>
      <c r="L731" s="36"/>
      <c r="M731" s="36"/>
    </row>
    <row r="732" ht="13.2" spans="4:13">
      <c r="D732" s="36"/>
      <c r="E732" s="36"/>
      <c r="F732" s="36"/>
      <c r="G732" s="36"/>
      <c r="H732" s="36"/>
      <c r="I732" s="36"/>
      <c r="J732" s="36"/>
      <c r="K732" s="36"/>
      <c r="L732" s="36"/>
      <c r="M732" s="36"/>
    </row>
    <row r="733" ht="13.2" spans="4:13">
      <c r="D733" s="36"/>
      <c r="E733" s="36"/>
      <c r="F733" s="36"/>
      <c r="G733" s="36"/>
      <c r="H733" s="36"/>
      <c r="I733" s="36"/>
      <c r="J733" s="36"/>
      <c r="K733" s="36"/>
      <c r="L733" s="36"/>
      <c r="M733" s="36"/>
    </row>
    <row r="734" ht="13.2" spans="4:13">
      <c r="D734" s="36"/>
      <c r="E734" s="36"/>
      <c r="F734" s="36"/>
      <c r="G734" s="36"/>
      <c r="H734" s="36"/>
      <c r="I734" s="36"/>
      <c r="J734" s="36"/>
      <c r="K734" s="36"/>
      <c r="L734" s="36"/>
      <c r="M734" s="36"/>
    </row>
    <row r="735" ht="13.2" spans="4:13">
      <c r="D735" s="36"/>
      <c r="E735" s="36"/>
      <c r="F735" s="36"/>
      <c r="G735" s="36"/>
      <c r="H735" s="36"/>
      <c r="I735" s="36"/>
      <c r="J735" s="36"/>
      <c r="K735" s="36"/>
      <c r="L735" s="36"/>
      <c r="M735" s="36"/>
    </row>
    <row r="736" ht="13.2" spans="4:13">
      <c r="D736" s="36"/>
      <c r="E736" s="36"/>
      <c r="F736" s="36"/>
      <c r="G736" s="36"/>
      <c r="H736" s="36"/>
      <c r="I736" s="36"/>
      <c r="J736" s="36"/>
      <c r="K736" s="36"/>
      <c r="L736" s="36"/>
      <c r="M736" s="36"/>
    </row>
    <row r="737" ht="13.2" spans="4:13">
      <c r="D737" s="36"/>
      <c r="E737" s="36"/>
      <c r="F737" s="36"/>
      <c r="G737" s="36"/>
      <c r="H737" s="36"/>
      <c r="I737" s="36"/>
      <c r="J737" s="36"/>
      <c r="K737" s="36"/>
      <c r="L737" s="36"/>
      <c r="M737" s="36"/>
    </row>
    <row r="738" ht="13.2" spans="4:13">
      <c r="D738" s="36"/>
      <c r="E738" s="36"/>
      <c r="F738" s="36"/>
      <c r="G738" s="36"/>
      <c r="H738" s="36"/>
      <c r="I738" s="36"/>
      <c r="J738" s="36"/>
      <c r="K738" s="36"/>
      <c r="L738" s="36"/>
      <c r="M738" s="36"/>
    </row>
    <row r="739" ht="13.2" spans="4:13">
      <c r="D739" s="36"/>
      <c r="E739" s="36"/>
      <c r="F739" s="36"/>
      <c r="G739" s="36"/>
      <c r="H739" s="36"/>
      <c r="I739" s="36"/>
      <c r="J739" s="36"/>
      <c r="K739" s="36"/>
      <c r="L739" s="36"/>
      <c r="M739" s="36"/>
    </row>
    <row r="740" ht="13.2" spans="4:13">
      <c r="D740" s="36"/>
      <c r="E740" s="36"/>
      <c r="F740" s="36"/>
      <c r="G740" s="36"/>
      <c r="H740" s="36"/>
      <c r="I740" s="36"/>
      <c r="J740" s="36"/>
      <c r="K740" s="36"/>
      <c r="L740" s="36"/>
      <c r="M740" s="36"/>
    </row>
    <row r="741" ht="13.2" spans="4:13">
      <c r="D741" s="36"/>
      <c r="E741" s="36"/>
      <c r="F741" s="36"/>
      <c r="G741" s="36"/>
      <c r="H741" s="36"/>
      <c r="I741" s="36"/>
      <c r="J741" s="36"/>
      <c r="K741" s="36"/>
      <c r="L741" s="36"/>
      <c r="M741" s="36"/>
    </row>
    <row r="742" ht="13.2" spans="4:13">
      <c r="D742" s="36"/>
      <c r="E742" s="36"/>
      <c r="F742" s="36"/>
      <c r="G742" s="36"/>
      <c r="H742" s="36"/>
      <c r="I742" s="36"/>
      <c r="J742" s="36"/>
      <c r="K742" s="36"/>
      <c r="L742" s="36"/>
      <c r="M742" s="36"/>
    </row>
    <row r="743" ht="13.2" spans="4:13">
      <c r="D743" s="36"/>
      <c r="E743" s="36"/>
      <c r="F743" s="36"/>
      <c r="G743" s="36"/>
      <c r="H743" s="36"/>
      <c r="I743" s="36"/>
      <c r="J743" s="36"/>
      <c r="K743" s="36"/>
      <c r="L743" s="36"/>
      <c r="M743" s="36"/>
    </row>
    <row r="744" ht="13.2" spans="4:13">
      <c r="D744" s="36"/>
      <c r="E744" s="36"/>
      <c r="F744" s="36"/>
      <c r="G744" s="36"/>
      <c r="H744" s="36"/>
      <c r="I744" s="36"/>
      <c r="J744" s="36"/>
      <c r="K744" s="36"/>
      <c r="L744" s="36"/>
      <c r="M744" s="36"/>
    </row>
    <row r="745" ht="13.2" spans="4:13">
      <c r="D745" s="36"/>
      <c r="E745" s="36"/>
      <c r="F745" s="36"/>
      <c r="G745" s="36"/>
      <c r="H745" s="36"/>
      <c r="I745" s="36"/>
      <c r="J745" s="36"/>
      <c r="K745" s="36"/>
      <c r="L745" s="36"/>
      <c r="M745" s="36"/>
    </row>
    <row r="746" ht="13.2" spans="4:13">
      <c r="D746" s="36"/>
      <c r="E746" s="36"/>
      <c r="F746" s="36"/>
      <c r="G746" s="36"/>
      <c r="H746" s="36"/>
      <c r="I746" s="36"/>
      <c r="J746" s="36"/>
      <c r="K746" s="36"/>
      <c r="L746" s="36"/>
      <c r="M746" s="36"/>
    </row>
    <row r="747" ht="13.2" spans="4:13">
      <c r="D747" s="36"/>
      <c r="E747" s="36"/>
      <c r="F747" s="36"/>
      <c r="G747" s="36"/>
      <c r="H747" s="36"/>
      <c r="I747" s="36"/>
      <c r="J747" s="36"/>
      <c r="K747" s="36"/>
      <c r="L747" s="36"/>
      <c r="M747" s="36"/>
    </row>
    <row r="748" ht="13.2" spans="4:13">
      <c r="D748" s="36"/>
      <c r="E748" s="36"/>
      <c r="F748" s="36"/>
      <c r="G748" s="36"/>
      <c r="H748" s="36"/>
      <c r="I748" s="36"/>
      <c r="J748" s="36"/>
      <c r="K748" s="36"/>
      <c r="L748" s="36"/>
      <c r="M748" s="36"/>
    </row>
    <row r="749" ht="13.2" spans="4:13">
      <c r="D749" s="36"/>
      <c r="E749" s="36"/>
      <c r="F749" s="36"/>
      <c r="G749" s="36"/>
      <c r="H749" s="36"/>
      <c r="I749" s="36"/>
      <c r="J749" s="36"/>
      <c r="K749" s="36"/>
      <c r="L749" s="36"/>
      <c r="M749" s="36"/>
    </row>
    <row r="750" ht="13.2" spans="4:13">
      <c r="D750" s="36"/>
      <c r="E750" s="36"/>
      <c r="F750" s="36"/>
      <c r="G750" s="36"/>
      <c r="H750" s="36"/>
      <c r="I750" s="36"/>
      <c r="J750" s="36"/>
      <c r="K750" s="36"/>
      <c r="L750" s="36"/>
      <c r="M750" s="36"/>
    </row>
    <row r="751" ht="13.2" spans="4:13">
      <c r="D751" s="36"/>
      <c r="E751" s="36"/>
      <c r="F751" s="36"/>
      <c r="G751" s="36"/>
      <c r="H751" s="36"/>
      <c r="I751" s="36"/>
      <c r="J751" s="36"/>
      <c r="K751" s="36"/>
      <c r="L751" s="36"/>
      <c r="M751" s="36"/>
    </row>
    <row r="752" ht="13.2" spans="4:13">
      <c r="D752" s="36"/>
      <c r="E752" s="36"/>
      <c r="F752" s="36"/>
      <c r="G752" s="36"/>
      <c r="H752" s="36"/>
      <c r="I752" s="36"/>
      <c r="J752" s="36"/>
      <c r="K752" s="36"/>
      <c r="L752" s="36"/>
      <c r="M752" s="36"/>
    </row>
    <row r="753" ht="13.2" spans="4:13">
      <c r="D753" s="36"/>
      <c r="E753" s="36"/>
      <c r="F753" s="36"/>
      <c r="G753" s="36"/>
      <c r="H753" s="36"/>
      <c r="I753" s="36"/>
      <c r="J753" s="36"/>
      <c r="K753" s="36"/>
      <c r="L753" s="36"/>
      <c r="M753" s="36"/>
    </row>
    <row r="754" ht="13.2" spans="4:13">
      <c r="D754" s="36"/>
      <c r="E754" s="36"/>
      <c r="F754" s="36"/>
      <c r="G754" s="36"/>
      <c r="H754" s="36"/>
      <c r="I754" s="36"/>
      <c r="J754" s="36"/>
      <c r="K754" s="36"/>
      <c r="L754" s="36"/>
      <c r="M754" s="36"/>
    </row>
    <row r="755" ht="13.2" spans="4:13">
      <c r="D755" s="36"/>
      <c r="E755" s="36"/>
      <c r="F755" s="36"/>
      <c r="G755" s="36"/>
      <c r="H755" s="36"/>
      <c r="I755" s="36"/>
      <c r="J755" s="36"/>
      <c r="K755" s="36"/>
      <c r="L755" s="36"/>
      <c r="M755" s="36"/>
    </row>
    <row r="756" ht="13.2" spans="4:13">
      <c r="D756" s="36"/>
      <c r="E756" s="36"/>
      <c r="F756" s="36"/>
      <c r="G756" s="36"/>
      <c r="H756" s="36"/>
      <c r="I756" s="36"/>
      <c r="J756" s="36"/>
      <c r="K756" s="36"/>
      <c r="L756" s="36"/>
      <c r="M756" s="36"/>
    </row>
    <row r="757" ht="13.2" spans="4:13">
      <c r="D757" s="36"/>
      <c r="E757" s="36"/>
      <c r="F757" s="36"/>
      <c r="G757" s="36"/>
      <c r="H757" s="36"/>
      <c r="I757" s="36"/>
      <c r="J757" s="36"/>
      <c r="K757" s="36"/>
      <c r="L757" s="36"/>
      <c r="M757" s="36"/>
    </row>
    <row r="758" ht="13.2" spans="4:13">
      <c r="D758" s="36"/>
      <c r="E758" s="36"/>
      <c r="F758" s="36"/>
      <c r="G758" s="36"/>
      <c r="H758" s="36"/>
      <c r="I758" s="36"/>
      <c r="J758" s="36"/>
      <c r="K758" s="36"/>
      <c r="L758" s="36"/>
      <c r="M758" s="36"/>
    </row>
    <row r="759" ht="13.2" spans="4:13">
      <c r="D759" s="36"/>
      <c r="E759" s="36"/>
      <c r="F759" s="36"/>
      <c r="G759" s="36"/>
      <c r="H759" s="36"/>
      <c r="I759" s="36"/>
      <c r="J759" s="36"/>
      <c r="K759" s="36"/>
      <c r="L759" s="36"/>
      <c r="M759" s="36"/>
    </row>
    <row r="760" ht="13.2" spans="4:13">
      <c r="D760" s="36"/>
      <c r="E760" s="36"/>
      <c r="F760" s="36"/>
      <c r="G760" s="36"/>
      <c r="H760" s="36"/>
      <c r="I760" s="36"/>
      <c r="J760" s="36"/>
      <c r="K760" s="36"/>
      <c r="L760" s="36"/>
      <c r="M760" s="36"/>
    </row>
    <row r="761" ht="13.2" spans="4:13">
      <c r="D761" s="36"/>
      <c r="E761" s="36"/>
      <c r="F761" s="36"/>
      <c r="G761" s="36"/>
      <c r="H761" s="36"/>
      <c r="I761" s="36"/>
      <c r="J761" s="36"/>
      <c r="K761" s="36"/>
      <c r="L761" s="36"/>
      <c r="M761" s="36"/>
    </row>
    <row r="762" ht="13.2" spans="4:13">
      <c r="D762" s="36"/>
      <c r="E762" s="36"/>
      <c r="F762" s="36"/>
      <c r="G762" s="36"/>
      <c r="H762" s="36"/>
      <c r="I762" s="36"/>
      <c r="J762" s="36"/>
      <c r="K762" s="36"/>
      <c r="L762" s="36"/>
      <c r="M762" s="36"/>
    </row>
    <row r="763" ht="13.2" spans="4:13">
      <c r="D763" s="36"/>
      <c r="E763" s="36"/>
      <c r="F763" s="36"/>
      <c r="G763" s="36"/>
      <c r="H763" s="36"/>
      <c r="I763" s="36"/>
      <c r="J763" s="36"/>
      <c r="K763" s="36"/>
      <c r="L763" s="36"/>
      <c r="M763" s="36"/>
    </row>
    <row r="764" ht="13.2" spans="4:13">
      <c r="D764" s="36"/>
      <c r="E764" s="36"/>
      <c r="F764" s="36"/>
      <c r="G764" s="36"/>
      <c r="H764" s="36"/>
      <c r="I764" s="36"/>
      <c r="J764" s="36"/>
      <c r="K764" s="36"/>
      <c r="L764" s="36"/>
      <c r="M764" s="36"/>
    </row>
    <row r="765" ht="13.2" spans="4:13">
      <c r="D765" s="36"/>
      <c r="E765" s="36"/>
      <c r="F765" s="36"/>
      <c r="G765" s="36"/>
      <c r="H765" s="36"/>
      <c r="I765" s="36"/>
      <c r="J765" s="36"/>
      <c r="K765" s="36"/>
      <c r="L765" s="36"/>
      <c r="M765" s="36"/>
    </row>
    <row r="766" ht="13.2" spans="4:13">
      <c r="D766" s="36"/>
      <c r="E766" s="36"/>
      <c r="F766" s="36"/>
      <c r="G766" s="36"/>
      <c r="H766" s="36"/>
      <c r="I766" s="36"/>
      <c r="J766" s="36"/>
      <c r="K766" s="36"/>
      <c r="L766" s="36"/>
      <c r="M766" s="36"/>
    </row>
    <row r="767" ht="13.2" spans="4:13">
      <c r="D767" s="36"/>
      <c r="E767" s="36"/>
      <c r="F767" s="36"/>
      <c r="G767" s="36"/>
      <c r="H767" s="36"/>
      <c r="I767" s="36"/>
      <c r="J767" s="36"/>
      <c r="K767" s="36"/>
      <c r="L767" s="36"/>
      <c r="M767" s="36"/>
    </row>
    <row r="768" ht="13.2" spans="4:13">
      <c r="D768" s="36"/>
      <c r="E768" s="36"/>
      <c r="F768" s="36"/>
      <c r="G768" s="36"/>
      <c r="H768" s="36"/>
      <c r="I768" s="36"/>
      <c r="J768" s="36"/>
      <c r="K768" s="36"/>
      <c r="L768" s="36"/>
      <c r="M768" s="36"/>
    </row>
    <row r="769" ht="13.2" spans="4:13">
      <c r="D769" s="36"/>
      <c r="E769" s="36"/>
      <c r="F769" s="36"/>
      <c r="G769" s="36"/>
      <c r="H769" s="36"/>
      <c r="I769" s="36"/>
      <c r="J769" s="36"/>
      <c r="K769" s="36"/>
      <c r="L769" s="36"/>
      <c r="M769" s="36"/>
    </row>
    <row r="770" ht="13.2" spans="4:13">
      <c r="D770" s="36"/>
      <c r="E770" s="36"/>
      <c r="F770" s="36"/>
      <c r="G770" s="36"/>
      <c r="H770" s="36"/>
      <c r="I770" s="36"/>
      <c r="J770" s="36"/>
      <c r="K770" s="36"/>
      <c r="L770" s="36"/>
      <c r="M770" s="36"/>
    </row>
    <row r="771" ht="13.2" spans="4:13">
      <c r="D771" s="36"/>
      <c r="E771" s="36"/>
      <c r="F771" s="36"/>
      <c r="G771" s="36"/>
      <c r="H771" s="36"/>
      <c r="I771" s="36"/>
      <c r="J771" s="36"/>
      <c r="K771" s="36"/>
      <c r="L771" s="36"/>
      <c r="M771" s="36"/>
    </row>
    <row r="772" ht="13.2" spans="4:13">
      <c r="D772" s="36"/>
      <c r="E772" s="36"/>
      <c r="F772" s="36"/>
      <c r="G772" s="36"/>
      <c r="H772" s="36"/>
      <c r="I772" s="36"/>
      <c r="J772" s="36"/>
      <c r="K772" s="36"/>
      <c r="L772" s="36"/>
      <c r="M772" s="36"/>
    </row>
    <row r="773" ht="13.2" spans="4:13">
      <c r="D773" s="36"/>
      <c r="E773" s="36"/>
      <c r="F773" s="36"/>
      <c r="G773" s="36"/>
      <c r="H773" s="36"/>
      <c r="I773" s="36"/>
      <c r="J773" s="36"/>
      <c r="K773" s="36"/>
      <c r="L773" s="36"/>
      <c r="M773" s="36"/>
    </row>
    <row r="774" ht="13.2" spans="4:13">
      <c r="D774" s="36"/>
      <c r="E774" s="36"/>
      <c r="F774" s="36"/>
      <c r="G774" s="36"/>
      <c r="H774" s="36"/>
      <c r="I774" s="36"/>
      <c r="J774" s="36"/>
      <c r="K774" s="36"/>
      <c r="L774" s="36"/>
      <c r="M774" s="36"/>
    </row>
    <row r="775" ht="13.2" spans="4:13">
      <c r="D775" s="36"/>
      <c r="E775" s="36"/>
      <c r="F775" s="36"/>
      <c r="G775" s="36"/>
      <c r="H775" s="36"/>
      <c r="I775" s="36"/>
      <c r="J775" s="36"/>
      <c r="K775" s="36"/>
      <c r="L775" s="36"/>
      <c r="M775" s="36"/>
    </row>
    <row r="776" ht="13.2" spans="4:13">
      <c r="D776" s="36"/>
      <c r="E776" s="36"/>
      <c r="F776" s="36"/>
      <c r="G776" s="36"/>
      <c r="H776" s="36"/>
      <c r="I776" s="36"/>
      <c r="J776" s="36"/>
      <c r="K776" s="36"/>
      <c r="L776" s="36"/>
      <c r="M776" s="36"/>
    </row>
    <row r="777" ht="13.2" spans="4:13">
      <c r="D777" s="36"/>
      <c r="E777" s="36"/>
      <c r="F777" s="36"/>
      <c r="G777" s="36"/>
      <c r="H777" s="36"/>
      <c r="I777" s="36"/>
      <c r="J777" s="36"/>
      <c r="K777" s="36"/>
      <c r="L777" s="36"/>
      <c r="M777" s="36"/>
    </row>
    <row r="778" ht="13.2" spans="4:13">
      <c r="D778" s="36"/>
      <c r="E778" s="36"/>
      <c r="F778" s="36"/>
      <c r="G778" s="36"/>
      <c r="H778" s="36"/>
      <c r="I778" s="36"/>
      <c r="J778" s="36"/>
      <c r="K778" s="36"/>
      <c r="L778" s="36"/>
      <c r="M778" s="36"/>
    </row>
    <row r="779" ht="13.2" spans="4:13">
      <c r="D779" s="36"/>
      <c r="E779" s="36"/>
      <c r="F779" s="36"/>
      <c r="G779" s="36"/>
      <c r="H779" s="36"/>
      <c r="I779" s="36"/>
      <c r="J779" s="36"/>
      <c r="K779" s="36"/>
      <c r="L779" s="36"/>
      <c r="M779" s="36"/>
    </row>
    <row r="780" ht="13.2" spans="4:13">
      <c r="D780" s="36"/>
      <c r="E780" s="36"/>
      <c r="F780" s="36"/>
      <c r="G780" s="36"/>
      <c r="H780" s="36"/>
      <c r="I780" s="36"/>
      <c r="J780" s="36"/>
      <c r="K780" s="36"/>
      <c r="L780" s="36"/>
      <c r="M780" s="36"/>
    </row>
    <row r="781" ht="13.2" spans="4:13">
      <c r="D781" s="36"/>
      <c r="E781" s="36"/>
      <c r="F781" s="36"/>
      <c r="G781" s="36"/>
      <c r="H781" s="36"/>
      <c r="I781" s="36"/>
      <c r="J781" s="36"/>
      <c r="K781" s="36"/>
      <c r="L781" s="36"/>
      <c r="M781" s="36"/>
    </row>
    <row r="782" ht="13.2" spans="4:13">
      <c r="D782" s="36"/>
      <c r="E782" s="36"/>
      <c r="F782" s="36"/>
      <c r="G782" s="36"/>
      <c r="H782" s="36"/>
      <c r="I782" s="36"/>
      <c r="J782" s="36"/>
      <c r="K782" s="36"/>
      <c r="L782" s="36"/>
      <c r="M782" s="36"/>
    </row>
    <row r="783" ht="13.2" spans="4:13">
      <c r="D783" s="36"/>
      <c r="E783" s="36"/>
      <c r="F783" s="36"/>
      <c r="G783" s="36"/>
      <c r="H783" s="36"/>
      <c r="I783" s="36"/>
      <c r="J783" s="36"/>
      <c r="K783" s="36"/>
      <c r="L783" s="36"/>
      <c r="M783" s="36"/>
    </row>
    <row r="784" ht="13.2" spans="4:13">
      <c r="D784" s="36"/>
      <c r="E784" s="36"/>
      <c r="F784" s="36"/>
      <c r="G784" s="36"/>
      <c r="H784" s="36"/>
      <c r="I784" s="36"/>
      <c r="J784" s="36"/>
      <c r="K784" s="36"/>
      <c r="L784" s="36"/>
      <c r="M784" s="36"/>
    </row>
    <row r="785" ht="13.2" spans="4:13">
      <c r="D785" s="36"/>
      <c r="E785" s="36"/>
      <c r="F785" s="36"/>
      <c r="G785" s="36"/>
      <c r="H785" s="36"/>
      <c r="I785" s="36"/>
      <c r="J785" s="36"/>
      <c r="K785" s="36"/>
      <c r="L785" s="36"/>
      <c r="M785" s="36"/>
    </row>
    <row r="786" ht="13.2" spans="4:13">
      <c r="D786" s="36"/>
      <c r="E786" s="36"/>
      <c r="F786" s="36"/>
      <c r="G786" s="36"/>
      <c r="H786" s="36"/>
      <c r="I786" s="36"/>
      <c r="J786" s="36"/>
      <c r="K786" s="36"/>
      <c r="L786" s="36"/>
      <c r="M786" s="36"/>
    </row>
    <row r="787" ht="13.2" spans="4:13">
      <c r="D787" s="36"/>
      <c r="E787" s="36"/>
      <c r="F787" s="36"/>
      <c r="G787" s="36"/>
      <c r="H787" s="36"/>
      <c r="I787" s="36"/>
      <c r="J787" s="36"/>
      <c r="K787" s="36"/>
      <c r="L787" s="36"/>
      <c r="M787" s="36"/>
    </row>
    <row r="788" ht="13.2" spans="4:13">
      <c r="D788" s="36"/>
      <c r="E788" s="36"/>
      <c r="F788" s="36"/>
      <c r="G788" s="36"/>
      <c r="H788" s="36"/>
      <c r="I788" s="36"/>
      <c r="J788" s="36"/>
      <c r="K788" s="36"/>
      <c r="L788" s="36"/>
      <c r="M788" s="36"/>
    </row>
    <row r="789" ht="13.2" spans="4:13">
      <c r="D789" s="36"/>
      <c r="E789" s="36"/>
      <c r="F789" s="36"/>
      <c r="G789" s="36"/>
      <c r="H789" s="36"/>
      <c r="I789" s="36"/>
      <c r="J789" s="36"/>
      <c r="K789" s="36"/>
      <c r="L789" s="36"/>
      <c r="M789" s="36"/>
    </row>
    <row r="790" ht="13.2" spans="4:13">
      <c r="D790" s="36"/>
      <c r="E790" s="36"/>
      <c r="F790" s="36"/>
      <c r="G790" s="36"/>
      <c r="H790" s="36"/>
      <c r="I790" s="36"/>
      <c r="J790" s="36"/>
      <c r="K790" s="36"/>
      <c r="L790" s="36"/>
      <c r="M790" s="36"/>
    </row>
    <row r="791" ht="13.2" spans="4:13">
      <c r="D791" s="36"/>
      <c r="E791" s="36"/>
      <c r="F791" s="36"/>
      <c r="G791" s="36"/>
      <c r="H791" s="36"/>
      <c r="I791" s="36"/>
      <c r="J791" s="36"/>
      <c r="K791" s="36"/>
      <c r="L791" s="36"/>
      <c r="M791" s="36"/>
    </row>
    <row r="792" ht="13.2" spans="4:13">
      <c r="D792" s="36"/>
      <c r="E792" s="36"/>
      <c r="F792" s="36"/>
      <c r="G792" s="36"/>
      <c r="H792" s="36"/>
      <c r="I792" s="36"/>
      <c r="J792" s="36"/>
      <c r="K792" s="36"/>
      <c r="L792" s="36"/>
      <c r="M792" s="36"/>
    </row>
    <row r="793" ht="13.2" spans="4:13">
      <c r="D793" s="36"/>
      <c r="E793" s="36"/>
      <c r="F793" s="36"/>
      <c r="G793" s="36"/>
      <c r="H793" s="36"/>
      <c r="I793" s="36"/>
      <c r="J793" s="36"/>
      <c r="K793" s="36"/>
      <c r="L793" s="36"/>
      <c r="M793" s="36"/>
    </row>
    <row r="794" ht="13.2" spans="4:13">
      <c r="D794" s="36"/>
      <c r="E794" s="36"/>
      <c r="F794" s="36"/>
      <c r="G794" s="36"/>
      <c r="H794" s="36"/>
      <c r="I794" s="36"/>
      <c r="J794" s="36"/>
      <c r="K794" s="36"/>
      <c r="L794" s="36"/>
      <c r="M794" s="36"/>
    </row>
    <row r="795" ht="13.2" spans="4:13">
      <c r="D795" s="36"/>
      <c r="E795" s="36"/>
      <c r="F795" s="36"/>
      <c r="G795" s="36"/>
      <c r="H795" s="36"/>
      <c r="I795" s="36"/>
      <c r="J795" s="36"/>
      <c r="K795" s="36"/>
      <c r="L795" s="36"/>
      <c r="M795" s="36"/>
    </row>
    <row r="796" ht="13.2" spans="4:13">
      <c r="D796" s="36"/>
      <c r="E796" s="36"/>
      <c r="F796" s="36"/>
      <c r="G796" s="36"/>
      <c r="H796" s="36"/>
      <c r="I796" s="36"/>
      <c r="J796" s="36"/>
      <c r="K796" s="36"/>
      <c r="L796" s="36"/>
      <c r="M796" s="36"/>
    </row>
    <row r="797" ht="13.2" spans="4:13">
      <c r="D797" s="36"/>
      <c r="E797" s="36"/>
      <c r="F797" s="36"/>
      <c r="G797" s="36"/>
      <c r="H797" s="36"/>
      <c r="I797" s="36"/>
      <c r="J797" s="36"/>
      <c r="K797" s="36"/>
      <c r="L797" s="36"/>
      <c r="M797" s="36"/>
    </row>
    <row r="798" ht="13.2" spans="4:13">
      <c r="D798" s="36"/>
      <c r="E798" s="36"/>
      <c r="F798" s="36"/>
      <c r="G798" s="36"/>
      <c r="H798" s="36"/>
      <c r="I798" s="36"/>
      <c r="J798" s="36"/>
      <c r="K798" s="36"/>
      <c r="L798" s="36"/>
      <c r="M798" s="36"/>
    </row>
    <row r="799" ht="13.2" spans="4:13">
      <c r="D799" s="36"/>
      <c r="E799" s="36"/>
      <c r="F799" s="36"/>
      <c r="G799" s="36"/>
      <c r="H799" s="36"/>
      <c r="I799" s="36"/>
      <c r="J799" s="36"/>
      <c r="K799" s="36"/>
      <c r="L799" s="36"/>
      <c r="M799" s="36"/>
    </row>
    <row r="800" ht="13.2" spans="4:13">
      <c r="D800" s="36"/>
      <c r="E800" s="36"/>
      <c r="F800" s="36"/>
      <c r="G800" s="36"/>
      <c r="H800" s="36"/>
      <c r="I800" s="36"/>
      <c r="J800" s="36"/>
      <c r="K800" s="36"/>
      <c r="L800" s="36"/>
      <c r="M800" s="36"/>
    </row>
    <row r="801" ht="13.2" spans="4:13">
      <c r="D801" s="36"/>
      <c r="E801" s="36"/>
      <c r="F801" s="36"/>
      <c r="G801" s="36"/>
      <c r="H801" s="36"/>
      <c r="I801" s="36"/>
      <c r="J801" s="36"/>
      <c r="K801" s="36"/>
      <c r="L801" s="36"/>
      <c r="M801" s="36"/>
    </row>
    <row r="802" ht="13.2" spans="4:13">
      <c r="D802" s="36"/>
      <c r="E802" s="36"/>
      <c r="F802" s="36"/>
      <c r="G802" s="36"/>
      <c r="H802" s="36"/>
      <c r="I802" s="36"/>
      <c r="J802" s="36"/>
      <c r="K802" s="36"/>
      <c r="L802" s="36"/>
      <c r="M802" s="36"/>
    </row>
    <row r="803" ht="13.2" spans="4:13">
      <c r="D803" s="36"/>
      <c r="E803" s="36"/>
      <c r="F803" s="36"/>
      <c r="G803" s="36"/>
      <c r="H803" s="36"/>
      <c r="I803" s="36"/>
      <c r="J803" s="36"/>
      <c r="K803" s="36"/>
      <c r="L803" s="36"/>
      <c r="M803" s="36"/>
    </row>
    <row r="804" ht="13.2" spans="4:13">
      <c r="D804" s="36"/>
      <c r="E804" s="36"/>
      <c r="F804" s="36"/>
      <c r="G804" s="36"/>
      <c r="H804" s="36"/>
      <c r="I804" s="36"/>
      <c r="J804" s="36"/>
      <c r="K804" s="36"/>
      <c r="L804" s="36"/>
      <c r="M804" s="36"/>
    </row>
    <row r="805" ht="13.2" spans="4:13">
      <c r="D805" s="36"/>
      <c r="E805" s="36"/>
      <c r="F805" s="36"/>
      <c r="G805" s="36"/>
      <c r="H805" s="36"/>
      <c r="I805" s="36"/>
      <c r="J805" s="36"/>
      <c r="K805" s="36"/>
      <c r="L805" s="36"/>
      <c r="M805" s="36"/>
    </row>
    <row r="806" ht="13.2" spans="4:13">
      <c r="D806" s="36"/>
      <c r="E806" s="36"/>
      <c r="F806" s="36"/>
      <c r="G806" s="36"/>
      <c r="H806" s="36"/>
      <c r="I806" s="36"/>
      <c r="J806" s="36"/>
      <c r="K806" s="36"/>
      <c r="L806" s="36"/>
      <c r="M806" s="36"/>
    </row>
    <row r="807" ht="13.2" spans="4:13">
      <c r="D807" s="36"/>
      <c r="E807" s="36"/>
      <c r="F807" s="36"/>
      <c r="G807" s="36"/>
      <c r="H807" s="36"/>
      <c r="I807" s="36"/>
      <c r="J807" s="36"/>
      <c r="K807" s="36"/>
      <c r="L807" s="36"/>
      <c r="M807" s="36"/>
    </row>
    <row r="808" ht="13.2" spans="4:13">
      <c r="D808" s="36"/>
      <c r="E808" s="36"/>
      <c r="F808" s="36"/>
      <c r="G808" s="36"/>
      <c r="H808" s="36"/>
      <c r="I808" s="36"/>
      <c r="J808" s="36"/>
      <c r="K808" s="36"/>
      <c r="L808" s="36"/>
      <c r="M808" s="36"/>
    </row>
    <row r="809" ht="13.2" spans="4:13">
      <c r="D809" s="36"/>
      <c r="E809" s="36"/>
      <c r="F809" s="36"/>
      <c r="G809" s="36"/>
      <c r="H809" s="36"/>
      <c r="I809" s="36"/>
      <c r="J809" s="36"/>
      <c r="K809" s="36"/>
      <c r="L809" s="36"/>
      <c r="M809" s="36"/>
    </row>
    <row r="810" ht="13.2" spans="4:13">
      <c r="D810" s="36"/>
      <c r="E810" s="36"/>
      <c r="F810" s="36"/>
      <c r="G810" s="36"/>
      <c r="H810" s="36"/>
      <c r="I810" s="36"/>
      <c r="J810" s="36"/>
      <c r="K810" s="36"/>
      <c r="L810" s="36"/>
      <c r="M810" s="36"/>
    </row>
    <row r="811" ht="13.2" spans="4:13">
      <c r="D811" s="36"/>
      <c r="E811" s="36"/>
      <c r="F811" s="36"/>
      <c r="G811" s="36"/>
      <c r="H811" s="36"/>
      <c r="I811" s="36"/>
      <c r="J811" s="36"/>
      <c r="K811" s="36"/>
      <c r="L811" s="36"/>
      <c r="M811" s="36"/>
    </row>
    <row r="812" ht="13.2" spans="4:13">
      <c r="D812" s="36"/>
      <c r="E812" s="36"/>
      <c r="F812" s="36"/>
      <c r="G812" s="36"/>
      <c r="H812" s="36"/>
      <c r="I812" s="36"/>
      <c r="J812" s="36"/>
      <c r="K812" s="36"/>
      <c r="L812" s="36"/>
      <c r="M812" s="36"/>
    </row>
    <row r="813" ht="13.2" spans="4:13">
      <c r="D813" s="36"/>
      <c r="E813" s="36"/>
      <c r="F813" s="36"/>
      <c r="G813" s="36"/>
      <c r="H813" s="36"/>
      <c r="I813" s="36"/>
      <c r="J813" s="36"/>
      <c r="K813" s="36"/>
      <c r="L813" s="36"/>
      <c r="M813" s="36"/>
    </row>
    <row r="814" ht="13.2" spans="4:13">
      <c r="D814" s="36"/>
      <c r="E814" s="36"/>
      <c r="F814" s="36"/>
      <c r="G814" s="36"/>
      <c r="H814" s="36"/>
      <c r="I814" s="36"/>
      <c r="J814" s="36"/>
      <c r="K814" s="36"/>
      <c r="L814" s="36"/>
      <c r="M814" s="36"/>
    </row>
    <row r="815" ht="13.2" spans="4:13">
      <c r="D815" s="36"/>
      <c r="E815" s="36"/>
      <c r="F815" s="36"/>
      <c r="G815" s="36"/>
      <c r="H815" s="36"/>
      <c r="I815" s="36"/>
      <c r="J815" s="36"/>
      <c r="K815" s="36"/>
      <c r="L815" s="36"/>
      <c r="M815" s="36"/>
    </row>
    <row r="816" ht="13.2" spans="4:13">
      <c r="D816" s="36"/>
      <c r="E816" s="36"/>
      <c r="F816" s="36"/>
      <c r="G816" s="36"/>
      <c r="H816" s="36"/>
      <c r="I816" s="36"/>
      <c r="J816" s="36"/>
      <c r="K816" s="36"/>
      <c r="L816" s="36"/>
      <c r="M816" s="36"/>
    </row>
    <row r="817" ht="13.2" spans="4:13">
      <c r="D817" s="36"/>
      <c r="E817" s="36"/>
      <c r="F817" s="36"/>
      <c r="G817" s="36"/>
      <c r="H817" s="36"/>
      <c r="I817" s="36"/>
      <c r="J817" s="36"/>
      <c r="K817" s="36"/>
      <c r="L817" s="36"/>
      <c r="M817" s="36"/>
    </row>
    <row r="818" ht="13.2" spans="4:13">
      <c r="D818" s="36"/>
      <c r="E818" s="36"/>
      <c r="F818" s="36"/>
      <c r="G818" s="36"/>
      <c r="H818" s="36"/>
      <c r="I818" s="36"/>
      <c r="J818" s="36"/>
      <c r="K818" s="36"/>
      <c r="L818" s="36"/>
      <c r="M818" s="36"/>
    </row>
    <row r="819" ht="13.2" spans="4:13">
      <c r="D819" s="36"/>
      <c r="E819" s="36"/>
      <c r="F819" s="36"/>
      <c r="G819" s="36"/>
      <c r="H819" s="36"/>
      <c r="I819" s="36"/>
      <c r="J819" s="36"/>
      <c r="K819" s="36"/>
      <c r="L819" s="36"/>
      <c r="M819" s="36"/>
    </row>
    <row r="820" ht="13.2" spans="4:13">
      <c r="D820" s="36"/>
      <c r="E820" s="36"/>
      <c r="F820" s="36"/>
      <c r="G820" s="36"/>
      <c r="H820" s="36"/>
      <c r="I820" s="36"/>
      <c r="J820" s="36"/>
      <c r="K820" s="36"/>
      <c r="L820" s="36"/>
      <c r="M820" s="36"/>
    </row>
    <row r="821" ht="13.2" spans="4:13">
      <c r="D821" s="36"/>
      <c r="E821" s="36"/>
      <c r="F821" s="36"/>
      <c r="G821" s="36"/>
      <c r="H821" s="36"/>
      <c r="I821" s="36"/>
      <c r="J821" s="36"/>
      <c r="K821" s="36"/>
      <c r="L821" s="36"/>
      <c r="M821" s="36"/>
    </row>
    <row r="822" ht="13.2" spans="4:13">
      <c r="D822" s="36"/>
      <c r="E822" s="36"/>
      <c r="F822" s="36"/>
      <c r="G822" s="36"/>
      <c r="H822" s="36"/>
      <c r="I822" s="36"/>
      <c r="J822" s="36"/>
      <c r="K822" s="36"/>
      <c r="L822" s="36"/>
      <c r="M822" s="36"/>
    </row>
    <row r="823" ht="13.2" spans="4:13">
      <c r="D823" s="36"/>
      <c r="E823" s="36"/>
      <c r="F823" s="36"/>
      <c r="G823" s="36"/>
      <c r="H823" s="36"/>
      <c r="I823" s="36"/>
      <c r="J823" s="36"/>
      <c r="K823" s="36"/>
      <c r="L823" s="36"/>
      <c r="M823" s="36"/>
    </row>
    <row r="824" ht="13.2" spans="4:13">
      <c r="D824" s="36"/>
      <c r="E824" s="36"/>
      <c r="F824" s="36"/>
      <c r="G824" s="36"/>
      <c r="H824" s="36"/>
      <c r="I824" s="36"/>
      <c r="J824" s="36"/>
      <c r="K824" s="36"/>
      <c r="L824" s="36"/>
      <c r="M824" s="36"/>
    </row>
    <row r="825" ht="13.2" spans="4:13">
      <c r="D825" s="36"/>
      <c r="E825" s="36"/>
      <c r="F825" s="36"/>
      <c r="G825" s="36"/>
      <c r="H825" s="36"/>
      <c r="I825" s="36"/>
      <c r="J825" s="36"/>
      <c r="K825" s="36"/>
      <c r="L825" s="36"/>
      <c r="M825" s="36"/>
    </row>
    <row r="826" ht="13.2" spans="4:13">
      <c r="D826" s="36"/>
      <c r="E826" s="36"/>
      <c r="F826" s="36"/>
      <c r="G826" s="36"/>
      <c r="H826" s="36"/>
      <c r="I826" s="36"/>
      <c r="J826" s="36"/>
      <c r="K826" s="36"/>
      <c r="L826" s="36"/>
      <c r="M826" s="36"/>
    </row>
    <row r="827" ht="13.2" spans="4:13">
      <c r="D827" s="36"/>
      <c r="E827" s="36"/>
      <c r="F827" s="36"/>
      <c r="G827" s="36"/>
      <c r="H827" s="36"/>
      <c r="I827" s="36"/>
      <c r="J827" s="36"/>
      <c r="K827" s="36"/>
      <c r="L827" s="36"/>
      <c r="M827" s="36"/>
    </row>
    <row r="828" ht="13.2" spans="4:13">
      <c r="D828" s="36"/>
      <c r="E828" s="36"/>
      <c r="F828" s="36"/>
      <c r="G828" s="36"/>
      <c r="H828" s="36"/>
      <c r="I828" s="36"/>
      <c r="J828" s="36"/>
      <c r="K828" s="36"/>
      <c r="L828" s="36"/>
      <c r="M828" s="36"/>
    </row>
    <row r="829" ht="13.2" spans="4:13">
      <c r="D829" s="36"/>
      <c r="E829" s="36"/>
      <c r="F829" s="36"/>
      <c r="G829" s="36"/>
      <c r="H829" s="36"/>
      <c r="I829" s="36"/>
      <c r="J829" s="36"/>
      <c r="K829" s="36"/>
      <c r="L829" s="36"/>
      <c r="M829" s="36"/>
    </row>
    <row r="830" ht="13.2" spans="4:13">
      <c r="D830" s="36"/>
      <c r="E830" s="36"/>
      <c r="F830" s="36"/>
      <c r="G830" s="36"/>
      <c r="H830" s="36"/>
      <c r="I830" s="36"/>
      <c r="J830" s="36"/>
      <c r="K830" s="36"/>
      <c r="L830" s="36"/>
      <c r="M830" s="36"/>
    </row>
    <row r="831" ht="13.2" spans="4:13">
      <c r="D831" s="36"/>
      <c r="E831" s="36"/>
      <c r="F831" s="36"/>
      <c r="G831" s="36"/>
      <c r="H831" s="36"/>
      <c r="I831" s="36"/>
      <c r="J831" s="36"/>
      <c r="K831" s="36"/>
      <c r="L831" s="36"/>
      <c r="M831" s="36"/>
    </row>
    <row r="832" ht="13.2" spans="4:13">
      <c r="D832" s="36"/>
      <c r="E832" s="36"/>
      <c r="F832" s="36"/>
      <c r="G832" s="36"/>
      <c r="H832" s="36"/>
      <c r="I832" s="36"/>
      <c r="J832" s="36"/>
      <c r="K832" s="36"/>
      <c r="L832" s="36"/>
      <c r="M832" s="36"/>
    </row>
    <row r="833" ht="13.2" spans="4:13">
      <c r="D833" s="36"/>
      <c r="E833" s="36"/>
      <c r="F833" s="36"/>
      <c r="G833" s="36"/>
      <c r="H833" s="36"/>
      <c r="I833" s="36"/>
      <c r="J833" s="36"/>
      <c r="K833" s="36"/>
      <c r="L833" s="36"/>
      <c r="M833" s="36"/>
    </row>
    <row r="834" ht="13.2" spans="4:13">
      <c r="D834" s="36"/>
      <c r="E834" s="36"/>
      <c r="F834" s="36"/>
      <c r="G834" s="36"/>
      <c r="H834" s="36"/>
      <c r="I834" s="36"/>
      <c r="J834" s="36"/>
      <c r="K834" s="36"/>
      <c r="L834" s="36"/>
      <c r="M834" s="36"/>
    </row>
    <row r="835" ht="13.2" spans="4:13">
      <c r="D835" s="36"/>
      <c r="E835" s="36"/>
      <c r="F835" s="36"/>
      <c r="G835" s="36"/>
      <c r="H835" s="36"/>
      <c r="I835" s="36"/>
      <c r="J835" s="36"/>
      <c r="K835" s="36"/>
      <c r="L835" s="36"/>
      <c r="M835" s="36"/>
    </row>
    <row r="836" ht="13.2" spans="4:13">
      <c r="D836" s="36"/>
      <c r="E836" s="36"/>
      <c r="F836" s="36"/>
      <c r="G836" s="36"/>
      <c r="H836" s="36"/>
      <c r="I836" s="36"/>
      <c r="J836" s="36"/>
      <c r="K836" s="36"/>
      <c r="L836" s="36"/>
      <c r="M836" s="36"/>
    </row>
    <row r="837" ht="13.2" spans="4:13">
      <c r="D837" s="36"/>
      <c r="E837" s="36"/>
      <c r="F837" s="36"/>
      <c r="G837" s="36"/>
      <c r="H837" s="36"/>
      <c r="I837" s="36"/>
      <c r="J837" s="36"/>
      <c r="K837" s="36"/>
      <c r="L837" s="36"/>
      <c r="M837" s="36"/>
    </row>
    <row r="838" ht="13.2" spans="4:13">
      <c r="D838" s="36"/>
      <c r="E838" s="36"/>
      <c r="F838" s="36"/>
      <c r="G838" s="36"/>
      <c r="H838" s="36"/>
      <c r="I838" s="36"/>
      <c r="J838" s="36"/>
      <c r="K838" s="36"/>
      <c r="L838" s="36"/>
      <c r="M838" s="36"/>
    </row>
    <row r="839" ht="13.2" spans="4:13">
      <c r="D839" s="36"/>
      <c r="E839" s="36"/>
      <c r="F839" s="36"/>
      <c r="G839" s="36"/>
      <c r="H839" s="36"/>
      <c r="I839" s="36"/>
      <c r="J839" s="36"/>
      <c r="K839" s="36"/>
      <c r="L839" s="36"/>
      <c r="M839" s="36"/>
    </row>
    <row r="840" ht="13.2" spans="4:13">
      <c r="D840" s="36"/>
      <c r="E840" s="36"/>
      <c r="F840" s="36"/>
      <c r="G840" s="36"/>
      <c r="H840" s="36"/>
      <c r="I840" s="36"/>
      <c r="J840" s="36"/>
      <c r="K840" s="36"/>
      <c r="L840" s="36"/>
      <c r="M840" s="36"/>
    </row>
    <row r="841" ht="13.2" spans="4:13">
      <c r="D841" s="36"/>
      <c r="E841" s="36"/>
      <c r="F841" s="36"/>
      <c r="G841" s="36"/>
      <c r="H841" s="36"/>
      <c r="I841" s="36"/>
      <c r="J841" s="36"/>
      <c r="K841" s="36"/>
      <c r="L841" s="36"/>
      <c r="M841" s="36"/>
    </row>
    <row r="842" ht="13.2" spans="4:13">
      <c r="D842" s="36"/>
      <c r="E842" s="36"/>
      <c r="F842" s="36"/>
      <c r="G842" s="36"/>
      <c r="H842" s="36"/>
      <c r="I842" s="36"/>
      <c r="J842" s="36"/>
      <c r="K842" s="36"/>
      <c r="L842" s="36"/>
      <c r="M842" s="36"/>
    </row>
    <row r="843" ht="13.2" spans="4:13">
      <c r="D843" s="36"/>
      <c r="E843" s="36"/>
      <c r="F843" s="36"/>
      <c r="G843" s="36"/>
      <c r="H843" s="36"/>
      <c r="I843" s="36"/>
      <c r="J843" s="36"/>
      <c r="K843" s="36"/>
      <c r="L843" s="36"/>
      <c r="M843" s="36"/>
    </row>
    <row r="844" ht="13.2" spans="4:13">
      <c r="D844" s="36"/>
      <c r="E844" s="36"/>
      <c r="F844" s="36"/>
      <c r="G844" s="36"/>
      <c r="H844" s="36"/>
      <c r="I844" s="36"/>
      <c r="J844" s="36"/>
      <c r="K844" s="36"/>
      <c r="L844" s="36"/>
      <c r="M844" s="36"/>
    </row>
    <row r="845" ht="13.2" spans="4:13">
      <c r="D845" s="36"/>
      <c r="E845" s="36"/>
      <c r="F845" s="36"/>
      <c r="G845" s="36"/>
      <c r="H845" s="36"/>
      <c r="I845" s="36"/>
      <c r="J845" s="36"/>
      <c r="K845" s="36"/>
      <c r="L845" s="36"/>
      <c r="M845" s="36"/>
    </row>
    <row r="846" ht="13.2" spans="4:13">
      <c r="D846" s="36"/>
      <c r="E846" s="36"/>
      <c r="F846" s="36"/>
      <c r="G846" s="36"/>
      <c r="H846" s="36"/>
      <c r="I846" s="36"/>
      <c r="J846" s="36"/>
      <c r="K846" s="36"/>
      <c r="L846" s="36"/>
      <c r="M846" s="36"/>
    </row>
    <row r="847" ht="13.2" spans="4:13">
      <c r="D847" s="36"/>
      <c r="E847" s="36"/>
      <c r="F847" s="36"/>
      <c r="G847" s="36"/>
      <c r="H847" s="36"/>
      <c r="I847" s="36"/>
      <c r="J847" s="36"/>
      <c r="K847" s="36"/>
      <c r="L847" s="36"/>
      <c r="M847" s="36"/>
    </row>
    <row r="848" ht="13.2" spans="4:13">
      <c r="D848" s="36"/>
      <c r="E848" s="36"/>
      <c r="F848" s="36"/>
      <c r="G848" s="36"/>
      <c r="H848" s="36"/>
      <c r="I848" s="36"/>
      <c r="J848" s="36"/>
      <c r="K848" s="36"/>
      <c r="L848" s="36"/>
      <c r="M848" s="36"/>
    </row>
    <row r="849" ht="13.2" spans="4:13">
      <c r="D849" s="36"/>
      <c r="E849" s="36"/>
      <c r="F849" s="36"/>
      <c r="G849" s="36"/>
      <c r="H849" s="36"/>
      <c r="I849" s="36"/>
      <c r="J849" s="36"/>
      <c r="K849" s="36"/>
      <c r="L849" s="36"/>
      <c r="M849" s="36"/>
    </row>
    <row r="850" ht="13.2" spans="4:13">
      <c r="D850" s="36"/>
      <c r="E850" s="36"/>
      <c r="F850" s="36"/>
      <c r="G850" s="36"/>
      <c r="H850" s="36"/>
      <c r="I850" s="36"/>
      <c r="J850" s="36"/>
      <c r="K850" s="36"/>
      <c r="L850" s="36"/>
      <c r="M850" s="36"/>
    </row>
    <row r="851" ht="13.2" spans="4:13">
      <c r="D851" s="36"/>
      <c r="E851" s="36"/>
      <c r="F851" s="36"/>
      <c r="G851" s="36"/>
      <c r="H851" s="36"/>
      <c r="I851" s="36"/>
      <c r="J851" s="36"/>
      <c r="K851" s="36"/>
      <c r="L851" s="36"/>
      <c r="M851" s="36"/>
    </row>
    <row r="852" ht="13.2" spans="4:13">
      <c r="D852" s="36"/>
      <c r="E852" s="36"/>
      <c r="F852" s="36"/>
      <c r="G852" s="36"/>
      <c r="H852" s="36"/>
      <c r="I852" s="36"/>
      <c r="J852" s="36"/>
      <c r="K852" s="36"/>
      <c r="L852" s="36"/>
      <c r="M852" s="36"/>
    </row>
    <row r="853" ht="13.2" spans="4:13">
      <c r="D853" s="36"/>
      <c r="E853" s="36"/>
      <c r="F853" s="36"/>
      <c r="G853" s="36"/>
      <c r="H853" s="36"/>
      <c r="I853" s="36"/>
      <c r="J853" s="36"/>
      <c r="K853" s="36"/>
      <c r="L853" s="36"/>
      <c r="M853" s="36"/>
    </row>
    <row r="854" ht="13.2" spans="4:13">
      <c r="D854" s="36"/>
      <c r="E854" s="36"/>
      <c r="F854" s="36"/>
      <c r="G854" s="36"/>
      <c r="H854" s="36"/>
      <c r="I854" s="36"/>
      <c r="J854" s="36"/>
      <c r="K854" s="36"/>
      <c r="L854" s="36"/>
      <c r="M854" s="36"/>
    </row>
    <row r="855" ht="13.2" spans="4:13">
      <c r="D855" s="36"/>
      <c r="E855" s="36"/>
      <c r="F855" s="36"/>
      <c r="G855" s="36"/>
      <c r="H855" s="36"/>
      <c r="I855" s="36"/>
      <c r="J855" s="36"/>
      <c r="K855" s="36"/>
      <c r="L855" s="36"/>
      <c r="M855" s="36"/>
    </row>
    <row r="856" ht="13.2" spans="4:13">
      <c r="D856" s="36"/>
      <c r="E856" s="36"/>
      <c r="F856" s="36"/>
      <c r="G856" s="36"/>
      <c r="H856" s="36"/>
      <c r="I856" s="36"/>
      <c r="J856" s="36"/>
      <c r="K856" s="36"/>
      <c r="L856" s="36"/>
      <c r="M856" s="36"/>
    </row>
    <row r="857" ht="13.2" spans="4:13">
      <c r="D857" s="36"/>
      <c r="E857" s="36"/>
      <c r="F857" s="36"/>
      <c r="G857" s="36"/>
      <c r="H857" s="36"/>
      <c r="I857" s="36"/>
      <c r="J857" s="36"/>
      <c r="K857" s="36"/>
      <c r="L857" s="36"/>
      <c r="M857" s="36"/>
    </row>
    <row r="858" ht="13.2" spans="4:13">
      <c r="D858" s="36"/>
      <c r="E858" s="36"/>
      <c r="F858" s="36"/>
      <c r="G858" s="36"/>
      <c r="H858" s="36"/>
      <c r="I858" s="36"/>
      <c r="J858" s="36"/>
      <c r="K858" s="36"/>
      <c r="L858" s="36"/>
      <c r="M858" s="36"/>
    </row>
    <row r="859" ht="13.2" spans="4:13">
      <c r="D859" s="36"/>
      <c r="E859" s="36"/>
      <c r="F859" s="36"/>
      <c r="G859" s="36"/>
      <c r="H859" s="36"/>
      <c r="I859" s="36"/>
      <c r="J859" s="36"/>
      <c r="K859" s="36"/>
      <c r="L859" s="36"/>
      <c r="M859" s="36"/>
    </row>
    <row r="860" ht="13.2" spans="4:13">
      <c r="D860" s="36"/>
      <c r="E860" s="36"/>
      <c r="F860" s="36"/>
      <c r="G860" s="36"/>
      <c r="H860" s="36"/>
      <c r="I860" s="36"/>
      <c r="J860" s="36"/>
      <c r="K860" s="36"/>
      <c r="L860" s="36"/>
      <c r="M860" s="36"/>
    </row>
    <row r="861" ht="13.2" spans="4:13">
      <c r="D861" s="36"/>
      <c r="E861" s="36"/>
      <c r="F861" s="36"/>
      <c r="G861" s="36"/>
      <c r="H861" s="36"/>
      <c r="I861" s="36"/>
      <c r="J861" s="36"/>
      <c r="K861" s="36"/>
      <c r="L861" s="36"/>
      <c r="M861" s="36"/>
    </row>
    <row r="862" ht="13.2" spans="4:13">
      <c r="D862" s="36"/>
      <c r="E862" s="36"/>
      <c r="F862" s="36"/>
      <c r="G862" s="36"/>
      <c r="H862" s="36"/>
      <c r="I862" s="36"/>
      <c r="J862" s="36"/>
      <c r="K862" s="36"/>
      <c r="L862" s="36"/>
      <c r="M862" s="36"/>
    </row>
    <row r="863" ht="13.2" spans="4:13">
      <c r="D863" s="36"/>
      <c r="E863" s="36"/>
      <c r="F863" s="36"/>
      <c r="G863" s="36"/>
      <c r="H863" s="36"/>
      <c r="I863" s="36"/>
      <c r="J863" s="36"/>
      <c r="K863" s="36"/>
      <c r="L863" s="36"/>
      <c r="M863" s="36"/>
    </row>
    <row r="864" ht="13.2" spans="4:13">
      <c r="D864" s="36"/>
      <c r="E864" s="36"/>
      <c r="F864" s="36"/>
      <c r="G864" s="36"/>
      <c r="H864" s="36"/>
      <c r="I864" s="36"/>
      <c r="J864" s="36"/>
      <c r="K864" s="36"/>
      <c r="L864" s="36"/>
      <c r="M864" s="36"/>
    </row>
    <row r="865" ht="13.2" spans="4:13">
      <c r="D865" s="36"/>
      <c r="E865" s="36"/>
      <c r="F865" s="36"/>
      <c r="G865" s="36"/>
      <c r="H865" s="36"/>
      <c r="I865" s="36"/>
      <c r="J865" s="36"/>
      <c r="K865" s="36"/>
      <c r="L865" s="36"/>
      <c r="M865" s="36"/>
    </row>
    <row r="866" ht="13.2" spans="4:13">
      <c r="D866" s="36"/>
      <c r="E866" s="36"/>
      <c r="F866" s="36"/>
      <c r="G866" s="36"/>
      <c r="H866" s="36"/>
      <c r="I866" s="36"/>
      <c r="J866" s="36"/>
      <c r="K866" s="36"/>
      <c r="L866" s="36"/>
      <c r="M866" s="36"/>
    </row>
    <row r="867" ht="13.2" spans="4:13">
      <c r="D867" s="36"/>
      <c r="E867" s="36"/>
      <c r="F867" s="36"/>
      <c r="G867" s="36"/>
      <c r="H867" s="36"/>
      <c r="I867" s="36"/>
      <c r="J867" s="36"/>
      <c r="K867" s="36"/>
      <c r="L867" s="36"/>
      <c r="M867" s="36"/>
    </row>
    <row r="868" ht="13.2" spans="4:13">
      <c r="D868" s="36"/>
      <c r="E868" s="36"/>
      <c r="F868" s="36"/>
      <c r="G868" s="36"/>
      <c r="H868" s="36"/>
      <c r="I868" s="36"/>
      <c r="J868" s="36"/>
      <c r="K868" s="36"/>
      <c r="L868" s="36"/>
      <c r="M868" s="36"/>
    </row>
    <row r="869" ht="13.2" spans="4:13">
      <c r="D869" s="36"/>
      <c r="E869" s="36"/>
      <c r="F869" s="36"/>
      <c r="G869" s="36"/>
      <c r="H869" s="36"/>
      <c r="I869" s="36"/>
      <c r="J869" s="36"/>
      <c r="K869" s="36"/>
      <c r="L869" s="36"/>
      <c r="M869" s="36"/>
    </row>
    <row r="870" ht="13.2" spans="4:13">
      <c r="D870" s="36"/>
      <c r="E870" s="36"/>
      <c r="F870" s="36"/>
      <c r="G870" s="36"/>
      <c r="H870" s="36"/>
      <c r="I870" s="36"/>
      <c r="J870" s="36"/>
      <c r="K870" s="36"/>
      <c r="L870" s="36"/>
      <c r="M870" s="36"/>
    </row>
    <row r="871" ht="13.2" spans="4:13">
      <c r="D871" s="36"/>
      <c r="E871" s="36"/>
      <c r="F871" s="36"/>
      <c r="G871" s="36"/>
      <c r="H871" s="36"/>
      <c r="I871" s="36"/>
      <c r="J871" s="36"/>
      <c r="K871" s="36"/>
      <c r="L871" s="36"/>
      <c r="M871" s="36"/>
    </row>
    <row r="872" ht="13.2" spans="4:13">
      <c r="D872" s="36"/>
      <c r="E872" s="36"/>
      <c r="F872" s="36"/>
      <c r="G872" s="36"/>
      <c r="H872" s="36"/>
      <c r="I872" s="36"/>
      <c r="J872" s="36"/>
      <c r="K872" s="36"/>
      <c r="L872" s="36"/>
      <c r="M872" s="36"/>
    </row>
    <row r="873" ht="13.2" spans="4:13">
      <c r="D873" s="36"/>
      <c r="E873" s="36"/>
      <c r="F873" s="36"/>
      <c r="G873" s="36"/>
      <c r="H873" s="36"/>
      <c r="I873" s="36"/>
      <c r="J873" s="36"/>
      <c r="K873" s="36"/>
      <c r="L873" s="36"/>
      <c r="M873" s="36"/>
    </row>
    <row r="874" ht="13.2" spans="4:13">
      <c r="D874" s="36"/>
      <c r="E874" s="36"/>
      <c r="F874" s="36"/>
      <c r="G874" s="36"/>
      <c r="H874" s="36"/>
      <c r="I874" s="36"/>
      <c r="J874" s="36"/>
      <c r="K874" s="36"/>
      <c r="L874" s="36"/>
      <c r="M874" s="36"/>
    </row>
    <row r="875" ht="13.2" spans="4:13">
      <c r="D875" s="36"/>
      <c r="E875" s="36"/>
      <c r="F875" s="36"/>
      <c r="G875" s="36"/>
      <c r="H875" s="36"/>
      <c r="I875" s="36"/>
      <c r="J875" s="36"/>
      <c r="K875" s="36"/>
      <c r="L875" s="36"/>
      <c r="M875" s="36"/>
    </row>
    <row r="876" ht="13.2" spans="4:13">
      <c r="D876" s="36"/>
      <c r="E876" s="36"/>
      <c r="F876" s="36"/>
      <c r="G876" s="36"/>
      <c r="H876" s="36"/>
      <c r="I876" s="36"/>
      <c r="J876" s="36"/>
      <c r="K876" s="36"/>
      <c r="L876" s="36"/>
      <c r="M876" s="36"/>
    </row>
    <row r="877" ht="13.2" spans="4:13">
      <c r="D877" s="36"/>
      <c r="E877" s="36"/>
      <c r="F877" s="36"/>
      <c r="G877" s="36"/>
      <c r="H877" s="36"/>
      <c r="I877" s="36"/>
      <c r="J877" s="36"/>
      <c r="K877" s="36"/>
      <c r="L877" s="36"/>
      <c r="M877" s="36"/>
    </row>
    <row r="878" ht="13.2" spans="4:13">
      <c r="D878" s="36"/>
      <c r="E878" s="36"/>
      <c r="F878" s="36"/>
      <c r="G878" s="36"/>
      <c r="H878" s="36"/>
      <c r="I878" s="36"/>
      <c r="J878" s="36"/>
      <c r="K878" s="36"/>
      <c r="L878" s="36"/>
      <c r="M878" s="36"/>
    </row>
    <row r="879" ht="13.2" spans="4:13">
      <c r="D879" s="36"/>
      <c r="E879" s="36"/>
      <c r="F879" s="36"/>
      <c r="G879" s="36"/>
      <c r="H879" s="36"/>
      <c r="I879" s="36"/>
      <c r="J879" s="36"/>
      <c r="K879" s="36"/>
      <c r="L879" s="36"/>
      <c r="M879" s="36"/>
    </row>
    <row r="880" ht="13.2" spans="4:13">
      <c r="D880" s="36"/>
      <c r="E880" s="36"/>
      <c r="F880" s="36"/>
      <c r="G880" s="36"/>
      <c r="H880" s="36"/>
      <c r="I880" s="36"/>
      <c r="J880" s="36"/>
      <c r="K880" s="36"/>
      <c r="L880" s="36"/>
      <c r="M880" s="36"/>
    </row>
    <row r="881" ht="13.2" spans="4:13">
      <c r="D881" s="36"/>
      <c r="E881" s="36"/>
      <c r="F881" s="36"/>
      <c r="G881" s="36"/>
      <c r="H881" s="36"/>
      <c r="I881" s="36"/>
      <c r="J881" s="36"/>
      <c r="K881" s="36"/>
      <c r="L881" s="36"/>
      <c r="M881" s="36"/>
    </row>
    <row r="882" ht="13.2" spans="4:13">
      <c r="D882" s="36"/>
      <c r="E882" s="36"/>
      <c r="F882" s="36"/>
      <c r="G882" s="36"/>
      <c r="H882" s="36"/>
      <c r="I882" s="36"/>
      <c r="J882" s="36"/>
      <c r="K882" s="36"/>
      <c r="L882" s="36"/>
      <c r="M882" s="36"/>
    </row>
    <row r="883" ht="13.2" spans="4:13">
      <c r="D883" s="36"/>
      <c r="E883" s="36"/>
      <c r="F883" s="36"/>
      <c r="G883" s="36"/>
      <c r="H883" s="36"/>
      <c r="I883" s="36"/>
      <c r="J883" s="36"/>
      <c r="K883" s="36"/>
      <c r="L883" s="36"/>
      <c r="M883" s="36"/>
    </row>
    <row r="884" ht="13.2" spans="4:13">
      <c r="D884" s="36"/>
      <c r="E884" s="36"/>
      <c r="F884" s="36"/>
      <c r="G884" s="36"/>
      <c r="H884" s="36"/>
      <c r="I884" s="36"/>
      <c r="J884" s="36"/>
      <c r="K884" s="36"/>
      <c r="L884" s="36"/>
      <c r="M884" s="36"/>
    </row>
    <row r="885" ht="13.2" spans="4:13">
      <c r="D885" s="36"/>
      <c r="E885" s="36"/>
      <c r="F885" s="36"/>
      <c r="G885" s="36"/>
      <c r="H885" s="36"/>
      <c r="I885" s="36"/>
      <c r="J885" s="36"/>
      <c r="K885" s="36"/>
      <c r="L885" s="36"/>
      <c r="M885" s="36"/>
    </row>
    <row r="886" ht="13.2" spans="4:13">
      <c r="D886" s="36"/>
      <c r="E886" s="36"/>
      <c r="F886" s="36"/>
      <c r="G886" s="36"/>
      <c r="H886" s="36"/>
      <c r="I886" s="36"/>
      <c r="J886" s="36"/>
      <c r="K886" s="36"/>
      <c r="L886" s="36"/>
      <c r="M886" s="36"/>
    </row>
    <row r="887" ht="13.2" spans="4:13">
      <c r="D887" s="36"/>
      <c r="E887" s="36"/>
      <c r="F887" s="36"/>
      <c r="G887" s="36"/>
      <c r="H887" s="36"/>
      <c r="I887" s="36"/>
      <c r="J887" s="36"/>
      <c r="K887" s="36"/>
      <c r="L887" s="36"/>
      <c r="M887" s="36"/>
    </row>
    <row r="888" ht="13.2" spans="4:13">
      <c r="D888" s="36"/>
      <c r="E888" s="36"/>
      <c r="F888" s="36"/>
      <c r="G888" s="36"/>
      <c r="H888" s="36"/>
      <c r="I888" s="36"/>
      <c r="J888" s="36"/>
      <c r="K888" s="36"/>
      <c r="L888" s="36"/>
      <c r="M888" s="36"/>
    </row>
    <row r="889" ht="13.2" spans="4:13">
      <c r="D889" s="36"/>
      <c r="E889" s="36"/>
      <c r="F889" s="36"/>
      <c r="G889" s="36"/>
      <c r="H889" s="36"/>
      <c r="I889" s="36"/>
      <c r="J889" s="36"/>
      <c r="K889" s="36"/>
      <c r="L889" s="36"/>
      <c r="M889" s="36"/>
    </row>
    <row r="890" ht="13.2" spans="4:13">
      <c r="D890" s="36"/>
      <c r="E890" s="36"/>
      <c r="F890" s="36"/>
      <c r="G890" s="36"/>
      <c r="H890" s="36"/>
      <c r="I890" s="36"/>
      <c r="J890" s="36"/>
      <c r="K890" s="36"/>
      <c r="L890" s="36"/>
      <c r="M890" s="36"/>
    </row>
    <row r="891" ht="13.2" spans="4:13">
      <c r="D891" s="36"/>
      <c r="E891" s="36"/>
      <c r="F891" s="36"/>
      <c r="G891" s="36"/>
      <c r="H891" s="36"/>
      <c r="I891" s="36"/>
      <c r="J891" s="36"/>
      <c r="K891" s="36"/>
      <c r="L891" s="36"/>
      <c r="M891" s="36"/>
    </row>
    <row r="892" ht="13.2" spans="4:13">
      <c r="D892" s="36"/>
      <c r="E892" s="36"/>
      <c r="F892" s="36"/>
      <c r="G892" s="36"/>
      <c r="H892" s="36"/>
      <c r="I892" s="36"/>
      <c r="J892" s="36"/>
      <c r="K892" s="36"/>
      <c r="L892" s="36"/>
      <c r="M892" s="36"/>
    </row>
    <row r="893" ht="13.2" spans="4:13">
      <c r="D893" s="36"/>
      <c r="E893" s="36"/>
      <c r="F893" s="36"/>
      <c r="G893" s="36"/>
      <c r="H893" s="36"/>
      <c r="I893" s="36"/>
      <c r="J893" s="36"/>
      <c r="K893" s="36"/>
      <c r="L893" s="36"/>
      <c r="M893" s="36"/>
    </row>
    <row r="894" ht="13.2" spans="4:13">
      <c r="D894" s="36"/>
      <c r="E894" s="36"/>
      <c r="F894" s="36"/>
      <c r="G894" s="36"/>
      <c r="H894" s="36"/>
      <c r="I894" s="36"/>
      <c r="J894" s="36"/>
      <c r="K894" s="36"/>
      <c r="L894" s="36"/>
      <c r="M894" s="36"/>
    </row>
    <row r="895" ht="13.2" spans="4:13">
      <c r="D895" s="36"/>
      <c r="E895" s="36"/>
      <c r="F895" s="36"/>
      <c r="G895" s="36"/>
      <c r="H895" s="36"/>
      <c r="I895" s="36"/>
      <c r="J895" s="36"/>
      <c r="K895" s="36"/>
      <c r="L895" s="36"/>
      <c r="M895" s="36"/>
    </row>
    <row r="896" ht="13.2" spans="4:13">
      <c r="D896" s="36"/>
      <c r="E896" s="36"/>
      <c r="F896" s="36"/>
      <c r="G896" s="36"/>
      <c r="H896" s="36"/>
      <c r="I896" s="36"/>
      <c r="J896" s="36"/>
      <c r="K896" s="36"/>
      <c r="L896" s="36"/>
      <c r="M896" s="36"/>
    </row>
    <row r="897" ht="13.2" spans="4:13">
      <c r="D897" s="36"/>
      <c r="E897" s="36"/>
      <c r="F897" s="36"/>
      <c r="G897" s="36"/>
      <c r="H897" s="36"/>
      <c r="I897" s="36"/>
      <c r="J897" s="36"/>
      <c r="K897" s="36"/>
      <c r="L897" s="36"/>
      <c r="M897" s="36"/>
    </row>
    <row r="898" ht="13.2" spans="4:13">
      <c r="D898" s="36"/>
      <c r="E898" s="36"/>
      <c r="F898" s="36"/>
      <c r="G898" s="36"/>
      <c r="H898" s="36"/>
      <c r="I898" s="36"/>
      <c r="J898" s="36"/>
      <c r="K898" s="36"/>
      <c r="L898" s="36"/>
      <c r="M898" s="36"/>
    </row>
    <row r="899" ht="13.2" spans="4:13">
      <c r="D899" s="36"/>
      <c r="E899" s="36"/>
      <c r="F899" s="36"/>
      <c r="G899" s="36"/>
      <c r="H899" s="36"/>
      <c r="I899" s="36"/>
      <c r="J899" s="36"/>
      <c r="K899" s="36"/>
      <c r="L899" s="36"/>
      <c r="M899" s="36"/>
    </row>
    <row r="900" ht="13.2" spans="4:13">
      <c r="D900" s="36"/>
      <c r="E900" s="36"/>
      <c r="F900" s="36"/>
      <c r="G900" s="36"/>
      <c r="H900" s="36"/>
      <c r="I900" s="36"/>
      <c r="J900" s="36"/>
      <c r="K900" s="36"/>
      <c r="L900" s="36"/>
      <c r="M900" s="36"/>
    </row>
    <row r="901" ht="13.2" spans="4:13">
      <c r="D901" s="36"/>
      <c r="E901" s="36"/>
      <c r="F901" s="36"/>
      <c r="G901" s="36"/>
      <c r="H901" s="36"/>
      <c r="I901" s="36"/>
      <c r="J901" s="36"/>
      <c r="K901" s="36"/>
      <c r="L901" s="36"/>
      <c r="M901" s="36"/>
    </row>
    <row r="902" ht="13.2" spans="4:13">
      <c r="D902" s="36"/>
      <c r="E902" s="36"/>
      <c r="F902" s="36"/>
      <c r="G902" s="36"/>
      <c r="H902" s="36"/>
      <c r="I902" s="36"/>
      <c r="J902" s="36"/>
      <c r="K902" s="36"/>
      <c r="L902" s="36"/>
      <c r="M902" s="36"/>
    </row>
    <row r="903" ht="13.2" spans="4:13">
      <c r="D903" s="36"/>
      <c r="E903" s="36"/>
      <c r="F903" s="36"/>
      <c r="G903" s="36"/>
      <c r="H903" s="36"/>
      <c r="I903" s="36"/>
      <c r="J903" s="36"/>
      <c r="K903" s="36"/>
      <c r="L903" s="36"/>
      <c r="M903" s="36"/>
    </row>
    <row r="904" ht="13.2" spans="4:13">
      <c r="D904" s="36"/>
      <c r="E904" s="36"/>
      <c r="F904" s="36"/>
      <c r="G904" s="36"/>
      <c r="H904" s="36"/>
      <c r="I904" s="36"/>
      <c r="J904" s="36"/>
      <c r="K904" s="36"/>
      <c r="L904" s="36"/>
      <c r="M904" s="36"/>
    </row>
    <row r="905" ht="13.2" spans="4:13">
      <c r="D905" s="36"/>
      <c r="E905" s="36"/>
      <c r="F905" s="36"/>
      <c r="G905" s="36"/>
      <c r="H905" s="36"/>
      <c r="I905" s="36"/>
      <c r="J905" s="36"/>
      <c r="K905" s="36"/>
      <c r="L905" s="36"/>
      <c r="M905" s="36"/>
    </row>
    <row r="906" ht="13.2" spans="4:13">
      <c r="D906" s="36"/>
      <c r="E906" s="36"/>
      <c r="F906" s="36"/>
      <c r="G906" s="36"/>
      <c r="H906" s="36"/>
      <c r="I906" s="36"/>
      <c r="J906" s="36"/>
      <c r="K906" s="36"/>
      <c r="L906" s="36"/>
      <c r="M906" s="36"/>
    </row>
    <row r="907" ht="13.2" spans="4:13">
      <c r="D907" s="36"/>
      <c r="E907" s="36"/>
      <c r="F907" s="36"/>
      <c r="G907" s="36"/>
      <c r="H907" s="36"/>
      <c r="I907" s="36"/>
      <c r="J907" s="36"/>
      <c r="K907" s="36"/>
      <c r="L907" s="36"/>
      <c r="M907" s="36"/>
    </row>
    <row r="908" ht="13.2" spans="4:13">
      <c r="D908" s="36"/>
      <c r="E908" s="36"/>
      <c r="F908" s="36"/>
      <c r="G908" s="36"/>
      <c r="H908" s="36"/>
      <c r="I908" s="36"/>
      <c r="J908" s="36"/>
      <c r="K908" s="36"/>
      <c r="L908" s="36"/>
      <c r="M908" s="36"/>
    </row>
    <row r="909" ht="13.2" spans="4:13">
      <c r="D909" s="36"/>
      <c r="E909" s="36"/>
      <c r="F909" s="36"/>
      <c r="G909" s="36"/>
      <c r="H909" s="36"/>
      <c r="I909" s="36"/>
      <c r="J909" s="36"/>
      <c r="K909" s="36"/>
      <c r="L909" s="36"/>
      <c r="M909" s="36"/>
    </row>
    <row r="910" ht="13.2" spans="4:13">
      <c r="D910" s="36"/>
      <c r="E910" s="36"/>
      <c r="F910" s="36"/>
      <c r="G910" s="36"/>
      <c r="H910" s="36"/>
      <c r="I910" s="36"/>
      <c r="J910" s="36"/>
      <c r="K910" s="36"/>
      <c r="L910" s="36"/>
      <c r="M910" s="36"/>
    </row>
    <row r="911" ht="13.2" spans="4:13">
      <c r="D911" s="36"/>
      <c r="E911" s="36"/>
      <c r="F911" s="36"/>
      <c r="G911" s="36"/>
      <c r="H911" s="36"/>
      <c r="I911" s="36"/>
      <c r="J911" s="36"/>
      <c r="K911" s="36"/>
      <c r="L911" s="36"/>
      <c r="M911" s="36"/>
    </row>
    <row r="912" ht="13.2" spans="4:13">
      <c r="D912" s="36"/>
      <c r="E912" s="36"/>
      <c r="F912" s="36"/>
      <c r="G912" s="36"/>
      <c r="H912" s="36"/>
      <c r="I912" s="36"/>
      <c r="J912" s="36"/>
      <c r="K912" s="36"/>
      <c r="L912" s="36"/>
      <c r="M912" s="36"/>
    </row>
    <row r="913" ht="13.2" spans="4:13">
      <c r="D913" s="36"/>
      <c r="E913" s="36"/>
      <c r="F913" s="36"/>
      <c r="G913" s="36"/>
      <c r="H913" s="36"/>
      <c r="I913" s="36"/>
      <c r="J913" s="36"/>
      <c r="K913" s="36"/>
      <c r="L913" s="36"/>
      <c r="M913" s="36"/>
    </row>
    <row r="914" ht="13.2" spans="4:13">
      <c r="D914" s="36"/>
      <c r="E914" s="36"/>
      <c r="F914" s="36"/>
      <c r="G914" s="36"/>
      <c r="H914" s="36"/>
      <c r="I914" s="36"/>
      <c r="J914" s="36"/>
      <c r="K914" s="36"/>
      <c r="L914" s="36"/>
      <c r="M914" s="36"/>
    </row>
    <row r="915" ht="13.2" spans="4:13">
      <c r="D915" s="36"/>
      <c r="E915" s="36"/>
      <c r="F915" s="36"/>
      <c r="G915" s="36"/>
      <c r="H915" s="36"/>
      <c r="I915" s="36"/>
      <c r="J915" s="36"/>
      <c r="K915" s="36"/>
      <c r="L915" s="36"/>
      <c r="M915" s="36"/>
    </row>
    <row r="916" ht="13.2" spans="4:13">
      <c r="D916" s="36"/>
      <c r="E916" s="36"/>
      <c r="F916" s="36"/>
      <c r="G916" s="36"/>
      <c r="H916" s="36"/>
      <c r="I916" s="36"/>
      <c r="J916" s="36"/>
      <c r="K916" s="36"/>
      <c r="L916" s="36"/>
      <c r="M916" s="36"/>
    </row>
    <row r="917" ht="13.2" spans="4:13">
      <c r="D917" s="36"/>
      <c r="E917" s="36"/>
      <c r="F917" s="36"/>
      <c r="G917" s="36"/>
      <c r="H917" s="36"/>
      <c r="I917" s="36"/>
      <c r="J917" s="36"/>
      <c r="K917" s="36"/>
      <c r="L917" s="36"/>
      <c r="M917" s="36"/>
    </row>
    <row r="918" ht="13.2" spans="4:13">
      <c r="D918" s="36"/>
      <c r="E918" s="36"/>
      <c r="F918" s="36"/>
      <c r="G918" s="36"/>
      <c r="H918" s="36"/>
      <c r="I918" s="36"/>
      <c r="J918" s="36"/>
      <c r="K918" s="36"/>
      <c r="L918" s="36"/>
      <c r="M918" s="36"/>
    </row>
    <row r="919" ht="13.2" spans="4:13">
      <c r="D919" s="36"/>
      <c r="E919" s="36"/>
      <c r="F919" s="36"/>
      <c r="G919" s="36"/>
      <c r="H919" s="36"/>
      <c r="I919" s="36"/>
      <c r="J919" s="36"/>
      <c r="K919" s="36"/>
      <c r="L919" s="36"/>
      <c r="M919" s="36"/>
    </row>
    <row r="920" ht="13.2" spans="4:13">
      <c r="D920" s="36"/>
      <c r="E920" s="36"/>
      <c r="F920" s="36"/>
      <c r="G920" s="36"/>
      <c r="H920" s="36"/>
      <c r="I920" s="36"/>
      <c r="J920" s="36"/>
      <c r="K920" s="36"/>
      <c r="L920" s="36"/>
      <c r="M920" s="36"/>
    </row>
    <row r="921" ht="13.2" spans="4:13">
      <c r="D921" s="36"/>
      <c r="E921" s="36"/>
      <c r="F921" s="36"/>
      <c r="G921" s="36"/>
      <c r="H921" s="36"/>
      <c r="I921" s="36"/>
      <c r="J921" s="36"/>
      <c r="K921" s="36"/>
      <c r="L921" s="36"/>
      <c r="M921" s="36"/>
    </row>
    <row r="922" ht="13.2" spans="4:13">
      <c r="D922" s="36"/>
      <c r="E922" s="36"/>
      <c r="F922" s="36"/>
      <c r="G922" s="36"/>
      <c r="H922" s="36"/>
      <c r="I922" s="36"/>
      <c r="J922" s="36"/>
      <c r="K922" s="36"/>
      <c r="L922" s="36"/>
      <c r="M922" s="36"/>
    </row>
    <row r="923" ht="13.2" spans="4:13">
      <c r="D923" s="36"/>
      <c r="E923" s="36"/>
      <c r="F923" s="36"/>
      <c r="G923" s="36"/>
      <c r="H923" s="36"/>
      <c r="I923" s="36"/>
      <c r="J923" s="36"/>
      <c r="K923" s="36"/>
      <c r="L923" s="36"/>
      <c r="M923" s="36"/>
    </row>
    <row r="924" ht="13.2" spans="4:13">
      <c r="D924" s="36"/>
      <c r="E924" s="36"/>
      <c r="F924" s="36"/>
      <c r="G924" s="36"/>
      <c r="H924" s="36"/>
      <c r="I924" s="36"/>
      <c r="J924" s="36"/>
      <c r="K924" s="36"/>
      <c r="L924" s="36"/>
      <c r="M924" s="36"/>
    </row>
    <row r="925" ht="13.2" spans="4:13">
      <c r="D925" s="36"/>
      <c r="E925" s="36"/>
      <c r="F925" s="36"/>
      <c r="G925" s="36"/>
      <c r="H925" s="36"/>
      <c r="I925" s="36"/>
      <c r="J925" s="36"/>
      <c r="K925" s="36"/>
      <c r="L925" s="36"/>
      <c r="M925" s="36"/>
    </row>
    <row r="926" ht="13.2" spans="4:13">
      <c r="D926" s="36"/>
      <c r="E926" s="36"/>
      <c r="F926" s="36"/>
      <c r="G926" s="36"/>
      <c r="H926" s="36"/>
      <c r="I926" s="36"/>
      <c r="J926" s="36"/>
      <c r="K926" s="36"/>
      <c r="L926" s="36"/>
      <c r="M926" s="36"/>
    </row>
    <row r="927" ht="13.2" spans="4:13">
      <c r="D927" s="36"/>
      <c r="E927" s="36"/>
      <c r="F927" s="36"/>
      <c r="G927" s="36"/>
      <c r="H927" s="36"/>
      <c r="I927" s="36"/>
      <c r="J927" s="36"/>
      <c r="K927" s="36"/>
      <c r="L927" s="36"/>
      <c r="M927" s="36"/>
    </row>
    <row r="928" ht="13.2" spans="4:13">
      <c r="D928" s="36"/>
      <c r="E928" s="36"/>
      <c r="F928" s="36"/>
      <c r="G928" s="36"/>
      <c r="H928" s="36"/>
      <c r="I928" s="36"/>
      <c r="J928" s="36"/>
      <c r="K928" s="36"/>
      <c r="L928" s="36"/>
      <c r="M928" s="36"/>
    </row>
    <row r="929" ht="13.2" spans="4:13">
      <c r="D929" s="36"/>
      <c r="E929" s="36"/>
      <c r="F929" s="36"/>
      <c r="G929" s="36"/>
      <c r="H929" s="36"/>
      <c r="I929" s="36"/>
      <c r="J929" s="36"/>
      <c r="K929" s="36"/>
      <c r="L929" s="36"/>
      <c r="M929" s="36"/>
    </row>
    <row r="930" ht="13.2" spans="4:13">
      <c r="D930" s="36"/>
      <c r="E930" s="36"/>
      <c r="F930" s="36"/>
      <c r="G930" s="36"/>
      <c r="H930" s="36"/>
      <c r="I930" s="36"/>
      <c r="J930" s="36"/>
      <c r="K930" s="36"/>
      <c r="L930" s="36"/>
      <c r="M930" s="36"/>
    </row>
    <row r="931" ht="13.2" spans="4:13">
      <c r="D931" s="36"/>
      <c r="E931" s="36"/>
      <c r="F931" s="36"/>
      <c r="G931" s="36"/>
      <c r="H931" s="36"/>
      <c r="I931" s="36"/>
      <c r="J931" s="36"/>
      <c r="K931" s="36"/>
      <c r="L931" s="36"/>
      <c r="M931" s="36"/>
    </row>
    <row r="932" ht="13.2" spans="4:13">
      <c r="D932" s="36"/>
      <c r="E932" s="36"/>
      <c r="F932" s="36"/>
      <c r="G932" s="36"/>
      <c r="H932" s="36"/>
      <c r="I932" s="36"/>
      <c r="J932" s="36"/>
      <c r="K932" s="36"/>
      <c r="L932" s="36"/>
      <c r="M932" s="36"/>
    </row>
    <row r="933" ht="13.2" spans="4:13">
      <c r="D933" s="36"/>
      <c r="E933" s="36"/>
      <c r="F933" s="36"/>
      <c r="G933" s="36"/>
      <c r="H933" s="36"/>
      <c r="I933" s="36"/>
      <c r="J933" s="36"/>
      <c r="K933" s="36"/>
      <c r="L933" s="36"/>
      <c r="M933" s="36"/>
    </row>
    <row r="934" ht="13.2" spans="4:13">
      <c r="D934" s="36"/>
      <c r="E934" s="36"/>
      <c r="F934" s="36"/>
      <c r="G934" s="36"/>
      <c r="H934" s="36"/>
      <c r="I934" s="36"/>
      <c r="J934" s="36"/>
      <c r="K934" s="36"/>
      <c r="L934" s="36"/>
      <c r="M934" s="36"/>
    </row>
    <row r="935" ht="13.2" spans="4:13">
      <c r="D935" s="36"/>
      <c r="E935" s="36"/>
      <c r="F935" s="36"/>
      <c r="G935" s="36"/>
      <c r="H935" s="36"/>
      <c r="I935" s="36"/>
      <c r="J935" s="36"/>
      <c r="K935" s="36"/>
      <c r="L935" s="36"/>
      <c r="M935" s="36"/>
    </row>
    <row r="936" ht="13.2" spans="4:13">
      <c r="D936" s="36"/>
      <c r="E936" s="36"/>
      <c r="F936" s="36"/>
      <c r="G936" s="36"/>
      <c r="H936" s="36"/>
      <c r="I936" s="36"/>
      <c r="J936" s="36"/>
      <c r="K936" s="36"/>
      <c r="L936" s="36"/>
      <c r="M936" s="36"/>
    </row>
    <row r="937" ht="13.2" spans="4:13">
      <c r="D937" s="36"/>
      <c r="E937" s="36"/>
      <c r="F937" s="36"/>
      <c r="G937" s="36"/>
      <c r="H937" s="36"/>
      <c r="I937" s="36"/>
      <c r="J937" s="36"/>
      <c r="K937" s="36"/>
      <c r="L937" s="36"/>
      <c r="M937" s="36"/>
    </row>
    <row r="938" ht="13.2" spans="4:13">
      <c r="D938" s="36"/>
      <c r="E938" s="36"/>
      <c r="F938" s="36"/>
      <c r="G938" s="36"/>
      <c r="H938" s="36"/>
      <c r="I938" s="36"/>
      <c r="J938" s="36"/>
      <c r="K938" s="36"/>
      <c r="L938" s="36"/>
      <c r="M938" s="36"/>
    </row>
    <row r="939" ht="13.2" spans="4:13">
      <c r="D939" s="36"/>
      <c r="E939" s="36"/>
      <c r="F939" s="36"/>
      <c r="G939" s="36"/>
      <c r="H939" s="36"/>
      <c r="I939" s="36"/>
      <c r="J939" s="36"/>
      <c r="K939" s="36"/>
      <c r="L939" s="36"/>
      <c r="M939" s="36"/>
    </row>
    <row r="940" ht="13.2" spans="4:13">
      <c r="D940" s="36"/>
      <c r="E940" s="36"/>
      <c r="F940" s="36"/>
      <c r="G940" s="36"/>
      <c r="H940" s="36"/>
      <c r="I940" s="36"/>
      <c r="J940" s="36"/>
      <c r="K940" s="36"/>
      <c r="L940" s="36"/>
      <c r="M940" s="36"/>
    </row>
    <row r="941" ht="13.2" spans="4:13">
      <c r="D941" s="36"/>
      <c r="E941" s="36"/>
      <c r="F941" s="36"/>
      <c r="G941" s="36"/>
      <c r="H941" s="36"/>
      <c r="I941" s="36"/>
      <c r="J941" s="36"/>
      <c r="K941" s="36"/>
      <c r="L941" s="36"/>
      <c r="M941" s="36"/>
    </row>
    <row r="942" ht="13.2" spans="4:13">
      <c r="D942" s="36"/>
      <c r="E942" s="36"/>
      <c r="F942" s="36"/>
      <c r="G942" s="36"/>
      <c r="H942" s="36"/>
      <c r="I942" s="36"/>
      <c r="J942" s="36"/>
      <c r="K942" s="36"/>
      <c r="L942" s="36"/>
      <c r="M942" s="36"/>
    </row>
    <row r="943" ht="13.2" spans="4:13">
      <c r="D943" s="36"/>
      <c r="E943" s="36"/>
      <c r="F943" s="36"/>
      <c r="G943" s="36"/>
      <c r="H943" s="36"/>
      <c r="I943" s="36"/>
      <c r="J943" s="36"/>
      <c r="K943" s="36"/>
      <c r="L943" s="36"/>
      <c r="M943" s="36"/>
    </row>
    <row r="944" ht="13.2" spans="4:13">
      <c r="D944" s="36"/>
      <c r="E944" s="36"/>
      <c r="F944" s="36"/>
      <c r="G944" s="36"/>
      <c r="H944" s="36"/>
      <c r="I944" s="36"/>
      <c r="J944" s="36"/>
      <c r="K944" s="36"/>
      <c r="L944" s="36"/>
      <c r="M944" s="36"/>
    </row>
    <row r="945" ht="13.2" spans="4:13">
      <c r="D945" s="36"/>
      <c r="E945" s="36"/>
      <c r="F945" s="36"/>
      <c r="G945" s="36"/>
      <c r="H945" s="36"/>
      <c r="I945" s="36"/>
      <c r="J945" s="36"/>
      <c r="K945" s="36"/>
      <c r="L945" s="36"/>
      <c r="M945" s="36"/>
    </row>
    <row r="946" ht="13.2" spans="4:13">
      <c r="D946" s="36"/>
      <c r="E946" s="36"/>
      <c r="F946" s="36"/>
      <c r="G946" s="36"/>
      <c r="H946" s="36"/>
      <c r="I946" s="36"/>
      <c r="J946" s="36"/>
      <c r="K946" s="36"/>
      <c r="L946" s="36"/>
      <c r="M946" s="36"/>
    </row>
    <row r="947" ht="13.2" spans="4:13">
      <c r="D947" s="36"/>
      <c r="E947" s="36"/>
      <c r="F947" s="36"/>
      <c r="G947" s="36"/>
      <c r="H947" s="36"/>
      <c r="I947" s="36"/>
      <c r="J947" s="36"/>
      <c r="K947" s="36"/>
      <c r="L947" s="36"/>
      <c r="M947" s="36"/>
    </row>
    <row r="948" ht="13.2" spans="4:13">
      <c r="D948" s="36"/>
      <c r="E948" s="36"/>
      <c r="F948" s="36"/>
      <c r="G948" s="36"/>
      <c r="H948" s="36"/>
      <c r="I948" s="36"/>
      <c r="J948" s="36"/>
      <c r="K948" s="36"/>
      <c r="L948" s="36"/>
      <c r="M948" s="36"/>
    </row>
    <row r="949" ht="13.2" spans="4:13">
      <c r="D949" s="36"/>
      <c r="E949" s="36"/>
      <c r="F949" s="36"/>
      <c r="G949" s="36"/>
      <c r="H949" s="36"/>
      <c r="I949" s="36"/>
      <c r="J949" s="36"/>
      <c r="K949" s="36"/>
      <c r="L949" s="36"/>
      <c r="M949" s="36"/>
    </row>
    <row r="950" ht="13.2" spans="4:13">
      <c r="D950" s="36"/>
      <c r="E950" s="36"/>
      <c r="F950" s="36"/>
      <c r="G950" s="36"/>
      <c r="H950" s="36"/>
      <c r="I950" s="36"/>
      <c r="J950" s="36"/>
      <c r="K950" s="36"/>
      <c r="L950" s="36"/>
      <c r="M950" s="36"/>
    </row>
    <row r="951" ht="13.2" spans="4:13">
      <c r="D951" s="36"/>
      <c r="E951" s="36"/>
      <c r="F951" s="36"/>
      <c r="G951" s="36"/>
      <c r="H951" s="36"/>
      <c r="I951" s="36"/>
      <c r="J951" s="36"/>
      <c r="K951" s="36"/>
      <c r="L951" s="36"/>
      <c r="M951" s="36"/>
    </row>
    <row r="952" ht="13.2" spans="4:13">
      <c r="D952" s="36"/>
      <c r="E952" s="36"/>
      <c r="F952" s="36"/>
      <c r="G952" s="36"/>
      <c r="H952" s="36"/>
      <c r="I952" s="36"/>
      <c r="J952" s="36"/>
      <c r="K952" s="36"/>
      <c r="L952" s="36"/>
      <c r="M952" s="36"/>
    </row>
    <row r="953" ht="13.2" spans="4:13">
      <c r="D953" s="36"/>
      <c r="E953" s="36"/>
      <c r="F953" s="36"/>
      <c r="G953" s="36"/>
      <c r="H953" s="36"/>
      <c r="I953" s="36"/>
      <c r="J953" s="36"/>
      <c r="K953" s="36"/>
      <c r="L953" s="36"/>
      <c r="M953" s="36"/>
    </row>
    <row r="954" ht="13.2" spans="4:13">
      <c r="D954" s="36"/>
      <c r="E954" s="36"/>
      <c r="F954" s="36"/>
      <c r="G954" s="36"/>
      <c r="H954" s="36"/>
      <c r="I954" s="36"/>
      <c r="J954" s="36"/>
      <c r="K954" s="36"/>
      <c r="L954" s="36"/>
      <c r="M954" s="36"/>
    </row>
    <row r="955" ht="13.2" spans="4:13">
      <c r="D955" s="36"/>
      <c r="E955" s="36"/>
      <c r="F955" s="36"/>
      <c r="G955" s="36"/>
      <c r="H955" s="36"/>
      <c r="I955" s="36"/>
      <c r="J955" s="36"/>
      <c r="K955" s="36"/>
      <c r="L955" s="36"/>
      <c r="M955" s="36"/>
    </row>
    <row r="956" ht="13.2" spans="4:13">
      <c r="D956" s="36"/>
      <c r="E956" s="36"/>
      <c r="F956" s="36"/>
      <c r="G956" s="36"/>
      <c r="H956" s="36"/>
      <c r="I956" s="36"/>
      <c r="J956" s="36"/>
      <c r="K956" s="36"/>
      <c r="L956" s="36"/>
      <c r="M956" s="36"/>
    </row>
    <row r="957" ht="13.2" spans="4:13">
      <c r="D957" s="36"/>
      <c r="E957" s="36"/>
      <c r="F957" s="36"/>
      <c r="G957" s="36"/>
      <c r="H957" s="36"/>
      <c r="I957" s="36"/>
      <c r="J957" s="36"/>
      <c r="K957" s="36"/>
      <c r="L957" s="36"/>
      <c r="M957" s="36"/>
    </row>
    <row r="958" ht="13.2" spans="4:13">
      <c r="D958" s="36"/>
      <c r="E958" s="36"/>
      <c r="F958" s="36"/>
      <c r="G958" s="36"/>
      <c r="H958" s="36"/>
      <c r="I958" s="36"/>
      <c r="J958" s="36"/>
      <c r="K958" s="36"/>
      <c r="L958" s="36"/>
      <c r="M958" s="36"/>
    </row>
    <row r="959" ht="13.2" spans="4:13">
      <c r="D959" s="36"/>
      <c r="E959" s="36"/>
      <c r="F959" s="36"/>
      <c r="G959" s="36"/>
      <c r="H959" s="36"/>
      <c r="I959" s="36"/>
      <c r="J959" s="36"/>
      <c r="K959" s="36"/>
      <c r="L959" s="36"/>
      <c r="M959" s="36"/>
    </row>
    <row r="960" ht="13.2" spans="4:13">
      <c r="D960" s="36"/>
      <c r="E960" s="36"/>
      <c r="F960" s="36"/>
      <c r="G960" s="36"/>
      <c r="H960" s="36"/>
      <c r="I960" s="36"/>
      <c r="J960" s="36"/>
      <c r="K960" s="36"/>
      <c r="L960" s="36"/>
      <c r="M960" s="36"/>
    </row>
    <row r="961" ht="13.2" spans="4:13">
      <c r="D961" s="36"/>
      <c r="E961" s="36"/>
      <c r="F961" s="36"/>
      <c r="G961" s="36"/>
      <c r="H961" s="36"/>
      <c r="I961" s="36"/>
      <c r="J961" s="36"/>
      <c r="K961" s="36"/>
      <c r="L961" s="36"/>
      <c r="M961" s="36"/>
    </row>
    <row r="962" ht="13.2" spans="4:13">
      <c r="D962" s="36"/>
      <c r="E962" s="36"/>
      <c r="F962" s="36"/>
      <c r="G962" s="36"/>
      <c r="H962" s="36"/>
      <c r="I962" s="36"/>
      <c r="J962" s="36"/>
      <c r="K962" s="36"/>
      <c r="L962" s="36"/>
      <c r="M962" s="36"/>
    </row>
    <row r="963" ht="13.2" spans="4:13">
      <c r="D963" s="36"/>
      <c r="E963" s="36"/>
      <c r="F963" s="36"/>
      <c r="G963" s="36"/>
      <c r="H963" s="36"/>
      <c r="I963" s="36"/>
      <c r="J963" s="36"/>
      <c r="K963" s="36"/>
      <c r="L963" s="36"/>
      <c r="M963" s="36"/>
    </row>
    <row r="964" ht="13.2" spans="4:13">
      <c r="D964" s="36"/>
      <c r="E964" s="36"/>
      <c r="F964" s="36"/>
      <c r="G964" s="36"/>
      <c r="H964" s="36"/>
      <c r="I964" s="36"/>
      <c r="J964" s="36"/>
      <c r="K964" s="36"/>
      <c r="L964" s="36"/>
      <c r="M964" s="36"/>
    </row>
    <row r="965" ht="13.2" spans="4:13">
      <c r="D965" s="36"/>
      <c r="E965" s="36"/>
      <c r="F965" s="36"/>
      <c r="G965" s="36"/>
      <c r="H965" s="36"/>
      <c r="I965" s="36"/>
      <c r="J965" s="36"/>
      <c r="K965" s="36"/>
      <c r="L965" s="36"/>
      <c r="M965" s="36"/>
    </row>
    <row r="966" ht="13.2" spans="4:13">
      <c r="D966" s="36"/>
      <c r="E966" s="36"/>
      <c r="F966" s="36"/>
      <c r="G966" s="36"/>
      <c r="H966" s="36"/>
      <c r="I966" s="36"/>
      <c r="J966" s="36"/>
      <c r="K966" s="36"/>
      <c r="L966" s="36"/>
      <c r="M966" s="36"/>
    </row>
    <row r="967" ht="13.2" spans="4:13">
      <c r="D967" s="36"/>
      <c r="E967" s="36"/>
      <c r="F967" s="36"/>
      <c r="G967" s="36"/>
      <c r="H967" s="36"/>
      <c r="I967" s="36"/>
      <c r="J967" s="36"/>
      <c r="K967" s="36"/>
      <c r="L967" s="36"/>
      <c r="M967" s="36"/>
    </row>
    <row r="968" ht="13.2" spans="4:13">
      <c r="D968" s="36"/>
      <c r="E968" s="36"/>
      <c r="F968" s="36"/>
      <c r="G968" s="36"/>
      <c r="H968" s="36"/>
      <c r="I968" s="36"/>
      <c r="J968" s="36"/>
      <c r="K968" s="36"/>
      <c r="L968" s="36"/>
      <c r="M968" s="36"/>
    </row>
    <row r="969" ht="13.2" spans="4:13">
      <c r="D969" s="36"/>
      <c r="E969" s="36"/>
      <c r="F969" s="36"/>
      <c r="G969" s="36"/>
      <c r="H969" s="36"/>
      <c r="I969" s="36"/>
      <c r="J969" s="36"/>
      <c r="K969" s="36"/>
      <c r="L969" s="36"/>
      <c r="M969" s="36"/>
    </row>
    <row r="970" ht="13.2" spans="4:13">
      <c r="D970" s="36"/>
      <c r="E970" s="36"/>
      <c r="F970" s="36"/>
      <c r="G970" s="36"/>
      <c r="H970" s="36"/>
      <c r="I970" s="36"/>
      <c r="J970" s="36"/>
      <c r="K970" s="36"/>
      <c r="L970" s="36"/>
      <c r="M970" s="36"/>
    </row>
    <row r="971" ht="13.2" spans="4:13">
      <c r="D971" s="36"/>
      <c r="E971" s="36"/>
      <c r="F971" s="36"/>
      <c r="G971" s="36"/>
      <c r="H971" s="36"/>
      <c r="I971" s="36"/>
      <c r="J971" s="36"/>
      <c r="K971" s="36"/>
      <c r="L971" s="36"/>
      <c r="M971" s="36"/>
    </row>
    <row r="972" ht="13.2" spans="4:13">
      <c r="D972" s="36"/>
      <c r="E972" s="36"/>
      <c r="F972" s="36"/>
      <c r="G972" s="36"/>
      <c r="H972" s="36"/>
      <c r="I972" s="36"/>
      <c r="J972" s="36"/>
      <c r="K972" s="36"/>
      <c r="L972" s="36"/>
      <c r="M972" s="36"/>
    </row>
    <row r="973" ht="13.2" spans="4:13">
      <c r="D973" s="36"/>
      <c r="E973" s="36"/>
      <c r="F973" s="36"/>
      <c r="G973" s="36"/>
      <c r="H973" s="36"/>
      <c r="I973" s="36"/>
      <c r="J973" s="36"/>
      <c r="K973" s="36"/>
      <c r="L973" s="36"/>
      <c r="M973" s="36"/>
    </row>
    <row r="974" ht="13.2" spans="4:13">
      <c r="D974" s="36"/>
      <c r="E974" s="36"/>
      <c r="F974" s="36"/>
      <c r="G974" s="36"/>
      <c r="H974" s="36"/>
      <c r="I974" s="36"/>
      <c r="J974" s="36"/>
      <c r="K974" s="36"/>
      <c r="L974" s="36"/>
      <c r="M974" s="36"/>
    </row>
    <row r="975" ht="13.2" spans="4:13">
      <c r="D975" s="36"/>
      <c r="E975" s="36"/>
      <c r="F975" s="36"/>
      <c r="G975" s="36"/>
      <c r="H975" s="36"/>
      <c r="I975" s="36"/>
      <c r="J975" s="36"/>
      <c r="K975" s="36"/>
      <c r="L975" s="36"/>
      <c r="M975" s="36"/>
    </row>
    <row r="976" ht="13.2" spans="4:13">
      <c r="D976" s="36"/>
      <c r="E976" s="36"/>
      <c r="F976" s="36"/>
      <c r="G976" s="36"/>
      <c r="H976" s="36"/>
      <c r="I976" s="36"/>
      <c r="J976" s="36"/>
      <c r="K976" s="36"/>
      <c r="L976" s="36"/>
      <c r="M976" s="36"/>
    </row>
    <row r="977" ht="13.2" spans="4:13">
      <c r="D977" s="36"/>
      <c r="E977" s="36"/>
      <c r="F977" s="36"/>
      <c r="G977" s="36"/>
      <c r="H977" s="36"/>
      <c r="I977" s="36"/>
      <c r="J977" s="36"/>
      <c r="K977" s="36"/>
      <c r="L977" s="36"/>
      <c r="M977" s="36"/>
    </row>
    <row r="978" ht="13.2" spans="4:13">
      <c r="D978" s="36"/>
      <c r="E978" s="36"/>
      <c r="F978" s="36"/>
      <c r="G978" s="36"/>
      <c r="H978" s="36"/>
      <c r="I978" s="36"/>
      <c r="J978" s="36"/>
      <c r="K978" s="36"/>
      <c r="L978" s="36"/>
      <c r="M978" s="36"/>
    </row>
    <row r="979" ht="13.2" spans="4:13">
      <c r="D979" s="36"/>
      <c r="E979" s="36"/>
      <c r="F979" s="36"/>
      <c r="G979" s="36"/>
      <c r="H979" s="36"/>
      <c r="I979" s="36"/>
      <c r="J979" s="36"/>
      <c r="K979" s="36"/>
      <c r="L979" s="36"/>
      <c r="M979" s="36"/>
    </row>
    <row r="980" ht="13.2" spans="4:13">
      <c r="D980" s="36"/>
      <c r="E980" s="36"/>
      <c r="F980" s="36"/>
      <c r="G980" s="36"/>
      <c r="H980" s="36"/>
      <c r="I980" s="36"/>
      <c r="J980" s="36"/>
      <c r="K980" s="36"/>
      <c r="L980" s="36"/>
      <c r="M980" s="36"/>
    </row>
    <row r="981" ht="13.2" spans="4:13">
      <c r="D981" s="36"/>
      <c r="E981" s="36"/>
      <c r="F981" s="36"/>
      <c r="G981" s="36"/>
      <c r="H981" s="36"/>
      <c r="I981" s="36"/>
      <c r="J981" s="36"/>
      <c r="K981" s="36"/>
      <c r="L981" s="36"/>
      <c r="M981" s="36"/>
    </row>
    <row r="982" ht="13.2" spans="4:13">
      <c r="D982" s="36"/>
      <c r="E982" s="36"/>
      <c r="F982" s="36"/>
      <c r="G982" s="36"/>
      <c r="H982" s="36"/>
      <c r="I982" s="36"/>
      <c r="J982" s="36"/>
      <c r="K982" s="36"/>
      <c r="L982" s="36"/>
      <c r="M982" s="36"/>
    </row>
    <row r="983" ht="13.2" spans="4:13">
      <c r="D983" s="36"/>
      <c r="E983" s="36"/>
      <c r="F983" s="36"/>
      <c r="G983" s="36"/>
      <c r="H983" s="36"/>
      <c r="I983" s="36"/>
      <c r="J983" s="36"/>
      <c r="K983" s="36"/>
      <c r="L983" s="36"/>
      <c r="M983" s="36"/>
    </row>
    <row r="984" ht="13.2" spans="4:13">
      <c r="D984" s="36"/>
      <c r="E984" s="36"/>
      <c r="F984" s="36"/>
      <c r="G984" s="36"/>
      <c r="H984" s="36"/>
      <c r="I984" s="36"/>
      <c r="J984" s="36"/>
      <c r="K984" s="36"/>
      <c r="L984" s="36"/>
      <c r="M984" s="36"/>
    </row>
    <row r="985" ht="13.2" spans="4:13">
      <c r="D985" s="36"/>
      <c r="E985" s="36"/>
      <c r="F985" s="36"/>
      <c r="G985" s="36"/>
      <c r="H985" s="36"/>
      <c r="I985" s="36"/>
      <c r="J985" s="36"/>
      <c r="K985" s="36"/>
      <c r="L985" s="36"/>
      <c r="M985" s="36"/>
    </row>
    <row r="986" ht="13.2" spans="4:13">
      <c r="D986" s="36"/>
      <c r="E986" s="36"/>
      <c r="F986" s="36"/>
      <c r="G986" s="36"/>
      <c r="H986" s="36"/>
      <c r="I986" s="36"/>
      <c r="J986" s="36"/>
      <c r="K986" s="36"/>
      <c r="L986" s="36"/>
      <c r="M986" s="36"/>
    </row>
    <row r="987" ht="13.2" spans="4:13">
      <c r="D987" s="36"/>
      <c r="E987" s="36"/>
      <c r="F987" s="36"/>
      <c r="G987" s="36"/>
      <c r="H987" s="36"/>
      <c r="I987" s="36"/>
      <c r="J987" s="36"/>
      <c r="K987" s="36"/>
      <c r="L987" s="36"/>
      <c r="M987" s="36"/>
    </row>
    <row r="988" ht="13.2" spans="4:13">
      <c r="D988" s="36"/>
      <c r="E988" s="36"/>
      <c r="F988" s="36"/>
      <c r="G988" s="36"/>
      <c r="H988" s="36"/>
      <c r="I988" s="36"/>
      <c r="J988" s="36"/>
      <c r="K988" s="36"/>
      <c r="L988" s="36"/>
      <c r="M988" s="36"/>
    </row>
    <row r="989" ht="13.2" spans="4:13">
      <c r="D989" s="36"/>
      <c r="E989" s="36"/>
      <c r="F989" s="36"/>
      <c r="G989" s="36"/>
      <c r="H989" s="36"/>
      <c r="I989" s="36"/>
      <c r="J989" s="36"/>
      <c r="K989" s="36"/>
      <c r="L989" s="36"/>
      <c r="M989" s="36"/>
    </row>
    <row r="990" ht="13.2" spans="4:13">
      <c r="D990" s="36"/>
      <c r="E990" s="36"/>
      <c r="F990" s="36"/>
      <c r="G990" s="36"/>
      <c r="H990" s="36"/>
      <c r="I990" s="36"/>
      <c r="J990" s="36"/>
      <c r="K990" s="36"/>
      <c r="L990" s="36"/>
      <c r="M990" s="36"/>
    </row>
    <row r="991" ht="13.2" spans="4:13">
      <c r="D991" s="36"/>
      <c r="E991" s="36"/>
      <c r="F991" s="36"/>
      <c r="G991" s="36"/>
      <c r="H991" s="36"/>
      <c r="I991" s="36"/>
      <c r="J991" s="36"/>
      <c r="K991" s="36"/>
      <c r="L991" s="36"/>
      <c r="M991" s="36"/>
    </row>
    <row r="992" ht="13.2" spans="4:13">
      <c r="D992" s="36"/>
      <c r="E992" s="36"/>
      <c r="F992" s="36"/>
      <c r="G992" s="36"/>
      <c r="H992" s="36"/>
      <c r="I992" s="36"/>
      <c r="J992" s="36"/>
      <c r="K992" s="36"/>
      <c r="L992" s="36"/>
      <c r="M992" s="36"/>
    </row>
    <row r="993" ht="13.2" spans="4:13">
      <c r="D993" s="36"/>
      <c r="E993" s="36"/>
      <c r="F993" s="36"/>
      <c r="G993" s="36"/>
      <c r="H993" s="36"/>
      <c r="I993" s="36"/>
      <c r="J993" s="36"/>
      <c r="K993" s="36"/>
      <c r="L993" s="36"/>
      <c r="M993" s="36"/>
    </row>
    <row r="994" ht="13.2" spans="4:13">
      <c r="D994" s="36"/>
      <c r="E994" s="36"/>
      <c r="F994" s="36"/>
      <c r="G994" s="36"/>
      <c r="H994" s="36"/>
      <c r="I994" s="36"/>
      <c r="J994" s="36"/>
      <c r="K994" s="36"/>
      <c r="L994" s="36"/>
      <c r="M994" s="36"/>
    </row>
    <row r="995" ht="13.2" spans="4:13">
      <c r="D995" s="36"/>
      <c r="E995" s="36"/>
      <c r="F995" s="36"/>
      <c r="G995" s="36"/>
      <c r="H995" s="36"/>
      <c r="I995" s="36"/>
      <c r="J995" s="36"/>
      <c r="K995" s="36"/>
      <c r="L995" s="36"/>
      <c r="M995" s="36"/>
    </row>
    <row r="996" ht="13.2" spans="4:13">
      <c r="D996" s="36"/>
      <c r="E996" s="36"/>
      <c r="F996" s="36"/>
      <c r="G996" s="36"/>
      <c r="H996" s="36"/>
      <c r="I996" s="36"/>
      <c r="J996" s="36"/>
      <c r="K996" s="36"/>
      <c r="L996" s="36"/>
      <c r="M996" s="36"/>
    </row>
    <row r="997" ht="13.2" spans="4:13">
      <c r="D997" s="36"/>
      <c r="E997" s="36"/>
      <c r="F997" s="36"/>
      <c r="G997" s="36"/>
      <c r="H997" s="36"/>
      <c r="I997" s="36"/>
      <c r="J997" s="36"/>
      <c r="K997" s="36"/>
      <c r="L997" s="36"/>
      <c r="M997" s="36"/>
    </row>
    <row r="998" ht="13.2" spans="4:13">
      <c r="D998" s="36"/>
      <c r="E998" s="36"/>
      <c r="F998" s="36"/>
      <c r="G998" s="36"/>
      <c r="H998" s="36"/>
      <c r="I998" s="36"/>
      <c r="J998" s="36"/>
      <c r="K998" s="36"/>
      <c r="L998" s="36"/>
      <c r="M998" s="36"/>
    </row>
    <row r="999" ht="13.2" spans="4:13">
      <c r="D999" s="36"/>
      <c r="E999" s="36"/>
      <c r="F999" s="36"/>
      <c r="G999" s="36"/>
      <c r="H999" s="36"/>
      <c r="I999" s="36"/>
      <c r="J999" s="36"/>
      <c r="K999" s="36"/>
      <c r="L999" s="36"/>
      <c r="M999" s="36"/>
    </row>
  </sheetData>
  <mergeCells count="1">
    <mergeCell ref="B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1023"/>
  <sheetViews>
    <sheetView showGridLines="0" tabSelected="1" workbookViewId="0">
      <selection activeCell="A1" sqref="A1"/>
    </sheetView>
  </sheetViews>
  <sheetFormatPr defaultColWidth="12.6296296296296" defaultRowHeight="15.75" customHeight="1"/>
  <cols>
    <col min="1" max="1" width="3" customWidth="1"/>
    <col min="3" max="3" width="13.6296296296296" customWidth="1"/>
    <col min="9" max="9" width="19.25" customWidth="1"/>
    <col min="21" max="21" width="26" customWidth="1"/>
    <col min="22" max="22" width="23.5" customWidth="1"/>
  </cols>
  <sheetData>
    <row r="1" customHeight="1" spans="1:44">
      <c r="A1" s="24"/>
      <c r="B1" s="172" t="s">
        <v>32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customHeight="1" spans="1:44">
      <c r="A2" s="24"/>
      <c r="B2" s="172" t="s">
        <v>33</v>
      </c>
      <c r="C2" s="173">
        <v>0.04</v>
      </c>
      <c r="D2" s="174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</row>
    <row r="3" customHeight="1" spans="1:44">
      <c r="A3" s="24"/>
      <c r="B3" s="160" t="s">
        <v>34</v>
      </c>
      <c r="C3" s="160" t="s">
        <v>35</v>
      </c>
      <c r="D3" s="160" t="s">
        <v>36</v>
      </c>
      <c r="E3" s="160" t="s">
        <v>37</v>
      </c>
      <c r="F3" s="160" t="s">
        <v>38</v>
      </c>
      <c r="G3" s="160" t="s">
        <v>39</v>
      </c>
      <c r="H3" s="160" t="s">
        <v>40</v>
      </c>
      <c r="I3" s="160" t="s">
        <v>41</v>
      </c>
      <c r="J3" s="160" t="s">
        <v>42</v>
      </c>
      <c r="K3" s="160" t="s">
        <v>43</v>
      </c>
      <c r="L3" s="160" t="s">
        <v>44</v>
      </c>
      <c r="M3" s="160" t="s">
        <v>45</v>
      </c>
      <c r="N3" s="160" t="s">
        <v>46</v>
      </c>
      <c r="O3" s="160" t="s">
        <v>47</v>
      </c>
      <c r="P3" s="160" t="s">
        <v>48</v>
      </c>
      <c r="Q3" s="160" t="s">
        <v>49</v>
      </c>
      <c r="R3" s="160" t="s">
        <v>50</v>
      </c>
      <c r="S3" s="160" t="s">
        <v>51</v>
      </c>
      <c r="T3" s="160" t="s">
        <v>52</v>
      </c>
      <c r="U3" s="160" t="s">
        <v>53</v>
      </c>
      <c r="V3" s="160" t="s">
        <v>15</v>
      </c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</row>
    <row r="4" customHeight="1" spans="1:44">
      <c r="A4" s="166"/>
      <c r="B4" s="175">
        <v>2470</v>
      </c>
      <c r="C4" s="176" t="s">
        <v>16</v>
      </c>
      <c r="D4" s="176" t="s">
        <v>0</v>
      </c>
      <c r="E4" s="176">
        <v>1</v>
      </c>
      <c r="F4" s="176" t="s">
        <v>1</v>
      </c>
      <c r="G4" s="177">
        <v>45845</v>
      </c>
      <c r="H4" s="176" t="s">
        <v>6</v>
      </c>
      <c r="I4" s="176" t="s">
        <v>54</v>
      </c>
      <c r="J4" s="175">
        <v>1019</v>
      </c>
      <c r="K4" s="182">
        <v>180</v>
      </c>
      <c r="L4" s="182">
        <v>0</v>
      </c>
      <c r="M4" s="182">
        <f t="shared" ref="M4:M16" si="0">K4-L4</f>
        <v>180</v>
      </c>
      <c r="N4" s="182">
        <f>M4*C2</f>
        <v>7.2</v>
      </c>
      <c r="O4" s="183">
        <f>M4*1.9%</f>
        <v>3.42</v>
      </c>
      <c r="P4" s="184" t="s">
        <v>7</v>
      </c>
      <c r="Q4" s="184" t="s">
        <v>55</v>
      </c>
      <c r="R4" s="184">
        <f t="shared" ref="R4:R16" si="1">M4-N4-O4</f>
        <v>169.38</v>
      </c>
      <c r="S4" s="184">
        <f t="shared" ref="S4:S12" si="2">R4/E4</f>
        <v>169.38</v>
      </c>
      <c r="T4" s="192" t="s">
        <v>56</v>
      </c>
      <c r="U4" s="184">
        <f t="shared" ref="U4:U15" si="3">M4-O4</f>
        <v>176.58</v>
      </c>
      <c r="V4" s="175" t="s">
        <v>57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</row>
    <row r="5" customHeight="1" spans="1:44">
      <c r="A5" s="166"/>
      <c r="B5" s="175">
        <v>2550</v>
      </c>
      <c r="C5" s="176" t="s">
        <v>58</v>
      </c>
      <c r="D5" s="176" t="s">
        <v>0</v>
      </c>
      <c r="E5" s="176">
        <v>2</v>
      </c>
      <c r="F5" s="176" t="s">
        <v>1</v>
      </c>
      <c r="G5" s="177">
        <v>45845</v>
      </c>
      <c r="H5" s="176" t="s">
        <v>6</v>
      </c>
      <c r="I5" s="176" t="s">
        <v>54</v>
      </c>
      <c r="J5" s="175">
        <v>1020</v>
      </c>
      <c r="K5" s="182">
        <v>120</v>
      </c>
      <c r="L5" s="182">
        <v>0</v>
      </c>
      <c r="M5" s="182">
        <f t="shared" si="0"/>
        <v>120</v>
      </c>
      <c r="N5" s="182">
        <f>M5*C2</f>
        <v>4.8</v>
      </c>
      <c r="O5" s="183">
        <v>0</v>
      </c>
      <c r="P5" s="184" t="s">
        <v>5</v>
      </c>
      <c r="Q5" s="184" t="s">
        <v>6</v>
      </c>
      <c r="R5" s="184">
        <f t="shared" si="1"/>
        <v>115.2</v>
      </c>
      <c r="S5" s="184">
        <f t="shared" si="2"/>
        <v>57.6</v>
      </c>
      <c r="T5" s="192" t="s">
        <v>59</v>
      </c>
      <c r="U5" s="184">
        <f t="shared" si="3"/>
        <v>120</v>
      </c>
      <c r="V5" s="175" t="s">
        <v>60</v>
      </c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</row>
    <row r="6" customHeight="1" spans="1:44">
      <c r="A6" s="166"/>
      <c r="B6" s="175">
        <v>2470</v>
      </c>
      <c r="C6" s="176" t="s">
        <v>16</v>
      </c>
      <c r="D6" s="176" t="s">
        <v>0</v>
      </c>
      <c r="E6" s="176">
        <v>1</v>
      </c>
      <c r="F6" s="176" t="s">
        <v>1</v>
      </c>
      <c r="G6" s="177">
        <v>45845</v>
      </c>
      <c r="H6" s="176" t="s">
        <v>6</v>
      </c>
      <c r="I6" s="176" t="s">
        <v>54</v>
      </c>
      <c r="J6" s="175">
        <v>1021</v>
      </c>
      <c r="K6" s="182">
        <v>180</v>
      </c>
      <c r="L6" s="182">
        <v>80</v>
      </c>
      <c r="M6" s="182">
        <f t="shared" si="0"/>
        <v>100</v>
      </c>
      <c r="N6" s="182">
        <f>M6*C2</f>
        <v>4</v>
      </c>
      <c r="O6" s="183">
        <f t="shared" ref="O6:O7" si="4">M6*1.9%</f>
        <v>1.9</v>
      </c>
      <c r="P6" s="184" t="s">
        <v>7</v>
      </c>
      <c r="Q6" s="184" t="s">
        <v>55</v>
      </c>
      <c r="R6" s="184">
        <f t="shared" si="1"/>
        <v>94.1</v>
      </c>
      <c r="S6" s="184">
        <f t="shared" si="2"/>
        <v>94.1</v>
      </c>
      <c r="T6" s="192" t="s">
        <v>59</v>
      </c>
      <c r="U6" s="184">
        <f t="shared" si="3"/>
        <v>98.1</v>
      </c>
      <c r="V6" s="175" t="s">
        <v>61</v>
      </c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</row>
    <row r="7" customHeight="1" spans="1:44">
      <c r="A7" s="166"/>
      <c r="B7" s="175">
        <v>2470</v>
      </c>
      <c r="C7" s="176" t="s">
        <v>16</v>
      </c>
      <c r="D7" s="176" t="s">
        <v>0</v>
      </c>
      <c r="E7" s="176">
        <v>1</v>
      </c>
      <c r="F7" s="176" t="s">
        <v>1</v>
      </c>
      <c r="G7" s="177">
        <v>45845</v>
      </c>
      <c r="H7" s="176" t="s">
        <v>6</v>
      </c>
      <c r="I7" s="176" t="s">
        <v>54</v>
      </c>
      <c r="J7" s="175">
        <v>1022</v>
      </c>
      <c r="K7" s="182">
        <v>180</v>
      </c>
      <c r="L7" s="182">
        <v>80</v>
      </c>
      <c r="M7" s="182">
        <f t="shared" si="0"/>
        <v>100</v>
      </c>
      <c r="N7" s="182">
        <f>M7*C2</f>
        <v>4</v>
      </c>
      <c r="O7" s="183">
        <f t="shared" si="4"/>
        <v>1.9</v>
      </c>
      <c r="P7" s="184" t="s">
        <v>7</v>
      </c>
      <c r="Q7" s="184" t="s">
        <v>62</v>
      </c>
      <c r="R7" s="184">
        <f t="shared" si="1"/>
        <v>94.1</v>
      </c>
      <c r="S7" s="184">
        <f t="shared" si="2"/>
        <v>94.1</v>
      </c>
      <c r="T7" s="192" t="s">
        <v>59</v>
      </c>
      <c r="U7" s="184">
        <f t="shared" si="3"/>
        <v>98.1</v>
      </c>
      <c r="V7" s="175" t="s">
        <v>61</v>
      </c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</row>
    <row r="8" customHeight="1" spans="1:44">
      <c r="A8" s="166"/>
      <c r="B8" s="175">
        <v>2470</v>
      </c>
      <c r="C8" s="176" t="s">
        <v>16</v>
      </c>
      <c r="D8" s="176" t="s">
        <v>0</v>
      </c>
      <c r="E8" s="176">
        <v>1</v>
      </c>
      <c r="F8" s="176" t="s">
        <v>1</v>
      </c>
      <c r="G8" s="177">
        <v>45845</v>
      </c>
      <c r="H8" s="176" t="s">
        <v>6</v>
      </c>
      <c r="I8" s="176" t="s">
        <v>54</v>
      </c>
      <c r="J8" s="175">
        <v>1023</v>
      </c>
      <c r="K8" s="182">
        <v>180</v>
      </c>
      <c r="L8" s="182">
        <v>80</v>
      </c>
      <c r="M8" s="182">
        <f t="shared" si="0"/>
        <v>100</v>
      </c>
      <c r="N8" s="182">
        <f>M8*C2</f>
        <v>4</v>
      </c>
      <c r="O8" s="183">
        <v>0</v>
      </c>
      <c r="P8" s="184" t="s">
        <v>5</v>
      </c>
      <c r="Q8" s="184" t="s">
        <v>6</v>
      </c>
      <c r="R8" s="184">
        <f t="shared" si="1"/>
        <v>96</v>
      </c>
      <c r="S8" s="184">
        <f t="shared" si="2"/>
        <v>96</v>
      </c>
      <c r="T8" s="192" t="s">
        <v>59</v>
      </c>
      <c r="U8" s="184">
        <f t="shared" si="3"/>
        <v>100</v>
      </c>
      <c r="V8" s="175" t="s">
        <v>61</v>
      </c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</row>
    <row r="9" customHeight="1" spans="1:44">
      <c r="A9" s="166"/>
      <c r="B9" s="175">
        <v>2470</v>
      </c>
      <c r="C9" s="176" t="s">
        <v>16</v>
      </c>
      <c r="D9" s="176" t="s">
        <v>0</v>
      </c>
      <c r="E9" s="176">
        <v>1</v>
      </c>
      <c r="F9" s="176" t="s">
        <v>1</v>
      </c>
      <c r="G9" s="177">
        <v>45845</v>
      </c>
      <c r="H9" s="176" t="s">
        <v>6</v>
      </c>
      <c r="I9" s="176" t="s">
        <v>54</v>
      </c>
      <c r="J9" s="175">
        <v>1024</v>
      </c>
      <c r="K9" s="182">
        <v>180</v>
      </c>
      <c r="L9" s="182">
        <v>0</v>
      </c>
      <c r="M9" s="182">
        <f t="shared" si="0"/>
        <v>180</v>
      </c>
      <c r="N9" s="182">
        <f>M9*C2</f>
        <v>7.2</v>
      </c>
      <c r="O9" s="183">
        <v>0</v>
      </c>
      <c r="P9" s="184" t="s">
        <v>5</v>
      </c>
      <c r="Q9" s="184" t="s">
        <v>6</v>
      </c>
      <c r="R9" s="184">
        <f t="shared" si="1"/>
        <v>172.8</v>
      </c>
      <c r="S9" s="184">
        <f t="shared" si="2"/>
        <v>172.8</v>
      </c>
      <c r="T9" s="192" t="s">
        <v>59</v>
      </c>
      <c r="U9" s="184">
        <f t="shared" si="3"/>
        <v>180</v>
      </c>
      <c r="V9" s="175" t="s">
        <v>61</v>
      </c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</row>
    <row r="10" customHeight="1" spans="1:44">
      <c r="A10" s="166"/>
      <c r="B10" s="175">
        <v>2470</v>
      </c>
      <c r="C10" s="176" t="s">
        <v>16</v>
      </c>
      <c r="D10" s="176" t="s">
        <v>0</v>
      </c>
      <c r="E10" s="176">
        <v>1</v>
      </c>
      <c r="F10" s="176" t="s">
        <v>1</v>
      </c>
      <c r="G10" s="177">
        <v>45845</v>
      </c>
      <c r="H10" s="176" t="s">
        <v>6</v>
      </c>
      <c r="I10" s="176" t="s">
        <v>54</v>
      </c>
      <c r="J10" s="175">
        <v>1024</v>
      </c>
      <c r="K10" s="182">
        <v>180</v>
      </c>
      <c r="L10" s="182">
        <v>80</v>
      </c>
      <c r="M10" s="182">
        <f t="shared" si="0"/>
        <v>100</v>
      </c>
      <c r="N10" s="182">
        <f>M10*C2</f>
        <v>4</v>
      </c>
      <c r="O10" s="183">
        <v>0</v>
      </c>
      <c r="P10" s="184" t="s">
        <v>5</v>
      </c>
      <c r="Q10" s="184" t="s">
        <v>6</v>
      </c>
      <c r="R10" s="184">
        <f t="shared" si="1"/>
        <v>96</v>
      </c>
      <c r="S10" s="184">
        <f t="shared" si="2"/>
        <v>96</v>
      </c>
      <c r="T10" s="192" t="s">
        <v>59</v>
      </c>
      <c r="U10" s="184">
        <f t="shared" si="3"/>
        <v>100</v>
      </c>
      <c r="V10" s="175" t="s">
        <v>61</v>
      </c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</row>
    <row r="11" customHeight="1" spans="1:44">
      <c r="A11" s="166"/>
      <c r="B11" s="175">
        <v>2470</v>
      </c>
      <c r="C11" s="176" t="s">
        <v>16</v>
      </c>
      <c r="D11" s="176" t="s">
        <v>0</v>
      </c>
      <c r="E11" s="176">
        <v>1</v>
      </c>
      <c r="F11" s="176" t="s">
        <v>1</v>
      </c>
      <c r="G11" s="177">
        <v>45846</v>
      </c>
      <c r="H11" s="176" t="s">
        <v>6</v>
      </c>
      <c r="I11" s="176" t="s">
        <v>54</v>
      </c>
      <c r="J11" s="175">
        <v>1025</v>
      </c>
      <c r="K11" s="182">
        <v>180</v>
      </c>
      <c r="L11" s="182">
        <v>0</v>
      </c>
      <c r="M11" s="182">
        <f t="shared" si="0"/>
        <v>180</v>
      </c>
      <c r="N11" s="182">
        <f>M11*C2</f>
        <v>7.2</v>
      </c>
      <c r="O11" s="183">
        <v>0</v>
      </c>
      <c r="P11" s="184" t="s">
        <v>5</v>
      </c>
      <c r="Q11" s="184" t="s">
        <v>6</v>
      </c>
      <c r="R11" s="184">
        <f t="shared" si="1"/>
        <v>172.8</v>
      </c>
      <c r="S11" s="184">
        <f t="shared" si="2"/>
        <v>172.8</v>
      </c>
      <c r="T11" s="192" t="s">
        <v>59</v>
      </c>
      <c r="U11" s="184">
        <f t="shared" si="3"/>
        <v>180</v>
      </c>
      <c r="V11" s="175" t="s">
        <v>63</v>
      </c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</row>
    <row r="12" customHeight="1" spans="1:44">
      <c r="A12" s="166"/>
      <c r="B12" s="175">
        <v>2470</v>
      </c>
      <c r="C12" s="176" t="s">
        <v>16</v>
      </c>
      <c r="D12" s="176" t="s">
        <v>0</v>
      </c>
      <c r="E12" s="176">
        <v>1</v>
      </c>
      <c r="F12" s="176" t="s">
        <v>1</v>
      </c>
      <c r="G12" s="177">
        <v>45846</v>
      </c>
      <c r="H12" s="176" t="s">
        <v>6</v>
      </c>
      <c r="I12" s="176" t="s">
        <v>54</v>
      </c>
      <c r="J12" s="175">
        <v>1026</v>
      </c>
      <c r="K12" s="182">
        <v>180</v>
      </c>
      <c r="L12" s="182">
        <v>0</v>
      </c>
      <c r="M12" s="182">
        <f t="shared" si="0"/>
        <v>180</v>
      </c>
      <c r="N12" s="182">
        <f>M12*C2</f>
        <v>7.2</v>
      </c>
      <c r="O12" s="183">
        <f>M12*1.9%</f>
        <v>3.42</v>
      </c>
      <c r="P12" s="184" t="s">
        <v>7</v>
      </c>
      <c r="Q12" s="184" t="s">
        <v>55</v>
      </c>
      <c r="R12" s="184">
        <f t="shared" si="1"/>
        <v>169.38</v>
      </c>
      <c r="S12" s="184">
        <f t="shared" si="2"/>
        <v>169.38</v>
      </c>
      <c r="T12" s="192" t="s">
        <v>59</v>
      </c>
      <c r="U12" s="184">
        <f t="shared" si="3"/>
        <v>176.58</v>
      </c>
      <c r="V12" s="175" t="s">
        <v>63</v>
      </c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</row>
    <row r="13" customHeight="1" spans="1:44">
      <c r="A13" s="166"/>
      <c r="B13" s="175">
        <v>2550</v>
      </c>
      <c r="C13" s="176" t="s">
        <v>58</v>
      </c>
      <c r="D13" s="176" t="s">
        <v>0</v>
      </c>
      <c r="E13" s="176">
        <v>1</v>
      </c>
      <c r="F13" s="176" t="s">
        <v>1</v>
      </c>
      <c r="G13" s="177">
        <v>45846</v>
      </c>
      <c r="H13" s="176" t="s">
        <v>64</v>
      </c>
      <c r="I13" s="176" t="s">
        <v>54</v>
      </c>
      <c r="J13" s="175">
        <v>1027</v>
      </c>
      <c r="K13" s="182">
        <v>60</v>
      </c>
      <c r="L13" s="182">
        <v>0</v>
      </c>
      <c r="M13" s="182">
        <f t="shared" si="0"/>
        <v>60</v>
      </c>
      <c r="N13" s="182">
        <f>M13*C2</f>
        <v>2.4</v>
      </c>
      <c r="O13" s="183">
        <v>0</v>
      </c>
      <c r="P13" s="184" t="s">
        <v>5</v>
      </c>
      <c r="Q13" s="184" t="s">
        <v>6</v>
      </c>
      <c r="R13" s="184">
        <f t="shared" si="1"/>
        <v>57.6</v>
      </c>
      <c r="S13" s="184">
        <v>0</v>
      </c>
      <c r="T13" s="192" t="s">
        <v>59</v>
      </c>
      <c r="U13" s="184">
        <f t="shared" si="3"/>
        <v>60</v>
      </c>
      <c r="V13" s="175" t="s">
        <v>65</v>
      </c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</row>
    <row r="14" customHeight="1" spans="1:44">
      <c r="A14" s="166"/>
      <c r="B14" s="134">
        <v>3008</v>
      </c>
      <c r="C14" s="99" t="s">
        <v>28</v>
      </c>
      <c r="D14" s="99" t="s">
        <v>0</v>
      </c>
      <c r="E14" s="99">
        <v>1</v>
      </c>
      <c r="F14" s="99" t="s">
        <v>1</v>
      </c>
      <c r="G14" s="178">
        <v>45846</v>
      </c>
      <c r="H14" s="99" t="s">
        <v>64</v>
      </c>
      <c r="I14" s="99" t="s">
        <v>54</v>
      </c>
      <c r="J14" s="134">
        <v>1028</v>
      </c>
      <c r="K14" s="185">
        <v>215</v>
      </c>
      <c r="L14" s="185">
        <v>43</v>
      </c>
      <c r="M14" s="185">
        <f t="shared" si="0"/>
        <v>172</v>
      </c>
      <c r="N14" s="185">
        <f>M14*C2</f>
        <v>6.88</v>
      </c>
      <c r="O14" s="186">
        <f>M14*2.71%</f>
        <v>4.6612</v>
      </c>
      <c r="P14" s="187" t="s">
        <v>9</v>
      </c>
      <c r="Q14" s="187" t="s">
        <v>62</v>
      </c>
      <c r="R14" s="187">
        <f t="shared" si="1"/>
        <v>160.4588</v>
      </c>
      <c r="S14" s="187">
        <f t="shared" ref="S14:S16" si="5">R14/E14</f>
        <v>160.4588</v>
      </c>
      <c r="T14" s="193" t="s">
        <v>66</v>
      </c>
      <c r="U14" s="187">
        <f t="shared" si="3"/>
        <v>167.3388</v>
      </c>
      <c r="V14" s="134" t="s">
        <v>67</v>
      </c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</row>
    <row r="15" customHeight="1" spans="1:44">
      <c r="A15" s="166"/>
      <c r="B15" s="134">
        <v>2470</v>
      </c>
      <c r="C15" s="99" t="s">
        <v>16</v>
      </c>
      <c r="D15" s="99" t="s">
        <v>0</v>
      </c>
      <c r="E15" s="99">
        <v>1</v>
      </c>
      <c r="F15" s="99" t="s">
        <v>1</v>
      </c>
      <c r="G15" s="178">
        <v>45846</v>
      </c>
      <c r="H15" s="99" t="s">
        <v>64</v>
      </c>
      <c r="I15" s="99" t="s">
        <v>54</v>
      </c>
      <c r="J15" s="134">
        <v>1029</v>
      </c>
      <c r="K15" s="185">
        <v>180</v>
      </c>
      <c r="L15" s="185">
        <v>0</v>
      </c>
      <c r="M15" s="185">
        <f t="shared" si="0"/>
        <v>180</v>
      </c>
      <c r="N15" s="185">
        <f>M15*C2</f>
        <v>7.2</v>
      </c>
      <c r="O15" s="186">
        <f>M15*0.75%</f>
        <v>1.35</v>
      </c>
      <c r="P15" s="187" t="s">
        <v>5</v>
      </c>
      <c r="Q15" s="187" t="s">
        <v>6</v>
      </c>
      <c r="R15" s="187">
        <f t="shared" si="1"/>
        <v>171.45</v>
      </c>
      <c r="S15" s="187">
        <f t="shared" si="5"/>
        <v>171.45</v>
      </c>
      <c r="T15" s="194" t="s">
        <v>56</v>
      </c>
      <c r="U15" s="190">
        <f t="shared" si="3"/>
        <v>178.65</v>
      </c>
      <c r="V15" s="134" t="s">
        <v>67</v>
      </c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</row>
    <row r="16" customHeight="1" spans="1:44">
      <c r="A16" s="166"/>
      <c r="B16" s="179">
        <v>2470</v>
      </c>
      <c r="C16" s="180" t="s">
        <v>16</v>
      </c>
      <c r="D16" s="180" t="s">
        <v>0</v>
      </c>
      <c r="E16" s="180">
        <v>3</v>
      </c>
      <c r="F16" s="180" t="s">
        <v>1</v>
      </c>
      <c r="G16" s="181">
        <v>45847</v>
      </c>
      <c r="H16" s="180" t="s">
        <v>68</v>
      </c>
      <c r="I16" s="180" t="s">
        <v>54</v>
      </c>
      <c r="J16" s="179">
        <v>1030</v>
      </c>
      <c r="K16" s="188">
        <v>540</v>
      </c>
      <c r="L16" s="188">
        <v>108</v>
      </c>
      <c r="M16" s="188">
        <f t="shared" si="0"/>
        <v>432</v>
      </c>
      <c r="N16" s="188">
        <f>M16*C2</f>
        <v>17.28</v>
      </c>
      <c r="O16" s="189">
        <f>M16*2.9%</f>
        <v>12.528</v>
      </c>
      <c r="P16" s="190" t="s">
        <v>69</v>
      </c>
      <c r="Q16" s="190" t="s">
        <v>55</v>
      </c>
      <c r="R16" s="190">
        <f t="shared" si="1"/>
        <v>402.192</v>
      </c>
      <c r="S16" s="195">
        <f t="shared" si="5"/>
        <v>134.064</v>
      </c>
      <c r="T16" s="196" t="s">
        <v>66</v>
      </c>
      <c r="U16" s="189">
        <f>M16/4-O16/4</f>
        <v>104.868</v>
      </c>
      <c r="V16" s="197" t="s">
        <v>67</v>
      </c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</row>
    <row r="17" customHeight="1" spans="1:44">
      <c r="A17" s="166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98"/>
      <c r="T17" s="194" t="s">
        <v>70</v>
      </c>
      <c r="U17" s="190">
        <f t="shared" ref="U17:U19" si="6">U16</f>
        <v>104.868</v>
      </c>
      <c r="V17" s="199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</row>
    <row r="18" customHeight="1" spans="1:44">
      <c r="A18" s="166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98"/>
      <c r="T18" s="194" t="s">
        <v>71</v>
      </c>
      <c r="U18" s="190">
        <f t="shared" si="6"/>
        <v>104.868</v>
      </c>
      <c r="V18" s="199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</row>
    <row r="19" customHeight="1" spans="1:44">
      <c r="A19" s="16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200"/>
      <c r="T19" s="193" t="s">
        <v>72</v>
      </c>
      <c r="U19" s="187">
        <f t="shared" si="6"/>
        <v>104.868</v>
      </c>
      <c r="V19" s="201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</row>
    <row r="20" customHeight="1" spans="1:44">
      <c r="A20" s="166"/>
      <c r="B20" s="179">
        <v>2550</v>
      </c>
      <c r="C20" s="180" t="s">
        <v>58</v>
      </c>
      <c r="D20" s="180" t="s">
        <v>0</v>
      </c>
      <c r="E20" s="180">
        <v>1</v>
      </c>
      <c r="F20" s="180" t="s">
        <v>1</v>
      </c>
      <c r="G20" s="181">
        <v>45847</v>
      </c>
      <c r="H20" s="180" t="s">
        <v>68</v>
      </c>
      <c r="I20" s="180" t="s">
        <v>54</v>
      </c>
      <c r="J20" s="179">
        <v>1030</v>
      </c>
      <c r="K20" s="188">
        <v>60</v>
      </c>
      <c r="L20" s="188">
        <v>12</v>
      </c>
      <c r="M20" s="188">
        <f>K20-L20</f>
        <v>48</v>
      </c>
      <c r="N20" s="188">
        <f>M20*C2</f>
        <v>1.92</v>
      </c>
      <c r="O20" s="189">
        <f>M20*2.9%</f>
        <v>1.392</v>
      </c>
      <c r="P20" s="190" t="s">
        <v>69</v>
      </c>
      <c r="Q20" s="190" t="s">
        <v>55</v>
      </c>
      <c r="R20" s="190">
        <f>M20-N20-O20</f>
        <v>44.688</v>
      </c>
      <c r="S20" s="195">
        <f>R20/E20</f>
        <v>44.688</v>
      </c>
      <c r="T20" s="196" t="s">
        <v>66</v>
      </c>
      <c r="U20" s="189">
        <f>M20/4-O20/4</f>
        <v>11.652</v>
      </c>
      <c r="V20" s="197" t="s">
        <v>67</v>
      </c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</row>
    <row r="21" customHeight="1" spans="1:44">
      <c r="A21" s="166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98"/>
      <c r="T21" s="194" t="s">
        <v>70</v>
      </c>
      <c r="U21" s="190">
        <f t="shared" ref="U21:U23" si="7">U20</f>
        <v>11.652</v>
      </c>
      <c r="V21" s="199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</row>
    <row r="22" customHeight="1" spans="1:44">
      <c r="A22" s="166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98"/>
      <c r="T22" s="194" t="s">
        <v>71</v>
      </c>
      <c r="U22" s="190">
        <f t="shared" si="7"/>
        <v>11.652</v>
      </c>
      <c r="V22" s="199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</row>
    <row r="23" customHeight="1" spans="1:44">
      <c r="A23" s="16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200"/>
      <c r="T23" s="193" t="s">
        <v>72</v>
      </c>
      <c r="U23" s="187">
        <f t="shared" si="7"/>
        <v>11.652</v>
      </c>
      <c r="V23" s="201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</row>
    <row r="24" customHeight="1" spans="1:44">
      <c r="A24" s="166"/>
      <c r="B24" s="179">
        <v>3010</v>
      </c>
      <c r="C24" s="180" t="s">
        <v>30</v>
      </c>
      <c r="D24" s="180" t="s">
        <v>0</v>
      </c>
      <c r="E24" s="180">
        <v>1</v>
      </c>
      <c r="F24" s="180" t="s">
        <v>1</v>
      </c>
      <c r="G24" s="181">
        <v>45847</v>
      </c>
      <c r="H24" s="180" t="s">
        <v>68</v>
      </c>
      <c r="I24" s="180" t="s">
        <v>54</v>
      </c>
      <c r="J24" s="179">
        <v>1031</v>
      </c>
      <c r="K24" s="188">
        <v>250</v>
      </c>
      <c r="L24" s="188">
        <v>0</v>
      </c>
      <c r="M24" s="188">
        <f>K24-L24</f>
        <v>250</v>
      </c>
      <c r="N24" s="188">
        <f>M24*C2</f>
        <v>10</v>
      </c>
      <c r="O24" s="189">
        <f>M24*2.9%</f>
        <v>7.25</v>
      </c>
      <c r="P24" s="190" t="s">
        <v>10</v>
      </c>
      <c r="Q24" s="190" t="s">
        <v>62</v>
      </c>
      <c r="R24" s="195">
        <f>M24-N24-O24</f>
        <v>232.75</v>
      </c>
      <c r="S24" s="189">
        <f>M24/E20</f>
        <v>250</v>
      </c>
      <c r="T24" s="202" t="s">
        <v>66</v>
      </c>
      <c r="U24" s="189">
        <f>M24/2-O24/2</f>
        <v>121.375</v>
      </c>
      <c r="V24" s="197" t="s">
        <v>67</v>
      </c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</row>
    <row r="25" customHeight="1" spans="1:44">
      <c r="A25" s="16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200"/>
      <c r="S25" s="100"/>
      <c r="T25" s="203" t="s">
        <v>70</v>
      </c>
      <c r="U25" s="190">
        <f>U24</f>
        <v>121.375</v>
      </c>
      <c r="V25" s="201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</row>
    <row r="26" customHeight="1" spans="1:44">
      <c r="A26" s="166"/>
      <c r="B26" s="179">
        <v>3008</v>
      </c>
      <c r="C26" s="180" t="s">
        <v>28</v>
      </c>
      <c r="D26" s="180" t="s">
        <v>0</v>
      </c>
      <c r="E26" s="180">
        <v>1</v>
      </c>
      <c r="F26" s="180" t="s">
        <v>1</v>
      </c>
      <c r="G26" s="181">
        <v>45847</v>
      </c>
      <c r="H26" s="180" t="s">
        <v>68</v>
      </c>
      <c r="I26" s="180" t="s">
        <v>54</v>
      </c>
      <c r="J26" s="179">
        <v>1031</v>
      </c>
      <c r="K26" s="188">
        <v>215</v>
      </c>
      <c r="L26" s="188">
        <v>0</v>
      </c>
      <c r="M26" s="188">
        <f>K26-L26</f>
        <v>215</v>
      </c>
      <c r="N26" s="188">
        <f>M26*C2</f>
        <v>8.6</v>
      </c>
      <c r="O26" s="189">
        <f>M26*2.9%</f>
        <v>6.235</v>
      </c>
      <c r="P26" s="190" t="s">
        <v>10</v>
      </c>
      <c r="Q26" s="190" t="s">
        <v>62</v>
      </c>
      <c r="R26" s="195">
        <f>M26-N26-O26</f>
        <v>200.165</v>
      </c>
      <c r="S26" s="189">
        <f>M26/E26</f>
        <v>215</v>
      </c>
      <c r="T26" s="202" t="s">
        <v>66</v>
      </c>
      <c r="U26" s="189">
        <f>M26/2-O26/2</f>
        <v>104.3825</v>
      </c>
      <c r="V26" s="197" t="s">
        <v>67</v>
      </c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</row>
    <row r="27" customHeight="1" spans="1:44">
      <c r="A27" s="16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200"/>
      <c r="S27" s="100"/>
      <c r="T27" s="203" t="s">
        <v>70</v>
      </c>
      <c r="U27" s="190">
        <f>U26</f>
        <v>104.3825</v>
      </c>
      <c r="V27" s="201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</row>
    <row r="28" customHeight="1" spans="1:44">
      <c r="A28" s="166"/>
      <c r="B28" s="179">
        <v>3007</v>
      </c>
      <c r="C28" s="180" t="s">
        <v>27</v>
      </c>
      <c r="D28" s="180" t="s">
        <v>0</v>
      </c>
      <c r="E28" s="180">
        <v>1</v>
      </c>
      <c r="F28" s="180" t="s">
        <v>1</v>
      </c>
      <c r="G28" s="181">
        <v>45847</v>
      </c>
      <c r="H28" s="180" t="s">
        <v>68</v>
      </c>
      <c r="I28" s="180" t="s">
        <v>54</v>
      </c>
      <c r="J28" s="179">
        <v>1031</v>
      </c>
      <c r="K28" s="188">
        <v>200</v>
      </c>
      <c r="L28" s="188">
        <v>0</v>
      </c>
      <c r="M28" s="188">
        <f>K28-L28</f>
        <v>200</v>
      </c>
      <c r="N28" s="188">
        <f>M28*C2</f>
        <v>8</v>
      </c>
      <c r="O28" s="189">
        <f>M28*2.9%</f>
        <v>5.8</v>
      </c>
      <c r="P28" s="190" t="s">
        <v>10</v>
      </c>
      <c r="Q28" s="190" t="s">
        <v>62</v>
      </c>
      <c r="R28" s="195">
        <f>M28-N28-O28</f>
        <v>186.2</v>
      </c>
      <c r="S28" s="189">
        <f>M28/E28</f>
        <v>200</v>
      </c>
      <c r="T28" s="202" t="s">
        <v>66</v>
      </c>
      <c r="U28" s="189">
        <f>M28/2-O28/2</f>
        <v>97.1</v>
      </c>
      <c r="V28" s="197" t="s">
        <v>67</v>
      </c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</row>
    <row r="29" customHeight="1" spans="1:44">
      <c r="A29" s="16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200"/>
      <c r="S29" s="100"/>
      <c r="T29" s="203" t="s">
        <v>70</v>
      </c>
      <c r="U29" s="190">
        <f>U28</f>
        <v>97.1</v>
      </c>
      <c r="V29" s="201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</row>
    <row r="30" customHeight="1" spans="1:44">
      <c r="A30" s="166"/>
      <c r="B30" s="179">
        <v>3008</v>
      </c>
      <c r="C30" s="180" t="s">
        <v>28</v>
      </c>
      <c r="D30" s="180" t="s">
        <v>0</v>
      </c>
      <c r="E30" s="180">
        <v>2</v>
      </c>
      <c r="F30" s="180" t="s">
        <v>1</v>
      </c>
      <c r="G30" s="181">
        <v>45848</v>
      </c>
      <c r="H30" s="180" t="s">
        <v>73</v>
      </c>
      <c r="I30" s="180" t="s">
        <v>74</v>
      </c>
      <c r="J30" s="179">
        <v>1032</v>
      </c>
      <c r="K30" s="188">
        <v>430</v>
      </c>
      <c r="L30" s="188">
        <v>86</v>
      </c>
      <c r="M30" s="188">
        <f>K30-L30</f>
        <v>344</v>
      </c>
      <c r="N30" s="188">
        <f>M30*C2</f>
        <v>13.76</v>
      </c>
      <c r="O30" s="189">
        <f>M30*2.9%</f>
        <v>9.976</v>
      </c>
      <c r="P30" s="190" t="s">
        <v>10</v>
      </c>
      <c r="Q30" s="190" t="s">
        <v>62</v>
      </c>
      <c r="R30" s="195">
        <f>M30-N30-O30</f>
        <v>320.264</v>
      </c>
      <c r="S30" s="204">
        <f>M30/E30</f>
        <v>172</v>
      </c>
      <c r="T30" s="196" t="s">
        <v>66</v>
      </c>
      <c r="U30" s="189">
        <f>M30/2-O30/2</f>
        <v>167.012</v>
      </c>
      <c r="V30" s="197" t="s">
        <v>67</v>
      </c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</row>
    <row r="31" customHeight="1" spans="1:44">
      <c r="A31" s="16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200"/>
      <c r="S31" s="200"/>
      <c r="T31" s="193" t="s">
        <v>70</v>
      </c>
      <c r="U31" s="187">
        <f>U30</f>
        <v>167.012</v>
      </c>
      <c r="V31" s="201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</row>
    <row r="32" customHeight="1" spans="1:44">
      <c r="A32" s="166"/>
      <c r="B32" s="134">
        <v>2470</v>
      </c>
      <c r="C32" s="99" t="s">
        <v>16</v>
      </c>
      <c r="D32" s="99" t="s">
        <v>0</v>
      </c>
      <c r="E32" s="99">
        <v>1</v>
      </c>
      <c r="F32" s="99" t="s">
        <v>1</v>
      </c>
      <c r="G32" s="178">
        <v>45849</v>
      </c>
      <c r="H32" s="99" t="s">
        <v>75</v>
      </c>
      <c r="I32" s="99" t="s">
        <v>54</v>
      </c>
      <c r="J32" s="134">
        <v>1033</v>
      </c>
      <c r="K32" s="185">
        <v>180</v>
      </c>
      <c r="L32" s="185">
        <v>0</v>
      </c>
      <c r="M32" s="185">
        <f t="shared" ref="M32:M33" si="8">K32-L32</f>
        <v>180</v>
      </c>
      <c r="N32" s="185">
        <f>M32*C2</f>
        <v>7.2</v>
      </c>
      <c r="O32" s="186">
        <f>M32*2.71%</f>
        <v>4.878</v>
      </c>
      <c r="P32" s="187" t="s">
        <v>9</v>
      </c>
      <c r="Q32" s="187" t="s">
        <v>62</v>
      </c>
      <c r="R32" s="187">
        <f t="shared" ref="R32:R33" si="9">M32-N32-O32</f>
        <v>167.922</v>
      </c>
      <c r="S32" s="187">
        <f t="shared" ref="S32:S33" si="10">R32/E32</f>
        <v>167.922</v>
      </c>
      <c r="T32" s="193" t="s">
        <v>66</v>
      </c>
      <c r="U32" s="187">
        <f>M32-O32</f>
        <v>175.122</v>
      </c>
      <c r="V32" s="134" t="s">
        <v>67</v>
      </c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</row>
    <row r="33" customHeight="1" spans="1:44">
      <c r="A33" s="166"/>
      <c r="B33" s="179">
        <v>2470</v>
      </c>
      <c r="C33" s="180" t="s">
        <v>16</v>
      </c>
      <c r="D33" s="180" t="s">
        <v>0</v>
      </c>
      <c r="E33" s="180">
        <v>1</v>
      </c>
      <c r="F33" s="180" t="s">
        <v>1</v>
      </c>
      <c r="G33" s="181">
        <v>45850</v>
      </c>
      <c r="H33" s="180" t="s">
        <v>76</v>
      </c>
      <c r="I33" s="180" t="s">
        <v>54</v>
      </c>
      <c r="J33" s="179">
        <v>1034</v>
      </c>
      <c r="K33" s="188">
        <v>180</v>
      </c>
      <c r="L33" s="188">
        <v>0</v>
      </c>
      <c r="M33" s="188">
        <f t="shared" si="8"/>
        <v>180</v>
      </c>
      <c r="N33" s="188">
        <f>M33*C2</f>
        <v>7.2</v>
      </c>
      <c r="O33" s="189">
        <f>M33*3.78%</f>
        <v>6.804</v>
      </c>
      <c r="P33" s="190" t="s">
        <v>10</v>
      </c>
      <c r="Q33" s="190" t="s">
        <v>55</v>
      </c>
      <c r="R33" s="195">
        <f t="shared" si="9"/>
        <v>165.996</v>
      </c>
      <c r="S33" s="204">
        <f t="shared" si="10"/>
        <v>165.996</v>
      </c>
      <c r="T33" s="196" t="s">
        <v>66</v>
      </c>
      <c r="U33" s="189">
        <f>M33/2-O33/2</f>
        <v>86.598</v>
      </c>
      <c r="V33" s="197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</row>
    <row r="34" customHeight="1" spans="1:44">
      <c r="A34" s="16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200"/>
      <c r="S34" s="200"/>
      <c r="T34" s="193" t="s">
        <v>70</v>
      </c>
      <c r="U34" s="187">
        <f>U33</f>
        <v>86.598</v>
      </c>
      <c r="V34" s="201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</row>
    <row r="35" customHeight="1" spans="1:44">
      <c r="A35" s="166"/>
      <c r="B35" s="134">
        <v>2550</v>
      </c>
      <c r="C35" s="99" t="s">
        <v>58</v>
      </c>
      <c r="D35" s="99" t="s">
        <v>0</v>
      </c>
      <c r="E35" s="99">
        <v>1</v>
      </c>
      <c r="F35" s="99" t="s">
        <v>1</v>
      </c>
      <c r="G35" s="178">
        <v>45850</v>
      </c>
      <c r="H35" s="99" t="s">
        <v>76</v>
      </c>
      <c r="I35" s="99" t="s">
        <v>54</v>
      </c>
      <c r="J35" s="134">
        <v>1035</v>
      </c>
      <c r="K35" s="185">
        <v>60</v>
      </c>
      <c r="L35" s="185">
        <v>0</v>
      </c>
      <c r="M35" s="185">
        <f t="shared" ref="M35:M37" si="11">K35-L35</f>
        <v>60</v>
      </c>
      <c r="N35" s="185">
        <f>M35*C2</f>
        <v>2.4</v>
      </c>
      <c r="O35" s="186">
        <f>M35*3.29%</f>
        <v>1.974</v>
      </c>
      <c r="P35" s="187" t="s">
        <v>9</v>
      </c>
      <c r="Q35" s="187" t="s">
        <v>55</v>
      </c>
      <c r="R35" s="187">
        <f t="shared" ref="R35:R37" si="12">M35-N35-O35</f>
        <v>55.626</v>
      </c>
      <c r="S35" s="187">
        <f t="shared" ref="S35:S37" si="13">R35/E35</f>
        <v>55.626</v>
      </c>
      <c r="T35" s="193" t="s">
        <v>66</v>
      </c>
      <c r="U35" s="187">
        <f t="shared" ref="U35:U36" si="14">M35-O35</f>
        <v>58.026</v>
      </c>
      <c r="V35" s="134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</row>
    <row r="36" customHeight="1" spans="1:44">
      <c r="A36" s="166"/>
      <c r="B36" s="134">
        <v>3006</v>
      </c>
      <c r="C36" s="99" t="s">
        <v>25</v>
      </c>
      <c r="D36" s="99" t="s">
        <v>0</v>
      </c>
      <c r="E36" s="99">
        <v>1</v>
      </c>
      <c r="F36" s="99" t="s">
        <v>1</v>
      </c>
      <c r="G36" s="178">
        <v>45850</v>
      </c>
      <c r="H36" s="99" t="s">
        <v>76</v>
      </c>
      <c r="I36" s="99" t="s">
        <v>54</v>
      </c>
      <c r="J36" s="134">
        <v>1036</v>
      </c>
      <c r="K36" s="185">
        <v>170</v>
      </c>
      <c r="L36" s="185">
        <v>0</v>
      </c>
      <c r="M36" s="185">
        <f t="shared" si="11"/>
        <v>170</v>
      </c>
      <c r="N36" s="185">
        <f>M36*C2</f>
        <v>6.8</v>
      </c>
      <c r="O36" s="186">
        <v>1.27</v>
      </c>
      <c r="P36" s="187" t="s">
        <v>5</v>
      </c>
      <c r="Q36" s="187" t="s">
        <v>6</v>
      </c>
      <c r="R36" s="187">
        <f t="shared" si="12"/>
        <v>161.93</v>
      </c>
      <c r="S36" s="187">
        <f t="shared" si="13"/>
        <v>161.93</v>
      </c>
      <c r="T36" s="193" t="s">
        <v>56</v>
      </c>
      <c r="U36" s="187">
        <f t="shared" si="14"/>
        <v>168.73</v>
      </c>
      <c r="V36" s="134" t="s">
        <v>67</v>
      </c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</row>
    <row r="37" customHeight="1" spans="1:44">
      <c r="A37" s="166"/>
      <c r="B37" s="179">
        <v>2470</v>
      </c>
      <c r="C37" s="180" t="s">
        <v>16</v>
      </c>
      <c r="D37" s="180" t="s">
        <v>0</v>
      </c>
      <c r="E37" s="180">
        <v>1</v>
      </c>
      <c r="F37" s="180" t="s">
        <v>1</v>
      </c>
      <c r="G37" s="181">
        <v>45850</v>
      </c>
      <c r="H37" s="180" t="s">
        <v>76</v>
      </c>
      <c r="I37" s="180" t="s">
        <v>54</v>
      </c>
      <c r="J37" s="179">
        <v>1037</v>
      </c>
      <c r="K37" s="188">
        <v>180</v>
      </c>
      <c r="L37" s="188">
        <v>0</v>
      </c>
      <c r="M37" s="188">
        <f t="shared" si="11"/>
        <v>180</v>
      </c>
      <c r="N37" s="188">
        <f>M37*C2</f>
        <v>7.2</v>
      </c>
      <c r="O37" s="189">
        <f>M37*2.9%</f>
        <v>5.22</v>
      </c>
      <c r="P37" s="190" t="s">
        <v>10</v>
      </c>
      <c r="Q37" s="190" t="s">
        <v>55</v>
      </c>
      <c r="R37" s="195">
        <f t="shared" si="12"/>
        <v>167.58</v>
      </c>
      <c r="S37" s="204">
        <f t="shared" si="13"/>
        <v>167.58</v>
      </c>
      <c r="T37" s="196" t="s">
        <v>66</v>
      </c>
      <c r="U37" s="189">
        <f>M37/2-O37/2</f>
        <v>87.39</v>
      </c>
      <c r="V37" s="197" t="s">
        <v>67</v>
      </c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</row>
    <row r="38" customHeight="1" spans="1:44">
      <c r="A38" s="16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200"/>
      <c r="S38" s="200"/>
      <c r="T38" s="193" t="s">
        <v>70</v>
      </c>
      <c r="U38" s="187">
        <f>U37</f>
        <v>87.39</v>
      </c>
      <c r="V38" s="201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</row>
    <row r="39" customHeight="1" spans="1:44">
      <c r="A39" s="166"/>
      <c r="B39" s="179">
        <v>2731</v>
      </c>
      <c r="C39" s="180" t="s">
        <v>18</v>
      </c>
      <c r="D39" s="180" t="s">
        <v>0</v>
      </c>
      <c r="E39" s="180">
        <v>1</v>
      </c>
      <c r="F39" s="180" t="s">
        <v>1</v>
      </c>
      <c r="G39" s="181">
        <v>45850</v>
      </c>
      <c r="H39" s="180" t="s">
        <v>76</v>
      </c>
      <c r="I39" s="180" t="s">
        <v>54</v>
      </c>
      <c r="J39" s="179">
        <v>1037</v>
      </c>
      <c r="K39" s="188">
        <v>60</v>
      </c>
      <c r="L39" s="188">
        <v>0</v>
      </c>
      <c r="M39" s="188">
        <f>K39-L39</f>
        <v>60</v>
      </c>
      <c r="N39" s="188">
        <f>M39*C2</f>
        <v>2.4</v>
      </c>
      <c r="O39" s="189">
        <f>M39*2.9%</f>
        <v>1.74</v>
      </c>
      <c r="P39" s="190" t="s">
        <v>10</v>
      </c>
      <c r="Q39" s="190" t="s">
        <v>55</v>
      </c>
      <c r="R39" s="195">
        <f>M39-N39-O39</f>
        <v>55.86</v>
      </c>
      <c r="S39" s="204">
        <f>R39/E39</f>
        <v>55.86</v>
      </c>
      <c r="T39" s="196" t="s">
        <v>66</v>
      </c>
      <c r="U39" s="189">
        <f>M39/2-O39/2</f>
        <v>29.13</v>
      </c>
      <c r="V39" s="197" t="s">
        <v>67</v>
      </c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</row>
    <row r="40" customHeight="1" spans="1:44">
      <c r="A40" s="16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200"/>
      <c r="S40" s="200"/>
      <c r="T40" s="193" t="s">
        <v>70</v>
      </c>
      <c r="U40" s="187">
        <f>U39</f>
        <v>29.13</v>
      </c>
      <c r="V40" s="201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</row>
    <row r="41" customHeight="1" spans="1:44">
      <c r="A41" s="166"/>
      <c r="B41" s="179">
        <v>3010</v>
      </c>
      <c r="C41" s="180" t="s">
        <v>30</v>
      </c>
      <c r="D41" s="180" t="s">
        <v>0</v>
      </c>
      <c r="E41" s="180">
        <v>1</v>
      </c>
      <c r="F41" s="180" t="s">
        <v>1</v>
      </c>
      <c r="G41" s="181">
        <v>45851</v>
      </c>
      <c r="H41" s="180" t="s">
        <v>77</v>
      </c>
      <c r="I41" s="180" t="s">
        <v>54</v>
      </c>
      <c r="J41" s="179">
        <v>1038</v>
      </c>
      <c r="K41" s="188">
        <v>250</v>
      </c>
      <c r="L41" s="188">
        <v>0</v>
      </c>
      <c r="M41" s="188">
        <f>K41-L41</f>
        <v>250</v>
      </c>
      <c r="N41" s="188">
        <f>M41*C2</f>
        <v>10</v>
      </c>
      <c r="O41" s="189">
        <f>M41*2.9%</f>
        <v>7.25</v>
      </c>
      <c r="P41" s="190" t="s">
        <v>10</v>
      </c>
      <c r="Q41" s="190" t="s">
        <v>62</v>
      </c>
      <c r="R41" s="195">
        <f>M41-N41-O41</f>
        <v>232.75</v>
      </c>
      <c r="S41" s="204">
        <f>R41/E41</f>
        <v>232.75</v>
      </c>
      <c r="T41" s="196" t="s">
        <v>66</v>
      </c>
      <c r="U41" s="189">
        <f>M41/2-O41/2</f>
        <v>121.375</v>
      </c>
      <c r="V41" s="197" t="s">
        <v>67</v>
      </c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</row>
    <row r="42" customHeight="1" spans="1:44">
      <c r="A42" s="16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200"/>
      <c r="S42" s="200"/>
      <c r="T42" s="193" t="s">
        <v>70</v>
      </c>
      <c r="U42" s="187">
        <f>U41</f>
        <v>121.375</v>
      </c>
      <c r="V42" s="201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</row>
    <row r="43" customHeight="1" spans="1:44">
      <c r="A43" s="166"/>
      <c r="B43" s="179">
        <v>2470</v>
      </c>
      <c r="C43" s="180" t="s">
        <v>16</v>
      </c>
      <c r="D43" s="180" t="s">
        <v>0</v>
      </c>
      <c r="E43" s="180">
        <v>1</v>
      </c>
      <c r="F43" s="180" t="s">
        <v>1</v>
      </c>
      <c r="G43" s="181">
        <v>45851</v>
      </c>
      <c r="H43" s="180" t="s">
        <v>77</v>
      </c>
      <c r="I43" s="180" t="s">
        <v>54</v>
      </c>
      <c r="J43" s="179">
        <v>1039</v>
      </c>
      <c r="K43" s="188">
        <v>180</v>
      </c>
      <c r="L43" s="188">
        <v>0</v>
      </c>
      <c r="M43" s="188">
        <f>K43-L43</f>
        <v>180</v>
      </c>
      <c r="N43" s="188">
        <f>M43*C2</f>
        <v>7.2</v>
      </c>
      <c r="O43" s="189">
        <f>M43*3.78%</f>
        <v>6.804</v>
      </c>
      <c r="P43" s="190" t="s">
        <v>10</v>
      </c>
      <c r="Q43" s="190" t="s">
        <v>55</v>
      </c>
      <c r="R43" s="195">
        <f>M43-N43-O43</f>
        <v>165.996</v>
      </c>
      <c r="S43" s="204">
        <f>R43/E43</f>
        <v>165.996</v>
      </c>
      <c r="T43" s="196" t="s">
        <v>66</v>
      </c>
      <c r="U43" s="189">
        <f>M43/2-O43/2</f>
        <v>86.598</v>
      </c>
      <c r="V43" s="197" t="s">
        <v>78</v>
      </c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</row>
    <row r="44" customHeight="1" spans="1:44">
      <c r="A44" s="16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200"/>
      <c r="S44" s="200"/>
      <c r="T44" s="193" t="s">
        <v>70</v>
      </c>
      <c r="U44" s="187">
        <f>U43</f>
        <v>86.598</v>
      </c>
      <c r="V44" s="201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</row>
    <row r="45" customHeight="1" spans="1:44">
      <c r="A45" s="166"/>
      <c r="B45" s="179">
        <v>2470</v>
      </c>
      <c r="C45" s="180" t="s">
        <v>16</v>
      </c>
      <c r="D45" s="180" t="s">
        <v>0</v>
      </c>
      <c r="E45" s="180">
        <v>1</v>
      </c>
      <c r="F45" s="180" t="s">
        <v>1</v>
      </c>
      <c r="G45" s="181">
        <v>45853</v>
      </c>
      <c r="H45" s="180" t="s">
        <v>64</v>
      </c>
      <c r="I45" s="180" t="s">
        <v>54</v>
      </c>
      <c r="J45" s="179">
        <v>1041</v>
      </c>
      <c r="K45" s="188">
        <v>180</v>
      </c>
      <c r="L45" s="188">
        <v>0</v>
      </c>
      <c r="M45" s="188">
        <f>K45-L45</f>
        <v>180</v>
      </c>
      <c r="N45" s="188">
        <f>M45*C2</f>
        <v>7.2</v>
      </c>
      <c r="O45" s="189">
        <f>M45*2.9%</f>
        <v>5.22</v>
      </c>
      <c r="P45" s="190" t="s">
        <v>10</v>
      </c>
      <c r="Q45" s="190" t="s">
        <v>55</v>
      </c>
      <c r="R45" s="195">
        <f>M45-N45-O45</f>
        <v>167.58</v>
      </c>
      <c r="S45" s="204">
        <f>R45/E45</f>
        <v>167.58</v>
      </c>
      <c r="T45" s="196" t="s">
        <v>66</v>
      </c>
      <c r="U45" s="189">
        <f>M45/2-O45/2</f>
        <v>87.39</v>
      </c>
      <c r="V45" s="197" t="s">
        <v>67</v>
      </c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</row>
    <row r="46" customHeight="1" spans="1:44">
      <c r="A46" s="16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200"/>
      <c r="S46" s="200"/>
      <c r="T46" s="193" t="s">
        <v>70</v>
      </c>
      <c r="U46" s="187">
        <f>U45</f>
        <v>87.39</v>
      </c>
      <c r="V46" s="201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</row>
    <row r="47" customHeight="1" spans="1:44">
      <c r="A47" s="166"/>
      <c r="B47" s="134">
        <v>2470</v>
      </c>
      <c r="C47" s="99" t="s">
        <v>16</v>
      </c>
      <c r="D47" s="99" t="s">
        <v>0</v>
      </c>
      <c r="E47" s="99">
        <v>1</v>
      </c>
      <c r="F47" s="99" t="s">
        <v>1</v>
      </c>
      <c r="G47" s="178">
        <v>45853</v>
      </c>
      <c r="H47" s="99" t="s">
        <v>64</v>
      </c>
      <c r="I47" s="99" t="s">
        <v>54</v>
      </c>
      <c r="J47" s="134">
        <v>1042</v>
      </c>
      <c r="K47" s="185">
        <v>180</v>
      </c>
      <c r="L47" s="185">
        <v>0</v>
      </c>
      <c r="M47" s="185">
        <f t="shared" ref="M47:M50" si="15">K47-L47</f>
        <v>180</v>
      </c>
      <c r="N47" s="185">
        <f>M47*C2</f>
        <v>7.2</v>
      </c>
      <c r="O47" s="191">
        <f>M47*1.65%</f>
        <v>2.97</v>
      </c>
      <c r="P47" s="186" t="s">
        <v>7</v>
      </c>
      <c r="Q47" s="187" t="s">
        <v>55</v>
      </c>
      <c r="R47" s="187">
        <f t="shared" ref="R47:R50" si="16">M47-N47-O47</f>
        <v>169.83</v>
      </c>
      <c r="S47" s="187">
        <f t="shared" ref="S47:S50" si="17">R47/E47</f>
        <v>169.83</v>
      </c>
      <c r="T47" s="193" t="s">
        <v>56</v>
      </c>
      <c r="U47" s="187">
        <f t="shared" ref="U47:U49" si="18">M47-O47</f>
        <v>177.03</v>
      </c>
      <c r="V47" s="134" t="s">
        <v>67</v>
      </c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</row>
    <row r="48" customHeight="1" spans="1:44">
      <c r="A48" s="166"/>
      <c r="B48" s="134">
        <v>2470</v>
      </c>
      <c r="C48" s="99" t="s">
        <v>16</v>
      </c>
      <c r="D48" s="99" t="s">
        <v>0</v>
      </c>
      <c r="E48" s="99">
        <v>1</v>
      </c>
      <c r="F48" s="99" t="s">
        <v>1</v>
      </c>
      <c r="G48" s="178">
        <v>45853</v>
      </c>
      <c r="H48" s="99" t="s">
        <v>64</v>
      </c>
      <c r="I48" s="99" t="s">
        <v>54</v>
      </c>
      <c r="J48" s="134">
        <v>1043</v>
      </c>
      <c r="K48" s="185">
        <v>180</v>
      </c>
      <c r="L48" s="185">
        <v>0</v>
      </c>
      <c r="M48" s="185">
        <f t="shared" si="15"/>
        <v>180</v>
      </c>
      <c r="N48" s="185">
        <f>M48*C2</f>
        <v>7.2</v>
      </c>
      <c r="O48" s="186">
        <f>M48*0.75%</f>
        <v>1.35</v>
      </c>
      <c r="P48" s="187" t="s">
        <v>5</v>
      </c>
      <c r="Q48" s="187" t="s">
        <v>6</v>
      </c>
      <c r="R48" s="187">
        <f t="shared" si="16"/>
        <v>171.45</v>
      </c>
      <c r="S48" s="187">
        <f t="shared" si="17"/>
        <v>171.45</v>
      </c>
      <c r="T48" s="193" t="s">
        <v>56</v>
      </c>
      <c r="U48" s="187">
        <f t="shared" si="18"/>
        <v>178.65</v>
      </c>
      <c r="V48" s="134" t="s">
        <v>67</v>
      </c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</row>
    <row r="49" customHeight="1" spans="1:44">
      <c r="A49" s="166"/>
      <c r="B49" s="134">
        <v>2470</v>
      </c>
      <c r="C49" s="99" t="s">
        <v>16</v>
      </c>
      <c r="D49" s="99" t="s">
        <v>0</v>
      </c>
      <c r="E49" s="99">
        <v>1</v>
      </c>
      <c r="F49" s="99" t="s">
        <v>1</v>
      </c>
      <c r="G49" s="178">
        <v>45853</v>
      </c>
      <c r="H49" s="99" t="s">
        <v>64</v>
      </c>
      <c r="I49" s="99" t="s">
        <v>54</v>
      </c>
      <c r="J49" s="134">
        <v>1044</v>
      </c>
      <c r="K49" s="185">
        <v>360</v>
      </c>
      <c r="L49" s="185">
        <v>72</v>
      </c>
      <c r="M49" s="185">
        <f t="shared" si="15"/>
        <v>288</v>
      </c>
      <c r="N49" s="185">
        <f>M49*C2</f>
        <v>11.52</v>
      </c>
      <c r="O49" s="186">
        <f>M49*2.05%</f>
        <v>5.904</v>
      </c>
      <c r="P49" s="187" t="s">
        <v>7</v>
      </c>
      <c r="Q49" s="187" t="s">
        <v>79</v>
      </c>
      <c r="R49" s="187">
        <f t="shared" si="16"/>
        <v>270.576</v>
      </c>
      <c r="S49" s="187">
        <f t="shared" si="17"/>
        <v>270.576</v>
      </c>
      <c r="T49" s="193" t="s">
        <v>56</v>
      </c>
      <c r="U49" s="187">
        <f t="shared" si="18"/>
        <v>282.096</v>
      </c>
      <c r="V49" s="134" t="s">
        <v>67</v>
      </c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</row>
    <row r="50" customHeight="1" spans="1:44">
      <c r="A50" s="166"/>
      <c r="B50" s="179">
        <v>3006</v>
      </c>
      <c r="C50" s="180" t="s">
        <v>25</v>
      </c>
      <c r="D50" s="180" t="s">
        <v>0</v>
      </c>
      <c r="E50" s="180">
        <v>1</v>
      </c>
      <c r="F50" s="180" t="s">
        <v>1</v>
      </c>
      <c r="G50" s="181">
        <v>45853</v>
      </c>
      <c r="H50" s="180" t="s">
        <v>64</v>
      </c>
      <c r="I50" s="180" t="s">
        <v>54</v>
      </c>
      <c r="J50" s="179">
        <v>1045</v>
      </c>
      <c r="K50" s="188">
        <v>170</v>
      </c>
      <c r="L50" s="188">
        <v>0</v>
      </c>
      <c r="M50" s="188">
        <f t="shared" si="15"/>
        <v>170</v>
      </c>
      <c r="N50" s="188">
        <f>M50*C2</f>
        <v>6.8</v>
      </c>
      <c r="O50" s="189">
        <f>M50*2.9%</f>
        <v>4.93</v>
      </c>
      <c r="P50" s="190" t="s">
        <v>10</v>
      </c>
      <c r="Q50" s="190" t="s">
        <v>55</v>
      </c>
      <c r="R50" s="195">
        <f t="shared" si="16"/>
        <v>158.27</v>
      </c>
      <c r="S50" s="204">
        <f t="shared" si="17"/>
        <v>158.27</v>
      </c>
      <c r="T50" s="196" t="s">
        <v>66</v>
      </c>
      <c r="U50" s="189">
        <f>M50/2-O50/2</f>
        <v>82.535</v>
      </c>
      <c r="V50" s="197" t="s">
        <v>67</v>
      </c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</row>
    <row r="51" customHeight="1" spans="1:44">
      <c r="A51" s="16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200"/>
      <c r="S51" s="200"/>
      <c r="T51" s="193" t="s">
        <v>70</v>
      </c>
      <c r="U51" s="187">
        <f>U50</f>
        <v>82.535</v>
      </c>
      <c r="V51" s="201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</row>
    <row r="52" customHeight="1" spans="1:44">
      <c r="A52" s="166"/>
      <c r="B52" s="134">
        <v>2470</v>
      </c>
      <c r="C52" s="99" t="s">
        <v>16</v>
      </c>
      <c r="D52" s="99" t="s">
        <v>0</v>
      </c>
      <c r="E52" s="99">
        <v>1</v>
      </c>
      <c r="F52" s="99" t="s">
        <v>1</v>
      </c>
      <c r="G52" s="178">
        <v>45854</v>
      </c>
      <c r="H52" s="99" t="s">
        <v>68</v>
      </c>
      <c r="I52" s="99" t="s">
        <v>54</v>
      </c>
      <c r="J52" s="134">
        <v>1046</v>
      </c>
      <c r="K52" s="185">
        <v>180</v>
      </c>
      <c r="L52" s="185">
        <v>36</v>
      </c>
      <c r="M52" s="185">
        <f t="shared" ref="M52:M54" si="19">K52-L52</f>
        <v>144</v>
      </c>
      <c r="N52" s="185">
        <f>M52*C2</f>
        <v>5.76</v>
      </c>
      <c r="O52" s="186">
        <f t="shared" ref="O52:O53" si="20">M52*1.65%</f>
        <v>2.376</v>
      </c>
      <c r="P52" s="187" t="s">
        <v>7</v>
      </c>
      <c r="Q52" s="187" t="s">
        <v>55</v>
      </c>
      <c r="R52" s="187">
        <f t="shared" ref="R52:R54" si="21">M52-N52-O52</f>
        <v>135.864</v>
      </c>
      <c r="S52" s="187">
        <f t="shared" ref="S52:S54" si="22">R52/E52</f>
        <v>135.864</v>
      </c>
      <c r="T52" s="193" t="s">
        <v>56</v>
      </c>
      <c r="U52" s="187">
        <f t="shared" ref="U52:U53" si="23">M52-O52</f>
        <v>141.624</v>
      </c>
      <c r="V52" s="134" t="s">
        <v>67</v>
      </c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</row>
    <row r="53" customHeight="1" spans="1:44">
      <c r="A53" s="166"/>
      <c r="B53" s="134">
        <v>3010</v>
      </c>
      <c r="C53" s="99" t="s">
        <v>30</v>
      </c>
      <c r="D53" s="99" t="s">
        <v>0</v>
      </c>
      <c r="E53" s="99">
        <v>1</v>
      </c>
      <c r="F53" s="99" t="s">
        <v>1</v>
      </c>
      <c r="G53" s="178">
        <v>45854</v>
      </c>
      <c r="H53" s="99" t="s">
        <v>68</v>
      </c>
      <c r="I53" s="99" t="s">
        <v>54</v>
      </c>
      <c r="J53" s="134">
        <v>1046</v>
      </c>
      <c r="K53" s="185">
        <v>250</v>
      </c>
      <c r="L53" s="185">
        <v>50</v>
      </c>
      <c r="M53" s="185">
        <f t="shared" si="19"/>
        <v>200</v>
      </c>
      <c r="N53" s="185">
        <f>M53*C2</f>
        <v>8</v>
      </c>
      <c r="O53" s="186">
        <f t="shared" si="20"/>
        <v>3.3</v>
      </c>
      <c r="P53" s="187" t="s">
        <v>7</v>
      </c>
      <c r="Q53" s="187" t="s">
        <v>55</v>
      </c>
      <c r="R53" s="187">
        <f t="shared" si="21"/>
        <v>188.7</v>
      </c>
      <c r="S53" s="187">
        <f t="shared" si="22"/>
        <v>188.7</v>
      </c>
      <c r="T53" s="193" t="s">
        <v>56</v>
      </c>
      <c r="U53" s="187">
        <f t="shared" si="23"/>
        <v>196.7</v>
      </c>
      <c r="V53" s="134" t="s">
        <v>67</v>
      </c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</row>
    <row r="54" customHeight="1" spans="1:44">
      <c r="A54" s="166"/>
      <c r="B54" s="179">
        <v>2470</v>
      </c>
      <c r="C54" s="180" t="s">
        <v>16</v>
      </c>
      <c r="D54" s="180" t="s">
        <v>0</v>
      </c>
      <c r="E54" s="180">
        <v>1</v>
      </c>
      <c r="F54" s="180" t="s">
        <v>1</v>
      </c>
      <c r="G54" s="181">
        <v>45854</v>
      </c>
      <c r="H54" s="180" t="s">
        <v>68</v>
      </c>
      <c r="I54" s="180" t="s">
        <v>54</v>
      </c>
      <c r="J54" s="179">
        <v>1047</v>
      </c>
      <c r="K54" s="188">
        <v>180</v>
      </c>
      <c r="L54" s="188">
        <v>0</v>
      </c>
      <c r="M54" s="188">
        <f t="shared" si="19"/>
        <v>180</v>
      </c>
      <c r="N54" s="188">
        <f>M54*C2</f>
        <v>7.2</v>
      </c>
      <c r="O54" s="189">
        <v>5.22</v>
      </c>
      <c r="P54" s="190" t="s">
        <v>10</v>
      </c>
      <c r="Q54" s="190" t="s">
        <v>55</v>
      </c>
      <c r="R54" s="195">
        <f t="shared" si="21"/>
        <v>167.58</v>
      </c>
      <c r="S54" s="204">
        <f t="shared" si="22"/>
        <v>167.58</v>
      </c>
      <c r="T54" s="196" t="s">
        <v>66</v>
      </c>
      <c r="U54" s="189">
        <f>M54/2-O54/2</f>
        <v>87.39</v>
      </c>
      <c r="V54" s="197" t="s">
        <v>67</v>
      </c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</row>
    <row r="55" customHeight="1" spans="1:44">
      <c r="A55" s="16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200"/>
      <c r="S55" s="200"/>
      <c r="T55" s="193" t="s">
        <v>70</v>
      </c>
      <c r="U55" s="187">
        <f>U54</f>
        <v>87.39</v>
      </c>
      <c r="V55" s="201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</row>
    <row r="56" customHeight="1" spans="1:44">
      <c r="A56" s="166"/>
      <c r="B56" s="134">
        <v>3010</v>
      </c>
      <c r="C56" s="99" t="s">
        <v>30</v>
      </c>
      <c r="D56" s="99" t="s">
        <v>0</v>
      </c>
      <c r="E56" s="99">
        <v>1</v>
      </c>
      <c r="F56" s="99" t="s">
        <v>1</v>
      </c>
      <c r="G56" s="178">
        <v>45855</v>
      </c>
      <c r="H56" s="99" t="s">
        <v>73</v>
      </c>
      <c r="I56" s="99" t="s">
        <v>54</v>
      </c>
      <c r="J56" s="134">
        <v>1048</v>
      </c>
      <c r="K56" s="185">
        <v>250</v>
      </c>
      <c r="L56" s="185">
        <v>50</v>
      </c>
      <c r="M56" s="185">
        <f t="shared" ref="M56:M57" si="24">K56-L56</f>
        <v>200</v>
      </c>
      <c r="N56" s="185">
        <f>M56*C2</f>
        <v>8</v>
      </c>
      <c r="O56" s="186">
        <f>M56*1.65%</f>
        <v>3.3</v>
      </c>
      <c r="P56" s="187" t="s">
        <v>7</v>
      </c>
      <c r="Q56" s="187" t="s">
        <v>55</v>
      </c>
      <c r="R56" s="187">
        <f>M56-N56-O56</f>
        <v>188.7</v>
      </c>
      <c r="S56" s="187">
        <f>R56/E56</f>
        <v>188.7</v>
      </c>
      <c r="T56" s="193" t="s">
        <v>56</v>
      </c>
      <c r="U56" s="187">
        <f>M56-O56</f>
        <v>196.7</v>
      </c>
      <c r="V56" s="134" t="s">
        <v>67</v>
      </c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</row>
    <row r="57" customHeight="1" spans="1:44">
      <c r="A57" s="166"/>
      <c r="B57" s="179">
        <v>3008</v>
      </c>
      <c r="C57" s="180" t="s">
        <v>28</v>
      </c>
      <c r="D57" s="180" t="s">
        <v>0</v>
      </c>
      <c r="E57" s="180">
        <v>3</v>
      </c>
      <c r="F57" s="180" t="s">
        <v>1</v>
      </c>
      <c r="G57" s="181">
        <v>45855</v>
      </c>
      <c r="H57" s="180" t="s">
        <v>73</v>
      </c>
      <c r="I57" s="180" t="s">
        <v>54</v>
      </c>
      <c r="J57" s="179">
        <v>1048</v>
      </c>
      <c r="K57" s="188">
        <v>645</v>
      </c>
      <c r="L57" s="188">
        <v>129</v>
      </c>
      <c r="M57" s="188">
        <f t="shared" si="24"/>
        <v>516</v>
      </c>
      <c r="N57" s="188">
        <f>M57*C2</f>
        <v>20.64</v>
      </c>
      <c r="O57" s="189">
        <f>16*1.65%</f>
        <v>0.264</v>
      </c>
      <c r="P57" s="190" t="s">
        <v>7</v>
      </c>
      <c r="Q57" s="190" t="s">
        <v>55</v>
      </c>
      <c r="R57" s="189">
        <f>M57-N57-O57-O58</f>
        <v>480.596</v>
      </c>
      <c r="S57" s="189">
        <f>(R57+R58)/E57</f>
        <v>160.198666666667</v>
      </c>
      <c r="T57" s="196" t="s">
        <v>56</v>
      </c>
      <c r="U57" s="189">
        <f>16-O57</f>
        <v>15.736</v>
      </c>
      <c r="V57" s="197" t="s">
        <v>67</v>
      </c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</row>
    <row r="58" customHeight="1" spans="1:44">
      <c r="A58" s="166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89">
        <f>500*2.9%</f>
        <v>14.5</v>
      </c>
      <c r="P58" s="189" t="s">
        <v>10</v>
      </c>
      <c r="Q58" s="189" t="s">
        <v>55</v>
      </c>
      <c r="R58" s="100"/>
      <c r="S58" s="100"/>
      <c r="T58" s="196" t="s">
        <v>66</v>
      </c>
      <c r="U58" s="189">
        <f>250-(O58/2)</f>
        <v>242.75</v>
      </c>
      <c r="V58" s="197" t="s">
        <v>67</v>
      </c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</row>
    <row r="59" customHeight="1" spans="1:44">
      <c r="A59" s="16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93" t="s">
        <v>70</v>
      </c>
      <c r="U59" s="187">
        <f>U58</f>
        <v>242.75</v>
      </c>
      <c r="V59" s="201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</row>
    <row r="60" customHeight="1" spans="1:44">
      <c r="A60" s="166"/>
      <c r="B60" s="134">
        <v>2470</v>
      </c>
      <c r="C60" s="99" t="s">
        <v>16</v>
      </c>
      <c r="D60" s="99" t="s">
        <v>0</v>
      </c>
      <c r="E60" s="99">
        <v>1</v>
      </c>
      <c r="F60" s="99" t="s">
        <v>1</v>
      </c>
      <c r="G60" s="178">
        <v>45856</v>
      </c>
      <c r="H60" s="99" t="s">
        <v>75</v>
      </c>
      <c r="I60" s="99" t="s">
        <v>54</v>
      </c>
      <c r="J60" s="134">
        <v>1049</v>
      </c>
      <c r="K60" s="185">
        <v>180</v>
      </c>
      <c r="L60" s="185">
        <v>0</v>
      </c>
      <c r="M60" s="185">
        <f t="shared" ref="M60:M61" si="25">K60-L60</f>
        <v>180</v>
      </c>
      <c r="N60" s="185">
        <f>M60*C2</f>
        <v>7.2</v>
      </c>
      <c r="O60" s="186">
        <f>M60*2.05%</f>
        <v>3.69</v>
      </c>
      <c r="P60" s="187" t="s">
        <v>7</v>
      </c>
      <c r="Q60" s="187" t="s">
        <v>79</v>
      </c>
      <c r="R60" s="187">
        <f t="shared" ref="R60:R61" si="26">M60-N60-O60</f>
        <v>169.11</v>
      </c>
      <c r="S60" s="187">
        <f t="shared" ref="S60:S61" si="27">R60/E60</f>
        <v>169.11</v>
      </c>
      <c r="T60" s="193" t="s">
        <v>56</v>
      </c>
      <c r="U60" s="187">
        <f>M60-O60</f>
        <v>176.31</v>
      </c>
      <c r="V60" s="134" t="s">
        <v>67</v>
      </c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</row>
    <row r="61" customHeight="1" spans="1:44">
      <c r="A61" s="166"/>
      <c r="B61" s="179">
        <v>2470</v>
      </c>
      <c r="C61" s="180" t="s">
        <v>16</v>
      </c>
      <c r="D61" s="180" t="s">
        <v>0</v>
      </c>
      <c r="E61" s="180">
        <v>1</v>
      </c>
      <c r="F61" s="180" t="s">
        <v>1</v>
      </c>
      <c r="G61" s="181">
        <v>45856</v>
      </c>
      <c r="H61" s="180" t="s">
        <v>75</v>
      </c>
      <c r="I61" s="180" t="s">
        <v>54</v>
      </c>
      <c r="J61" s="179">
        <v>1050</v>
      </c>
      <c r="K61" s="188">
        <v>180</v>
      </c>
      <c r="L61" s="188">
        <v>0</v>
      </c>
      <c r="M61" s="188">
        <f t="shared" si="25"/>
        <v>180</v>
      </c>
      <c r="N61" s="188">
        <f>M61*C2</f>
        <v>7.2</v>
      </c>
      <c r="O61" s="189">
        <f>M61*2.9%</f>
        <v>5.22</v>
      </c>
      <c r="P61" s="190" t="s">
        <v>10</v>
      </c>
      <c r="Q61" s="190" t="s">
        <v>55</v>
      </c>
      <c r="R61" s="195">
        <f t="shared" si="26"/>
        <v>167.58</v>
      </c>
      <c r="S61" s="204">
        <f t="shared" si="27"/>
        <v>167.58</v>
      </c>
      <c r="T61" s="196" t="s">
        <v>66</v>
      </c>
      <c r="U61" s="189">
        <f>M61/2-O61/2</f>
        <v>87.39</v>
      </c>
      <c r="V61" s="197" t="s">
        <v>67</v>
      </c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</row>
    <row r="62" customHeight="1" spans="1:44">
      <c r="A62" s="16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200"/>
      <c r="S62" s="200"/>
      <c r="T62" s="193" t="s">
        <v>70</v>
      </c>
      <c r="U62" s="187">
        <f>U61</f>
        <v>87.39</v>
      </c>
      <c r="V62" s="201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</row>
    <row r="63" customHeight="1" spans="1:44">
      <c r="A63" s="166"/>
      <c r="B63" s="175">
        <v>2470</v>
      </c>
      <c r="C63" s="176" t="s">
        <v>16</v>
      </c>
      <c r="D63" s="176" t="s">
        <v>0</v>
      </c>
      <c r="E63" s="176">
        <v>1</v>
      </c>
      <c r="F63" s="176" t="s">
        <v>1</v>
      </c>
      <c r="G63" s="177">
        <v>45856</v>
      </c>
      <c r="H63" s="176" t="s">
        <v>75</v>
      </c>
      <c r="I63" s="176" t="s">
        <v>54</v>
      </c>
      <c r="J63" s="175">
        <v>1051</v>
      </c>
      <c r="K63" s="182">
        <v>180</v>
      </c>
      <c r="L63" s="182">
        <v>0</v>
      </c>
      <c r="M63" s="182">
        <f t="shared" ref="M63:M66" si="28">K63-L63</f>
        <v>180</v>
      </c>
      <c r="N63" s="182">
        <f>M63*C2</f>
        <v>7.2</v>
      </c>
      <c r="O63" s="183">
        <f>M63*1.9%</f>
        <v>3.42</v>
      </c>
      <c r="P63" s="184" t="s">
        <v>7</v>
      </c>
      <c r="Q63" s="184" t="s">
        <v>55</v>
      </c>
      <c r="R63" s="184">
        <f>M63-N63-O74</f>
        <v>166.878</v>
      </c>
      <c r="S63" s="184">
        <f t="shared" ref="S63:S66" si="29">R63/E63</f>
        <v>166.878</v>
      </c>
      <c r="T63" s="192" t="s">
        <v>59</v>
      </c>
      <c r="U63" s="184">
        <f t="shared" ref="U63:U65" si="30">M63-O63</f>
        <v>176.58</v>
      </c>
      <c r="V63" s="175" t="s">
        <v>80</v>
      </c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</row>
    <row r="64" customHeight="1" spans="1:44">
      <c r="A64" s="166"/>
      <c r="B64" s="175">
        <v>2470</v>
      </c>
      <c r="C64" s="176" t="s">
        <v>16</v>
      </c>
      <c r="D64" s="176" t="s">
        <v>0</v>
      </c>
      <c r="E64" s="176">
        <v>2</v>
      </c>
      <c r="F64" s="176" t="s">
        <v>1</v>
      </c>
      <c r="G64" s="177">
        <v>45856</v>
      </c>
      <c r="H64" s="176" t="s">
        <v>6</v>
      </c>
      <c r="I64" s="176" t="s">
        <v>54</v>
      </c>
      <c r="J64" s="175">
        <v>1052</v>
      </c>
      <c r="K64" s="182">
        <v>360</v>
      </c>
      <c r="L64" s="182">
        <v>0</v>
      </c>
      <c r="M64" s="182">
        <f t="shared" si="28"/>
        <v>360</v>
      </c>
      <c r="N64" s="182">
        <f>M64*C2</f>
        <v>14.4</v>
      </c>
      <c r="O64" s="183">
        <v>0</v>
      </c>
      <c r="P64" s="184" t="s">
        <v>5</v>
      </c>
      <c r="Q64" s="184" t="s">
        <v>6</v>
      </c>
      <c r="R64" s="184">
        <f t="shared" ref="R64:R66" si="31">M64-N64-O64</f>
        <v>345.6</v>
      </c>
      <c r="S64" s="184">
        <f t="shared" si="29"/>
        <v>172.8</v>
      </c>
      <c r="T64" s="192" t="s">
        <v>59</v>
      </c>
      <c r="U64" s="184">
        <f t="shared" si="30"/>
        <v>360</v>
      </c>
      <c r="V64" s="175" t="s">
        <v>81</v>
      </c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</row>
    <row r="65" customHeight="1" spans="1:44">
      <c r="A65" s="166"/>
      <c r="B65" s="175">
        <v>2550</v>
      </c>
      <c r="C65" s="176" t="s">
        <v>58</v>
      </c>
      <c r="D65" s="176" t="s">
        <v>0</v>
      </c>
      <c r="E65" s="176">
        <v>1</v>
      </c>
      <c r="F65" s="176" t="s">
        <v>1</v>
      </c>
      <c r="G65" s="177">
        <v>45856</v>
      </c>
      <c r="H65" s="176" t="s">
        <v>6</v>
      </c>
      <c r="I65" s="176" t="s">
        <v>54</v>
      </c>
      <c r="J65" s="175">
        <v>1053</v>
      </c>
      <c r="K65" s="182">
        <v>60</v>
      </c>
      <c r="L65" s="182">
        <v>0</v>
      </c>
      <c r="M65" s="182">
        <f t="shared" si="28"/>
        <v>60</v>
      </c>
      <c r="N65" s="182">
        <f>M65*C2</f>
        <v>2.4</v>
      </c>
      <c r="O65" s="183">
        <v>0</v>
      </c>
      <c r="P65" s="184" t="s">
        <v>5</v>
      </c>
      <c r="Q65" s="184" t="s">
        <v>6</v>
      </c>
      <c r="R65" s="184">
        <f t="shared" si="31"/>
        <v>57.6</v>
      </c>
      <c r="S65" s="184">
        <f t="shared" si="29"/>
        <v>57.6</v>
      </c>
      <c r="T65" s="192" t="s">
        <v>59</v>
      </c>
      <c r="U65" s="184">
        <f t="shared" si="30"/>
        <v>60</v>
      </c>
      <c r="V65" s="175" t="s">
        <v>82</v>
      </c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166"/>
      <c r="AP65" s="166"/>
      <c r="AQ65" s="166"/>
      <c r="AR65" s="166"/>
    </row>
    <row r="66" customHeight="1" spans="1:44">
      <c r="A66" s="166"/>
      <c r="B66" s="179">
        <v>3010</v>
      </c>
      <c r="C66" s="180" t="s">
        <v>30</v>
      </c>
      <c r="D66" s="180" t="s">
        <v>0</v>
      </c>
      <c r="E66" s="180">
        <v>1</v>
      </c>
      <c r="F66" s="180" t="s">
        <v>1</v>
      </c>
      <c r="G66" s="181">
        <v>45856</v>
      </c>
      <c r="H66" s="180" t="s">
        <v>75</v>
      </c>
      <c r="I66" s="180" t="s">
        <v>54</v>
      </c>
      <c r="J66" s="179">
        <v>1054</v>
      </c>
      <c r="K66" s="188">
        <v>250</v>
      </c>
      <c r="L66" s="188">
        <v>50</v>
      </c>
      <c r="M66" s="188">
        <f t="shared" si="28"/>
        <v>200</v>
      </c>
      <c r="N66" s="188">
        <f>M66*C2</f>
        <v>8</v>
      </c>
      <c r="O66" s="189">
        <f>M66*3.71%</f>
        <v>7.42</v>
      </c>
      <c r="P66" s="190" t="s">
        <v>10</v>
      </c>
      <c r="Q66" s="190" t="s">
        <v>79</v>
      </c>
      <c r="R66" s="195">
        <f t="shared" si="31"/>
        <v>184.58</v>
      </c>
      <c r="S66" s="204">
        <f t="shared" si="29"/>
        <v>184.58</v>
      </c>
      <c r="T66" s="196" t="s">
        <v>66</v>
      </c>
      <c r="U66" s="189">
        <f>M66/2-O66/2</f>
        <v>96.29</v>
      </c>
      <c r="V66" s="197" t="s">
        <v>67</v>
      </c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166"/>
      <c r="AM66" s="166"/>
      <c r="AN66" s="166"/>
      <c r="AO66" s="166"/>
      <c r="AP66" s="166"/>
      <c r="AQ66" s="166"/>
      <c r="AR66" s="166"/>
    </row>
    <row r="67" customHeight="1" spans="1:44">
      <c r="A67" s="16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200"/>
      <c r="S67" s="200"/>
      <c r="T67" s="193" t="s">
        <v>70</v>
      </c>
      <c r="U67" s="187">
        <f>U66</f>
        <v>96.29</v>
      </c>
      <c r="V67" s="201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6"/>
      <c r="AN67" s="166"/>
      <c r="AO67" s="166"/>
      <c r="AP67" s="166"/>
      <c r="AQ67" s="166"/>
      <c r="AR67" s="166"/>
    </row>
    <row r="68" customHeight="1" spans="1:44">
      <c r="A68" s="166"/>
      <c r="B68" s="179">
        <v>2550</v>
      </c>
      <c r="C68" s="180" t="s">
        <v>58</v>
      </c>
      <c r="D68" s="180" t="s">
        <v>0</v>
      </c>
      <c r="E68" s="180">
        <v>1</v>
      </c>
      <c r="F68" s="180" t="s">
        <v>1</v>
      </c>
      <c r="G68" s="181">
        <v>45856</v>
      </c>
      <c r="H68" s="180" t="s">
        <v>75</v>
      </c>
      <c r="I68" s="180" t="s">
        <v>54</v>
      </c>
      <c r="J68" s="179">
        <v>1054</v>
      </c>
      <c r="K68" s="188">
        <v>60</v>
      </c>
      <c r="L68" s="188">
        <v>12</v>
      </c>
      <c r="M68" s="188">
        <f>K68-L68</f>
        <v>48</v>
      </c>
      <c r="N68" s="188">
        <f>M68*C2</f>
        <v>1.92</v>
      </c>
      <c r="O68" s="189">
        <f>M68*3.71%</f>
        <v>1.7808</v>
      </c>
      <c r="P68" s="190" t="s">
        <v>10</v>
      </c>
      <c r="Q68" s="190" t="s">
        <v>79</v>
      </c>
      <c r="R68" s="195">
        <f>M68-N68-O68</f>
        <v>44.2992</v>
      </c>
      <c r="S68" s="204">
        <f>R68/E68</f>
        <v>44.2992</v>
      </c>
      <c r="T68" s="196" t="s">
        <v>66</v>
      </c>
      <c r="U68" s="189">
        <f>M68/2-O68/2</f>
        <v>23.1096</v>
      </c>
      <c r="V68" s="197" t="s">
        <v>67</v>
      </c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6"/>
      <c r="AN68" s="166"/>
      <c r="AO68" s="166"/>
      <c r="AP68" s="166"/>
      <c r="AQ68" s="166"/>
      <c r="AR68" s="166"/>
    </row>
    <row r="69" customHeight="1" spans="1:44">
      <c r="A69" s="16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200"/>
      <c r="S69" s="200"/>
      <c r="T69" s="193" t="s">
        <v>70</v>
      </c>
      <c r="U69" s="187">
        <f>U68</f>
        <v>23.1096</v>
      </c>
      <c r="V69" s="201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  <c r="AM69" s="166"/>
      <c r="AN69" s="166"/>
      <c r="AO69" s="166"/>
      <c r="AP69" s="166"/>
      <c r="AQ69" s="166"/>
      <c r="AR69" s="166"/>
    </row>
    <row r="70" customHeight="1" spans="1:44">
      <c r="A70" s="166"/>
      <c r="B70" s="179">
        <v>2470</v>
      </c>
      <c r="C70" s="180" t="s">
        <v>16</v>
      </c>
      <c r="D70" s="180" t="s">
        <v>0</v>
      </c>
      <c r="E70" s="180">
        <v>2</v>
      </c>
      <c r="F70" s="180" t="s">
        <v>1</v>
      </c>
      <c r="G70" s="181">
        <v>45857</v>
      </c>
      <c r="H70" s="180" t="s">
        <v>76</v>
      </c>
      <c r="I70" s="180" t="s">
        <v>54</v>
      </c>
      <c r="J70" s="179">
        <v>1055</v>
      </c>
      <c r="K70" s="188">
        <v>360</v>
      </c>
      <c r="L70" s="188">
        <v>36</v>
      </c>
      <c r="M70" s="188">
        <f>K70-L70</f>
        <v>324</v>
      </c>
      <c r="N70" s="188">
        <f>M70*C2</f>
        <v>12.96</v>
      </c>
      <c r="O70" s="189">
        <f>M70*2.9%</f>
        <v>9.396</v>
      </c>
      <c r="P70" s="190" t="s">
        <v>10</v>
      </c>
      <c r="Q70" s="190" t="s">
        <v>62</v>
      </c>
      <c r="R70" s="190">
        <f>M70-N70-O70</f>
        <v>301.644</v>
      </c>
      <c r="S70" s="195">
        <f>R70/E70</f>
        <v>150.822</v>
      </c>
      <c r="T70" s="196" t="s">
        <v>66</v>
      </c>
      <c r="U70" s="189">
        <f>M70/2-O70/2</f>
        <v>157.302</v>
      </c>
      <c r="V70" s="197" t="s">
        <v>67</v>
      </c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</row>
    <row r="71" customHeight="1" spans="1:44">
      <c r="A71" s="16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200"/>
      <c r="T71" s="193" t="s">
        <v>70</v>
      </c>
      <c r="U71" s="187">
        <f>U70</f>
        <v>157.302</v>
      </c>
      <c r="V71" s="201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</row>
    <row r="72" customHeight="1" spans="1:44">
      <c r="A72" s="166"/>
      <c r="B72" s="179">
        <v>2470</v>
      </c>
      <c r="C72" s="180" t="s">
        <v>16</v>
      </c>
      <c r="D72" s="180" t="s">
        <v>0</v>
      </c>
      <c r="E72" s="180">
        <v>1</v>
      </c>
      <c r="F72" s="180" t="s">
        <v>1</v>
      </c>
      <c r="G72" s="181">
        <v>45857</v>
      </c>
      <c r="H72" s="180" t="s">
        <v>76</v>
      </c>
      <c r="I72" s="180" t="s">
        <v>54</v>
      </c>
      <c r="J72" s="179">
        <v>1056</v>
      </c>
      <c r="K72" s="188">
        <v>180</v>
      </c>
      <c r="L72" s="188">
        <v>0</v>
      </c>
      <c r="M72" s="188">
        <f>K72-L72</f>
        <v>180</v>
      </c>
      <c r="N72" s="188">
        <f>M72*C2</f>
        <v>7.2</v>
      </c>
      <c r="O72" s="189">
        <f>M72*3.78%</f>
        <v>6.804</v>
      </c>
      <c r="P72" s="190" t="s">
        <v>10</v>
      </c>
      <c r="Q72" s="190" t="s">
        <v>55</v>
      </c>
      <c r="R72" s="190">
        <f>M72-N72-O72</f>
        <v>165.996</v>
      </c>
      <c r="S72" s="195">
        <f>R72/E72</f>
        <v>165.996</v>
      </c>
      <c r="T72" s="196" t="s">
        <v>66</v>
      </c>
      <c r="U72" s="189">
        <f>M72/2-O72/2</f>
        <v>86.598</v>
      </c>
      <c r="V72" s="197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</row>
    <row r="73" customHeight="1" spans="1:44">
      <c r="A73" s="16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200"/>
      <c r="T73" s="193" t="s">
        <v>70</v>
      </c>
      <c r="U73" s="187">
        <f>U72</f>
        <v>86.598</v>
      </c>
      <c r="V73" s="201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</row>
    <row r="74" customHeight="1" spans="1:44">
      <c r="A74" s="166"/>
      <c r="B74" s="134">
        <v>2470</v>
      </c>
      <c r="C74" s="99" t="s">
        <v>16</v>
      </c>
      <c r="D74" s="99" t="s">
        <v>0</v>
      </c>
      <c r="E74" s="99">
        <v>1</v>
      </c>
      <c r="F74" s="99" t="s">
        <v>1</v>
      </c>
      <c r="G74" s="178">
        <v>45857</v>
      </c>
      <c r="H74" s="99" t="s">
        <v>76</v>
      </c>
      <c r="I74" s="99" t="s">
        <v>54</v>
      </c>
      <c r="J74" s="134">
        <v>1057</v>
      </c>
      <c r="K74" s="185">
        <v>180</v>
      </c>
      <c r="L74" s="185">
        <v>0</v>
      </c>
      <c r="M74" s="185">
        <f t="shared" ref="M74:M76" si="32">K74-L74</f>
        <v>180</v>
      </c>
      <c r="N74" s="185">
        <f>M74*C2</f>
        <v>7.2</v>
      </c>
      <c r="O74" s="186">
        <f>M63*3.29%</f>
        <v>5.922</v>
      </c>
      <c r="P74" s="187" t="s">
        <v>9</v>
      </c>
      <c r="Q74" s="187" t="s">
        <v>62</v>
      </c>
      <c r="R74" s="187">
        <f t="shared" ref="R74:R76" si="33">M74-N74-O74</f>
        <v>166.878</v>
      </c>
      <c r="S74" s="187">
        <f t="shared" ref="S74:S76" si="34">R74/E74</f>
        <v>166.878</v>
      </c>
      <c r="T74" s="193" t="s">
        <v>66</v>
      </c>
      <c r="U74" s="187">
        <f>M63-O74</f>
        <v>174.078</v>
      </c>
      <c r="V74" s="134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66"/>
      <c r="AM74" s="166"/>
      <c r="AN74" s="166"/>
      <c r="AO74" s="166"/>
      <c r="AP74" s="166"/>
      <c r="AQ74" s="166"/>
      <c r="AR74" s="166"/>
    </row>
    <row r="75" customHeight="1" spans="1:44">
      <c r="A75" s="166"/>
      <c r="B75" s="134">
        <v>2470</v>
      </c>
      <c r="C75" s="99" t="s">
        <v>16</v>
      </c>
      <c r="D75" s="99" t="s">
        <v>0</v>
      </c>
      <c r="E75" s="99">
        <v>1</v>
      </c>
      <c r="F75" s="99" t="s">
        <v>1</v>
      </c>
      <c r="G75" s="178">
        <v>45857</v>
      </c>
      <c r="H75" s="99" t="s">
        <v>76</v>
      </c>
      <c r="I75" s="99" t="s">
        <v>54</v>
      </c>
      <c r="J75" s="134">
        <v>1058</v>
      </c>
      <c r="K75" s="185">
        <v>180</v>
      </c>
      <c r="L75" s="185">
        <v>0</v>
      </c>
      <c r="M75" s="185">
        <f t="shared" si="32"/>
        <v>180</v>
      </c>
      <c r="N75" s="185">
        <f>M75*C2</f>
        <v>7.2</v>
      </c>
      <c r="O75" s="186">
        <f>M75*1.9%</f>
        <v>3.42</v>
      </c>
      <c r="P75" s="187" t="s">
        <v>7</v>
      </c>
      <c r="Q75" s="187" t="s">
        <v>55</v>
      </c>
      <c r="R75" s="187">
        <f t="shared" si="33"/>
        <v>169.38</v>
      </c>
      <c r="S75" s="187">
        <f t="shared" si="34"/>
        <v>169.38</v>
      </c>
      <c r="T75" s="193" t="s">
        <v>56</v>
      </c>
      <c r="U75" s="187">
        <f>M75-O75</f>
        <v>176.58</v>
      </c>
      <c r="V75" s="134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166"/>
      <c r="AM75" s="166"/>
      <c r="AN75" s="166"/>
      <c r="AO75" s="166"/>
      <c r="AP75" s="166"/>
      <c r="AQ75" s="166"/>
      <c r="AR75" s="166"/>
    </row>
    <row r="76" customHeight="1" spans="1:44">
      <c r="A76" s="166"/>
      <c r="B76" s="205">
        <v>3010</v>
      </c>
      <c r="C76" s="206" t="s">
        <v>30</v>
      </c>
      <c r="D76" s="206" t="s">
        <v>0</v>
      </c>
      <c r="E76" s="206">
        <v>1</v>
      </c>
      <c r="F76" s="206" t="s">
        <v>1</v>
      </c>
      <c r="G76" s="207">
        <v>45857</v>
      </c>
      <c r="H76" s="206" t="s">
        <v>6</v>
      </c>
      <c r="I76" s="206" t="s">
        <v>54</v>
      </c>
      <c r="J76" s="205">
        <v>1059</v>
      </c>
      <c r="K76" s="208">
        <v>250</v>
      </c>
      <c r="L76" s="208">
        <v>0</v>
      </c>
      <c r="M76" s="208">
        <f t="shared" si="32"/>
        <v>250</v>
      </c>
      <c r="N76" s="208">
        <f>M76*C2</f>
        <v>10</v>
      </c>
      <c r="O76" s="209">
        <f>M76*2.9%</f>
        <v>7.25</v>
      </c>
      <c r="P76" s="210" t="s">
        <v>10</v>
      </c>
      <c r="Q76" s="210" t="s">
        <v>55</v>
      </c>
      <c r="R76" s="210">
        <f t="shared" si="33"/>
        <v>232.75</v>
      </c>
      <c r="S76" s="214">
        <f t="shared" si="34"/>
        <v>232.75</v>
      </c>
      <c r="T76" s="215" t="s">
        <v>66</v>
      </c>
      <c r="U76" s="209">
        <f>M76/2-O76/2</f>
        <v>121.375</v>
      </c>
      <c r="V76" s="216" t="s">
        <v>83</v>
      </c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166"/>
      <c r="AM76" s="166"/>
      <c r="AN76" s="166"/>
      <c r="AO76" s="166"/>
      <c r="AP76" s="166"/>
      <c r="AQ76" s="166"/>
      <c r="AR76" s="166"/>
    </row>
    <row r="77" customHeight="1" spans="1:44">
      <c r="A77" s="16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200"/>
      <c r="T77" s="192" t="s">
        <v>70</v>
      </c>
      <c r="U77" s="184">
        <f>U76</f>
        <v>121.375</v>
      </c>
      <c r="V77" s="201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66"/>
      <c r="AL77" s="166"/>
      <c r="AM77" s="166"/>
      <c r="AN77" s="166"/>
      <c r="AO77" s="166"/>
      <c r="AP77" s="166"/>
      <c r="AQ77" s="166"/>
      <c r="AR77" s="166"/>
    </row>
    <row r="78" customHeight="1" spans="1:44">
      <c r="A78" s="166"/>
      <c r="B78" s="134">
        <v>2470</v>
      </c>
      <c r="C78" s="99" t="s">
        <v>16</v>
      </c>
      <c r="D78" s="99" t="s">
        <v>0</v>
      </c>
      <c r="E78" s="99">
        <v>1</v>
      </c>
      <c r="F78" s="99" t="s">
        <v>1</v>
      </c>
      <c r="G78" s="178">
        <v>45857</v>
      </c>
      <c r="H78" s="99" t="s">
        <v>76</v>
      </c>
      <c r="I78" s="99" t="s">
        <v>54</v>
      </c>
      <c r="J78" s="134">
        <v>1060</v>
      </c>
      <c r="K78" s="185">
        <v>180</v>
      </c>
      <c r="L78" s="185">
        <v>36</v>
      </c>
      <c r="M78" s="185">
        <f t="shared" ref="M78:M80" si="35">K78-L78</f>
        <v>144</v>
      </c>
      <c r="N78" s="185">
        <f>M78*C2</f>
        <v>5.76</v>
      </c>
      <c r="O78" s="186">
        <f>M78*1.65%</f>
        <v>2.376</v>
      </c>
      <c r="P78" s="187" t="s">
        <v>7</v>
      </c>
      <c r="Q78" s="187" t="s">
        <v>62</v>
      </c>
      <c r="R78" s="187">
        <f t="shared" ref="R78:R80" si="36">M78-N78-O78</f>
        <v>135.864</v>
      </c>
      <c r="S78" s="187">
        <f t="shared" ref="S78:S80" si="37">R78/E78</f>
        <v>135.864</v>
      </c>
      <c r="T78" s="193" t="s">
        <v>56</v>
      </c>
      <c r="U78" s="187">
        <f t="shared" ref="U78:U79" si="38">M78-O78</f>
        <v>141.624</v>
      </c>
      <c r="V78" s="134" t="s">
        <v>67</v>
      </c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  <c r="AJ78" s="166"/>
      <c r="AK78" s="166"/>
      <c r="AL78" s="166"/>
      <c r="AM78" s="166"/>
      <c r="AN78" s="166"/>
      <c r="AO78" s="166"/>
      <c r="AP78" s="166"/>
      <c r="AQ78" s="166"/>
      <c r="AR78" s="166"/>
    </row>
    <row r="79" customHeight="1" spans="1:44">
      <c r="A79" s="166"/>
      <c r="B79" s="134">
        <v>2470</v>
      </c>
      <c r="C79" s="99" t="s">
        <v>16</v>
      </c>
      <c r="D79" s="99" t="s">
        <v>0</v>
      </c>
      <c r="E79" s="99">
        <v>1</v>
      </c>
      <c r="F79" s="99" t="s">
        <v>1</v>
      </c>
      <c r="G79" s="178">
        <v>45857</v>
      </c>
      <c r="H79" s="99" t="s">
        <v>76</v>
      </c>
      <c r="I79" s="99" t="s">
        <v>54</v>
      </c>
      <c r="J79" s="134">
        <v>1061</v>
      </c>
      <c r="K79" s="185">
        <v>180</v>
      </c>
      <c r="L79" s="185">
        <v>36</v>
      </c>
      <c r="M79" s="185">
        <f t="shared" si="35"/>
        <v>144</v>
      </c>
      <c r="N79" s="185">
        <f>M79*C2</f>
        <v>5.76</v>
      </c>
      <c r="O79" s="186">
        <f>M79*2.7%</f>
        <v>3.888</v>
      </c>
      <c r="P79" s="187" t="s">
        <v>9</v>
      </c>
      <c r="Q79" s="187" t="s">
        <v>62</v>
      </c>
      <c r="R79" s="187">
        <f t="shared" si="36"/>
        <v>134.352</v>
      </c>
      <c r="S79" s="187">
        <f t="shared" si="37"/>
        <v>134.352</v>
      </c>
      <c r="T79" s="194" t="s">
        <v>66</v>
      </c>
      <c r="U79" s="190">
        <f t="shared" si="38"/>
        <v>140.112</v>
      </c>
      <c r="V79" s="134" t="s">
        <v>67</v>
      </c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6"/>
      <c r="AM79" s="166"/>
      <c r="AN79" s="166"/>
      <c r="AO79" s="166"/>
      <c r="AP79" s="166"/>
      <c r="AQ79" s="166"/>
      <c r="AR79" s="166"/>
    </row>
    <row r="80" customHeight="1" spans="1:44">
      <c r="A80" s="166"/>
      <c r="B80" s="205">
        <v>2470</v>
      </c>
      <c r="C80" s="206" t="s">
        <v>16</v>
      </c>
      <c r="D80" s="206" t="s">
        <v>0</v>
      </c>
      <c r="E80" s="206">
        <v>4</v>
      </c>
      <c r="F80" s="206" t="s">
        <v>1</v>
      </c>
      <c r="G80" s="207">
        <v>45857</v>
      </c>
      <c r="H80" s="206" t="s">
        <v>6</v>
      </c>
      <c r="I80" s="206" t="s">
        <v>54</v>
      </c>
      <c r="J80" s="205">
        <v>1062</v>
      </c>
      <c r="K80" s="208">
        <v>720</v>
      </c>
      <c r="L80" s="208">
        <v>144</v>
      </c>
      <c r="M80" s="208">
        <f t="shared" si="35"/>
        <v>576</v>
      </c>
      <c r="N80" s="208">
        <f>M80*C2</f>
        <v>23.04</v>
      </c>
      <c r="O80" s="209">
        <f>M80*2.9%</f>
        <v>16.704</v>
      </c>
      <c r="P80" s="210" t="s">
        <v>69</v>
      </c>
      <c r="Q80" s="210" t="s">
        <v>55</v>
      </c>
      <c r="R80" s="210">
        <f t="shared" si="36"/>
        <v>536.256</v>
      </c>
      <c r="S80" s="214">
        <f t="shared" si="37"/>
        <v>134.064</v>
      </c>
      <c r="T80" s="215" t="s">
        <v>66</v>
      </c>
      <c r="U80" s="209">
        <f>M80/4-O80/4</f>
        <v>139.824</v>
      </c>
      <c r="V80" s="216" t="s">
        <v>83</v>
      </c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166"/>
      <c r="AM80" s="166"/>
      <c r="AN80" s="166"/>
      <c r="AO80" s="166"/>
      <c r="AP80" s="166"/>
      <c r="AQ80" s="166"/>
      <c r="AR80" s="166"/>
    </row>
    <row r="81" customHeight="1" spans="1:44">
      <c r="A81" s="166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98"/>
      <c r="T81" s="217" t="s">
        <v>70</v>
      </c>
      <c r="U81" s="210">
        <f t="shared" ref="U81:U83" si="39">U80</f>
        <v>139.824</v>
      </c>
      <c r="V81" s="199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6"/>
      <c r="AL81" s="166"/>
      <c r="AM81" s="166"/>
      <c r="AN81" s="166"/>
      <c r="AO81" s="166"/>
      <c r="AP81" s="166"/>
      <c r="AQ81" s="166"/>
      <c r="AR81" s="166"/>
    </row>
    <row r="82" customHeight="1" spans="1:44">
      <c r="A82" s="166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98"/>
      <c r="T82" s="217" t="s">
        <v>71</v>
      </c>
      <c r="U82" s="210">
        <f t="shared" si="39"/>
        <v>139.824</v>
      </c>
      <c r="V82" s="199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166"/>
      <c r="AM82" s="166"/>
      <c r="AN82" s="166"/>
      <c r="AO82" s="166"/>
      <c r="AP82" s="166"/>
      <c r="AQ82" s="166"/>
      <c r="AR82" s="166"/>
    </row>
    <row r="83" customHeight="1" spans="1:44">
      <c r="A83" s="16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200"/>
      <c r="T83" s="192" t="s">
        <v>72</v>
      </c>
      <c r="U83" s="184">
        <f t="shared" si="39"/>
        <v>139.824</v>
      </c>
      <c r="V83" s="201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166"/>
      <c r="AM83" s="166"/>
      <c r="AN83" s="166"/>
      <c r="AO83" s="166"/>
      <c r="AP83" s="166"/>
      <c r="AQ83" s="166"/>
      <c r="AR83" s="166"/>
    </row>
    <row r="84" customHeight="1" spans="1:44">
      <c r="A84" s="166"/>
      <c r="B84" s="134">
        <v>2470</v>
      </c>
      <c r="C84" s="99" t="s">
        <v>16</v>
      </c>
      <c r="D84" s="99" t="s">
        <v>0</v>
      </c>
      <c r="E84" s="99">
        <v>1</v>
      </c>
      <c r="F84" s="99" t="s">
        <v>1</v>
      </c>
      <c r="G84" s="178">
        <v>45859</v>
      </c>
      <c r="H84" s="99" t="s">
        <v>77</v>
      </c>
      <c r="I84" s="99" t="s">
        <v>54</v>
      </c>
      <c r="J84" s="134">
        <v>1063</v>
      </c>
      <c r="K84" s="185">
        <v>180</v>
      </c>
      <c r="L84" s="185">
        <v>50</v>
      </c>
      <c r="M84" s="185">
        <f t="shared" ref="M84:M85" si="40">K84-L84</f>
        <v>130</v>
      </c>
      <c r="N84" s="185">
        <f>M84*C2</f>
        <v>5.2</v>
      </c>
      <c r="O84" s="186">
        <f>M84*1.65%-0.01</f>
        <v>2.135</v>
      </c>
      <c r="P84" s="187" t="s">
        <v>7</v>
      </c>
      <c r="Q84" s="187" t="s">
        <v>55</v>
      </c>
      <c r="R84" s="187">
        <f t="shared" ref="R84:R85" si="41">M84-N84-O84</f>
        <v>122.665</v>
      </c>
      <c r="S84" s="187">
        <f t="shared" ref="S84:S85" si="42">R84/E84</f>
        <v>122.665</v>
      </c>
      <c r="T84" s="193" t="s">
        <v>56</v>
      </c>
      <c r="U84" s="187">
        <f>M84-O84</f>
        <v>127.865</v>
      </c>
      <c r="V84" s="134" t="s">
        <v>67</v>
      </c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166"/>
      <c r="AM84" s="166"/>
      <c r="AN84" s="166"/>
      <c r="AO84" s="166"/>
      <c r="AP84" s="166"/>
      <c r="AQ84" s="166"/>
      <c r="AR84" s="166"/>
    </row>
    <row r="85" customHeight="1" spans="1:44">
      <c r="A85" s="166"/>
      <c r="B85" s="179">
        <v>2470</v>
      </c>
      <c r="C85" s="180" t="s">
        <v>16</v>
      </c>
      <c r="D85" s="180" t="s">
        <v>0</v>
      </c>
      <c r="E85" s="180">
        <v>1</v>
      </c>
      <c r="F85" s="180" t="s">
        <v>1</v>
      </c>
      <c r="G85" s="181">
        <v>45860</v>
      </c>
      <c r="H85" s="180" t="s">
        <v>64</v>
      </c>
      <c r="I85" s="180" t="s">
        <v>54</v>
      </c>
      <c r="J85" s="179">
        <v>1066</v>
      </c>
      <c r="K85" s="188">
        <v>180</v>
      </c>
      <c r="L85" s="188">
        <v>0</v>
      </c>
      <c r="M85" s="188">
        <f t="shared" si="40"/>
        <v>180</v>
      </c>
      <c r="N85" s="188">
        <f>M85*C2</f>
        <v>7.2</v>
      </c>
      <c r="O85" s="189">
        <f>M85*2.9%</f>
        <v>5.22</v>
      </c>
      <c r="P85" s="190" t="s">
        <v>10</v>
      </c>
      <c r="Q85" s="190" t="s">
        <v>55</v>
      </c>
      <c r="R85" s="190">
        <f t="shared" si="41"/>
        <v>167.58</v>
      </c>
      <c r="S85" s="195">
        <f t="shared" si="42"/>
        <v>167.58</v>
      </c>
      <c r="T85" s="196" t="s">
        <v>66</v>
      </c>
      <c r="U85" s="189">
        <f>M85/2-O85/2</f>
        <v>87.39</v>
      </c>
      <c r="V85" s="197" t="s">
        <v>67</v>
      </c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166"/>
      <c r="AM85" s="166"/>
      <c r="AN85" s="166"/>
      <c r="AO85" s="166"/>
      <c r="AP85" s="166"/>
      <c r="AQ85" s="166"/>
      <c r="AR85" s="166"/>
    </row>
    <row r="86" customHeight="1" spans="1:44">
      <c r="A86" s="16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200"/>
      <c r="T86" s="193" t="s">
        <v>70</v>
      </c>
      <c r="U86" s="187">
        <f>U85</f>
        <v>87.39</v>
      </c>
      <c r="V86" s="201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6"/>
      <c r="AO86" s="166"/>
      <c r="AP86" s="166"/>
      <c r="AQ86" s="166"/>
      <c r="AR86" s="166"/>
    </row>
    <row r="87" customHeight="1" spans="1:44">
      <c r="A87" s="166"/>
      <c r="B87" s="134">
        <v>2470</v>
      </c>
      <c r="C87" s="99" t="s">
        <v>16</v>
      </c>
      <c r="D87" s="99" t="s">
        <v>0</v>
      </c>
      <c r="E87" s="99">
        <v>1</v>
      </c>
      <c r="F87" s="99" t="s">
        <v>1</v>
      </c>
      <c r="G87" s="178">
        <v>45861</v>
      </c>
      <c r="H87" s="99" t="s">
        <v>68</v>
      </c>
      <c r="I87" s="99" t="s">
        <v>54</v>
      </c>
      <c r="J87" s="134">
        <v>1067</v>
      </c>
      <c r="K87" s="185">
        <v>180</v>
      </c>
      <c r="L87" s="185">
        <v>0</v>
      </c>
      <c r="M87" s="185">
        <f t="shared" ref="M87:M88" si="43">K87-L87</f>
        <v>180</v>
      </c>
      <c r="N87" s="185">
        <f>M87*C2</f>
        <v>7.2</v>
      </c>
      <c r="O87" s="186">
        <f>M87*0.75%</f>
        <v>1.35</v>
      </c>
      <c r="P87" s="187" t="s">
        <v>5</v>
      </c>
      <c r="Q87" s="187" t="s">
        <v>6</v>
      </c>
      <c r="R87" s="187">
        <f t="shared" ref="R87:R88" si="44">M87-N87-O87</f>
        <v>171.45</v>
      </c>
      <c r="S87" s="187">
        <f t="shared" ref="S87:S88" si="45">R87/E87</f>
        <v>171.45</v>
      </c>
      <c r="T87" s="194" t="s">
        <v>56</v>
      </c>
      <c r="U87" s="190">
        <f>M87-O87</f>
        <v>178.65</v>
      </c>
      <c r="V87" s="134" t="s">
        <v>67</v>
      </c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166"/>
      <c r="AM87" s="166"/>
      <c r="AN87" s="166"/>
      <c r="AO87" s="166"/>
      <c r="AP87" s="166"/>
      <c r="AQ87" s="166"/>
      <c r="AR87" s="166"/>
    </row>
    <row r="88" customHeight="1" spans="1:44">
      <c r="A88" s="166"/>
      <c r="B88" s="179">
        <v>2470</v>
      </c>
      <c r="C88" s="180" t="s">
        <v>16</v>
      </c>
      <c r="D88" s="180" t="s">
        <v>0</v>
      </c>
      <c r="E88" s="180">
        <v>2</v>
      </c>
      <c r="F88" s="180" t="s">
        <v>1</v>
      </c>
      <c r="G88" s="181">
        <v>45861</v>
      </c>
      <c r="H88" s="180" t="s">
        <v>68</v>
      </c>
      <c r="I88" s="180" t="s">
        <v>84</v>
      </c>
      <c r="J88" s="179">
        <v>1068</v>
      </c>
      <c r="K88" s="188">
        <v>360</v>
      </c>
      <c r="L88" s="188">
        <v>80</v>
      </c>
      <c r="M88" s="188">
        <f t="shared" si="43"/>
        <v>280</v>
      </c>
      <c r="N88" s="188">
        <f>M88*C2</f>
        <v>11.2</v>
      </c>
      <c r="O88" s="189">
        <f>M88*2.91%-0.03</f>
        <v>8.118</v>
      </c>
      <c r="P88" s="190" t="s">
        <v>10</v>
      </c>
      <c r="Q88" s="190" t="s">
        <v>55</v>
      </c>
      <c r="R88" s="190">
        <f t="shared" si="44"/>
        <v>260.682</v>
      </c>
      <c r="S88" s="195">
        <f t="shared" si="45"/>
        <v>130.341</v>
      </c>
      <c r="T88" s="196" t="s">
        <v>66</v>
      </c>
      <c r="U88" s="189">
        <f>M88/2-O88/2</f>
        <v>135.941</v>
      </c>
      <c r="V88" s="197" t="s">
        <v>67</v>
      </c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166"/>
      <c r="AM88" s="166"/>
      <c r="AN88" s="166"/>
      <c r="AO88" s="166"/>
      <c r="AP88" s="166"/>
      <c r="AQ88" s="166"/>
      <c r="AR88" s="166"/>
    </row>
    <row r="89" customHeight="1" spans="1:44">
      <c r="A89" s="16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200"/>
      <c r="T89" s="193" t="s">
        <v>70</v>
      </c>
      <c r="U89" s="187">
        <f>U88</f>
        <v>135.941</v>
      </c>
      <c r="V89" s="201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166"/>
      <c r="AM89" s="166"/>
      <c r="AN89" s="166"/>
      <c r="AO89" s="166"/>
      <c r="AP89" s="166"/>
      <c r="AQ89" s="166"/>
      <c r="AR89" s="166"/>
    </row>
    <row r="90" customHeight="1" spans="1:44">
      <c r="A90" s="166"/>
      <c r="B90" s="175">
        <v>2470</v>
      </c>
      <c r="C90" s="176" t="s">
        <v>16</v>
      </c>
      <c r="D90" s="176" t="s">
        <v>0</v>
      </c>
      <c r="E90" s="176">
        <v>1</v>
      </c>
      <c r="F90" s="176" t="s">
        <v>1</v>
      </c>
      <c r="G90" s="177">
        <v>45861</v>
      </c>
      <c r="H90" s="176" t="s">
        <v>6</v>
      </c>
      <c r="I90" s="176" t="s">
        <v>54</v>
      </c>
      <c r="J90" s="175">
        <v>1069</v>
      </c>
      <c r="K90" s="182">
        <v>180</v>
      </c>
      <c r="L90" s="182">
        <v>0</v>
      </c>
      <c r="M90" s="182">
        <f t="shared" ref="M90:M92" si="46">K90-L90</f>
        <v>180</v>
      </c>
      <c r="N90" s="182">
        <f>M90*C2</f>
        <v>7.2</v>
      </c>
      <c r="O90" s="183">
        <v>0</v>
      </c>
      <c r="P90" s="184" t="s">
        <v>5</v>
      </c>
      <c r="Q90" s="184" t="s">
        <v>6</v>
      </c>
      <c r="R90" s="184">
        <f t="shared" ref="R90:R92" si="47">M90-N90-O90</f>
        <v>172.8</v>
      </c>
      <c r="S90" s="184">
        <f t="shared" ref="S90:S92" si="48">R90/E90</f>
        <v>172.8</v>
      </c>
      <c r="T90" s="192" t="s">
        <v>59</v>
      </c>
      <c r="U90" s="184"/>
      <c r="V90" s="175" t="s">
        <v>85</v>
      </c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166"/>
      <c r="AM90" s="166"/>
      <c r="AN90" s="166"/>
      <c r="AO90" s="166"/>
      <c r="AP90" s="166"/>
      <c r="AQ90" s="166"/>
      <c r="AR90" s="166"/>
    </row>
    <row r="91" customHeight="1" spans="1:44">
      <c r="A91" s="166"/>
      <c r="B91" s="175">
        <v>3010</v>
      </c>
      <c r="C91" s="176" t="s">
        <v>30</v>
      </c>
      <c r="D91" s="176" t="s">
        <v>0</v>
      </c>
      <c r="E91" s="176">
        <v>1</v>
      </c>
      <c r="F91" s="176" t="s">
        <v>1</v>
      </c>
      <c r="G91" s="177">
        <v>45861</v>
      </c>
      <c r="H91" s="176" t="s">
        <v>6</v>
      </c>
      <c r="I91" s="176" t="s">
        <v>54</v>
      </c>
      <c r="J91" s="175">
        <v>1069</v>
      </c>
      <c r="K91" s="182">
        <v>250</v>
      </c>
      <c r="L91" s="182">
        <v>0</v>
      </c>
      <c r="M91" s="182">
        <f t="shared" si="46"/>
        <v>250</v>
      </c>
      <c r="N91" s="182">
        <f>M91*C2</f>
        <v>10</v>
      </c>
      <c r="O91" s="183">
        <v>0</v>
      </c>
      <c r="P91" s="184" t="s">
        <v>5</v>
      </c>
      <c r="Q91" s="184" t="s">
        <v>6</v>
      </c>
      <c r="R91" s="184">
        <f t="shared" si="47"/>
        <v>240</v>
      </c>
      <c r="S91" s="184">
        <f t="shared" si="48"/>
        <v>240</v>
      </c>
      <c r="T91" s="192" t="s">
        <v>59</v>
      </c>
      <c r="U91" s="184"/>
      <c r="V91" s="175" t="s">
        <v>85</v>
      </c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  <c r="AH91" s="166"/>
      <c r="AI91" s="166"/>
      <c r="AJ91" s="166"/>
      <c r="AK91" s="166"/>
      <c r="AL91" s="166"/>
      <c r="AM91" s="166"/>
      <c r="AN91" s="166"/>
      <c r="AO91" s="166"/>
      <c r="AP91" s="166"/>
      <c r="AQ91" s="166"/>
      <c r="AR91" s="166"/>
    </row>
    <row r="92" customHeight="1" spans="1:44">
      <c r="A92" s="166"/>
      <c r="B92" s="179">
        <v>2470</v>
      </c>
      <c r="C92" s="180" t="s">
        <v>16</v>
      </c>
      <c r="D92" s="180" t="s">
        <v>0</v>
      </c>
      <c r="E92" s="180">
        <v>1</v>
      </c>
      <c r="F92" s="180" t="s">
        <v>1</v>
      </c>
      <c r="G92" s="181">
        <v>45861</v>
      </c>
      <c r="H92" s="180" t="s">
        <v>68</v>
      </c>
      <c r="I92" s="180" t="s">
        <v>54</v>
      </c>
      <c r="J92" s="179">
        <v>1070</v>
      </c>
      <c r="K92" s="188">
        <v>180</v>
      </c>
      <c r="L92" s="188">
        <v>0</v>
      </c>
      <c r="M92" s="188">
        <f t="shared" si="46"/>
        <v>180</v>
      </c>
      <c r="N92" s="188">
        <f>M92*C2</f>
        <v>7.2</v>
      </c>
      <c r="O92" s="189">
        <f>M92*2.9%</f>
        <v>5.22</v>
      </c>
      <c r="P92" s="190" t="s">
        <v>10</v>
      </c>
      <c r="Q92" s="190" t="s">
        <v>62</v>
      </c>
      <c r="R92" s="190">
        <f t="shared" si="47"/>
        <v>167.58</v>
      </c>
      <c r="S92" s="195">
        <f t="shared" si="48"/>
        <v>167.58</v>
      </c>
      <c r="T92" s="196" t="s">
        <v>66</v>
      </c>
      <c r="U92" s="189">
        <f>M92/2-O92/2</f>
        <v>87.39</v>
      </c>
      <c r="V92" s="197" t="s">
        <v>67</v>
      </c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  <c r="AH92" s="166"/>
      <c r="AI92" s="166"/>
      <c r="AJ92" s="166"/>
      <c r="AK92" s="166"/>
      <c r="AL92" s="166"/>
      <c r="AM92" s="166"/>
      <c r="AN92" s="166"/>
      <c r="AO92" s="166"/>
      <c r="AP92" s="166"/>
      <c r="AQ92" s="166"/>
      <c r="AR92" s="166"/>
    </row>
    <row r="93" customHeight="1" spans="1:44">
      <c r="A93" s="16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200"/>
      <c r="T93" s="193" t="s">
        <v>70</v>
      </c>
      <c r="U93" s="187">
        <f>U92</f>
        <v>87.39</v>
      </c>
      <c r="V93" s="201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  <c r="AH93" s="166"/>
      <c r="AI93" s="166"/>
      <c r="AJ93" s="166"/>
      <c r="AK93" s="166"/>
      <c r="AL93" s="166"/>
      <c r="AM93" s="166"/>
      <c r="AN93" s="166"/>
      <c r="AO93" s="166"/>
      <c r="AP93" s="166"/>
      <c r="AQ93" s="166"/>
      <c r="AR93" s="166"/>
    </row>
    <row r="94" customHeight="1" spans="1:44">
      <c r="A94" s="166"/>
      <c r="B94" s="175">
        <v>2470</v>
      </c>
      <c r="C94" s="176" t="s">
        <v>16</v>
      </c>
      <c r="D94" s="176" t="s">
        <v>0</v>
      </c>
      <c r="E94" s="176">
        <v>1</v>
      </c>
      <c r="F94" s="176" t="s">
        <v>1</v>
      </c>
      <c r="G94" s="177">
        <v>45861</v>
      </c>
      <c r="H94" s="176" t="s">
        <v>6</v>
      </c>
      <c r="I94" s="176" t="s">
        <v>54</v>
      </c>
      <c r="J94" s="175">
        <v>1071</v>
      </c>
      <c r="K94" s="182">
        <v>180</v>
      </c>
      <c r="L94" s="182">
        <v>0</v>
      </c>
      <c r="M94" s="182">
        <f t="shared" ref="M94:M95" si="49">K94-L94</f>
        <v>180</v>
      </c>
      <c r="N94" s="182">
        <f>M94*C2</f>
        <v>7.2</v>
      </c>
      <c r="O94" s="183">
        <v>0</v>
      </c>
      <c r="P94" s="184" t="s">
        <v>5</v>
      </c>
      <c r="Q94" s="184" t="s">
        <v>6</v>
      </c>
      <c r="R94" s="184">
        <f t="shared" ref="R94:R95" si="50">M94-N94-O94</f>
        <v>172.8</v>
      </c>
      <c r="S94" s="184">
        <f t="shared" ref="S94:S95" si="51">R94/E94</f>
        <v>172.8</v>
      </c>
      <c r="T94" s="217" t="s">
        <v>59</v>
      </c>
      <c r="U94" s="210"/>
      <c r="V94" s="175" t="s">
        <v>86</v>
      </c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  <c r="AK94" s="166"/>
      <c r="AL94" s="166"/>
      <c r="AM94" s="166"/>
      <c r="AN94" s="166"/>
      <c r="AO94" s="166"/>
      <c r="AP94" s="166"/>
      <c r="AQ94" s="166"/>
      <c r="AR94" s="166"/>
    </row>
    <row r="95" customHeight="1" spans="1:44">
      <c r="A95" s="166"/>
      <c r="B95" s="205">
        <v>2470</v>
      </c>
      <c r="C95" s="206" t="s">
        <v>16</v>
      </c>
      <c r="D95" s="206" t="s">
        <v>0</v>
      </c>
      <c r="E95" s="206">
        <v>1</v>
      </c>
      <c r="F95" s="206" t="s">
        <v>1</v>
      </c>
      <c r="G95" s="207">
        <v>45861</v>
      </c>
      <c r="H95" s="206" t="s">
        <v>6</v>
      </c>
      <c r="I95" s="206" t="s">
        <v>54</v>
      </c>
      <c r="J95" s="205">
        <v>1072</v>
      </c>
      <c r="K95" s="208">
        <v>180</v>
      </c>
      <c r="L95" s="208">
        <v>0</v>
      </c>
      <c r="M95" s="208">
        <f t="shared" si="49"/>
        <v>180</v>
      </c>
      <c r="N95" s="208">
        <f>M95*C2</f>
        <v>7.2</v>
      </c>
      <c r="O95" s="209">
        <f>M95*3.78%</f>
        <v>6.804</v>
      </c>
      <c r="P95" s="210" t="s">
        <v>87</v>
      </c>
      <c r="Q95" s="210" t="s">
        <v>62</v>
      </c>
      <c r="R95" s="210">
        <f t="shared" si="50"/>
        <v>165.996</v>
      </c>
      <c r="S95" s="214">
        <f t="shared" si="51"/>
        <v>165.996</v>
      </c>
      <c r="T95" s="218" t="s">
        <v>56</v>
      </c>
      <c r="U95" s="209">
        <f>M95/3-O95/3</f>
        <v>57.732</v>
      </c>
      <c r="V95" s="216" t="s">
        <v>88</v>
      </c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  <c r="AH95" s="166"/>
      <c r="AI95" s="166"/>
      <c r="AJ95" s="166"/>
      <c r="AK95" s="166"/>
      <c r="AL95" s="166"/>
      <c r="AM95" s="166"/>
      <c r="AN95" s="166"/>
      <c r="AO95" s="166"/>
      <c r="AP95" s="166"/>
      <c r="AQ95" s="166"/>
      <c r="AR95" s="166"/>
    </row>
    <row r="96" customHeight="1" spans="1:44">
      <c r="A96" s="166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98"/>
      <c r="T96" s="219" t="s">
        <v>66</v>
      </c>
      <c r="U96" s="210">
        <f t="shared" ref="U96:U97" si="52">U95</f>
        <v>57.732</v>
      </c>
      <c r="V96" s="199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</row>
    <row r="97" customHeight="1" spans="1:44">
      <c r="A97" s="16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200"/>
      <c r="T97" s="220" t="s">
        <v>70</v>
      </c>
      <c r="U97" s="210">
        <f t="shared" si="52"/>
        <v>57.732</v>
      </c>
      <c r="V97" s="199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  <c r="AG97" s="166"/>
      <c r="AH97" s="166"/>
      <c r="AI97" s="166"/>
      <c r="AJ97" s="166"/>
      <c r="AK97" s="166"/>
      <c r="AL97" s="166"/>
      <c r="AM97" s="166"/>
      <c r="AN97" s="166"/>
      <c r="AO97" s="166"/>
      <c r="AP97" s="166"/>
      <c r="AQ97" s="166"/>
      <c r="AR97" s="166"/>
    </row>
    <row r="98" customHeight="1" spans="1:44">
      <c r="A98" s="166"/>
      <c r="B98" s="205">
        <v>2550</v>
      </c>
      <c r="C98" s="206" t="s">
        <v>58</v>
      </c>
      <c r="D98" s="206" t="s">
        <v>0</v>
      </c>
      <c r="E98" s="206">
        <v>1</v>
      </c>
      <c r="F98" s="206" t="s">
        <v>1</v>
      </c>
      <c r="G98" s="207">
        <v>45861</v>
      </c>
      <c r="H98" s="206" t="s">
        <v>6</v>
      </c>
      <c r="I98" s="206" t="s">
        <v>54</v>
      </c>
      <c r="J98" s="205">
        <v>1072</v>
      </c>
      <c r="K98" s="208">
        <v>60</v>
      </c>
      <c r="L98" s="208">
        <v>0</v>
      </c>
      <c r="M98" s="208">
        <f>K98-L98</f>
        <v>60</v>
      </c>
      <c r="N98" s="208">
        <f>M98*C2</f>
        <v>2.4</v>
      </c>
      <c r="O98" s="209">
        <f>M98*3.78%</f>
        <v>2.268</v>
      </c>
      <c r="P98" s="210" t="s">
        <v>87</v>
      </c>
      <c r="Q98" s="210" t="s">
        <v>62</v>
      </c>
      <c r="R98" s="210">
        <f>M98-N98-O98</f>
        <v>55.332</v>
      </c>
      <c r="S98" s="214">
        <f>R98/E98</f>
        <v>55.332</v>
      </c>
      <c r="T98" s="218" t="s">
        <v>56</v>
      </c>
      <c r="U98" s="209">
        <f>M98/3-O98/3</f>
        <v>19.244</v>
      </c>
      <c r="V98" s="199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</row>
    <row r="99" customHeight="1" spans="1:44">
      <c r="A99" s="166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98"/>
      <c r="T99" s="219" t="s">
        <v>66</v>
      </c>
      <c r="U99" s="210">
        <f t="shared" ref="U99:U100" si="53">U98</f>
        <v>19.244</v>
      </c>
      <c r="V99" s="199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  <c r="AG99" s="166"/>
      <c r="AH99" s="166"/>
      <c r="AI99" s="166"/>
      <c r="AJ99" s="166"/>
      <c r="AK99" s="166"/>
      <c r="AL99" s="166"/>
      <c r="AM99" s="166"/>
      <c r="AN99" s="166"/>
      <c r="AO99" s="166"/>
      <c r="AP99" s="166"/>
      <c r="AQ99" s="166"/>
      <c r="AR99" s="166"/>
    </row>
    <row r="100" customHeight="1" spans="1:44">
      <c r="A100" s="16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200"/>
      <c r="T100" s="220" t="s">
        <v>70</v>
      </c>
      <c r="U100" s="184">
        <f t="shared" si="53"/>
        <v>19.244</v>
      </c>
      <c r="V100" s="201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</row>
    <row r="101" customHeight="1" spans="1:44">
      <c r="A101" s="166"/>
      <c r="B101" s="175">
        <v>2470</v>
      </c>
      <c r="C101" s="176" t="s">
        <v>16</v>
      </c>
      <c r="D101" s="176" t="s">
        <v>0</v>
      </c>
      <c r="E101" s="176">
        <v>1</v>
      </c>
      <c r="F101" s="176" t="s">
        <v>1</v>
      </c>
      <c r="G101" s="177">
        <v>45861</v>
      </c>
      <c r="H101" s="176" t="s">
        <v>6</v>
      </c>
      <c r="I101" s="176" t="s">
        <v>54</v>
      </c>
      <c r="J101" s="175">
        <v>1073</v>
      </c>
      <c r="K101" s="182">
        <v>180</v>
      </c>
      <c r="L101" s="182">
        <v>0</v>
      </c>
      <c r="M101" s="182">
        <f t="shared" ref="M101:M107" si="54">K101-L101</f>
        <v>180</v>
      </c>
      <c r="N101" s="182">
        <f>M101*C2</f>
        <v>7.2</v>
      </c>
      <c r="O101" s="183">
        <f>M101*3.29%</f>
        <v>5.922</v>
      </c>
      <c r="P101" s="183" t="s">
        <v>9</v>
      </c>
      <c r="Q101" s="183" t="s">
        <v>55</v>
      </c>
      <c r="R101" s="183">
        <f t="shared" ref="R101:R107" si="55">M101-N101-O101</f>
        <v>166.878</v>
      </c>
      <c r="S101" s="183">
        <f t="shared" ref="S101:S107" si="56">R101/E101</f>
        <v>166.878</v>
      </c>
      <c r="T101" s="221" t="s">
        <v>56</v>
      </c>
      <c r="U101" s="183">
        <f t="shared" ref="U101:U106" si="57">M101-O101</f>
        <v>174.078</v>
      </c>
      <c r="V101" s="175" t="s">
        <v>88</v>
      </c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/>
      <c r="AL101" s="166"/>
      <c r="AM101" s="166"/>
      <c r="AN101" s="166"/>
      <c r="AO101" s="166"/>
      <c r="AP101" s="166"/>
      <c r="AQ101" s="166"/>
      <c r="AR101" s="166"/>
    </row>
    <row r="102" customHeight="1" spans="1:44">
      <c r="A102" s="166"/>
      <c r="B102" s="175">
        <v>2470</v>
      </c>
      <c r="C102" s="176" t="s">
        <v>16</v>
      </c>
      <c r="D102" s="176" t="s">
        <v>0</v>
      </c>
      <c r="E102" s="176">
        <v>1</v>
      </c>
      <c r="F102" s="176" t="s">
        <v>1</v>
      </c>
      <c r="G102" s="177">
        <v>45861</v>
      </c>
      <c r="H102" s="176" t="s">
        <v>6</v>
      </c>
      <c r="I102" s="176" t="s">
        <v>54</v>
      </c>
      <c r="J102" s="175">
        <v>1074</v>
      </c>
      <c r="K102" s="182">
        <v>180</v>
      </c>
      <c r="L102" s="182">
        <v>36</v>
      </c>
      <c r="M102" s="182">
        <f t="shared" si="54"/>
        <v>144</v>
      </c>
      <c r="N102" s="182">
        <f>M102*C2</f>
        <v>5.76</v>
      </c>
      <c r="O102" s="183">
        <f>M102*1.9%</f>
        <v>2.736</v>
      </c>
      <c r="P102" s="183" t="s">
        <v>7</v>
      </c>
      <c r="Q102" s="183" t="s">
        <v>55</v>
      </c>
      <c r="R102" s="183">
        <f t="shared" si="55"/>
        <v>135.504</v>
      </c>
      <c r="S102" s="183">
        <f t="shared" si="56"/>
        <v>135.504</v>
      </c>
      <c r="T102" s="221" t="s">
        <v>56</v>
      </c>
      <c r="U102" s="183">
        <f t="shared" si="57"/>
        <v>141.264</v>
      </c>
      <c r="V102" s="175" t="s">
        <v>89</v>
      </c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166"/>
      <c r="AM102" s="166"/>
      <c r="AN102" s="166"/>
      <c r="AO102" s="166"/>
      <c r="AP102" s="166"/>
      <c r="AQ102" s="166"/>
      <c r="AR102" s="166"/>
    </row>
    <row r="103" customHeight="1" spans="1:44">
      <c r="A103" s="166"/>
      <c r="B103" s="175">
        <v>2470</v>
      </c>
      <c r="C103" s="176" t="s">
        <v>16</v>
      </c>
      <c r="D103" s="176" t="s">
        <v>0</v>
      </c>
      <c r="E103" s="176">
        <v>1</v>
      </c>
      <c r="F103" s="176" t="s">
        <v>1</v>
      </c>
      <c r="G103" s="177">
        <v>45861</v>
      </c>
      <c r="H103" s="176" t="s">
        <v>6</v>
      </c>
      <c r="I103" s="176" t="s">
        <v>54</v>
      </c>
      <c r="J103" s="175">
        <v>1075</v>
      </c>
      <c r="K103" s="182">
        <v>180</v>
      </c>
      <c r="L103" s="182">
        <v>36</v>
      </c>
      <c r="M103" s="182">
        <f t="shared" si="54"/>
        <v>144</v>
      </c>
      <c r="N103" s="182">
        <f>M103*C2</f>
        <v>5.76</v>
      </c>
      <c r="O103" s="183">
        <v>0</v>
      </c>
      <c r="P103" s="183" t="s">
        <v>5</v>
      </c>
      <c r="Q103" s="183" t="s">
        <v>6</v>
      </c>
      <c r="R103" s="183">
        <f t="shared" si="55"/>
        <v>138.24</v>
      </c>
      <c r="S103" s="183">
        <f t="shared" si="56"/>
        <v>138.24</v>
      </c>
      <c r="T103" s="221" t="s">
        <v>56</v>
      </c>
      <c r="U103" s="183">
        <f t="shared" si="57"/>
        <v>144</v>
      </c>
      <c r="V103" s="175" t="s">
        <v>90</v>
      </c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  <c r="AH103" s="166"/>
      <c r="AI103" s="166"/>
      <c r="AJ103" s="166"/>
      <c r="AK103" s="166"/>
      <c r="AL103" s="166"/>
      <c r="AM103" s="166"/>
      <c r="AN103" s="166"/>
      <c r="AO103" s="166"/>
      <c r="AP103" s="166"/>
      <c r="AQ103" s="166"/>
      <c r="AR103" s="166"/>
    </row>
    <row r="104" customHeight="1" spans="1:44">
      <c r="A104" s="166"/>
      <c r="B104" s="175">
        <v>2470</v>
      </c>
      <c r="C104" s="176" t="s">
        <v>16</v>
      </c>
      <c r="D104" s="176" t="s">
        <v>0</v>
      </c>
      <c r="E104" s="176">
        <v>1</v>
      </c>
      <c r="F104" s="176" t="s">
        <v>1</v>
      </c>
      <c r="G104" s="177">
        <v>45861</v>
      </c>
      <c r="H104" s="176" t="s">
        <v>6</v>
      </c>
      <c r="I104" s="176" t="s">
        <v>54</v>
      </c>
      <c r="J104" s="175">
        <v>1076</v>
      </c>
      <c r="K104" s="182">
        <v>180</v>
      </c>
      <c r="L104" s="182">
        <v>0</v>
      </c>
      <c r="M104" s="182">
        <f t="shared" si="54"/>
        <v>180</v>
      </c>
      <c r="N104" s="182">
        <f>M104*C2</f>
        <v>7.2</v>
      </c>
      <c r="O104" s="183">
        <v>0</v>
      </c>
      <c r="P104" s="183" t="s">
        <v>5</v>
      </c>
      <c r="Q104" s="183" t="s">
        <v>6</v>
      </c>
      <c r="R104" s="183">
        <f t="shared" si="55"/>
        <v>172.8</v>
      </c>
      <c r="S104" s="183">
        <f t="shared" si="56"/>
        <v>172.8</v>
      </c>
      <c r="T104" s="221" t="s">
        <v>56</v>
      </c>
      <c r="U104" s="183">
        <f t="shared" si="57"/>
        <v>180</v>
      </c>
      <c r="V104" s="175" t="s">
        <v>90</v>
      </c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  <c r="AK104" s="166"/>
      <c r="AL104" s="166"/>
      <c r="AM104" s="166"/>
      <c r="AN104" s="166"/>
      <c r="AO104" s="166"/>
      <c r="AP104" s="166"/>
      <c r="AQ104" s="166"/>
      <c r="AR104" s="166"/>
    </row>
    <row r="105" customHeight="1" spans="1:44">
      <c r="A105" s="166"/>
      <c r="B105" s="99">
        <v>2946</v>
      </c>
      <c r="C105" s="99" t="s">
        <v>91</v>
      </c>
      <c r="D105" s="99" t="s">
        <v>0</v>
      </c>
      <c r="E105" s="99">
        <v>1</v>
      </c>
      <c r="F105" s="99" t="s">
        <v>1</v>
      </c>
      <c r="G105" s="178">
        <v>45863</v>
      </c>
      <c r="H105" s="99" t="s">
        <v>75</v>
      </c>
      <c r="I105" s="99" t="s">
        <v>54</v>
      </c>
      <c r="J105" s="99">
        <v>1077</v>
      </c>
      <c r="K105" s="185">
        <v>100</v>
      </c>
      <c r="L105" s="185">
        <v>0</v>
      </c>
      <c r="M105" s="185">
        <f t="shared" si="54"/>
        <v>100</v>
      </c>
      <c r="N105" s="185">
        <f>M105*C2</f>
        <v>4</v>
      </c>
      <c r="O105" s="186">
        <f t="shared" ref="O105:O106" si="58">M105*0.75%</f>
        <v>0.75</v>
      </c>
      <c r="P105" s="211" t="s">
        <v>5</v>
      </c>
      <c r="Q105" s="211" t="s">
        <v>6</v>
      </c>
      <c r="R105" s="186">
        <f t="shared" si="55"/>
        <v>95.25</v>
      </c>
      <c r="S105" s="186">
        <f t="shared" si="56"/>
        <v>95.25</v>
      </c>
      <c r="T105" s="211" t="s">
        <v>56</v>
      </c>
      <c r="U105" s="186">
        <f t="shared" si="57"/>
        <v>99.25</v>
      </c>
      <c r="V105" s="99" t="s">
        <v>67</v>
      </c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166"/>
      <c r="AM105" s="166"/>
      <c r="AN105" s="166"/>
      <c r="AO105" s="166"/>
      <c r="AP105" s="166"/>
      <c r="AQ105" s="166"/>
      <c r="AR105" s="166"/>
    </row>
    <row r="106" customHeight="1" spans="1:44">
      <c r="A106" s="166"/>
      <c r="B106" s="99">
        <v>2550</v>
      </c>
      <c r="C106" s="99" t="s">
        <v>58</v>
      </c>
      <c r="D106" s="99" t="s">
        <v>0</v>
      </c>
      <c r="E106" s="99">
        <v>1</v>
      </c>
      <c r="F106" s="99" t="s">
        <v>1</v>
      </c>
      <c r="G106" s="178">
        <v>45863</v>
      </c>
      <c r="H106" s="99" t="s">
        <v>75</v>
      </c>
      <c r="I106" s="99" t="s">
        <v>54</v>
      </c>
      <c r="J106" s="99">
        <v>1077</v>
      </c>
      <c r="K106" s="185">
        <v>60</v>
      </c>
      <c r="L106" s="185">
        <v>0</v>
      </c>
      <c r="M106" s="185">
        <f t="shared" si="54"/>
        <v>60</v>
      </c>
      <c r="N106" s="185">
        <f>M106*C2</f>
        <v>2.4</v>
      </c>
      <c r="O106" s="186">
        <f t="shared" si="58"/>
        <v>0.45</v>
      </c>
      <c r="P106" s="211" t="s">
        <v>5</v>
      </c>
      <c r="Q106" s="211" t="s">
        <v>6</v>
      </c>
      <c r="R106" s="186">
        <f t="shared" si="55"/>
        <v>57.15</v>
      </c>
      <c r="S106" s="186">
        <f t="shared" si="56"/>
        <v>57.15</v>
      </c>
      <c r="T106" s="211"/>
      <c r="U106" s="186">
        <f t="shared" si="57"/>
        <v>59.55</v>
      </c>
      <c r="V106" s="99" t="s">
        <v>67</v>
      </c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  <c r="AH106" s="166"/>
      <c r="AI106" s="166"/>
      <c r="AJ106" s="166"/>
      <c r="AK106" s="166"/>
      <c r="AL106" s="166"/>
      <c r="AM106" s="166"/>
      <c r="AN106" s="166"/>
      <c r="AO106" s="166"/>
      <c r="AP106" s="166"/>
      <c r="AQ106" s="166"/>
      <c r="AR106" s="166"/>
    </row>
    <row r="107" customHeight="1" spans="1:44">
      <c r="A107" s="166"/>
      <c r="B107" s="179">
        <v>2470</v>
      </c>
      <c r="C107" s="180" t="s">
        <v>16</v>
      </c>
      <c r="D107" s="180" t="s">
        <v>0</v>
      </c>
      <c r="E107" s="180">
        <v>1</v>
      </c>
      <c r="F107" s="180" t="s">
        <v>1</v>
      </c>
      <c r="G107" s="181">
        <v>45864</v>
      </c>
      <c r="H107" s="180" t="s">
        <v>76</v>
      </c>
      <c r="I107" s="180" t="s">
        <v>54</v>
      </c>
      <c r="J107" s="179">
        <v>1078</v>
      </c>
      <c r="K107" s="188">
        <v>180</v>
      </c>
      <c r="L107" s="188">
        <v>0</v>
      </c>
      <c r="M107" s="188">
        <f t="shared" si="54"/>
        <v>180</v>
      </c>
      <c r="N107" s="188">
        <f>M107*C2</f>
        <v>7.2</v>
      </c>
      <c r="O107" s="189">
        <f>M107*2.9%</f>
        <v>5.22</v>
      </c>
      <c r="P107" s="190" t="s">
        <v>10</v>
      </c>
      <c r="Q107" s="190" t="s">
        <v>62</v>
      </c>
      <c r="R107" s="190">
        <f t="shared" si="55"/>
        <v>167.58</v>
      </c>
      <c r="S107" s="195">
        <f t="shared" si="56"/>
        <v>167.58</v>
      </c>
      <c r="T107" s="196" t="s">
        <v>66</v>
      </c>
      <c r="U107" s="189">
        <f>M107/2-O107/2</f>
        <v>87.39</v>
      </c>
      <c r="V107" s="197" t="s">
        <v>67</v>
      </c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  <c r="AK107" s="166"/>
      <c r="AL107" s="166"/>
      <c r="AM107" s="166"/>
      <c r="AN107" s="166"/>
      <c r="AO107" s="166"/>
      <c r="AP107" s="166"/>
      <c r="AQ107" s="166"/>
      <c r="AR107" s="166"/>
    </row>
    <row r="108" customHeight="1" spans="1:44">
      <c r="A108" s="16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200"/>
      <c r="T108" s="193" t="s">
        <v>70</v>
      </c>
      <c r="U108" s="187">
        <f>U107</f>
        <v>87.39</v>
      </c>
      <c r="V108" s="201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166"/>
      <c r="AM108" s="166"/>
      <c r="AN108" s="166"/>
      <c r="AO108" s="166"/>
      <c r="AP108" s="166"/>
      <c r="AQ108" s="166"/>
      <c r="AR108" s="166"/>
    </row>
    <row r="109" customHeight="1" spans="1:44">
      <c r="A109" s="166"/>
      <c r="B109" s="179">
        <v>2470</v>
      </c>
      <c r="C109" s="180" t="s">
        <v>16</v>
      </c>
      <c r="D109" s="180" t="s">
        <v>0</v>
      </c>
      <c r="E109" s="180">
        <v>1</v>
      </c>
      <c r="F109" s="180" t="s">
        <v>1</v>
      </c>
      <c r="G109" s="181">
        <v>45864</v>
      </c>
      <c r="H109" s="180" t="s">
        <v>76</v>
      </c>
      <c r="I109" s="180" t="s">
        <v>54</v>
      </c>
      <c r="J109" s="179">
        <v>1079</v>
      </c>
      <c r="K109" s="188">
        <v>180</v>
      </c>
      <c r="L109" s="188">
        <v>0</v>
      </c>
      <c r="M109" s="188">
        <f>K109-L109</f>
        <v>180</v>
      </c>
      <c r="N109" s="188">
        <f>M109*C2</f>
        <v>7.2</v>
      </c>
      <c r="O109" s="189">
        <f>M109*2.9%</f>
        <v>5.22</v>
      </c>
      <c r="P109" s="190" t="s">
        <v>10</v>
      </c>
      <c r="Q109" s="190" t="s">
        <v>62</v>
      </c>
      <c r="R109" s="190">
        <f>M109-N109-O109</f>
        <v>167.58</v>
      </c>
      <c r="S109" s="195">
        <f>R109/E109</f>
        <v>167.58</v>
      </c>
      <c r="T109" s="196" t="s">
        <v>66</v>
      </c>
      <c r="U109" s="189">
        <f>M109/2-O109/2</f>
        <v>87.39</v>
      </c>
      <c r="V109" s="197" t="s">
        <v>67</v>
      </c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  <c r="AG109" s="166"/>
      <c r="AH109" s="166"/>
      <c r="AI109" s="166"/>
      <c r="AJ109" s="166"/>
      <c r="AK109" s="166"/>
      <c r="AL109" s="166"/>
      <c r="AM109" s="166"/>
      <c r="AN109" s="166"/>
      <c r="AO109" s="166"/>
      <c r="AP109" s="166"/>
      <c r="AQ109" s="166"/>
      <c r="AR109" s="166"/>
    </row>
    <row r="110" customHeight="1" spans="1:44">
      <c r="A110" s="16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200"/>
      <c r="T110" s="193" t="s">
        <v>70</v>
      </c>
      <c r="U110" s="187">
        <f>U109</f>
        <v>87.39</v>
      </c>
      <c r="V110" s="201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  <c r="AH110" s="166"/>
      <c r="AI110" s="166"/>
      <c r="AJ110" s="166"/>
      <c r="AK110" s="166"/>
      <c r="AL110" s="166"/>
      <c r="AM110" s="166"/>
      <c r="AN110" s="166"/>
      <c r="AO110" s="166"/>
      <c r="AP110" s="166"/>
      <c r="AQ110" s="166"/>
      <c r="AR110" s="166"/>
    </row>
    <row r="111" customHeight="1" spans="1:44">
      <c r="A111" s="166"/>
      <c r="B111" s="179">
        <v>2470</v>
      </c>
      <c r="C111" s="180" t="s">
        <v>16</v>
      </c>
      <c r="D111" s="180" t="s">
        <v>0</v>
      </c>
      <c r="E111" s="180">
        <v>1</v>
      </c>
      <c r="F111" s="180" t="s">
        <v>1</v>
      </c>
      <c r="G111" s="181">
        <v>45864</v>
      </c>
      <c r="H111" s="180" t="s">
        <v>76</v>
      </c>
      <c r="I111" s="180" t="s">
        <v>54</v>
      </c>
      <c r="J111" s="179">
        <v>1080</v>
      </c>
      <c r="K111" s="188">
        <v>180</v>
      </c>
      <c r="L111" s="188">
        <v>0</v>
      </c>
      <c r="M111" s="188">
        <f>K111-L111</f>
        <v>180</v>
      </c>
      <c r="N111" s="188">
        <f>M111*C2</f>
        <v>7.2</v>
      </c>
      <c r="O111" s="189">
        <f>M111*3.7%+0.02</f>
        <v>6.68</v>
      </c>
      <c r="P111" s="190" t="s">
        <v>10</v>
      </c>
      <c r="Q111" s="190" t="s">
        <v>79</v>
      </c>
      <c r="R111" s="190">
        <f>M111-N111-O111</f>
        <v>166.12</v>
      </c>
      <c r="S111" s="195">
        <f>R111/E111</f>
        <v>166.12</v>
      </c>
      <c r="T111" s="196" t="s">
        <v>66</v>
      </c>
      <c r="U111" s="189">
        <f>M111/2-O111/2</f>
        <v>86.66</v>
      </c>
      <c r="V111" s="197" t="s">
        <v>67</v>
      </c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  <c r="AG111" s="166"/>
      <c r="AH111" s="166"/>
      <c r="AI111" s="166"/>
      <c r="AJ111" s="166"/>
      <c r="AK111" s="166"/>
      <c r="AL111" s="166"/>
      <c r="AM111" s="166"/>
      <c r="AN111" s="166"/>
      <c r="AO111" s="166"/>
      <c r="AP111" s="166"/>
      <c r="AQ111" s="166"/>
      <c r="AR111" s="166"/>
    </row>
    <row r="112" customHeight="1" spans="1:44">
      <c r="A112" s="16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200"/>
      <c r="T112" s="193" t="s">
        <v>70</v>
      </c>
      <c r="U112" s="187">
        <f>U111</f>
        <v>86.66</v>
      </c>
      <c r="V112" s="201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  <c r="AG112" s="166"/>
      <c r="AH112" s="166"/>
      <c r="AI112" s="166"/>
      <c r="AJ112" s="166"/>
      <c r="AK112" s="166"/>
      <c r="AL112" s="166"/>
      <c r="AM112" s="166"/>
      <c r="AN112" s="166"/>
      <c r="AO112" s="166"/>
      <c r="AP112" s="166"/>
      <c r="AQ112" s="166"/>
      <c r="AR112" s="166"/>
    </row>
    <row r="113" customHeight="1" spans="1:44">
      <c r="A113" s="166"/>
      <c r="B113" s="99">
        <v>2470</v>
      </c>
      <c r="C113" s="99" t="s">
        <v>16</v>
      </c>
      <c r="D113" s="99" t="s">
        <v>0</v>
      </c>
      <c r="E113" s="99">
        <v>1</v>
      </c>
      <c r="F113" s="99" t="s">
        <v>1</v>
      </c>
      <c r="G113" s="178">
        <v>45864</v>
      </c>
      <c r="H113" s="99" t="s">
        <v>76</v>
      </c>
      <c r="I113" s="99" t="s">
        <v>54</v>
      </c>
      <c r="J113" s="99">
        <v>1081</v>
      </c>
      <c r="K113" s="185">
        <v>180</v>
      </c>
      <c r="L113" s="185">
        <v>80</v>
      </c>
      <c r="M113" s="185">
        <f t="shared" ref="M113:M116" si="59">K113-L113</f>
        <v>100</v>
      </c>
      <c r="N113" s="185">
        <f>M113*C2</f>
        <v>4</v>
      </c>
      <c r="O113" s="186">
        <f t="shared" ref="O113:O114" si="60">M113*0.75%</f>
        <v>0.75</v>
      </c>
      <c r="P113" s="211" t="s">
        <v>5</v>
      </c>
      <c r="Q113" s="211" t="s">
        <v>6</v>
      </c>
      <c r="R113" s="186">
        <f t="shared" ref="R113:R116" si="61">M113-N113-O113</f>
        <v>95.25</v>
      </c>
      <c r="S113" s="186">
        <f t="shared" ref="S113:S116" si="62">R113/E113</f>
        <v>95.25</v>
      </c>
      <c r="T113" s="211" t="s">
        <v>56</v>
      </c>
      <c r="U113" s="186">
        <f t="shared" ref="U113:U116" si="63">M113-O113</f>
        <v>99.25</v>
      </c>
      <c r="V113" s="99" t="s">
        <v>67</v>
      </c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  <c r="AH113" s="166"/>
      <c r="AI113" s="166"/>
      <c r="AJ113" s="166"/>
      <c r="AK113" s="166"/>
      <c r="AL113" s="166"/>
      <c r="AM113" s="166"/>
      <c r="AN113" s="166"/>
      <c r="AO113" s="166"/>
      <c r="AP113" s="166"/>
      <c r="AQ113" s="166"/>
      <c r="AR113" s="166"/>
    </row>
    <row r="114" customHeight="1" spans="1:44">
      <c r="A114" s="166"/>
      <c r="B114" s="99">
        <v>2470</v>
      </c>
      <c r="C114" s="99" t="s">
        <v>16</v>
      </c>
      <c r="D114" s="99" t="s">
        <v>0</v>
      </c>
      <c r="E114" s="99">
        <v>1</v>
      </c>
      <c r="F114" s="99" t="s">
        <v>1</v>
      </c>
      <c r="G114" s="178">
        <v>45864</v>
      </c>
      <c r="H114" s="99" t="s">
        <v>76</v>
      </c>
      <c r="I114" s="99" t="s">
        <v>54</v>
      </c>
      <c r="J114" s="99">
        <v>1082</v>
      </c>
      <c r="K114" s="185">
        <v>180</v>
      </c>
      <c r="L114" s="185">
        <v>80</v>
      </c>
      <c r="M114" s="185">
        <f t="shared" si="59"/>
        <v>100</v>
      </c>
      <c r="N114" s="185">
        <f>M114*C2</f>
        <v>4</v>
      </c>
      <c r="O114" s="186">
        <f t="shared" si="60"/>
        <v>0.75</v>
      </c>
      <c r="P114" s="211" t="s">
        <v>5</v>
      </c>
      <c r="Q114" s="211" t="s">
        <v>6</v>
      </c>
      <c r="R114" s="186">
        <f t="shared" si="61"/>
        <v>95.25</v>
      </c>
      <c r="S114" s="186">
        <f t="shared" si="62"/>
        <v>95.25</v>
      </c>
      <c r="T114" s="211" t="s">
        <v>56</v>
      </c>
      <c r="U114" s="186">
        <f t="shared" si="63"/>
        <v>99.25</v>
      </c>
      <c r="V114" s="99" t="s">
        <v>67</v>
      </c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  <c r="AH114" s="166"/>
      <c r="AI114" s="166"/>
      <c r="AJ114" s="166"/>
      <c r="AK114" s="166"/>
      <c r="AL114" s="166"/>
      <c r="AM114" s="166"/>
      <c r="AN114" s="166"/>
      <c r="AO114" s="166"/>
      <c r="AP114" s="166"/>
      <c r="AQ114" s="166"/>
      <c r="AR114" s="166"/>
    </row>
    <row r="115" customHeight="1" spans="1:44">
      <c r="A115" s="166"/>
      <c r="B115" s="99">
        <v>2470</v>
      </c>
      <c r="C115" s="99" t="s">
        <v>16</v>
      </c>
      <c r="D115" s="99" t="s">
        <v>0</v>
      </c>
      <c r="E115" s="99">
        <v>1</v>
      </c>
      <c r="F115" s="99" t="s">
        <v>1</v>
      </c>
      <c r="G115" s="178">
        <v>45864</v>
      </c>
      <c r="H115" s="99" t="s">
        <v>76</v>
      </c>
      <c r="I115" s="99" t="s">
        <v>54</v>
      </c>
      <c r="J115" s="99">
        <v>1083</v>
      </c>
      <c r="K115" s="185">
        <v>180</v>
      </c>
      <c r="L115" s="185">
        <v>0</v>
      </c>
      <c r="M115" s="185">
        <f t="shared" si="59"/>
        <v>180</v>
      </c>
      <c r="N115" s="185">
        <f>M115*C2</f>
        <v>7.2</v>
      </c>
      <c r="O115" s="186">
        <f>M115*2.7%+0.02</f>
        <v>4.88</v>
      </c>
      <c r="P115" s="211" t="s">
        <v>9</v>
      </c>
      <c r="Q115" s="211" t="s">
        <v>55</v>
      </c>
      <c r="R115" s="186">
        <f t="shared" si="61"/>
        <v>167.92</v>
      </c>
      <c r="S115" s="186">
        <f t="shared" si="62"/>
        <v>167.92</v>
      </c>
      <c r="T115" s="211" t="s">
        <v>66</v>
      </c>
      <c r="U115" s="186">
        <f t="shared" si="63"/>
        <v>175.12</v>
      </c>
      <c r="V115" s="99" t="s">
        <v>67</v>
      </c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  <c r="AH115" s="166"/>
      <c r="AI115" s="166"/>
      <c r="AJ115" s="166"/>
      <c r="AK115" s="166"/>
      <c r="AL115" s="166"/>
      <c r="AM115" s="166"/>
      <c r="AN115" s="166"/>
      <c r="AO115" s="166"/>
      <c r="AP115" s="166"/>
      <c r="AQ115" s="166"/>
      <c r="AR115" s="166"/>
    </row>
    <row r="116" customHeight="1" spans="1:44">
      <c r="A116" s="166"/>
      <c r="B116" s="179">
        <v>2470</v>
      </c>
      <c r="C116" s="180" t="s">
        <v>16</v>
      </c>
      <c r="D116" s="180" t="s">
        <v>0</v>
      </c>
      <c r="E116" s="180">
        <v>1</v>
      </c>
      <c r="F116" s="180" t="s">
        <v>1</v>
      </c>
      <c r="G116" s="181">
        <v>45865</v>
      </c>
      <c r="H116" s="180" t="s">
        <v>92</v>
      </c>
      <c r="I116" s="180" t="s">
        <v>54</v>
      </c>
      <c r="J116" s="179">
        <v>1084</v>
      </c>
      <c r="K116" s="188">
        <v>180</v>
      </c>
      <c r="L116" s="188">
        <v>0</v>
      </c>
      <c r="M116" s="188">
        <f t="shared" si="59"/>
        <v>180</v>
      </c>
      <c r="N116" s="188">
        <f>M116*C2</f>
        <v>7.2</v>
      </c>
      <c r="O116" s="189">
        <f>M116*2.9%</f>
        <v>5.22</v>
      </c>
      <c r="P116" s="190" t="s">
        <v>10</v>
      </c>
      <c r="Q116" s="190" t="s">
        <v>55</v>
      </c>
      <c r="R116" s="190">
        <f t="shared" si="61"/>
        <v>167.58</v>
      </c>
      <c r="S116" s="195">
        <f t="shared" si="62"/>
        <v>167.58</v>
      </c>
      <c r="T116" s="196" t="s">
        <v>66</v>
      </c>
      <c r="U116" s="189">
        <f t="shared" si="63"/>
        <v>174.78</v>
      </c>
      <c r="V116" s="197" t="s">
        <v>67</v>
      </c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  <c r="AH116" s="166"/>
      <c r="AI116" s="166"/>
      <c r="AJ116" s="166"/>
      <c r="AK116" s="166"/>
      <c r="AL116" s="166"/>
      <c r="AM116" s="166"/>
      <c r="AN116" s="166"/>
      <c r="AO116" s="166"/>
      <c r="AP116" s="166"/>
      <c r="AQ116" s="166"/>
      <c r="AR116" s="166"/>
    </row>
    <row r="117" customHeight="1" spans="1:44">
      <c r="A117" s="16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200"/>
      <c r="T117" s="193" t="s">
        <v>70</v>
      </c>
      <c r="U117" s="187"/>
      <c r="V117" s="201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166"/>
      <c r="AK117" s="166"/>
      <c r="AL117" s="166"/>
      <c r="AM117" s="166"/>
      <c r="AN117" s="166"/>
      <c r="AO117" s="166"/>
      <c r="AP117" s="166"/>
      <c r="AQ117" s="166"/>
      <c r="AR117" s="166"/>
    </row>
    <row r="118" customHeight="1" spans="1:44">
      <c r="A118" s="166"/>
      <c r="B118" s="99">
        <v>2470</v>
      </c>
      <c r="C118" s="99" t="s">
        <v>16</v>
      </c>
      <c r="D118" s="99" t="s">
        <v>0</v>
      </c>
      <c r="E118" s="99">
        <v>2</v>
      </c>
      <c r="F118" s="99" t="s">
        <v>1</v>
      </c>
      <c r="G118" s="178">
        <v>45865</v>
      </c>
      <c r="H118" s="99" t="s">
        <v>92</v>
      </c>
      <c r="I118" s="99" t="s">
        <v>54</v>
      </c>
      <c r="J118" s="99">
        <v>1085</v>
      </c>
      <c r="K118" s="185">
        <v>360</v>
      </c>
      <c r="L118" s="185">
        <v>160</v>
      </c>
      <c r="M118" s="185">
        <f t="shared" ref="M118:M120" si="64">K118-L118</f>
        <v>200</v>
      </c>
      <c r="N118" s="185">
        <f>M118*C2</f>
        <v>8</v>
      </c>
      <c r="O118" s="186">
        <f t="shared" ref="O118:O119" si="65">M118*0.75%</f>
        <v>1.5</v>
      </c>
      <c r="P118" s="211" t="s">
        <v>5</v>
      </c>
      <c r="Q118" s="211" t="s">
        <v>6</v>
      </c>
      <c r="R118" s="186">
        <f t="shared" ref="R118:R120" si="66">M118-N118-O118</f>
        <v>190.5</v>
      </c>
      <c r="S118" s="186">
        <f t="shared" ref="S118:S120" si="67">R118/E118</f>
        <v>95.25</v>
      </c>
      <c r="T118" s="211" t="s">
        <v>56</v>
      </c>
      <c r="U118" s="186">
        <f t="shared" ref="U118:U119" si="68">M118-O118</f>
        <v>198.5</v>
      </c>
      <c r="V118" s="99" t="s">
        <v>67</v>
      </c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</row>
    <row r="119" customHeight="1" spans="1:44">
      <c r="A119" s="166"/>
      <c r="B119" s="99">
        <v>2470</v>
      </c>
      <c r="C119" s="99" t="s">
        <v>16</v>
      </c>
      <c r="D119" s="99" t="s">
        <v>0</v>
      </c>
      <c r="E119" s="99">
        <v>1</v>
      </c>
      <c r="F119" s="99" t="s">
        <v>1</v>
      </c>
      <c r="G119" s="178">
        <v>45865</v>
      </c>
      <c r="H119" s="99" t="s">
        <v>92</v>
      </c>
      <c r="I119" s="99" t="s">
        <v>54</v>
      </c>
      <c r="J119" s="99">
        <v>1086</v>
      </c>
      <c r="K119" s="185">
        <v>180</v>
      </c>
      <c r="L119" s="185">
        <v>0</v>
      </c>
      <c r="M119" s="185">
        <f t="shared" si="64"/>
        <v>180</v>
      </c>
      <c r="N119" s="185">
        <f>M119*C2</f>
        <v>7.2</v>
      </c>
      <c r="O119" s="186">
        <f t="shared" si="65"/>
        <v>1.35</v>
      </c>
      <c r="P119" s="211" t="s">
        <v>5</v>
      </c>
      <c r="Q119" s="211" t="s">
        <v>6</v>
      </c>
      <c r="R119" s="186">
        <f t="shared" si="66"/>
        <v>171.45</v>
      </c>
      <c r="S119" s="186">
        <f t="shared" si="67"/>
        <v>171.45</v>
      </c>
      <c r="T119" s="211" t="s">
        <v>56</v>
      </c>
      <c r="U119" s="186">
        <f t="shared" si="68"/>
        <v>178.65</v>
      </c>
      <c r="V119" s="99" t="s">
        <v>67</v>
      </c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</row>
    <row r="120" customHeight="1" spans="1:44">
      <c r="A120" s="166"/>
      <c r="B120" s="179">
        <v>2470</v>
      </c>
      <c r="C120" s="180" t="s">
        <v>16</v>
      </c>
      <c r="D120" s="180" t="s">
        <v>0</v>
      </c>
      <c r="E120" s="180">
        <v>3</v>
      </c>
      <c r="F120" s="180" t="s">
        <v>1</v>
      </c>
      <c r="G120" s="181">
        <v>45866</v>
      </c>
      <c r="H120" s="180" t="s">
        <v>77</v>
      </c>
      <c r="I120" s="180" t="s">
        <v>54</v>
      </c>
      <c r="J120" s="179">
        <v>1087</v>
      </c>
      <c r="K120" s="188">
        <v>540</v>
      </c>
      <c r="L120" s="188">
        <v>0</v>
      </c>
      <c r="M120" s="188">
        <f t="shared" si="64"/>
        <v>540</v>
      </c>
      <c r="N120" s="188">
        <f>M120*C2</f>
        <v>21.6</v>
      </c>
      <c r="O120" s="189">
        <f>M120*2.9%</f>
        <v>15.66</v>
      </c>
      <c r="P120" s="190" t="s">
        <v>10</v>
      </c>
      <c r="Q120" s="190" t="s">
        <v>62</v>
      </c>
      <c r="R120" s="190">
        <f t="shared" si="66"/>
        <v>502.74</v>
      </c>
      <c r="S120" s="195">
        <f t="shared" si="67"/>
        <v>167.58</v>
      </c>
      <c r="T120" s="196" t="s">
        <v>66</v>
      </c>
      <c r="U120" s="189">
        <f>M120/2-O120/2</f>
        <v>262.17</v>
      </c>
      <c r="V120" s="197" t="s">
        <v>67</v>
      </c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</row>
    <row r="121" customHeight="1" spans="1:44">
      <c r="A121" s="16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200"/>
      <c r="T121" s="193" t="s">
        <v>70</v>
      </c>
      <c r="U121" s="187">
        <f>U120</f>
        <v>262.17</v>
      </c>
      <c r="V121" s="201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</row>
    <row r="122" customHeight="1" spans="1:44">
      <c r="A122" s="166"/>
      <c r="B122" s="176">
        <v>2470</v>
      </c>
      <c r="C122" s="176" t="s">
        <v>16</v>
      </c>
      <c r="D122" s="176" t="s">
        <v>0</v>
      </c>
      <c r="E122" s="176">
        <v>2</v>
      </c>
      <c r="F122" s="176" t="s">
        <v>1</v>
      </c>
      <c r="G122" s="177">
        <v>45867</v>
      </c>
      <c r="H122" s="176" t="s">
        <v>6</v>
      </c>
      <c r="I122" s="176" t="s">
        <v>54</v>
      </c>
      <c r="J122" s="176">
        <v>1088</v>
      </c>
      <c r="K122" s="182">
        <v>360</v>
      </c>
      <c r="L122" s="182">
        <v>72</v>
      </c>
      <c r="M122" s="182">
        <f t="shared" ref="M122:M128" si="69">K122-L122</f>
        <v>288</v>
      </c>
      <c r="N122" s="182">
        <f>M122*C2</f>
        <v>11.52</v>
      </c>
      <c r="O122" s="183">
        <f>M122*1.9%</f>
        <v>5.472</v>
      </c>
      <c r="P122" s="212" t="s">
        <v>7</v>
      </c>
      <c r="Q122" s="212" t="s">
        <v>62</v>
      </c>
      <c r="R122" s="183">
        <f t="shared" ref="R122:R128" si="70">M122-N122-O122</f>
        <v>271.008</v>
      </c>
      <c r="S122" s="183">
        <f t="shared" ref="S122:S128" si="71">R122/E122</f>
        <v>135.504</v>
      </c>
      <c r="T122" s="212" t="s">
        <v>56</v>
      </c>
      <c r="U122" s="183">
        <f t="shared" ref="U122:U127" si="72">M122-O122</f>
        <v>282.528</v>
      </c>
      <c r="V122" s="176" t="s">
        <v>93</v>
      </c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</row>
    <row r="123" customHeight="1" spans="1:44">
      <c r="A123" s="166"/>
      <c r="B123" s="176">
        <v>2470</v>
      </c>
      <c r="C123" s="176" t="s">
        <v>16</v>
      </c>
      <c r="D123" s="176" t="s">
        <v>0</v>
      </c>
      <c r="E123" s="176">
        <v>1</v>
      </c>
      <c r="F123" s="176" t="s">
        <v>1</v>
      </c>
      <c r="G123" s="177">
        <v>45867</v>
      </c>
      <c r="H123" s="176" t="s">
        <v>6</v>
      </c>
      <c r="I123" s="176" t="s">
        <v>54</v>
      </c>
      <c r="J123" s="176">
        <v>1090</v>
      </c>
      <c r="K123" s="182">
        <v>180</v>
      </c>
      <c r="L123" s="182">
        <v>36</v>
      </c>
      <c r="M123" s="182">
        <f t="shared" si="69"/>
        <v>144</v>
      </c>
      <c r="N123" s="182">
        <f>M123*C2</f>
        <v>5.76</v>
      </c>
      <c r="O123" s="183">
        <v>0</v>
      </c>
      <c r="P123" s="212" t="s">
        <v>5</v>
      </c>
      <c r="Q123" s="212" t="s">
        <v>6</v>
      </c>
      <c r="R123" s="183">
        <f t="shared" si="70"/>
        <v>138.24</v>
      </c>
      <c r="S123" s="183">
        <f t="shared" si="71"/>
        <v>138.24</v>
      </c>
      <c r="T123" s="212" t="s">
        <v>56</v>
      </c>
      <c r="U123" s="183">
        <f t="shared" si="72"/>
        <v>144</v>
      </c>
      <c r="V123" s="176" t="s">
        <v>94</v>
      </c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</row>
    <row r="124" customHeight="1" spans="1:44">
      <c r="A124" s="166"/>
      <c r="B124" s="176">
        <v>2550</v>
      </c>
      <c r="C124" s="176" t="s">
        <v>58</v>
      </c>
      <c r="D124" s="176" t="s">
        <v>0</v>
      </c>
      <c r="E124" s="176">
        <v>2</v>
      </c>
      <c r="F124" s="176" t="s">
        <v>1</v>
      </c>
      <c r="G124" s="177">
        <v>45867</v>
      </c>
      <c r="H124" s="176" t="s">
        <v>6</v>
      </c>
      <c r="I124" s="176" t="s">
        <v>54</v>
      </c>
      <c r="J124" s="176">
        <v>1091</v>
      </c>
      <c r="K124" s="182">
        <v>120</v>
      </c>
      <c r="L124" s="182">
        <v>0</v>
      </c>
      <c r="M124" s="182">
        <f t="shared" si="69"/>
        <v>120</v>
      </c>
      <c r="N124" s="182">
        <f>M124*C2</f>
        <v>4.8</v>
      </c>
      <c r="O124" s="183">
        <v>0</v>
      </c>
      <c r="P124" s="212" t="s">
        <v>5</v>
      </c>
      <c r="Q124" s="212" t="s">
        <v>6</v>
      </c>
      <c r="R124" s="183">
        <f t="shared" si="70"/>
        <v>115.2</v>
      </c>
      <c r="S124" s="183">
        <f t="shared" si="71"/>
        <v>57.6</v>
      </c>
      <c r="T124" s="212" t="s">
        <v>56</v>
      </c>
      <c r="U124" s="183">
        <f t="shared" si="72"/>
        <v>120</v>
      </c>
      <c r="V124" s="176" t="s">
        <v>95</v>
      </c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</row>
    <row r="125" customHeight="1" spans="1:44">
      <c r="A125" s="166"/>
      <c r="B125" s="176">
        <v>2470</v>
      </c>
      <c r="C125" s="176" t="s">
        <v>16</v>
      </c>
      <c r="D125" s="176" t="s">
        <v>0</v>
      </c>
      <c r="E125" s="176">
        <v>1</v>
      </c>
      <c r="F125" s="176" t="s">
        <v>1</v>
      </c>
      <c r="G125" s="177">
        <v>45867</v>
      </c>
      <c r="H125" s="176" t="s">
        <v>6</v>
      </c>
      <c r="I125" s="176" t="s">
        <v>54</v>
      </c>
      <c r="J125" s="176">
        <v>1092</v>
      </c>
      <c r="K125" s="182">
        <v>180</v>
      </c>
      <c r="L125" s="182">
        <v>80</v>
      </c>
      <c r="M125" s="182">
        <f t="shared" si="69"/>
        <v>100</v>
      </c>
      <c r="N125" s="182">
        <f>M125*C2</f>
        <v>4</v>
      </c>
      <c r="O125" s="183">
        <f t="shared" ref="O125:O126" si="73">M125*3.29%</f>
        <v>3.29</v>
      </c>
      <c r="P125" s="212" t="s">
        <v>9</v>
      </c>
      <c r="Q125" s="212" t="s">
        <v>62</v>
      </c>
      <c r="R125" s="183">
        <f t="shared" si="70"/>
        <v>92.71</v>
      </c>
      <c r="S125" s="183">
        <f t="shared" si="71"/>
        <v>92.71</v>
      </c>
      <c r="T125" s="212" t="s">
        <v>56</v>
      </c>
      <c r="U125" s="183">
        <f t="shared" si="72"/>
        <v>96.71</v>
      </c>
      <c r="V125" s="176" t="s">
        <v>96</v>
      </c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</row>
    <row r="126" customHeight="1" spans="1:44">
      <c r="A126" s="166"/>
      <c r="B126" s="176">
        <v>2550</v>
      </c>
      <c r="C126" s="176" t="s">
        <v>58</v>
      </c>
      <c r="D126" s="176" t="s">
        <v>0</v>
      </c>
      <c r="E126" s="176">
        <v>1</v>
      </c>
      <c r="F126" s="176" t="s">
        <v>1</v>
      </c>
      <c r="G126" s="177">
        <v>45867</v>
      </c>
      <c r="H126" s="176" t="s">
        <v>6</v>
      </c>
      <c r="I126" s="176" t="s">
        <v>54</v>
      </c>
      <c r="J126" s="176">
        <v>1093</v>
      </c>
      <c r="K126" s="182">
        <v>60</v>
      </c>
      <c r="L126" s="182">
        <v>0</v>
      </c>
      <c r="M126" s="182">
        <f t="shared" si="69"/>
        <v>60</v>
      </c>
      <c r="N126" s="182">
        <f>M126*C2</f>
        <v>2.4</v>
      </c>
      <c r="O126" s="183">
        <f t="shared" si="73"/>
        <v>1.974</v>
      </c>
      <c r="P126" s="212" t="s">
        <v>9</v>
      </c>
      <c r="Q126" s="212" t="s">
        <v>55</v>
      </c>
      <c r="R126" s="183">
        <f t="shared" si="70"/>
        <v>55.626</v>
      </c>
      <c r="S126" s="183">
        <f t="shared" si="71"/>
        <v>55.626</v>
      </c>
      <c r="T126" s="212" t="s">
        <v>56</v>
      </c>
      <c r="U126" s="183">
        <f t="shared" si="72"/>
        <v>58.026</v>
      </c>
      <c r="V126" s="176" t="s">
        <v>96</v>
      </c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</row>
    <row r="127" customHeight="1" spans="1:44">
      <c r="A127" s="166"/>
      <c r="B127" s="176">
        <v>2470</v>
      </c>
      <c r="C127" s="176" t="s">
        <v>16</v>
      </c>
      <c r="D127" s="176" t="s">
        <v>0</v>
      </c>
      <c r="E127" s="176">
        <v>2</v>
      </c>
      <c r="F127" s="176" t="s">
        <v>1</v>
      </c>
      <c r="G127" s="177">
        <v>45867</v>
      </c>
      <c r="H127" s="176" t="s">
        <v>6</v>
      </c>
      <c r="I127" s="176" t="s">
        <v>54</v>
      </c>
      <c r="J127" s="176">
        <v>1094</v>
      </c>
      <c r="K127" s="182">
        <v>360</v>
      </c>
      <c r="L127" s="182">
        <v>80</v>
      </c>
      <c r="M127" s="182">
        <f t="shared" si="69"/>
        <v>280</v>
      </c>
      <c r="N127" s="182">
        <f>M127*C2</f>
        <v>11.2</v>
      </c>
      <c r="O127" s="183">
        <f>M127*3.98%+0.03</f>
        <v>11.174</v>
      </c>
      <c r="P127" s="212" t="s">
        <v>9</v>
      </c>
      <c r="Q127" s="212" t="s">
        <v>79</v>
      </c>
      <c r="R127" s="183">
        <f t="shared" si="70"/>
        <v>257.626</v>
      </c>
      <c r="S127" s="183">
        <f t="shared" si="71"/>
        <v>128.813</v>
      </c>
      <c r="T127" s="213" t="s">
        <v>56</v>
      </c>
      <c r="U127" s="209">
        <f t="shared" si="72"/>
        <v>268.826</v>
      </c>
      <c r="V127" s="176" t="s">
        <v>96</v>
      </c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</row>
    <row r="128" customHeight="1" spans="1:44">
      <c r="A128" s="166"/>
      <c r="B128" s="206">
        <v>2470</v>
      </c>
      <c r="C128" s="206" t="s">
        <v>16</v>
      </c>
      <c r="D128" s="206" t="s">
        <v>0</v>
      </c>
      <c r="E128" s="206">
        <v>1</v>
      </c>
      <c r="F128" s="206" t="s">
        <v>1</v>
      </c>
      <c r="G128" s="207">
        <v>45867</v>
      </c>
      <c r="H128" s="206" t="s">
        <v>6</v>
      </c>
      <c r="I128" s="206" t="s">
        <v>54</v>
      </c>
      <c r="J128" s="206">
        <v>1095</v>
      </c>
      <c r="K128" s="208">
        <v>180</v>
      </c>
      <c r="L128" s="208">
        <v>0</v>
      </c>
      <c r="M128" s="208">
        <f t="shared" si="69"/>
        <v>180</v>
      </c>
      <c r="N128" s="208">
        <f>M128*C2</f>
        <v>7.2</v>
      </c>
      <c r="O128" s="209">
        <f>M128*3.78%</f>
        <v>6.804</v>
      </c>
      <c r="P128" s="213" t="s">
        <v>10</v>
      </c>
      <c r="Q128" s="213" t="s">
        <v>62</v>
      </c>
      <c r="R128" s="209">
        <f t="shared" si="70"/>
        <v>165.996</v>
      </c>
      <c r="S128" s="222">
        <f t="shared" si="71"/>
        <v>165.996</v>
      </c>
      <c r="T128" s="213" t="s">
        <v>56</v>
      </c>
      <c r="U128" s="209">
        <f>M128/2-O128/2</f>
        <v>86.598</v>
      </c>
      <c r="V128" s="223" t="s">
        <v>97</v>
      </c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</row>
    <row r="129" customHeight="1" spans="1:44">
      <c r="A129" s="16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200"/>
      <c r="T129" s="266" t="s">
        <v>66</v>
      </c>
      <c r="U129" s="184">
        <f>U128</f>
        <v>86.598</v>
      </c>
      <c r="V129" s="201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</row>
    <row r="130" customHeight="1" spans="1:44">
      <c r="A130" s="166"/>
      <c r="B130" s="176">
        <v>2470</v>
      </c>
      <c r="C130" s="176" t="s">
        <v>16</v>
      </c>
      <c r="D130" s="176" t="s">
        <v>0</v>
      </c>
      <c r="E130" s="176">
        <v>2</v>
      </c>
      <c r="F130" s="176" t="s">
        <v>1</v>
      </c>
      <c r="G130" s="177">
        <v>45867</v>
      </c>
      <c r="H130" s="176" t="s">
        <v>6</v>
      </c>
      <c r="I130" s="176" t="s">
        <v>54</v>
      </c>
      <c r="J130" s="176">
        <v>1096</v>
      </c>
      <c r="K130" s="182">
        <v>360</v>
      </c>
      <c r="L130" s="182">
        <v>80</v>
      </c>
      <c r="M130" s="182">
        <f t="shared" ref="M130:M136" si="74">K130-L130</f>
        <v>280</v>
      </c>
      <c r="N130" s="182">
        <f>M130*C2</f>
        <v>11.2</v>
      </c>
      <c r="O130" s="183">
        <f>M130*3.29%</f>
        <v>9.212</v>
      </c>
      <c r="P130" s="212" t="s">
        <v>9</v>
      </c>
      <c r="Q130" s="212" t="s">
        <v>62</v>
      </c>
      <c r="R130" s="183">
        <f>M130-N130-O130</f>
        <v>259.588</v>
      </c>
      <c r="S130" s="183">
        <f>R130/E130</f>
        <v>129.794</v>
      </c>
      <c r="T130" s="266" t="s">
        <v>56</v>
      </c>
      <c r="U130" s="184">
        <f>M130-O130</f>
        <v>270.788</v>
      </c>
      <c r="V130" s="176" t="s">
        <v>98</v>
      </c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</row>
    <row r="131" customHeight="1" spans="1:44">
      <c r="A131" s="224"/>
      <c r="B131" s="225">
        <v>3049</v>
      </c>
      <c r="C131" s="225" t="s">
        <v>99</v>
      </c>
      <c r="D131" s="225" t="s">
        <v>100</v>
      </c>
      <c r="E131" s="225">
        <v>400</v>
      </c>
      <c r="F131" s="225" t="s">
        <v>3</v>
      </c>
      <c r="G131" s="226">
        <v>45867</v>
      </c>
      <c r="H131" s="225" t="s">
        <v>64</v>
      </c>
      <c r="I131" s="225" t="s">
        <v>101</v>
      </c>
      <c r="J131" s="225">
        <v>2898</v>
      </c>
      <c r="K131" s="241">
        <v>51960</v>
      </c>
      <c r="L131" s="241">
        <v>0</v>
      </c>
      <c r="M131" s="241">
        <f t="shared" si="74"/>
        <v>51960</v>
      </c>
      <c r="N131" s="241">
        <v>0</v>
      </c>
      <c r="O131" s="242" t="s">
        <v>6</v>
      </c>
      <c r="P131" s="243" t="s">
        <v>6</v>
      </c>
      <c r="Q131" s="243" t="s">
        <v>6</v>
      </c>
      <c r="R131" s="242" t="s">
        <v>6</v>
      </c>
      <c r="S131" s="267" t="s">
        <v>6</v>
      </c>
      <c r="T131" s="268" t="s">
        <v>6</v>
      </c>
      <c r="U131" s="269" t="s">
        <v>6</v>
      </c>
      <c r="V131" s="270" t="s">
        <v>6</v>
      </c>
      <c r="W131" s="224"/>
      <c r="X131" s="224"/>
      <c r="Y131" s="224"/>
      <c r="Z131" s="224"/>
      <c r="AA131" s="224"/>
      <c r="AB131" s="224"/>
      <c r="AC131" s="224"/>
      <c r="AD131" s="224"/>
      <c r="AE131" s="224"/>
      <c r="AF131" s="224"/>
      <c r="AG131" s="224"/>
      <c r="AH131" s="224"/>
      <c r="AI131" s="224"/>
      <c r="AJ131" s="224"/>
      <c r="AK131" s="224"/>
      <c r="AL131" s="224"/>
      <c r="AM131" s="224"/>
      <c r="AN131" s="224"/>
      <c r="AO131" s="224"/>
      <c r="AP131" s="224"/>
      <c r="AQ131" s="224"/>
      <c r="AR131" s="224"/>
    </row>
    <row r="132" customHeight="1" spans="1:44">
      <c r="A132" s="166"/>
      <c r="B132" s="227">
        <v>3007</v>
      </c>
      <c r="C132" s="227" t="s">
        <v>27</v>
      </c>
      <c r="D132" s="227" t="s">
        <v>0</v>
      </c>
      <c r="E132" s="227">
        <v>1</v>
      </c>
      <c r="F132" s="227" t="s">
        <v>1</v>
      </c>
      <c r="G132" s="228">
        <v>45868</v>
      </c>
      <c r="H132" s="227" t="s">
        <v>6</v>
      </c>
      <c r="I132" s="227" t="s">
        <v>102</v>
      </c>
      <c r="J132" s="227">
        <v>1097</v>
      </c>
      <c r="K132" s="244">
        <v>160</v>
      </c>
      <c r="L132" s="244">
        <v>0</v>
      </c>
      <c r="M132" s="244">
        <f t="shared" si="74"/>
        <v>160</v>
      </c>
      <c r="N132" s="244">
        <v>0</v>
      </c>
      <c r="O132" s="245" t="s">
        <v>6</v>
      </c>
      <c r="P132" s="246" t="s">
        <v>6</v>
      </c>
      <c r="Q132" s="246" t="s">
        <v>6</v>
      </c>
      <c r="R132" s="246">
        <v>0</v>
      </c>
      <c r="S132" s="246">
        <f>R132/E132</f>
        <v>0</v>
      </c>
      <c r="T132" s="246" t="s">
        <v>6</v>
      </c>
      <c r="U132" s="246">
        <v>0</v>
      </c>
      <c r="V132" s="271" t="s">
        <v>103</v>
      </c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</row>
    <row r="133" customHeight="1" spans="1:44">
      <c r="A133" s="166"/>
      <c r="B133" s="227">
        <v>2470</v>
      </c>
      <c r="C133" s="227" t="s">
        <v>16</v>
      </c>
      <c r="D133" s="227" t="s">
        <v>0</v>
      </c>
      <c r="E133" s="227">
        <v>4</v>
      </c>
      <c r="F133" s="227" t="s">
        <v>1</v>
      </c>
      <c r="G133" s="228">
        <v>45868</v>
      </c>
      <c r="H133" s="227" t="s">
        <v>6</v>
      </c>
      <c r="I133" s="227" t="s">
        <v>102</v>
      </c>
      <c r="J133" s="227">
        <v>1097</v>
      </c>
      <c r="K133" s="244">
        <v>100</v>
      </c>
      <c r="L133" s="244">
        <v>0</v>
      </c>
      <c r="M133" s="244">
        <f t="shared" si="74"/>
        <v>100</v>
      </c>
      <c r="N133" s="244">
        <v>0</v>
      </c>
      <c r="O133" s="245" t="s">
        <v>6</v>
      </c>
      <c r="P133" s="246" t="s">
        <v>6</v>
      </c>
      <c r="Q133" s="246" t="s">
        <v>6</v>
      </c>
      <c r="R133" s="246">
        <v>0</v>
      </c>
      <c r="S133" s="246">
        <v>0</v>
      </c>
      <c r="T133" s="246" t="s">
        <v>6</v>
      </c>
      <c r="U133" s="246">
        <v>0</v>
      </c>
      <c r="V133" s="100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</row>
    <row r="134" customHeight="1" spans="1:44">
      <c r="A134" s="166"/>
      <c r="B134" s="227">
        <v>2470</v>
      </c>
      <c r="C134" s="227" t="s">
        <v>16</v>
      </c>
      <c r="D134" s="227" t="s">
        <v>0</v>
      </c>
      <c r="E134" s="227">
        <v>1</v>
      </c>
      <c r="F134" s="227" t="s">
        <v>1</v>
      </c>
      <c r="G134" s="228">
        <v>45868</v>
      </c>
      <c r="H134" s="227" t="s">
        <v>6</v>
      </c>
      <c r="I134" s="227" t="s">
        <v>102</v>
      </c>
      <c r="J134" s="227">
        <v>1097</v>
      </c>
      <c r="K134" s="244">
        <v>144</v>
      </c>
      <c r="L134" s="244">
        <v>0</v>
      </c>
      <c r="M134" s="244">
        <f t="shared" si="74"/>
        <v>144</v>
      </c>
      <c r="N134" s="244">
        <v>0</v>
      </c>
      <c r="O134" s="245" t="s">
        <v>6</v>
      </c>
      <c r="P134" s="246" t="s">
        <v>6</v>
      </c>
      <c r="Q134" s="246" t="s">
        <v>6</v>
      </c>
      <c r="R134" s="246">
        <v>0</v>
      </c>
      <c r="S134" s="246">
        <v>0</v>
      </c>
      <c r="T134" s="246" t="s">
        <v>6</v>
      </c>
      <c r="U134" s="246">
        <v>0</v>
      </c>
      <c r="V134" s="1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</row>
    <row r="135" customHeight="1" spans="1:44">
      <c r="A135" s="166"/>
      <c r="B135" s="176">
        <v>3010</v>
      </c>
      <c r="C135" s="176" t="s">
        <v>30</v>
      </c>
      <c r="D135" s="176" t="s">
        <v>0</v>
      </c>
      <c r="E135" s="176">
        <v>1</v>
      </c>
      <c r="F135" s="176" t="s">
        <v>1</v>
      </c>
      <c r="G135" s="177">
        <v>45868</v>
      </c>
      <c r="H135" s="176" t="s">
        <v>68</v>
      </c>
      <c r="I135" s="176" t="s">
        <v>54</v>
      </c>
      <c r="J135" s="176">
        <v>1098</v>
      </c>
      <c r="K135" s="182">
        <v>250</v>
      </c>
      <c r="L135" s="182">
        <v>0</v>
      </c>
      <c r="M135" s="182">
        <f t="shared" si="74"/>
        <v>250</v>
      </c>
      <c r="N135" s="182">
        <f>M135*C2</f>
        <v>10</v>
      </c>
      <c r="O135" s="183">
        <f>M135*2.71%</f>
        <v>6.775</v>
      </c>
      <c r="P135" s="212" t="s">
        <v>9</v>
      </c>
      <c r="Q135" s="212" t="s">
        <v>55</v>
      </c>
      <c r="R135" s="183">
        <f t="shared" ref="R135:R136" si="75">M135-N135-O135</f>
        <v>233.225</v>
      </c>
      <c r="S135" s="183">
        <f t="shared" ref="S135:S136" si="76">R135/E135</f>
        <v>233.225</v>
      </c>
      <c r="T135" s="213" t="s">
        <v>66</v>
      </c>
      <c r="U135" s="209">
        <f>M135-O135</f>
        <v>243.225</v>
      </c>
      <c r="V135" s="176" t="s">
        <v>104</v>
      </c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</row>
    <row r="136" customHeight="1" spans="1:44">
      <c r="A136" s="166"/>
      <c r="B136" s="206">
        <v>2470</v>
      </c>
      <c r="C136" s="206" t="s">
        <v>16</v>
      </c>
      <c r="D136" s="206" t="s">
        <v>0</v>
      </c>
      <c r="E136" s="206">
        <v>2</v>
      </c>
      <c r="F136" s="206" t="s">
        <v>1</v>
      </c>
      <c r="G136" s="207">
        <v>45868</v>
      </c>
      <c r="H136" s="206" t="s">
        <v>68</v>
      </c>
      <c r="I136" s="206" t="s">
        <v>54</v>
      </c>
      <c r="J136" s="206">
        <v>1099</v>
      </c>
      <c r="K136" s="208">
        <v>360</v>
      </c>
      <c r="L136" s="208">
        <v>0</v>
      </c>
      <c r="M136" s="208">
        <f t="shared" si="74"/>
        <v>360</v>
      </c>
      <c r="N136" s="208">
        <f>M136*C2</f>
        <v>14.4</v>
      </c>
      <c r="O136" s="209">
        <f>M136*2.9%</f>
        <v>10.44</v>
      </c>
      <c r="P136" s="213" t="s">
        <v>10</v>
      </c>
      <c r="Q136" s="213" t="s">
        <v>62</v>
      </c>
      <c r="R136" s="209">
        <f t="shared" si="75"/>
        <v>335.16</v>
      </c>
      <c r="S136" s="222">
        <f t="shared" si="76"/>
        <v>167.58</v>
      </c>
      <c r="T136" s="213" t="s">
        <v>66</v>
      </c>
      <c r="U136" s="209">
        <f>M136/2-O136/2</f>
        <v>174.78</v>
      </c>
      <c r="V136" s="223" t="s">
        <v>104</v>
      </c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</row>
    <row r="137" customHeight="1" spans="1:44">
      <c r="A137" s="16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200"/>
      <c r="T137" s="266" t="s">
        <v>70</v>
      </c>
      <c r="U137" s="184">
        <f>U136</f>
        <v>174.78</v>
      </c>
      <c r="V137" s="201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</row>
    <row r="138" customHeight="1" spans="1:44">
      <c r="A138" s="166"/>
      <c r="B138" s="229">
        <v>2470</v>
      </c>
      <c r="C138" s="229" t="s">
        <v>16</v>
      </c>
      <c r="D138" s="229" t="s">
        <v>0</v>
      </c>
      <c r="E138" s="229">
        <v>1</v>
      </c>
      <c r="F138" s="229" t="s">
        <v>1</v>
      </c>
      <c r="G138" s="230">
        <v>45868</v>
      </c>
      <c r="H138" s="229" t="s">
        <v>68</v>
      </c>
      <c r="I138" s="229" t="s">
        <v>54</v>
      </c>
      <c r="J138" s="229">
        <v>1100</v>
      </c>
      <c r="K138" s="247">
        <v>100</v>
      </c>
      <c r="L138" s="247">
        <v>0</v>
      </c>
      <c r="M138" s="247">
        <f t="shared" ref="M138:M139" si="77">K138-L138</f>
        <v>100</v>
      </c>
      <c r="N138" s="247">
        <v>0</v>
      </c>
      <c r="O138" s="248">
        <v>0</v>
      </c>
      <c r="P138" s="249" t="s">
        <v>6</v>
      </c>
      <c r="Q138" s="249" t="s">
        <v>6</v>
      </c>
      <c r="R138" s="249">
        <v>0</v>
      </c>
      <c r="S138" s="249">
        <v>0</v>
      </c>
      <c r="T138" s="272" t="s">
        <v>6</v>
      </c>
      <c r="U138" s="273">
        <f>M138-O138</f>
        <v>100</v>
      </c>
      <c r="V138" s="229" t="s">
        <v>105</v>
      </c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</row>
    <row r="139" customHeight="1" spans="1:44">
      <c r="A139" s="166"/>
      <c r="B139" s="206">
        <v>3049</v>
      </c>
      <c r="C139" s="206" t="s">
        <v>99</v>
      </c>
      <c r="D139" s="206" t="s">
        <v>0</v>
      </c>
      <c r="E139" s="206">
        <v>1</v>
      </c>
      <c r="F139" s="206" t="s">
        <v>1</v>
      </c>
      <c r="G139" s="207">
        <v>45868</v>
      </c>
      <c r="H139" s="206" t="s">
        <v>68</v>
      </c>
      <c r="I139" s="206" t="s">
        <v>54</v>
      </c>
      <c r="J139" s="206">
        <v>1102</v>
      </c>
      <c r="K139" s="208">
        <v>180</v>
      </c>
      <c r="L139" s="208">
        <v>0</v>
      </c>
      <c r="M139" s="208">
        <f t="shared" si="77"/>
        <v>180</v>
      </c>
      <c r="N139" s="208">
        <f>M139*C2</f>
        <v>7.2</v>
      </c>
      <c r="O139" s="209">
        <f>M139*2.9%</f>
        <v>5.22</v>
      </c>
      <c r="P139" s="213" t="s">
        <v>10</v>
      </c>
      <c r="Q139" s="213" t="s">
        <v>55</v>
      </c>
      <c r="R139" s="209">
        <f>M139-N139-O139</f>
        <v>167.58</v>
      </c>
      <c r="S139" s="222">
        <f>R139/E139</f>
        <v>167.58</v>
      </c>
      <c r="T139" s="213" t="s">
        <v>66</v>
      </c>
      <c r="U139" s="274">
        <f>M139/2-O139/2</f>
        <v>87.39</v>
      </c>
      <c r="V139" s="223" t="s">
        <v>104</v>
      </c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  <c r="AH139" s="166"/>
      <c r="AI139" s="166"/>
      <c r="AJ139" s="166"/>
      <c r="AK139" s="166"/>
      <c r="AL139" s="166"/>
      <c r="AM139" s="166"/>
      <c r="AN139" s="166"/>
      <c r="AO139" s="166"/>
      <c r="AP139" s="166"/>
      <c r="AQ139" s="166"/>
      <c r="AR139" s="166"/>
    </row>
    <row r="140" customHeight="1" spans="1:44">
      <c r="A140" s="16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200"/>
      <c r="T140" s="266" t="s">
        <v>70</v>
      </c>
      <c r="U140" s="275">
        <f>U139</f>
        <v>87.39</v>
      </c>
      <c r="V140" s="201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66"/>
    </row>
    <row r="141" customHeight="1" spans="1:44">
      <c r="A141" s="166"/>
      <c r="B141" s="231">
        <v>2550</v>
      </c>
      <c r="C141" s="231" t="s">
        <v>58</v>
      </c>
      <c r="D141" s="231" t="s">
        <v>0</v>
      </c>
      <c r="E141" s="231">
        <v>2</v>
      </c>
      <c r="F141" s="231" t="s">
        <v>1</v>
      </c>
      <c r="G141" s="232">
        <v>45868</v>
      </c>
      <c r="H141" s="231" t="s">
        <v>68</v>
      </c>
      <c r="I141" s="231" t="s">
        <v>54</v>
      </c>
      <c r="J141" s="231">
        <v>1103</v>
      </c>
      <c r="K141" s="250">
        <v>120</v>
      </c>
      <c r="L141" s="250">
        <v>0</v>
      </c>
      <c r="M141" s="250">
        <f t="shared" ref="M141:M144" si="78">K141-L141</f>
        <v>120</v>
      </c>
      <c r="N141" s="250">
        <f>M141*C2</f>
        <v>4.8</v>
      </c>
      <c r="O141" s="251">
        <f>(M141+M142)*2.71%</f>
        <v>8.13</v>
      </c>
      <c r="P141" s="251" t="s">
        <v>9</v>
      </c>
      <c r="Q141" s="276" t="s">
        <v>62</v>
      </c>
      <c r="R141" s="277">
        <f t="shared" ref="R141:R142" si="79">M141-N141-O141</f>
        <v>107.07</v>
      </c>
      <c r="S141" s="277">
        <f t="shared" ref="S141:S142" si="80">R141/E141</f>
        <v>53.535</v>
      </c>
      <c r="T141" s="278" t="s">
        <v>66</v>
      </c>
      <c r="U141" s="277">
        <f t="shared" ref="U141:U142" si="81">M141-O141</f>
        <v>111.87</v>
      </c>
      <c r="V141" s="279" t="s">
        <v>67</v>
      </c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66"/>
    </row>
    <row r="142" customHeight="1" spans="1:44">
      <c r="A142" s="166"/>
      <c r="B142" s="231">
        <v>2470</v>
      </c>
      <c r="C142" s="231" t="s">
        <v>16</v>
      </c>
      <c r="D142" s="231" t="s">
        <v>0</v>
      </c>
      <c r="E142" s="231">
        <v>1</v>
      </c>
      <c r="F142" s="231" t="s">
        <v>1</v>
      </c>
      <c r="G142" s="232">
        <v>45868</v>
      </c>
      <c r="H142" s="231" t="s">
        <v>68</v>
      </c>
      <c r="I142" s="231" t="s">
        <v>54</v>
      </c>
      <c r="J142" s="231">
        <v>1103</v>
      </c>
      <c r="K142" s="250">
        <v>180</v>
      </c>
      <c r="L142" s="250">
        <v>0</v>
      </c>
      <c r="M142" s="250">
        <f t="shared" si="78"/>
        <v>180</v>
      </c>
      <c r="N142" s="250">
        <f>M142*C2</f>
        <v>7.2</v>
      </c>
      <c r="O142" s="16"/>
      <c r="P142" s="16"/>
      <c r="Q142" s="16"/>
      <c r="R142" s="277">
        <f t="shared" si="79"/>
        <v>172.8</v>
      </c>
      <c r="S142" s="277">
        <f t="shared" si="80"/>
        <v>172.8</v>
      </c>
      <c r="T142" s="16"/>
      <c r="U142" s="277">
        <f t="shared" si="81"/>
        <v>180</v>
      </c>
      <c r="V142" s="1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66"/>
      <c r="AH142" s="166"/>
      <c r="AI142" s="166"/>
      <c r="AJ142" s="166"/>
      <c r="AK142" s="166"/>
      <c r="AL142" s="166"/>
      <c r="AM142" s="166"/>
      <c r="AN142" s="166"/>
      <c r="AO142" s="166"/>
      <c r="AP142" s="166"/>
      <c r="AQ142" s="166"/>
      <c r="AR142" s="166"/>
    </row>
    <row r="143" customHeight="1" spans="1:44">
      <c r="A143" s="166"/>
      <c r="B143" s="229">
        <v>2470</v>
      </c>
      <c r="C143" s="229" t="s">
        <v>16</v>
      </c>
      <c r="D143" s="229" t="s">
        <v>0</v>
      </c>
      <c r="E143" s="229">
        <v>1</v>
      </c>
      <c r="F143" s="229" t="s">
        <v>1</v>
      </c>
      <c r="G143" s="230">
        <v>45868</v>
      </c>
      <c r="H143" s="229" t="s">
        <v>68</v>
      </c>
      <c r="I143" s="229" t="s">
        <v>106</v>
      </c>
      <c r="J143" s="229">
        <v>1104</v>
      </c>
      <c r="K143" s="247">
        <v>144</v>
      </c>
      <c r="L143" s="247">
        <v>0</v>
      </c>
      <c r="M143" s="247">
        <f t="shared" si="78"/>
        <v>144</v>
      </c>
      <c r="N143" s="247">
        <v>0</v>
      </c>
      <c r="O143" s="248">
        <v>0</v>
      </c>
      <c r="P143" s="249" t="s">
        <v>6</v>
      </c>
      <c r="Q143" s="249" t="s">
        <v>6</v>
      </c>
      <c r="R143" s="248">
        <v>0</v>
      </c>
      <c r="S143" s="248">
        <v>0</v>
      </c>
      <c r="T143" s="249" t="s">
        <v>6</v>
      </c>
      <c r="U143" s="248">
        <v>0</v>
      </c>
      <c r="V143" s="229" t="s">
        <v>107</v>
      </c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66"/>
      <c r="AH143" s="166"/>
      <c r="AI143" s="166"/>
      <c r="AJ143" s="166"/>
      <c r="AK143" s="166"/>
      <c r="AL143" s="166"/>
      <c r="AM143" s="166"/>
      <c r="AN143" s="166"/>
      <c r="AO143" s="166"/>
      <c r="AP143" s="166"/>
      <c r="AQ143" s="166"/>
      <c r="AR143" s="166"/>
    </row>
    <row r="144" customHeight="1" spans="1:44">
      <c r="A144" s="166"/>
      <c r="B144" s="180">
        <v>3008</v>
      </c>
      <c r="C144" s="180" t="s">
        <v>28</v>
      </c>
      <c r="D144" s="180" t="s">
        <v>0</v>
      </c>
      <c r="E144" s="180">
        <v>1</v>
      </c>
      <c r="F144" s="180" t="s">
        <v>1</v>
      </c>
      <c r="G144" s="181">
        <v>45869</v>
      </c>
      <c r="H144" s="180" t="s">
        <v>73</v>
      </c>
      <c r="I144" s="180" t="s">
        <v>54</v>
      </c>
      <c r="J144" s="180">
        <v>1105</v>
      </c>
      <c r="K144" s="188">
        <v>215</v>
      </c>
      <c r="L144" s="188">
        <v>0</v>
      </c>
      <c r="M144" s="188">
        <f t="shared" si="78"/>
        <v>215</v>
      </c>
      <c r="N144" s="188">
        <f>M144*C2</f>
        <v>8.6</v>
      </c>
      <c r="O144" s="189">
        <f>M144*3.78%-0.01</f>
        <v>8.117</v>
      </c>
      <c r="P144" s="252" t="s">
        <v>10</v>
      </c>
      <c r="Q144" s="252" t="s">
        <v>55</v>
      </c>
      <c r="R144" s="189">
        <f>M144-N144-O144</f>
        <v>198.283</v>
      </c>
      <c r="S144" s="204">
        <f>R144/E144</f>
        <v>198.283</v>
      </c>
      <c r="T144" s="252" t="s">
        <v>70</v>
      </c>
      <c r="U144" s="280">
        <f>M144/2-O144/2</f>
        <v>103.4415</v>
      </c>
      <c r="V144" s="281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  <c r="AH144" s="166"/>
      <c r="AI144" s="166"/>
      <c r="AJ144" s="166"/>
      <c r="AK144" s="166"/>
      <c r="AL144" s="166"/>
      <c r="AM144" s="166"/>
      <c r="AN144" s="166"/>
      <c r="AO144" s="166"/>
      <c r="AP144" s="166"/>
      <c r="AQ144" s="166"/>
      <c r="AR144" s="166"/>
    </row>
    <row r="145" customHeight="1" spans="1:44">
      <c r="A145" s="16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200"/>
      <c r="T145" s="282" t="s">
        <v>70</v>
      </c>
      <c r="U145" s="283">
        <f>U144</f>
        <v>103.4415</v>
      </c>
      <c r="V145" s="201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66"/>
      <c r="AH145" s="166"/>
      <c r="AI145" s="166"/>
      <c r="AJ145" s="166"/>
      <c r="AK145" s="166"/>
      <c r="AL145" s="166"/>
      <c r="AM145" s="166"/>
      <c r="AN145" s="166"/>
      <c r="AO145" s="166"/>
      <c r="AP145" s="166"/>
      <c r="AQ145" s="166"/>
      <c r="AR145" s="166"/>
    </row>
    <row r="146" customHeight="1" spans="1:44">
      <c r="A146" s="166"/>
      <c r="B146" s="229">
        <v>2470</v>
      </c>
      <c r="C146" s="229" t="s">
        <v>16</v>
      </c>
      <c r="D146" s="229" t="s">
        <v>0</v>
      </c>
      <c r="E146" s="229">
        <v>3</v>
      </c>
      <c r="F146" s="229" t="s">
        <v>1</v>
      </c>
      <c r="G146" s="230">
        <v>45869</v>
      </c>
      <c r="H146" s="229" t="s">
        <v>73</v>
      </c>
      <c r="I146" s="229" t="s">
        <v>108</v>
      </c>
      <c r="J146" s="229">
        <v>1106</v>
      </c>
      <c r="K146" s="247">
        <v>432</v>
      </c>
      <c r="L146" s="247">
        <v>0</v>
      </c>
      <c r="M146" s="247">
        <f t="shared" ref="M146:M151" si="82">K146-L146</f>
        <v>432</v>
      </c>
      <c r="N146" s="247">
        <v>0</v>
      </c>
      <c r="O146" s="248">
        <v>0</v>
      </c>
      <c r="P146" s="249" t="s">
        <v>6</v>
      </c>
      <c r="Q146" s="249" t="s">
        <v>6</v>
      </c>
      <c r="R146" s="248">
        <v>0</v>
      </c>
      <c r="S146" s="248">
        <v>0</v>
      </c>
      <c r="T146" s="249" t="s">
        <v>6</v>
      </c>
      <c r="U146" s="248">
        <v>0</v>
      </c>
      <c r="V146" s="229" t="s">
        <v>109</v>
      </c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  <c r="AH146" s="166"/>
      <c r="AI146" s="166"/>
      <c r="AJ146" s="166"/>
      <c r="AK146" s="166"/>
      <c r="AL146" s="166"/>
      <c r="AM146" s="166"/>
      <c r="AN146" s="166"/>
      <c r="AO146" s="166"/>
      <c r="AP146" s="166"/>
      <c r="AQ146" s="166"/>
      <c r="AR146" s="166"/>
    </row>
    <row r="147" customHeight="1" spans="1:44">
      <c r="A147" s="166"/>
      <c r="B147" s="176">
        <v>2470</v>
      </c>
      <c r="C147" s="176" t="s">
        <v>16</v>
      </c>
      <c r="D147" s="176" t="s">
        <v>0</v>
      </c>
      <c r="E147" s="176">
        <v>50</v>
      </c>
      <c r="F147" s="176" t="s">
        <v>1</v>
      </c>
      <c r="G147" s="177">
        <v>45869</v>
      </c>
      <c r="H147" s="176" t="s">
        <v>73</v>
      </c>
      <c r="I147" s="176" t="s">
        <v>54</v>
      </c>
      <c r="J147" s="176">
        <v>1107</v>
      </c>
      <c r="K147" s="182">
        <v>9000</v>
      </c>
      <c r="L147" s="182">
        <v>2500</v>
      </c>
      <c r="M147" s="182">
        <f t="shared" si="82"/>
        <v>6500</v>
      </c>
      <c r="N147" s="182">
        <f>M147*C2</f>
        <v>260</v>
      </c>
      <c r="O147" s="183">
        <v>0</v>
      </c>
      <c r="P147" s="212" t="s">
        <v>5</v>
      </c>
      <c r="Q147" s="212" t="s">
        <v>6</v>
      </c>
      <c r="R147" s="183">
        <f t="shared" ref="R147:R151" si="83">M147-N147-O147</f>
        <v>6240</v>
      </c>
      <c r="S147" s="183">
        <f t="shared" ref="S147:S151" si="84">R147/E147</f>
        <v>124.8</v>
      </c>
      <c r="T147" s="212" t="s">
        <v>56</v>
      </c>
      <c r="U147" s="183">
        <f t="shared" ref="U147:U150" si="85">M147-O147</f>
        <v>6500</v>
      </c>
      <c r="V147" s="176" t="s">
        <v>110</v>
      </c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66"/>
      <c r="AH147" s="166"/>
      <c r="AI147" s="166"/>
      <c r="AJ147" s="166"/>
      <c r="AK147" s="166"/>
      <c r="AL147" s="166"/>
      <c r="AM147" s="166"/>
      <c r="AN147" s="166"/>
      <c r="AO147" s="166"/>
      <c r="AP147" s="166"/>
      <c r="AQ147" s="166"/>
      <c r="AR147" s="166"/>
    </row>
    <row r="148" customHeight="1" spans="1:44">
      <c r="A148" s="166"/>
      <c r="B148" s="176">
        <v>2470</v>
      </c>
      <c r="C148" s="176" t="s">
        <v>16</v>
      </c>
      <c r="D148" s="176" t="s">
        <v>0</v>
      </c>
      <c r="E148" s="176">
        <v>34</v>
      </c>
      <c r="F148" s="176" t="s">
        <v>1</v>
      </c>
      <c r="G148" s="177">
        <v>45869</v>
      </c>
      <c r="H148" s="176" t="s">
        <v>73</v>
      </c>
      <c r="I148" s="176" t="s">
        <v>54</v>
      </c>
      <c r="J148" s="176">
        <v>1108</v>
      </c>
      <c r="K148" s="182">
        <v>6120</v>
      </c>
      <c r="L148" s="182">
        <v>1700</v>
      </c>
      <c r="M148" s="182">
        <f t="shared" si="82"/>
        <v>4420</v>
      </c>
      <c r="N148" s="182">
        <f>M148*C2</f>
        <v>176.8</v>
      </c>
      <c r="O148" s="183">
        <v>0</v>
      </c>
      <c r="P148" s="212" t="s">
        <v>5</v>
      </c>
      <c r="Q148" s="212" t="s">
        <v>6</v>
      </c>
      <c r="R148" s="183">
        <f t="shared" si="83"/>
        <v>4243.2</v>
      </c>
      <c r="S148" s="183">
        <f t="shared" si="84"/>
        <v>124.8</v>
      </c>
      <c r="T148" s="212" t="s">
        <v>56</v>
      </c>
      <c r="U148" s="183">
        <f t="shared" si="85"/>
        <v>4420</v>
      </c>
      <c r="V148" s="176" t="s">
        <v>111</v>
      </c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  <c r="AH148" s="166"/>
      <c r="AI148" s="166"/>
      <c r="AJ148" s="166"/>
      <c r="AK148" s="166"/>
      <c r="AL148" s="166"/>
      <c r="AM148" s="166"/>
      <c r="AN148" s="166"/>
      <c r="AO148" s="166"/>
      <c r="AP148" s="166"/>
      <c r="AQ148" s="166"/>
      <c r="AR148" s="166"/>
    </row>
    <row r="149" customHeight="1" spans="1:44">
      <c r="A149" s="166"/>
      <c r="B149" s="176">
        <v>2470</v>
      </c>
      <c r="C149" s="176" t="s">
        <v>16</v>
      </c>
      <c r="D149" s="176" t="s">
        <v>0</v>
      </c>
      <c r="E149" s="176">
        <v>4</v>
      </c>
      <c r="F149" s="176" t="s">
        <v>1</v>
      </c>
      <c r="G149" s="177">
        <v>45869</v>
      </c>
      <c r="H149" s="176" t="s">
        <v>73</v>
      </c>
      <c r="I149" s="176" t="s">
        <v>54</v>
      </c>
      <c r="J149" s="176">
        <v>1109</v>
      </c>
      <c r="K149" s="182">
        <v>720</v>
      </c>
      <c r="L149" s="182">
        <v>200</v>
      </c>
      <c r="M149" s="182">
        <f t="shared" si="82"/>
        <v>520</v>
      </c>
      <c r="N149" s="182">
        <f>M149*C2</f>
        <v>20.8</v>
      </c>
      <c r="O149" s="183">
        <v>0</v>
      </c>
      <c r="P149" s="212" t="s">
        <v>5</v>
      </c>
      <c r="Q149" s="212" t="s">
        <v>6</v>
      </c>
      <c r="R149" s="183">
        <f t="shared" si="83"/>
        <v>499.2</v>
      </c>
      <c r="S149" s="183">
        <f t="shared" si="84"/>
        <v>124.8</v>
      </c>
      <c r="T149" s="212" t="s">
        <v>56</v>
      </c>
      <c r="U149" s="183">
        <f t="shared" si="85"/>
        <v>520</v>
      </c>
      <c r="V149" s="206" t="s">
        <v>110</v>
      </c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  <c r="AH149" s="166"/>
      <c r="AI149" s="166"/>
      <c r="AJ149" s="166"/>
      <c r="AK149" s="166"/>
      <c r="AL149" s="166"/>
      <c r="AM149" s="166"/>
      <c r="AN149" s="166"/>
      <c r="AO149" s="166"/>
      <c r="AP149" s="166"/>
      <c r="AQ149" s="166"/>
      <c r="AR149" s="166"/>
    </row>
    <row r="150" customHeight="1" spans="1:44">
      <c r="A150" s="166"/>
      <c r="B150" s="176">
        <v>3049</v>
      </c>
      <c r="C150" s="176" t="s">
        <v>99</v>
      </c>
      <c r="D150" s="176" t="s">
        <v>0</v>
      </c>
      <c r="E150" s="176">
        <v>21</v>
      </c>
      <c r="F150" s="176" t="s">
        <v>1</v>
      </c>
      <c r="G150" s="177">
        <v>45869</v>
      </c>
      <c r="H150" s="176" t="s">
        <v>73</v>
      </c>
      <c r="I150" s="176" t="s">
        <v>54</v>
      </c>
      <c r="J150" s="176">
        <v>1109</v>
      </c>
      <c r="K150" s="182">
        <v>3780</v>
      </c>
      <c r="L150" s="182">
        <v>0</v>
      </c>
      <c r="M150" s="182">
        <f t="shared" si="82"/>
        <v>3780</v>
      </c>
      <c r="N150" s="182">
        <f>M150*C2</f>
        <v>151.2</v>
      </c>
      <c r="O150" s="183">
        <v>0</v>
      </c>
      <c r="P150" s="212" t="s">
        <v>5</v>
      </c>
      <c r="Q150" s="212" t="s">
        <v>6</v>
      </c>
      <c r="R150" s="183">
        <f t="shared" si="83"/>
        <v>3628.8</v>
      </c>
      <c r="S150" s="183">
        <f t="shared" si="84"/>
        <v>172.8</v>
      </c>
      <c r="T150" s="212" t="s">
        <v>56</v>
      </c>
      <c r="U150" s="183">
        <f t="shared" si="85"/>
        <v>3780</v>
      </c>
      <c r="V150" s="1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  <c r="AH150" s="166"/>
      <c r="AI150" s="166"/>
      <c r="AJ150" s="166"/>
      <c r="AK150" s="166"/>
      <c r="AL150" s="166"/>
      <c r="AM150" s="166"/>
      <c r="AN150" s="166"/>
      <c r="AO150" s="166"/>
      <c r="AP150" s="166"/>
      <c r="AQ150" s="166"/>
      <c r="AR150" s="166"/>
    </row>
    <row r="151" customHeight="1" spans="1:44">
      <c r="A151" s="166"/>
      <c r="B151" s="180">
        <v>2470</v>
      </c>
      <c r="C151" s="180" t="s">
        <v>16</v>
      </c>
      <c r="D151" s="180" t="s">
        <v>0</v>
      </c>
      <c r="E151" s="180">
        <v>2</v>
      </c>
      <c r="F151" s="180" t="s">
        <v>1</v>
      </c>
      <c r="G151" s="181">
        <v>45869</v>
      </c>
      <c r="H151" s="180" t="s">
        <v>73</v>
      </c>
      <c r="I151" s="180" t="s">
        <v>54</v>
      </c>
      <c r="J151" s="180">
        <v>1110</v>
      </c>
      <c r="K151" s="188">
        <v>360</v>
      </c>
      <c r="L151" s="188">
        <v>0</v>
      </c>
      <c r="M151" s="188">
        <f t="shared" si="82"/>
        <v>360</v>
      </c>
      <c r="N151" s="188">
        <f>M151*C2</f>
        <v>14.4</v>
      </c>
      <c r="O151" s="189">
        <f>M151*3.78%</f>
        <v>13.608</v>
      </c>
      <c r="P151" s="252" t="s">
        <v>10</v>
      </c>
      <c r="Q151" s="252" t="s">
        <v>55</v>
      </c>
      <c r="R151" s="189">
        <f t="shared" si="83"/>
        <v>331.992</v>
      </c>
      <c r="S151" s="204">
        <f t="shared" si="84"/>
        <v>165.996</v>
      </c>
      <c r="T151" s="252" t="s">
        <v>70</v>
      </c>
      <c r="U151" s="280">
        <f>M151/2-O151/2</f>
        <v>173.196</v>
      </c>
      <c r="V151" s="281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  <c r="AG151" s="166"/>
      <c r="AH151" s="166"/>
      <c r="AI151" s="166"/>
      <c r="AJ151" s="166"/>
      <c r="AK151" s="166"/>
      <c r="AL151" s="166"/>
      <c r="AM151" s="166"/>
      <c r="AN151" s="166"/>
      <c r="AO151" s="166"/>
      <c r="AP151" s="166"/>
      <c r="AQ151" s="166"/>
      <c r="AR151" s="166"/>
    </row>
    <row r="152" customHeight="1" spans="1:44">
      <c r="A152" s="16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200"/>
      <c r="T152" s="282" t="s">
        <v>70</v>
      </c>
      <c r="U152" s="283">
        <f>U151</f>
        <v>173.196</v>
      </c>
      <c r="V152" s="201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  <c r="AH152" s="166"/>
      <c r="AI152" s="166"/>
      <c r="AJ152" s="166"/>
      <c r="AK152" s="166"/>
      <c r="AL152" s="166"/>
      <c r="AM152" s="166"/>
      <c r="AN152" s="166"/>
      <c r="AO152" s="166"/>
      <c r="AP152" s="166"/>
      <c r="AQ152" s="166"/>
      <c r="AR152" s="166"/>
    </row>
    <row r="153" customHeight="1" spans="1:44">
      <c r="A153" s="166"/>
      <c r="B153" s="206">
        <v>2470</v>
      </c>
      <c r="C153" s="206" t="s">
        <v>16</v>
      </c>
      <c r="D153" s="206" t="s">
        <v>0</v>
      </c>
      <c r="E153" s="206">
        <v>2</v>
      </c>
      <c r="F153" s="206" t="s">
        <v>1</v>
      </c>
      <c r="G153" s="207">
        <v>45869</v>
      </c>
      <c r="H153" s="206" t="s">
        <v>73</v>
      </c>
      <c r="I153" s="206" t="s">
        <v>54</v>
      </c>
      <c r="J153" s="206">
        <v>1111</v>
      </c>
      <c r="K153" s="208">
        <v>360</v>
      </c>
      <c r="L153" s="208">
        <v>0</v>
      </c>
      <c r="M153" s="208">
        <f>K153-L153</f>
        <v>360</v>
      </c>
      <c r="N153" s="208">
        <v>0</v>
      </c>
      <c r="O153" s="209">
        <v>10.44</v>
      </c>
      <c r="P153" s="213" t="s">
        <v>10</v>
      </c>
      <c r="Q153" s="213" t="s">
        <v>55</v>
      </c>
      <c r="R153" s="209">
        <f>M153-N153-O153</f>
        <v>349.56</v>
      </c>
      <c r="S153" s="222">
        <f>R153/E153</f>
        <v>174.78</v>
      </c>
      <c r="T153" s="213" t="s">
        <v>66</v>
      </c>
      <c r="U153" s="274">
        <f>M153/2-O153/2</f>
        <v>174.78</v>
      </c>
      <c r="V153" s="223" t="s">
        <v>112</v>
      </c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  <c r="AG153" s="166"/>
      <c r="AH153" s="166"/>
      <c r="AI153" s="166"/>
      <c r="AJ153" s="166"/>
      <c r="AK153" s="166"/>
      <c r="AL153" s="166"/>
      <c r="AM153" s="166"/>
      <c r="AN153" s="166"/>
      <c r="AO153" s="166"/>
      <c r="AP153" s="166"/>
      <c r="AQ153" s="166"/>
      <c r="AR153" s="166"/>
    </row>
    <row r="154" customHeight="1" spans="1:44">
      <c r="A154" s="16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200"/>
      <c r="T154" s="266" t="s">
        <v>70</v>
      </c>
      <c r="U154" s="275">
        <f>U153</f>
        <v>174.78</v>
      </c>
      <c r="V154" s="201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  <c r="AH154" s="166"/>
      <c r="AI154" s="166"/>
      <c r="AJ154" s="166"/>
      <c r="AK154" s="166"/>
      <c r="AL154" s="166"/>
      <c r="AM154" s="166"/>
      <c r="AN154" s="166"/>
      <c r="AO154" s="166"/>
      <c r="AP154" s="166"/>
      <c r="AQ154" s="166"/>
      <c r="AR154" s="166"/>
    </row>
    <row r="155" customHeight="1" spans="1:44">
      <c r="A155" s="166"/>
      <c r="B155" s="233">
        <v>2470</v>
      </c>
      <c r="C155" s="233" t="s">
        <v>16</v>
      </c>
      <c r="D155" s="233" t="s">
        <v>0</v>
      </c>
      <c r="E155" s="233">
        <v>1</v>
      </c>
      <c r="F155" s="233" t="s">
        <v>1</v>
      </c>
      <c r="G155" s="234">
        <v>45870</v>
      </c>
      <c r="H155" s="233" t="s">
        <v>75</v>
      </c>
      <c r="I155" s="233" t="s">
        <v>54</v>
      </c>
      <c r="J155" s="233">
        <v>1112</v>
      </c>
      <c r="K155" s="253">
        <v>180</v>
      </c>
      <c r="L155" s="253">
        <v>0</v>
      </c>
      <c r="M155" s="253">
        <f>K155-L155</f>
        <v>180</v>
      </c>
      <c r="N155" s="253">
        <f>M155*C2</f>
        <v>7.2</v>
      </c>
      <c r="O155" s="254">
        <f>M155*3.78%</f>
        <v>6.804</v>
      </c>
      <c r="P155" s="255" t="s">
        <v>10</v>
      </c>
      <c r="Q155" s="255" t="s">
        <v>55</v>
      </c>
      <c r="R155" s="254">
        <f>M155-N155-O155</f>
        <v>165.996</v>
      </c>
      <c r="S155" s="284">
        <f>R155/E155</f>
        <v>165.996</v>
      </c>
      <c r="T155" s="255" t="s">
        <v>70</v>
      </c>
      <c r="U155" s="285">
        <f>M155/2-O155/2</f>
        <v>86.598</v>
      </c>
      <c r="V155" s="28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  <c r="AH155" s="166"/>
      <c r="AI155" s="166"/>
      <c r="AJ155" s="166"/>
      <c r="AK155" s="166"/>
      <c r="AL155" s="166"/>
      <c r="AM155" s="166"/>
      <c r="AN155" s="166"/>
      <c r="AO155" s="166"/>
      <c r="AP155" s="166"/>
      <c r="AQ155" s="166"/>
      <c r="AR155" s="166"/>
    </row>
    <row r="156" customHeight="1" spans="1:44">
      <c r="A156" s="16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200"/>
      <c r="T156" s="287" t="s">
        <v>70</v>
      </c>
      <c r="U156" s="288">
        <f>U155</f>
        <v>86.598</v>
      </c>
      <c r="V156" s="201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  <c r="AH156" s="166"/>
      <c r="AI156" s="166"/>
      <c r="AJ156" s="166"/>
      <c r="AK156" s="166"/>
      <c r="AL156" s="166"/>
      <c r="AM156" s="166"/>
      <c r="AN156" s="166"/>
      <c r="AO156" s="166"/>
      <c r="AP156" s="166"/>
      <c r="AQ156" s="166"/>
      <c r="AR156" s="166"/>
    </row>
    <row r="157" customHeight="1" spans="1:44">
      <c r="A157" s="166"/>
      <c r="B157" s="235">
        <v>2470</v>
      </c>
      <c r="C157" s="235" t="s">
        <v>16</v>
      </c>
      <c r="D157" s="235" t="s">
        <v>0</v>
      </c>
      <c r="E157" s="235">
        <v>1</v>
      </c>
      <c r="F157" s="235" t="s">
        <v>1</v>
      </c>
      <c r="G157" s="236">
        <v>45870</v>
      </c>
      <c r="H157" s="235" t="s">
        <v>75</v>
      </c>
      <c r="I157" s="235" t="s">
        <v>113</v>
      </c>
      <c r="J157" s="235">
        <v>1113</v>
      </c>
      <c r="K157" s="256">
        <v>180</v>
      </c>
      <c r="L157" s="256">
        <v>36</v>
      </c>
      <c r="M157" s="256">
        <f t="shared" ref="M157:M159" si="86">K157-L157</f>
        <v>144</v>
      </c>
      <c r="N157" s="256">
        <f>M157*C2</f>
        <v>5.76</v>
      </c>
      <c r="O157" s="257">
        <f>M157*3.29%</f>
        <v>4.7376</v>
      </c>
      <c r="P157" s="258" t="s">
        <v>9</v>
      </c>
      <c r="Q157" s="258" t="s">
        <v>55</v>
      </c>
      <c r="R157" s="257">
        <f t="shared" ref="R157:R159" si="87">M157-N157-O157</f>
        <v>133.5024</v>
      </c>
      <c r="S157" s="257">
        <f t="shared" ref="S157:S159" si="88">R157/E157</f>
        <v>133.5024</v>
      </c>
      <c r="T157" s="258" t="s">
        <v>70</v>
      </c>
      <c r="U157" s="257">
        <f t="shared" ref="U157:U158" si="89">M157-O157</f>
        <v>139.2624</v>
      </c>
      <c r="V157" s="235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  <c r="AG157" s="166"/>
      <c r="AH157" s="166"/>
      <c r="AI157" s="166"/>
      <c r="AJ157" s="166"/>
      <c r="AK157" s="166"/>
      <c r="AL157" s="166"/>
      <c r="AM157" s="166"/>
      <c r="AN157" s="166"/>
      <c r="AO157" s="166"/>
      <c r="AP157" s="166"/>
      <c r="AQ157" s="166"/>
      <c r="AR157" s="166"/>
    </row>
    <row r="158" customHeight="1" spans="1:44">
      <c r="A158" s="166"/>
      <c r="B158" s="237">
        <v>2470</v>
      </c>
      <c r="C158" s="237" t="s">
        <v>16</v>
      </c>
      <c r="D158" s="237" t="s">
        <v>0</v>
      </c>
      <c r="E158" s="237">
        <v>3</v>
      </c>
      <c r="F158" s="237" t="s">
        <v>1</v>
      </c>
      <c r="G158" s="238">
        <v>45870</v>
      </c>
      <c r="H158" s="237" t="s">
        <v>75</v>
      </c>
      <c r="I158" s="237" t="s">
        <v>114</v>
      </c>
      <c r="J158" s="237">
        <v>1114</v>
      </c>
      <c r="K158" s="259">
        <v>540</v>
      </c>
      <c r="L158" s="259">
        <v>108</v>
      </c>
      <c r="M158" s="259">
        <f t="shared" si="86"/>
        <v>432</v>
      </c>
      <c r="N158" s="259">
        <v>0</v>
      </c>
      <c r="O158" s="260"/>
      <c r="P158" s="261"/>
      <c r="Q158" s="261"/>
      <c r="R158" s="260">
        <f t="shared" si="87"/>
        <v>432</v>
      </c>
      <c r="S158" s="260">
        <f t="shared" si="88"/>
        <v>144</v>
      </c>
      <c r="T158" s="261"/>
      <c r="U158" s="260">
        <f t="shared" si="89"/>
        <v>432</v>
      </c>
      <c r="V158" s="237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  <c r="AH158" s="166"/>
      <c r="AI158" s="166"/>
      <c r="AJ158" s="166"/>
      <c r="AK158" s="166"/>
      <c r="AL158" s="166"/>
      <c r="AM158" s="166"/>
      <c r="AN158" s="166"/>
      <c r="AO158" s="166"/>
      <c r="AP158" s="166"/>
      <c r="AQ158" s="166"/>
      <c r="AR158" s="166"/>
    </row>
    <row r="159" customHeight="1" spans="1:44">
      <c r="A159" s="166"/>
      <c r="B159" s="233">
        <v>2470</v>
      </c>
      <c r="C159" s="233" t="s">
        <v>16</v>
      </c>
      <c r="D159" s="233" t="s">
        <v>0</v>
      </c>
      <c r="E159" s="233">
        <v>1</v>
      </c>
      <c r="F159" s="233" t="s">
        <v>1</v>
      </c>
      <c r="G159" s="234">
        <v>45870</v>
      </c>
      <c r="H159" s="233" t="s">
        <v>75</v>
      </c>
      <c r="I159" s="233" t="s">
        <v>54</v>
      </c>
      <c r="J159" s="233">
        <v>1115</v>
      </c>
      <c r="K159" s="253">
        <v>180</v>
      </c>
      <c r="L159" s="253">
        <v>0</v>
      </c>
      <c r="M159" s="253">
        <f t="shared" si="86"/>
        <v>180</v>
      </c>
      <c r="N159" s="253">
        <f>M159*C2</f>
        <v>7.2</v>
      </c>
      <c r="O159" s="254">
        <f>M159*3.78%</f>
        <v>6.804</v>
      </c>
      <c r="P159" s="255" t="s">
        <v>10</v>
      </c>
      <c r="Q159" s="255" t="s">
        <v>62</v>
      </c>
      <c r="R159" s="254">
        <f t="shared" si="87"/>
        <v>165.996</v>
      </c>
      <c r="S159" s="284">
        <f t="shared" si="88"/>
        <v>165.996</v>
      </c>
      <c r="T159" s="255" t="s">
        <v>70</v>
      </c>
      <c r="U159" s="285">
        <f>M159/2-O159/2</f>
        <v>86.598</v>
      </c>
      <c r="V159" s="28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  <c r="AH159" s="166"/>
      <c r="AI159" s="166"/>
      <c r="AJ159" s="166"/>
      <c r="AK159" s="166"/>
      <c r="AL159" s="166"/>
      <c r="AM159" s="166"/>
      <c r="AN159" s="166"/>
      <c r="AO159" s="166"/>
      <c r="AP159" s="166"/>
      <c r="AQ159" s="166"/>
      <c r="AR159" s="166"/>
    </row>
    <row r="160" customHeight="1" spans="1:44">
      <c r="A160" s="16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200"/>
      <c r="T160" s="287" t="s">
        <v>70</v>
      </c>
      <c r="U160" s="288">
        <f>U159</f>
        <v>86.598</v>
      </c>
      <c r="V160" s="201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  <c r="AG160" s="166"/>
      <c r="AH160" s="166"/>
      <c r="AI160" s="166"/>
      <c r="AJ160" s="166"/>
      <c r="AK160" s="166"/>
      <c r="AL160" s="166"/>
      <c r="AM160" s="166"/>
      <c r="AN160" s="166"/>
      <c r="AO160" s="166"/>
      <c r="AP160" s="166"/>
      <c r="AQ160" s="166"/>
      <c r="AR160" s="166"/>
    </row>
    <row r="161" customHeight="1" spans="1:44">
      <c r="A161" s="166"/>
      <c r="B161" s="235">
        <v>2470</v>
      </c>
      <c r="C161" s="235" t="s">
        <v>16</v>
      </c>
      <c r="D161" s="235" t="s">
        <v>0</v>
      </c>
      <c r="E161" s="235">
        <v>1</v>
      </c>
      <c r="F161" s="235" t="s">
        <v>1</v>
      </c>
      <c r="G161" s="236">
        <v>45870</v>
      </c>
      <c r="H161" s="235" t="s">
        <v>75</v>
      </c>
      <c r="I161" s="235" t="s">
        <v>54</v>
      </c>
      <c r="J161" s="235">
        <v>1116</v>
      </c>
      <c r="K161" s="256">
        <v>180</v>
      </c>
      <c r="L161" s="256">
        <v>0</v>
      </c>
      <c r="M161" s="256">
        <f t="shared" ref="M161:M171" si="90">K161-L161</f>
        <v>180</v>
      </c>
      <c r="N161" s="256">
        <f>M161*C2</f>
        <v>7.2</v>
      </c>
      <c r="O161" s="257">
        <v>0</v>
      </c>
      <c r="P161" s="258" t="s">
        <v>5</v>
      </c>
      <c r="Q161" s="258" t="s">
        <v>6</v>
      </c>
      <c r="R161" s="257">
        <f t="shared" ref="R161:R171" si="91">M161-N161-O161</f>
        <v>172.8</v>
      </c>
      <c r="S161" s="257">
        <f t="shared" ref="S161:S171" si="92">R161/E161</f>
        <v>172.8</v>
      </c>
      <c r="T161" s="258" t="s">
        <v>66</v>
      </c>
      <c r="U161" s="257">
        <f t="shared" ref="U161:U170" si="93">M161-O161</f>
        <v>180</v>
      </c>
      <c r="V161" s="235"/>
      <c r="W161" s="166"/>
      <c r="X161" s="166"/>
      <c r="Y161" s="166"/>
      <c r="Z161" s="166"/>
      <c r="AA161" s="166"/>
      <c r="AB161" s="166"/>
      <c r="AC161" s="166"/>
      <c r="AD161" s="166"/>
      <c r="AE161" s="166"/>
      <c r="AF161" s="166"/>
      <c r="AG161" s="166"/>
      <c r="AH161" s="166"/>
      <c r="AI161" s="166"/>
      <c r="AJ161" s="166"/>
      <c r="AK161" s="166"/>
      <c r="AL161" s="166"/>
      <c r="AM161" s="166"/>
      <c r="AN161" s="166"/>
      <c r="AO161" s="166"/>
      <c r="AP161" s="166"/>
      <c r="AQ161" s="166"/>
      <c r="AR161" s="166"/>
    </row>
    <row r="162" customHeight="1" spans="1:44">
      <c r="A162" s="166"/>
      <c r="B162" s="235">
        <v>2470</v>
      </c>
      <c r="C162" s="235" t="s">
        <v>16</v>
      </c>
      <c r="D162" s="235" t="s">
        <v>0</v>
      </c>
      <c r="E162" s="235">
        <v>1</v>
      </c>
      <c r="F162" s="235" t="s">
        <v>1</v>
      </c>
      <c r="G162" s="236">
        <v>45871</v>
      </c>
      <c r="H162" s="235" t="s">
        <v>76</v>
      </c>
      <c r="I162" s="235" t="s">
        <v>54</v>
      </c>
      <c r="J162" s="235">
        <v>1117</v>
      </c>
      <c r="K162" s="256">
        <v>180</v>
      </c>
      <c r="L162" s="256">
        <v>0</v>
      </c>
      <c r="M162" s="256">
        <f t="shared" si="90"/>
        <v>180</v>
      </c>
      <c r="N162" s="256">
        <f>M162*C2</f>
        <v>7.2</v>
      </c>
      <c r="O162" s="257">
        <v>5.34</v>
      </c>
      <c r="P162" s="258" t="s">
        <v>7</v>
      </c>
      <c r="Q162" s="258" t="s">
        <v>79</v>
      </c>
      <c r="R162" s="257">
        <f t="shared" si="91"/>
        <v>167.46</v>
      </c>
      <c r="S162" s="257">
        <f t="shared" si="92"/>
        <v>167.46</v>
      </c>
      <c r="T162" s="258" t="s">
        <v>66</v>
      </c>
      <c r="U162" s="257">
        <f t="shared" si="93"/>
        <v>174.66</v>
      </c>
      <c r="V162" s="235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  <c r="AG162" s="166"/>
      <c r="AH162" s="166"/>
      <c r="AI162" s="166"/>
      <c r="AJ162" s="166"/>
      <c r="AK162" s="166"/>
      <c r="AL162" s="166"/>
      <c r="AM162" s="166"/>
      <c r="AN162" s="166"/>
      <c r="AO162" s="166"/>
      <c r="AP162" s="166"/>
      <c r="AQ162" s="166"/>
      <c r="AR162" s="166"/>
    </row>
    <row r="163" customHeight="1" spans="1:44">
      <c r="A163" s="166"/>
      <c r="B163" s="235">
        <v>2470</v>
      </c>
      <c r="C163" s="235" t="s">
        <v>16</v>
      </c>
      <c r="D163" s="235" t="s">
        <v>0</v>
      </c>
      <c r="E163" s="235">
        <v>1</v>
      </c>
      <c r="F163" s="235" t="s">
        <v>1</v>
      </c>
      <c r="G163" s="236">
        <v>45871</v>
      </c>
      <c r="H163" s="235" t="s">
        <v>76</v>
      </c>
      <c r="I163" s="235" t="s">
        <v>54</v>
      </c>
      <c r="J163" s="235">
        <v>1119</v>
      </c>
      <c r="K163" s="256">
        <v>180</v>
      </c>
      <c r="L163" s="256">
        <v>0</v>
      </c>
      <c r="M163" s="256">
        <f t="shared" si="90"/>
        <v>180</v>
      </c>
      <c r="N163" s="256">
        <f>M163*C2</f>
        <v>7.2</v>
      </c>
      <c r="O163" s="257">
        <v>0</v>
      </c>
      <c r="P163" s="258" t="s">
        <v>5</v>
      </c>
      <c r="Q163" s="258" t="s">
        <v>6</v>
      </c>
      <c r="R163" s="257">
        <f t="shared" si="91"/>
        <v>172.8</v>
      </c>
      <c r="S163" s="257">
        <f t="shared" si="92"/>
        <v>172.8</v>
      </c>
      <c r="T163" s="258" t="s">
        <v>66</v>
      </c>
      <c r="U163" s="257">
        <f t="shared" si="93"/>
        <v>180</v>
      </c>
      <c r="V163" s="235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  <c r="AG163" s="166"/>
      <c r="AH163" s="166"/>
      <c r="AI163" s="166"/>
      <c r="AJ163" s="166"/>
      <c r="AK163" s="166"/>
      <c r="AL163" s="166"/>
      <c r="AM163" s="166"/>
      <c r="AN163" s="166"/>
      <c r="AO163" s="166"/>
      <c r="AP163" s="166"/>
      <c r="AQ163" s="166"/>
      <c r="AR163" s="166"/>
    </row>
    <row r="164" customHeight="1" spans="1:44">
      <c r="A164" s="166"/>
      <c r="B164" s="235">
        <v>3006</v>
      </c>
      <c r="C164" s="235" t="s">
        <v>25</v>
      </c>
      <c r="D164" s="235" t="s">
        <v>0</v>
      </c>
      <c r="E164" s="235">
        <v>1</v>
      </c>
      <c r="F164" s="235" t="s">
        <v>1</v>
      </c>
      <c r="G164" s="236">
        <v>45871</v>
      </c>
      <c r="H164" s="235" t="s">
        <v>76</v>
      </c>
      <c r="I164" s="235" t="s">
        <v>54</v>
      </c>
      <c r="J164" s="235">
        <v>1120</v>
      </c>
      <c r="K164" s="256">
        <v>170</v>
      </c>
      <c r="L164" s="256">
        <v>0</v>
      </c>
      <c r="M164" s="256">
        <f t="shared" si="90"/>
        <v>170</v>
      </c>
      <c r="N164" s="256">
        <f>M164*C2</f>
        <v>6.8</v>
      </c>
      <c r="O164" s="257">
        <f>M164*1.9%</f>
        <v>3.23</v>
      </c>
      <c r="P164" s="258" t="s">
        <v>7</v>
      </c>
      <c r="Q164" s="258" t="s">
        <v>62</v>
      </c>
      <c r="R164" s="257">
        <f t="shared" si="91"/>
        <v>159.97</v>
      </c>
      <c r="S164" s="257">
        <f t="shared" si="92"/>
        <v>159.97</v>
      </c>
      <c r="T164" s="258" t="s">
        <v>66</v>
      </c>
      <c r="U164" s="257">
        <f t="shared" si="93"/>
        <v>166.77</v>
      </c>
      <c r="V164" s="235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6"/>
      <c r="AH164" s="166"/>
      <c r="AI164" s="166"/>
      <c r="AJ164" s="166"/>
      <c r="AK164" s="166"/>
      <c r="AL164" s="166"/>
      <c r="AM164" s="166"/>
      <c r="AN164" s="166"/>
      <c r="AO164" s="166"/>
      <c r="AP164" s="166"/>
      <c r="AQ164" s="166"/>
      <c r="AR164" s="166"/>
    </row>
    <row r="165" customHeight="1" spans="1:44">
      <c r="A165" s="166"/>
      <c r="B165" s="235">
        <v>3006</v>
      </c>
      <c r="C165" s="235" t="s">
        <v>25</v>
      </c>
      <c r="D165" s="235" t="s">
        <v>0</v>
      </c>
      <c r="E165" s="235">
        <v>1</v>
      </c>
      <c r="F165" s="235" t="s">
        <v>1</v>
      </c>
      <c r="G165" s="236">
        <v>45871</v>
      </c>
      <c r="H165" s="235" t="s">
        <v>76</v>
      </c>
      <c r="I165" s="235" t="s">
        <v>115</v>
      </c>
      <c r="J165" s="235">
        <v>1121</v>
      </c>
      <c r="K165" s="256">
        <v>170</v>
      </c>
      <c r="L165" s="256">
        <v>34</v>
      </c>
      <c r="M165" s="256">
        <f t="shared" si="90"/>
        <v>136</v>
      </c>
      <c r="N165" s="256">
        <f>M165*C2</f>
        <v>5.44</v>
      </c>
      <c r="O165" s="257">
        <f>M165*3.29%</f>
        <v>4.4744</v>
      </c>
      <c r="P165" s="258" t="s">
        <v>9</v>
      </c>
      <c r="Q165" s="258" t="s">
        <v>62</v>
      </c>
      <c r="R165" s="257">
        <f t="shared" si="91"/>
        <v>126.0856</v>
      </c>
      <c r="S165" s="257">
        <f t="shared" si="92"/>
        <v>126.0856</v>
      </c>
      <c r="T165" s="258" t="s">
        <v>70</v>
      </c>
      <c r="U165" s="257">
        <f t="shared" si="93"/>
        <v>131.5256</v>
      </c>
      <c r="V165" s="235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6"/>
      <c r="AH165" s="166"/>
      <c r="AI165" s="166"/>
      <c r="AJ165" s="166"/>
      <c r="AK165" s="166"/>
      <c r="AL165" s="166"/>
      <c r="AM165" s="166"/>
      <c r="AN165" s="166"/>
      <c r="AO165" s="166"/>
      <c r="AP165" s="166"/>
      <c r="AQ165" s="166"/>
      <c r="AR165" s="166"/>
    </row>
    <row r="166" customHeight="1" spans="1:44">
      <c r="A166" s="166"/>
      <c r="B166" s="235">
        <v>2470</v>
      </c>
      <c r="C166" s="235" t="s">
        <v>16</v>
      </c>
      <c r="D166" s="235" t="s">
        <v>0</v>
      </c>
      <c r="E166" s="235">
        <v>1</v>
      </c>
      <c r="F166" s="235" t="s">
        <v>1</v>
      </c>
      <c r="G166" s="236">
        <v>45871</v>
      </c>
      <c r="H166" s="235" t="s">
        <v>76</v>
      </c>
      <c r="I166" s="235" t="s">
        <v>115</v>
      </c>
      <c r="J166" s="235">
        <v>1121</v>
      </c>
      <c r="K166" s="256">
        <v>180</v>
      </c>
      <c r="L166" s="256">
        <v>36</v>
      </c>
      <c r="M166" s="256">
        <f t="shared" si="90"/>
        <v>144</v>
      </c>
      <c r="N166" s="256">
        <f>M166*C2</f>
        <v>5.76</v>
      </c>
      <c r="O166" s="257">
        <f>M166*2.95%+0.01</f>
        <v>4.258</v>
      </c>
      <c r="P166" s="258" t="s">
        <v>7</v>
      </c>
      <c r="Q166" s="258" t="s">
        <v>79</v>
      </c>
      <c r="R166" s="257">
        <f t="shared" si="91"/>
        <v>133.982</v>
      </c>
      <c r="S166" s="257">
        <f t="shared" si="92"/>
        <v>133.982</v>
      </c>
      <c r="T166" s="258" t="s">
        <v>66</v>
      </c>
      <c r="U166" s="257">
        <f t="shared" si="93"/>
        <v>139.742</v>
      </c>
      <c r="V166" s="235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6"/>
      <c r="AH166" s="166"/>
      <c r="AI166" s="166"/>
      <c r="AJ166" s="166"/>
      <c r="AK166" s="166"/>
      <c r="AL166" s="166"/>
      <c r="AM166" s="166"/>
      <c r="AN166" s="166"/>
      <c r="AO166" s="166"/>
      <c r="AP166" s="166"/>
      <c r="AQ166" s="166"/>
      <c r="AR166" s="166"/>
    </row>
    <row r="167" customHeight="1" spans="1:44">
      <c r="A167" s="166"/>
      <c r="B167" s="235">
        <v>3049</v>
      </c>
      <c r="C167" s="235" t="s">
        <v>99</v>
      </c>
      <c r="D167" s="235" t="s">
        <v>0</v>
      </c>
      <c r="E167" s="235">
        <v>1</v>
      </c>
      <c r="F167" s="235" t="s">
        <v>1</v>
      </c>
      <c r="G167" s="236">
        <v>45871</v>
      </c>
      <c r="H167" s="235" t="s">
        <v>76</v>
      </c>
      <c r="I167" s="235" t="s">
        <v>54</v>
      </c>
      <c r="J167" s="235">
        <v>1122</v>
      </c>
      <c r="K167" s="256">
        <v>180</v>
      </c>
      <c r="L167" s="256">
        <v>0</v>
      </c>
      <c r="M167" s="256">
        <f t="shared" si="90"/>
        <v>180</v>
      </c>
      <c r="N167" s="256">
        <f>M167*C2</f>
        <v>7.2</v>
      </c>
      <c r="O167" s="257">
        <v>0</v>
      </c>
      <c r="P167" s="258" t="s">
        <v>5</v>
      </c>
      <c r="Q167" s="258" t="s">
        <v>6</v>
      </c>
      <c r="R167" s="257">
        <f t="shared" si="91"/>
        <v>172.8</v>
      </c>
      <c r="S167" s="257">
        <f t="shared" si="92"/>
        <v>172.8</v>
      </c>
      <c r="T167" s="258" t="s">
        <v>66</v>
      </c>
      <c r="U167" s="257">
        <f t="shared" si="93"/>
        <v>180</v>
      </c>
      <c r="V167" s="235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  <c r="AG167" s="166"/>
      <c r="AH167" s="166"/>
      <c r="AI167" s="166"/>
      <c r="AJ167" s="166"/>
      <c r="AK167" s="166"/>
      <c r="AL167" s="166"/>
      <c r="AM167" s="166"/>
      <c r="AN167" s="166"/>
      <c r="AO167" s="166"/>
      <c r="AP167" s="166"/>
      <c r="AQ167" s="166"/>
      <c r="AR167" s="166"/>
    </row>
    <row r="168" customHeight="1" spans="1:44">
      <c r="A168" s="166"/>
      <c r="B168" s="235">
        <v>2470</v>
      </c>
      <c r="C168" s="235" t="s">
        <v>16</v>
      </c>
      <c r="D168" s="235" t="s">
        <v>0</v>
      </c>
      <c r="E168" s="235">
        <v>2</v>
      </c>
      <c r="F168" s="235" t="s">
        <v>1</v>
      </c>
      <c r="G168" s="236">
        <v>45871</v>
      </c>
      <c r="H168" s="235" t="s">
        <v>76</v>
      </c>
      <c r="I168" s="235" t="s">
        <v>116</v>
      </c>
      <c r="J168" s="235">
        <v>1123</v>
      </c>
      <c r="K168" s="256">
        <v>360</v>
      </c>
      <c r="L168" s="256">
        <v>0</v>
      </c>
      <c r="M168" s="256">
        <f t="shared" si="90"/>
        <v>360</v>
      </c>
      <c r="N168" s="256">
        <f>M168*C2</f>
        <v>14.4</v>
      </c>
      <c r="O168" s="257">
        <f>M168*2.95%</f>
        <v>10.62</v>
      </c>
      <c r="P168" s="258" t="s">
        <v>7</v>
      </c>
      <c r="Q168" s="258" t="s">
        <v>79</v>
      </c>
      <c r="R168" s="257">
        <f t="shared" si="91"/>
        <v>334.98</v>
      </c>
      <c r="S168" s="257">
        <f t="shared" si="92"/>
        <v>167.49</v>
      </c>
      <c r="T168" s="258" t="s">
        <v>66</v>
      </c>
      <c r="U168" s="257">
        <f t="shared" si="93"/>
        <v>349.38</v>
      </c>
      <c r="V168" s="235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  <c r="AG168" s="166"/>
      <c r="AH168" s="166"/>
      <c r="AI168" s="166"/>
      <c r="AJ168" s="166"/>
      <c r="AK168" s="166"/>
      <c r="AL168" s="166"/>
      <c r="AM168" s="166"/>
      <c r="AN168" s="166"/>
      <c r="AO168" s="166"/>
      <c r="AP168" s="166"/>
      <c r="AQ168" s="166"/>
      <c r="AR168" s="166"/>
    </row>
    <row r="169" customHeight="1" spans="1:44">
      <c r="A169" s="166"/>
      <c r="B169" s="235">
        <v>2946</v>
      </c>
      <c r="C169" s="235" t="s">
        <v>91</v>
      </c>
      <c r="D169" s="235" t="s">
        <v>0</v>
      </c>
      <c r="E169" s="235">
        <v>1</v>
      </c>
      <c r="F169" s="235" t="s">
        <v>1</v>
      </c>
      <c r="G169" s="236">
        <v>45871</v>
      </c>
      <c r="H169" s="235" t="s">
        <v>76</v>
      </c>
      <c r="I169" s="235" t="s">
        <v>116</v>
      </c>
      <c r="J169" s="235">
        <v>1123</v>
      </c>
      <c r="K169" s="256">
        <v>100</v>
      </c>
      <c r="L169" s="256">
        <v>80</v>
      </c>
      <c r="M169" s="256">
        <f t="shared" si="90"/>
        <v>20</v>
      </c>
      <c r="N169" s="256">
        <f>M169*C2</f>
        <v>0.8</v>
      </c>
      <c r="O169" s="257">
        <v>0.6</v>
      </c>
      <c r="P169" s="258" t="s">
        <v>7</v>
      </c>
      <c r="Q169" s="258" t="s">
        <v>79</v>
      </c>
      <c r="R169" s="257">
        <f t="shared" si="91"/>
        <v>18.6</v>
      </c>
      <c r="S169" s="257">
        <f t="shared" si="92"/>
        <v>18.6</v>
      </c>
      <c r="T169" s="258" t="s">
        <v>66</v>
      </c>
      <c r="U169" s="257">
        <f t="shared" si="93"/>
        <v>19.4</v>
      </c>
      <c r="V169" s="235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6"/>
      <c r="AH169" s="166"/>
      <c r="AI169" s="166"/>
      <c r="AJ169" s="166"/>
      <c r="AK169" s="166"/>
      <c r="AL169" s="166"/>
      <c r="AM169" s="166"/>
      <c r="AN169" s="166"/>
      <c r="AO169" s="166"/>
      <c r="AP169" s="166"/>
      <c r="AQ169" s="166"/>
      <c r="AR169" s="166"/>
    </row>
    <row r="170" customHeight="1" spans="1:44">
      <c r="A170" s="166"/>
      <c r="B170" s="235">
        <v>2470</v>
      </c>
      <c r="C170" s="235" t="s">
        <v>16</v>
      </c>
      <c r="D170" s="235" t="s">
        <v>0</v>
      </c>
      <c r="E170" s="235">
        <v>1</v>
      </c>
      <c r="F170" s="235" t="s">
        <v>1</v>
      </c>
      <c r="G170" s="236">
        <v>45871</v>
      </c>
      <c r="H170" s="235" t="s">
        <v>76</v>
      </c>
      <c r="I170" s="235" t="s">
        <v>117</v>
      </c>
      <c r="J170" s="235">
        <v>1124</v>
      </c>
      <c r="K170" s="256">
        <v>180</v>
      </c>
      <c r="L170" s="256">
        <v>36</v>
      </c>
      <c r="M170" s="256">
        <f t="shared" si="90"/>
        <v>144</v>
      </c>
      <c r="N170" s="256">
        <f>M170*C2</f>
        <v>5.76</v>
      </c>
      <c r="O170" s="257">
        <v>0</v>
      </c>
      <c r="P170" s="258" t="s">
        <v>5</v>
      </c>
      <c r="Q170" s="258" t="s">
        <v>6</v>
      </c>
      <c r="R170" s="257">
        <f t="shared" si="91"/>
        <v>138.24</v>
      </c>
      <c r="S170" s="257">
        <f t="shared" si="92"/>
        <v>138.24</v>
      </c>
      <c r="T170" s="255" t="s">
        <v>66</v>
      </c>
      <c r="U170" s="254">
        <f t="shared" si="93"/>
        <v>144</v>
      </c>
      <c r="V170" s="235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  <c r="AH170" s="166"/>
      <c r="AI170" s="166"/>
      <c r="AJ170" s="166"/>
      <c r="AK170" s="166"/>
      <c r="AL170" s="166"/>
      <c r="AM170" s="166"/>
      <c r="AN170" s="166"/>
      <c r="AO170" s="166"/>
      <c r="AP170" s="166"/>
      <c r="AQ170" s="166"/>
      <c r="AR170" s="166"/>
    </row>
    <row r="171" customHeight="1" spans="1:44">
      <c r="A171" s="166"/>
      <c r="B171" s="233">
        <v>3049</v>
      </c>
      <c r="C171" s="233" t="s">
        <v>99</v>
      </c>
      <c r="D171" s="233" t="s">
        <v>0</v>
      </c>
      <c r="E171" s="233">
        <v>1</v>
      </c>
      <c r="F171" s="233" t="s">
        <v>1</v>
      </c>
      <c r="G171" s="234">
        <v>45871</v>
      </c>
      <c r="H171" s="233" t="s">
        <v>76</v>
      </c>
      <c r="I171" s="233" t="s">
        <v>54</v>
      </c>
      <c r="J171" s="233">
        <v>1125</v>
      </c>
      <c r="K171" s="253">
        <v>180</v>
      </c>
      <c r="L171" s="253">
        <v>0</v>
      </c>
      <c r="M171" s="253">
        <f t="shared" si="90"/>
        <v>180</v>
      </c>
      <c r="N171" s="253">
        <f>M171*C2</f>
        <v>7.2</v>
      </c>
      <c r="O171" s="254">
        <f>M171*3.78%</f>
        <v>6.804</v>
      </c>
      <c r="P171" s="255" t="s">
        <v>10</v>
      </c>
      <c r="Q171" s="255" t="s">
        <v>55</v>
      </c>
      <c r="R171" s="254">
        <f t="shared" si="91"/>
        <v>165.996</v>
      </c>
      <c r="S171" s="284">
        <f t="shared" si="92"/>
        <v>165.996</v>
      </c>
      <c r="T171" s="255" t="s">
        <v>70</v>
      </c>
      <c r="U171" s="254">
        <f>M171/2-O171/2</f>
        <v>86.598</v>
      </c>
      <c r="V171" s="286"/>
      <c r="W171" s="166"/>
      <c r="X171" s="166"/>
      <c r="Y171" s="166"/>
      <c r="Z171" s="166"/>
      <c r="AA171" s="166"/>
      <c r="AB171" s="166"/>
      <c r="AC171" s="166"/>
      <c r="AD171" s="166"/>
      <c r="AE171" s="166"/>
      <c r="AF171" s="166"/>
      <c r="AG171" s="166"/>
      <c r="AH171" s="166"/>
      <c r="AI171" s="166"/>
      <c r="AJ171" s="166"/>
      <c r="AK171" s="166"/>
      <c r="AL171" s="166"/>
      <c r="AM171" s="166"/>
      <c r="AN171" s="166"/>
      <c r="AO171" s="166"/>
      <c r="AP171" s="166"/>
      <c r="AQ171" s="166"/>
      <c r="AR171" s="166"/>
    </row>
    <row r="172" customHeight="1" spans="1:44">
      <c r="A172" s="16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200"/>
      <c r="T172" s="287" t="s">
        <v>71</v>
      </c>
      <c r="U172" s="289">
        <f>U171</f>
        <v>86.598</v>
      </c>
      <c r="V172" s="201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  <c r="AH172" s="166"/>
      <c r="AI172" s="166"/>
      <c r="AJ172" s="166"/>
      <c r="AK172" s="166"/>
      <c r="AL172" s="166"/>
      <c r="AM172" s="166"/>
      <c r="AN172" s="166"/>
      <c r="AO172" s="166"/>
      <c r="AP172" s="166"/>
      <c r="AQ172" s="166"/>
      <c r="AR172" s="166"/>
    </row>
    <row r="173" customHeight="1" spans="1:44">
      <c r="A173" s="166"/>
      <c r="B173" s="233">
        <v>2953</v>
      </c>
      <c r="C173" s="233" t="s">
        <v>118</v>
      </c>
      <c r="D173" s="233" t="s">
        <v>0</v>
      </c>
      <c r="E173" s="233">
        <v>1</v>
      </c>
      <c r="F173" s="233" t="s">
        <v>1</v>
      </c>
      <c r="G173" s="234">
        <v>45871</v>
      </c>
      <c r="H173" s="233" t="s">
        <v>76</v>
      </c>
      <c r="I173" s="233" t="s">
        <v>54</v>
      </c>
      <c r="J173" s="233">
        <v>1126</v>
      </c>
      <c r="K173" s="253">
        <v>150</v>
      </c>
      <c r="L173" s="253">
        <v>0</v>
      </c>
      <c r="M173" s="253">
        <f>K173-L173</f>
        <v>150</v>
      </c>
      <c r="N173" s="253">
        <f>M173*C2</f>
        <v>6</v>
      </c>
      <c r="O173" s="254">
        <f>M173*3.78%</f>
        <v>5.67</v>
      </c>
      <c r="P173" s="255" t="s">
        <v>10</v>
      </c>
      <c r="Q173" s="255" t="s">
        <v>62</v>
      </c>
      <c r="R173" s="254">
        <f>M173-N173-O173</f>
        <v>138.33</v>
      </c>
      <c r="S173" s="284">
        <f>R173/E173</f>
        <v>138.33</v>
      </c>
      <c r="T173" s="255" t="s">
        <v>70</v>
      </c>
      <c r="U173" s="254">
        <f>M173/2-O173/2</f>
        <v>72.165</v>
      </c>
      <c r="V173" s="286"/>
      <c r="W173" s="166"/>
      <c r="X173" s="166"/>
      <c r="Y173" s="166"/>
      <c r="Z173" s="166"/>
      <c r="AA173" s="166"/>
      <c r="AB173" s="166"/>
      <c r="AC173" s="166"/>
      <c r="AD173" s="166"/>
      <c r="AE173" s="166"/>
      <c r="AF173" s="166"/>
      <c r="AG173" s="166"/>
      <c r="AH173" s="166"/>
      <c r="AI173" s="166"/>
      <c r="AJ173" s="166"/>
      <c r="AK173" s="166"/>
      <c r="AL173" s="166"/>
      <c r="AM173" s="166"/>
      <c r="AN173" s="166"/>
      <c r="AO173" s="166"/>
      <c r="AP173" s="166"/>
      <c r="AQ173" s="166"/>
      <c r="AR173" s="166"/>
    </row>
    <row r="174" customHeight="1" spans="1:44">
      <c r="A174" s="16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200"/>
      <c r="T174" s="287" t="s">
        <v>71</v>
      </c>
      <c r="U174" s="289">
        <f>U173</f>
        <v>72.165</v>
      </c>
      <c r="V174" s="201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  <c r="AG174" s="166"/>
      <c r="AH174" s="166"/>
      <c r="AI174" s="166"/>
      <c r="AJ174" s="166"/>
      <c r="AK174" s="166"/>
      <c r="AL174" s="166"/>
      <c r="AM174" s="166"/>
      <c r="AN174" s="166"/>
      <c r="AO174" s="166"/>
      <c r="AP174" s="166"/>
      <c r="AQ174" s="166"/>
      <c r="AR174" s="166"/>
    </row>
    <row r="175" customHeight="1" spans="1:44">
      <c r="A175" s="166"/>
      <c r="B175" s="233">
        <v>2550</v>
      </c>
      <c r="C175" s="233" t="s">
        <v>58</v>
      </c>
      <c r="D175" s="233" t="s">
        <v>0</v>
      </c>
      <c r="E175" s="233">
        <v>1</v>
      </c>
      <c r="F175" s="233" t="s">
        <v>1</v>
      </c>
      <c r="G175" s="234">
        <v>45871</v>
      </c>
      <c r="H175" s="233" t="s">
        <v>76</v>
      </c>
      <c r="I175" s="233" t="s">
        <v>54</v>
      </c>
      <c r="J175" s="233">
        <v>1126</v>
      </c>
      <c r="K175" s="253">
        <v>60</v>
      </c>
      <c r="L175" s="253">
        <v>0</v>
      </c>
      <c r="M175" s="253">
        <f>K175-L175</f>
        <v>60</v>
      </c>
      <c r="N175" s="253">
        <f>M175*C2</f>
        <v>2.4</v>
      </c>
      <c r="O175" s="254">
        <f>M175*3.78%</f>
        <v>2.268</v>
      </c>
      <c r="P175" s="255" t="s">
        <v>10</v>
      </c>
      <c r="Q175" s="255" t="s">
        <v>62</v>
      </c>
      <c r="R175" s="254">
        <f>M175-N175-O175</f>
        <v>55.332</v>
      </c>
      <c r="S175" s="284">
        <f>R175/E175</f>
        <v>55.332</v>
      </c>
      <c r="T175" s="255" t="s">
        <v>70</v>
      </c>
      <c r="U175" s="254">
        <f>M175/2-O175/2</f>
        <v>28.866</v>
      </c>
      <c r="V175" s="286"/>
      <c r="W175" s="166"/>
      <c r="X175" s="166"/>
      <c r="Y175" s="166"/>
      <c r="Z175" s="166"/>
      <c r="AA175" s="166"/>
      <c r="AB175" s="166"/>
      <c r="AC175" s="166"/>
      <c r="AD175" s="166"/>
      <c r="AE175" s="166"/>
      <c r="AF175" s="166"/>
      <c r="AG175" s="166"/>
      <c r="AH175" s="166"/>
      <c r="AI175" s="166"/>
      <c r="AJ175" s="166"/>
      <c r="AK175" s="166"/>
      <c r="AL175" s="166"/>
      <c r="AM175" s="166"/>
      <c r="AN175" s="166"/>
      <c r="AO175" s="166"/>
      <c r="AP175" s="166"/>
      <c r="AQ175" s="166"/>
      <c r="AR175" s="166"/>
    </row>
    <row r="176" customHeight="1" spans="1:44">
      <c r="A176" s="16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200"/>
      <c r="T176" s="287" t="s">
        <v>71</v>
      </c>
      <c r="U176" s="289">
        <f>U175</f>
        <v>28.866</v>
      </c>
      <c r="V176" s="201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  <c r="AG176" s="166"/>
      <c r="AH176" s="166"/>
      <c r="AI176" s="166"/>
      <c r="AJ176" s="166"/>
      <c r="AK176" s="166"/>
      <c r="AL176" s="166"/>
      <c r="AM176" s="166"/>
      <c r="AN176" s="166"/>
      <c r="AO176" s="166"/>
      <c r="AP176" s="166"/>
      <c r="AQ176" s="166"/>
      <c r="AR176" s="166"/>
    </row>
    <row r="177" customHeight="1" spans="1:44">
      <c r="A177" s="166"/>
      <c r="B177" s="239">
        <v>2550</v>
      </c>
      <c r="C177" s="239" t="s">
        <v>58</v>
      </c>
      <c r="D177" s="239" t="s">
        <v>0</v>
      </c>
      <c r="E177" s="239">
        <v>2</v>
      </c>
      <c r="F177" s="239" t="s">
        <v>1</v>
      </c>
      <c r="G177" s="240">
        <v>45872</v>
      </c>
      <c r="H177" s="239" t="s">
        <v>92</v>
      </c>
      <c r="I177" s="239" t="s">
        <v>54</v>
      </c>
      <c r="J177" s="239">
        <v>1127</v>
      </c>
      <c r="K177" s="262">
        <v>120</v>
      </c>
      <c r="L177" s="262">
        <v>0</v>
      </c>
      <c r="M177" s="262">
        <f t="shared" ref="M177:M184" si="94">K177-L177</f>
        <v>120</v>
      </c>
      <c r="N177" s="262">
        <v>0</v>
      </c>
      <c r="O177" s="263">
        <v>0</v>
      </c>
      <c r="P177" s="264" t="s">
        <v>6</v>
      </c>
      <c r="Q177" s="264" t="s">
        <v>6</v>
      </c>
      <c r="R177" s="263">
        <v>0</v>
      </c>
      <c r="S177" s="263">
        <f>R177/E177</f>
        <v>0</v>
      </c>
      <c r="T177" s="264" t="s">
        <v>6</v>
      </c>
      <c r="U177" s="263">
        <v>0</v>
      </c>
      <c r="V177" s="290" t="s">
        <v>119</v>
      </c>
      <c r="W177" s="166"/>
      <c r="X177" s="166"/>
      <c r="Y177" s="166"/>
      <c r="Z177" s="166"/>
      <c r="AA177" s="166"/>
      <c r="AB177" s="166"/>
      <c r="AC177" s="166"/>
      <c r="AD177" s="166"/>
      <c r="AE177" s="166"/>
      <c r="AF177" s="166"/>
      <c r="AG177" s="166"/>
      <c r="AH177" s="166"/>
      <c r="AI177" s="166"/>
      <c r="AJ177" s="166"/>
      <c r="AK177" s="166"/>
      <c r="AL177" s="166"/>
      <c r="AM177" s="166"/>
      <c r="AN177" s="166"/>
      <c r="AO177" s="166"/>
      <c r="AP177" s="166"/>
      <c r="AQ177" s="166"/>
      <c r="AR177" s="166"/>
    </row>
    <row r="178" customHeight="1" spans="1:44">
      <c r="A178" s="166"/>
      <c r="B178" s="239">
        <v>2470</v>
      </c>
      <c r="C178" s="239" t="s">
        <v>16</v>
      </c>
      <c r="D178" s="239" t="s">
        <v>0</v>
      </c>
      <c r="E178" s="239">
        <v>1</v>
      </c>
      <c r="F178" s="239" t="s">
        <v>1</v>
      </c>
      <c r="G178" s="240">
        <v>45872</v>
      </c>
      <c r="H178" s="239" t="s">
        <v>92</v>
      </c>
      <c r="I178" s="239" t="s">
        <v>54</v>
      </c>
      <c r="J178" s="239">
        <v>1127</v>
      </c>
      <c r="K178" s="262">
        <v>100</v>
      </c>
      <c r="L178" s="262">
        <v>0</v>
      </c>
      <c r="M178" s="262">
        <f t="shared" si="94"/>
        <v>100</v>
      </c>
      <c r="N178" s="262">
        <v>0</v>
      </c>
      <c r="O178" s="263">
        <v>0</v>
      </c>
      <c r="P178" s="16"/>
      <c r="Q178" s="16"/>
      <c r="R178" s="263">
        <v>0</v>
      </c>
      <c r="S178" s="263">
        <v>0</v>
      </c>
      <c r="T178" s="16"/>
      <c r="U178" s="263">
        <v>0</v>
      </c>
      <c r="V178" s="1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  <c r="AG178" s="166"/>
      <c r="AH178" s="166"/>
      <c r="AI178" s="166"/>
      <c r="AJ178" s="166"/>
      <c r="AK178" s="166"/>
      <c r="AL178" s="166"/>
      <c r="AM178" s="166"/>
      <c r="AN178" s="166"/>
      <c r="AO178" s="166"/>
      <c r="AP178" s="166"/>
      <c r="AQ178" s="166"/>
      <c r="AR178" s="166"/>
    </row>
    <row r="179" customHeight="1" spans="1:44">
      <c r="A179" s="166"/>
      <c r="B179" s="239">
        <v>2470</v>
      </c>
      <c r="C179" s="239" t="s">
        <v>16</v>
      </c>
      <c r="D179" s="239" t="s">
        <v>0</v>
      </c>
      <c r="E179" s="239">
        <v>1</v>
      </c>
      <c r="F179" s="239" t="s">
        <v>1</v>
      </c>
      <c r="G179" s="240">
        <v>45872</v>
      </c>
      <c r="H179" s="239" t="s">
        <v>92</v>
      </c>
      <c r="I179" s="239" t="s">
        <v>54</v>
      </c>
      <c r="J179" s="239">
        <v>1128</v>
      </c>
      <c r="K179" s="262">
        <v>100</v>
      </c>
      <c r="L179" s="262">
        <v>0</v>
      </c>
      <c r="M179" s="262">
        <f t="shared" si="94"/>
        <v>100</v>
      </c>
      <c r="N179" s="262">
        <v>0</v>
      </c>
      <c r="O179" s="263">
        <v>0</v>
      </c>
      <c r="P179" s="265" t="s">
        <v>6</v>
      </c>
      <c r="Q179" s="265" t="s">
        <v>6</v>
      </c>
      <c r="R179" s="263">
        <v>0</v>
      </c>
      <c r="S179" s="263">
        <v>0</v>
      </c>
      <c r="T179" s="265" t="s">
        <v>6</v>
      </c>
      <c r="U179" s="263">
        <v>0</v>
      </c>
      <c r="V179" s="239" t="s">
        <v>120</v>
      </c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  <c r="AG179" s="166"/>
      <c r="AH179" s="166"/>
      <c r="AI179" s="166"/>
      <c r="AJ179" s="166"/>
      <c r="AK179" s="166"/>
      <c r="AL179" s="166"/>
      <c r="AM179" s="166"/>
      <c r="AN179" s="166"/>
      <c r="AO179" s="166"/>
      <c r="AP179" s="166"/>
      <c r="AQ179" s="166"/>
      <c r="AR179" s="166"/>
    </row>
    <row r="180" customHeight="1" spans="1:44">
      <c r="A180" s="166"/>
      <c r="B180" s="239">
        <v>2470</v>
      </c>
      <c r="C180" s="239" t="s">
        <v>16</v>
      </c>
      <c r="D180" s="239" t="s">
        <v>0</v>
      </c>
      <c r="E180" s="239">
        <v>1</v>
      </c>
      <c r="F180" s="239" t="s">
        <v>1</v>
      </c>
      <c r="G180" s="240">
        <v>45872</v>
      </c>
      <c r="H180" s="239" t="s">
        <v>92</v>
      </c>
      <c r="I180" s="239" t="s">
        <v>121</v>
      </c>
      <c r="J180" s="239">
        <v>1129</v>
      </c>
      <c r="K180" s="262">
        <v>144</v>
      </c>
      <c r="L180" s="262">
        <v>0</v>
      </c>
      <c r="M180" s="262">
        <f t="shared" si="94"/>
        <v>144</v>
      </c>
      <c r="N180" s="262">
        <v>0</v>
      </c>
      <c r="O180" s="263">
        <v>0</v>
      </c>
      <c r="P180" s="265" t="s">
        <v>6</v>
      </c>
      <c r="Q180" s="265" t="s">
        <v>6</v>
      </c>
      <c r="R180" s="263">
        <v>0</v>
      </c>
      <c r="S180" s="263">
        <v>0</v>
      </c>
      <c r="T180" s="265" t="s">
        <v>6</v>
      </c>
      <c r="U180" s="263">
        <v>0</v>
      </c>
      <c r="V180" s="239" t="s">
        <v>122</v>
      </c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6"/>
      <c r="AH180" s="166"/>
      <c r="AI180" s="166"/>
      <c r="AJ180" s="166"/>
      <c r="AK180" s="166"/>
      <c r="AL180" s="166"/>
      <c r="AM180" s="166"/>
      <c r="AN180" s="166"/>
      <c r="AO180" s="166"/>
      <c r="AP180" s="166"/>
      <c r="AQ180" s="166"/>
      <c r="AR180" s="166"/>
    </row>
    <row r="181" customHeight="1" spans="1:44">
      <c r="A181" s="166"/>
      <c r="B181" s="239">
        <v>2550</v>
      </c>
      <c r="C181" s="239" t="s">
        <v>58</v>
      </c>
      <c r="D181" s="239" t="s">
        <v>0</v>
      </c>
      <c r="E181" s="239">
        <v>2</v>
      </c>
      <c r="F181" s="239" t="s">
        <v>1</v>
      </c>
      <c r="G181" s="240">
        <v>45872</v>
      </c>
      <c r="H181" s="239" t="s">
        <v>92</v>
      </c>
      <c r="I181" s="239" t="s">
        <v>123</v>
      </c>
      <c r="J181" s="239">
        <v>1130</v>
      </c>
      <c r="K181" s="262">
        <v>96</v>
      </c>
      <c r="L181" s="262">
        <v>0</v>
      </c>
      <c r="M181" s="262">
        <f t="shared" si="94"/>
        <v>96</v>
      </c>
      <c r="N181" s="262">
        <v>0</v>
      </c>
      <c r="O181" s="263">
        <v>0</v>
      </c>
      <c r="P181" s="265" t="s">
        <v>6</v>
      </c>
      <c r="Q181" s="265" t="s">
        <v>6</v>
      </c>
      <c r="R181" s="263">
        <f t="shared" ref="R181:R184" si="95">M181-N181-O181</f>
        <v>96</v>
      </c>
      <c r="S181" s="263">
        <f t="shared" ref="S181:S184" si="96">R181/E181</f>
        <v>48</v>
      </c>
      <c r="T181" s="265" t="s">
        <v>6</v>
      </c>
      <c r="U181" s="263">
        <f t="shared" ref="U181:U183" si="97">M181-O181</f>
        <v>96</v>
      </c>
      <c r="V181" s="290" t="s">
        <v>124</v>
      </c>
      <c r="W181" s="166"/>
      <c r="X181" s="166"/>
      <c r="Y181" s="166"/>
      <c r="Z181" s="166"/>
      <c r="AA181" s="166"/>
      <c r="AB181" s="166"/>
      <c r="AC181" s="166"/>
      <c r="AD181" s="166"/>
      <c r="AE181" s="166"/>
      <c r="AF181" s="166"/>
      <c r="AG181" s="166"/>
      <c r="AH181" s="166"/>
      <c r="AI181" s="166"/>
      <c r="AJ181" s="166"/>
      <c r="AK181" s="166"/>
      <c r="AL181" s="166"/>
      <c r="AM181" s="166"/>
      <c r="AN181" s="166"/>
      <c r="AO181" s="166"/>
      <c r="AP181" s="166"/>
      <c r="AQ181" s="166"/>
      <c r="AR181" s="166"/>
    </row>
    <row r="182" customHeight="1" spans="1:44">
      <c r="A182" s="166"/>
      <c r="B182" s="239">
        <v>3049</v>
      </c>
      <c r="C182" s="239" t="s">
        <v>99</v>
      </c>
      <c r="D182" s="239" t="s">
        <v>0</v>
      </c>
      <c r="E182" s="239">
        <v>1</v>
      </c>
      <c r="F182" s="239" t="s">
        <v>1</v>
      </c>
      <c r="G182" s="240">
        <v>45872</v>
      </c>
      <c r="H182" s="239" t="s">
        <v>92</v>
      </c>
      <c r="I182" s="239" t="s">
        <v>123</v>
      </c>
      <c r="J182" s="239">
        <v>1130</v>
      </c>
      <c r="K182" s="262">
        <v>144</v>
      </c>
      <c r="L182" s="262">
        <v>0</v>
      </c>
      <c r="M182" s="262">
        <f t="shared" si="94"/>
        <v>144</v>
      </c>
      <c r="N182" s="262">
        <v>0</v>
      </c>
      <c r="O182" s="263">
        <v>0</v>
      </c>
      <c r="P182" s="265" t="s">
        <v>6</v>
      </c>
      <c r="Q182" s="265" t="s">
        <v>6</v>
      </c>
      <c r="R182" s="263">
        <f t="shared" si="95"/>
        <v>144</v>
      </c>
      <c r="S182" s="263">
        <f t="shared" si="96"/>
        <v>144</v>
      </c>
      <c r="T182" s="265" t="s">
        <v>6</v>
      </c>
      <c r="U182" s="263">
        <f t="shared" si="97"/>
        <v>144</v>
      </c>
      <c r="V182" s="1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  <c r="AG182" s="166"/>
      <c r="AH182" s="166"/>
      <c r="AI182" s="166"/>
      <c r="AJ182" s="166"/>
      <c r="AK182" s="166"/>
      <c r="AL182" s="166"/>
      <c r="AM182" s="166"/>
      <c r="AN182" s="166"/>
      <c r="AO182" s="166"/>
      <c r="AP182" s="166"/>
      <c r="AQ182" s="166"/>
      <c r="AR182" s="166"/>
    </row>
    <row r="183" customHeight="1" spans="1:44">
      <c r="A183" s="166"/>
      <c r="B183" s="235">
        <v>2470</v>
      </c>
      <c r="C183" s="235" t="s">
        <v>16</v>
      </c>
      <c r="D183" s="235" t="s">
        <v>0</v>
      </c>
      <c r="E183" s="235">
        <v>1</v>
      </c>
      <c r="F183" s="235" t="s">
        <v>1</v>
      </c>
      <c r="G183" s="236">
        <v>45873</v>
      </c>
      <c r="H183" s="235" t="s">
        <v>77</v>
      </c>
      <c r="I183" s="235" t="s">
        <v>125</v>
      </c>
      <c r="J183" s="235">
        <v>1132</v>
      </c>
      <c r="K183" s="256">
        <v>180</v>
      </c>
      <c r="L183" s="256">
        <v>36</v>
      </c>
      <c r="M183" s="256">
        <f t="shared" si="94"/>
        <v>144</v>
      </c>
      <c r="N183" s="256">
        <f>M183*C2</f>
        <v>5.76</v>
      </c>
      <c r="O183" s="257">
        <f>M183*3.29%</f>
        <v>4.7376</v>
      </c>
      <c r="P183" s="258" t="s">
        <v>9</v>
      </c>
      <c r="Q183" s="258" t="s">
        <v>62</v>
      </c>
      <c r="R183" s="257">
        <f t="shared" si="95"/>
        <v>133.5024</v>
      </c>
      <c r="S183" s="257">
        <f t="shared" si="96"/>
        <v>133.5024</v>
      </c>
      <c r="T183" s="255" t="s">
        <v>70</v>
      </c>
      <c r="U183" s="254">
        <f t="shared" si="97"/>
        <v>139.2624</v>
      </c>
      <c r="V183" s="235"/>
      <c r="W183" s="166"/>
      <c r="X183" s="166"/>
      <c r="Y183" s="166"/>
      <c r="Z183" s="166"/>
      <c r="AA183" s="166"/>
      <c r="AB183" s="166"/>
      <c r="AC183" s="166"/>
      <c r="AD183" s="166"/>
      <c r="AE183" s="166"/>
      <c r="AF183" s="166"/>
      <c r="AG183" s="166"/>
      <c r="AH183" s="166"/>
      <c r="AI183" s="166"/>
      <c r="AJ183" s="166"/>
      <c r="AK183" s="166"/>
      <c r="AL183" s="166"/>
      <c r="AM183" s="166"/>
      <c r="AN183" s="166"/>
      <c r="AO183" s="166"/>
      <c r="AP183" s="166"/>
      <c r="AQ183" s="166"/>
      <c r="AR183" s="166"/>
    </row>
    <row r="184" customHeight="1" spans="1:44">
      <c r="A184" s="166"/>
      <c r="B184" s="233">
        <v>2470</v>
      </c>
      <c r="C184" s="233" t="s">
        <v>16</v>
      </c>
      <c r="D184" s="233" t="s">
        <v>0</v>
      </c>
      <c r="E184" s="233">
        <v>3</v>
      </c>
      <c r="F184" s="233" t="s">
        <v>1</v>
      </c>
      <c r="G184" s="234">
        <v>45874</v>
      </c>
      <c r="H184" s="233" t="s">
        <v>64</v>
      </c>
      <c r="I184" s="233" t="s">
        <v>126</v>
      </c>
      <c r="J184" s="233">
        <v>1133</v>
      </c>
      <c r="K184" s="253">
        <v>540</v>
      </c>
      <c r="L184" s="253">
        <v>108</v>
      </c>
      <c r="M184" s="253">
        <f t="shared" si="94"/>
        <v>432</v>
      </c>
      <c r="N184" s="253">
        <f>M184*C2</f>
        <v>17.28</v>
      </c>
      <c r="O184" s="254">
        <f>M184*3.78%</f>
        <v>16.3296</v>
      </c>
      <c r="P184" s="255" t="s">
        <v>87</v>
      </c>
      <c r="Q184" s="255" t="s">
        <v>62</v>
      </c>
      <c r="R184" s="254">
        <f t="shared" si="95"/>
        <v>398.3904</v>
      </c>
      <c r="S184" s="284">
        <f t="shared" si="96"/>
        <v>132.7968</v>
      </c>
      <c r="T184" s="255" t="s">
        <v>70</v>
      </c>
      <c r="U184" s="254">
        <f>M184/3-O184/3</f>
        <v>138.5568</v>
      </c>
      <c r="V184" s="28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  <c r="AH184" s="166"/>
      <c r="AI184" s="166"/>
      <c r="AJ184" s="166"/>
      <c r="AK184" s="166"/>
      <c r="AL184" s="166"/>
      <c r="AM184" s="166"/>
      <c r="AN184" s="166"/>
      <c r="AO184" s="166"/>
      <c r="AP184" s="166"/>
      <c r="AQ184" s="166"/>
      <c r="AR184" s="166"/>
    </row>
    <row r="185" customHeight="1" spans="1:44">
      <c r="A185" s="166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98"/>
      <c r="T185" s="291" t="s">
        <v>71</v>
      </c>
      <c r="U185" s="292">
        <f t="shared" ref="U185:U186" si="98">U184</f>
        <v>138.5568</v>
      </c>
      <c r="V185" s="199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  <c r="AH185" s="166"/>
      <c r="AI185" s="166"/>
      <c r="AJ185" s="166"/>
      <c r="AK185" s="166"/>
      <c r="AL185" s="166"/>
      <c r="AM185" s="166"/>
      <c r="AN185" s="166"/>
      <c r="AO185" s="166"/>
      <c r="AP185" s="166"/>
      <c r="AQ185" s="166"/>
      <c r="AR185" s="166"/>
    </row>
    <row r="186" customHeight="1" spans="1:44">
      <c r="A186" s="16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200"/>
      <c r="T186" s="287" t="s">
        <v>72</v>
      </c>
      <c r="U186" s="289">
        <f t="shared" si="98"/>
        <v>138.5568</v>
      </c>
      <c r="V186" s="201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  <c r="AH186" s="166"/>
      <c r="AI186" s="166"/>
      <c r="AJ186" s="166"/>
      <c r="AK186" s="166"/>
      <c r="AL186" s="166"/>
      <c r="AM186" s="166"/>
      <c r="AN186" s="166"/>
      <c r="AO186" s="166"/>
      <c r="AP186" s="166"/>
      <c r="AQ186" s="166"/>
      <c r="AR186" s="166"/>
    </row>
    <row r="187" customHeight="1" spans="1:44">
      <c r="A187" s="166"/>
      <c r="B187" s="233">
        <v>2470</v>
      </c>
      <c r="C187" s="233" t="s">
        <v>16</v>
      </c>
      <c r="D187" s="233" t="s">
        <v>0</v>
      </c>
      <c r="E187" s="233">
        <v>2</v>
      </c>
      <c r="F187" s="233" t="s">
        <v>1</v>
      </c>
      <c r="G187" s="234">
        <v>45874</v>
      </c>
      <c r="H187" s="233" t="s">
        <v>64</v>
      </c>
      <c r="I187" s="233" t="s">
        <v>127</v>
      </c>
      <c r="J187" s="233">
        <v>1134</v>
      </c>
      <c r="K187" s="253">
        <v>360</v>
      </c>
      <c r="L187" s="253">
        <v>0</v>
      </c>
      <c r="M187" s="253">
        <f>K187-L187</f>
        <v>360</v>
      </c>
      <c r="N187" s="253">
        <f>M187*C2</f>
        <v>14.4</v>
      </c>
      <c r="O187" s="254">
        <f>6.8*2</f>
        <v>13.6</v>
      </c>
      <c r="P187" s="255" t="s">
        <v>10</v>
      </c>
      <c r="Q187" s="255" t="s">
        <v>55</v>
      </c>
      <c r="R187" s="254">
        <f>M187-N187-O187</f>
        <v>332</v>
      </c>
      <c r="S187" s="284">
        <f>R187/E187</f>
        <v>166</v>
      </c>
      <c r="T187" s="291" t="s">
        <v>70</v>
      </c>
      <c r="U187" s="292">
        <f>M187/2-O187/2</f>
        <v>173.2</v>
      </c>
      <c r="V187" s="286"/>
      <c r="W187" s="166"/>
      <c r="X187" s="166"/>
      <c r="Y187" s="166"/>
      <c r="Z187" s="166"/>
      <c r="AA187" s="166"/>
      <c r="AB187" s="166"/>
      <c r="AC187" s="166"/>
      <c r="AD187" s="166"/>
      <c r="AE187" s="166"/>
      <c r="AF187" s="166"/>
      <c r="AG187" s="166"/>
      <c r="AH187" s="166"/>
      <c r="AI187" s="166"/>
      <c r="AJ187" s="166"/>
      <c r="AK187" s="166"/>
      <c r="AL187" s="166"/>
      <c r="AM187" s="166"/>
      <c r="AN187" s="166"/>
      <c r="AO187" s="166"/>
      <c r="AP187" s="166"/>
      <c r="AQ187" s="166"/>
      <c r="AR187" s="166"/>
    </row>
    <row r="188" customHeight="1" spans="1:44">
      <c r="A188" s="16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200"/>
      <c r="T188" s="287" t="s">
        <v>71</v>
      </c>
      <c r="U188" s="289">
        <f>U187</f>
        <v>173.2</v>
      </c>
      <c r="V188" s="201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  <c r="AG188" s="166"/>
      <c r="AH188" s="166"/>
      <c r="AI188" s="166"/>
      <c r="AJ188" s="166"/>
      <c r="AK188" s="166"/>
      <c r="AL188" s="166"/>
      <c r="AM188" s="166"/>
      <c r="AN188" s="166"/>
      <c r="AO188" s="166"/>
      <c r="AP188" s="166"/>
      <c r="AQ188" s="166"/>
      <c r="AR188" s="166"/>
    </row>
    <row r="189" customHeight="1" spans="1:44">
      <c r="A189" s="166"/>
      <c r="B189" s="176">
        <v>3049</v>
      </c>
      <c r="C189" s="176" t="s">
        <v>99</v>
      </c>
      <c r="D189" s="176" t="s">
        <v>0</v>
      </c>
      <c r="E189" s="176">
        <v>1</v>
      </c>
      <c r="F189" s="176" t="s">
        <v>1</v>
      </c>
      <c r="G189" s="177">
        <v>45874</v>
      </c>
      <c r="H189" s="176" t="s">
        <v>64</v>
      </c>
      <c r="I189" s="176" t="s">
        <v>54</v>
      </c>
      <c r="J189" s="176">
        <v>1135</v>
      </c>
      <c r="K189" s="182">
        <v>180</v>
      </c>
      <c r="L189" s="182">
        <v>0</v>
      </c>
      <c r="M189" s="182">
        <f t="shared" ref="M189:M190" si="99">K189-L189</f>
        <v>180</v>
      </c>
      <c r="N189" s="182">
        <f>M189*C2</f>
        <v>7.2</v>
      </c>
      <c r="O189" s="183">
        <f>M189*1.65%</f>
        <v>2.97</v>
      </c>
      <c r="P189" s="212" t="s">
        <v>7</v>
      </c>
      <c r="Q189" s="212" t="s">
        <v>55</v>
      </c>
      <c r="R189" s="183">
        <f t="shared" ref="R189:R190" si="100">M189-N189-O189</f>
        <v>169.83</v>
      </c>
      <c r="S189" s="183">
        <f t="shared" ref="S189:S190" si="101">R189/E189</f>
        <v>169.83</v>
      </c>
      <c r="T189" s="213" t="s">
        <v>66</v>
      </c>
      <c r="U189" s="209">
        <f>M189-O189</f>
        <v>177.03</v>
      </c>
      <c r="V189" s="176" t="s">
        <v>128</v>
      </c>
      <c r="W189" s="166"/>
      <c r="X189" s="166"/>
      <c r="Y189" s="166"/>
      <c r="Z189" s="166"/>
      <c r="AA189" s="166"/>
      <c r="AB189" s="166"/>
      <c r="AC189" s="166"/>
      <c r="AD189" s="166"/>
      <c r="AE189" s="166"/>
      <c r="AF189" s="166"/>
      <c r="AG189" s="166"/>
      <c r="AH189" s="166"/>
      <c r="AI189" s="166"/>
      <c r="AJ189" s="166"/>
      <c r="AK189" s="166"/>
      <c r="AL189" s="166"/>
      <c r="AM189" s="166"/>
      <c r="AN189" s="166"/>
      <c r="AO189" s="166"/>
      <c r="AP189" s="166"/>
      <c r="AQ189" s="166"/>
      <c r="AR189" s="166"/>
    </row>
    <row r="190" customHeight="1" spans="1:44">
      <c r="A190" s="166"/>
      <c r="B190" s="206">
        <v>2470</v>
      </c>
      <c r="C190" s="206" t="s">
        <v>16</v>
      </c>
      <c r="D190" s="206" t="s">
        <v>0</v>
      </c>
      <c r="E190" s="206">
        <v>1</v>
      </c>
      <c r="F190" s="206" t="s">
        <v>1</v>
      </c>
      <c r="G190" s="207">
        <v>45874</v>
      </c>
      <c r="H190" s="206" t="s">
        <v>64</v>
      </c>
      <c r="I190" s="206" t="s">
        <v>54</v>
      </c>
      <c r="J190" s="206">
        <v>1136</v>
      </c>
      <c r="K190" s="208">
        <v>180</v>
      </c>
      <c r="L190" s="208">
        <v>0</v>
      </c>
      <c r="M190" s="208">
        <f t="shared" si="99"/>
        <v>180</v>
      </c>
      <c r="N190" s="208">
        <f>M190*C2</f>
        <v>7.2</v>
      </c>
      <c r="O190" s="209">
        <f>M190*2.9%</f>
        <v>5.22</v>
      </c>
      <c r="P190" s="213" t="s">
        <v>10</v>
      </c>
      <c r="Q190" s="213" t="s">
        <v>55</v>
      </c>
      <c r="R190" s="209">
        <f t="shared" si="100"/>
        <v>167.58</v>
      </c>
      <c r="S190" s="222">
        <f t="shared" si="101"/>
        <v>167.58</v>
      </c>
      <c r="T190" s="213" t="s">
        <v>70</v>
      </c>
      <c r="U190" s="274">
        <f>M190/2-O190/2</f>
        <v>87.39</v>
      </c>
      <c r="V190" s="223" t="s">
        <v>128</v>
      </c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  <c r="AG190" s="166"/>
      <c r="AH190" s="166"/>
      <c r="AI190" s="166"/>
      <c r="AJ190" s="166"/>
      <c r="AK190" s="166"/>
      <c r="AL190" s="166"/>
      <c r="AM190" s="166"/>
      <c r="AN190" s="166"/>
      <c r="AO190" s="166"/>
      <c r="AP190" s="166"/>
      <c r="AQ190" s="166"/>
      <c r="AR190" s="166"/>
    </row>
    <row r="191" customHeight="1" spans="1:44">
      <c r="A191" s="16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200"/>
      <c r="T191" s="266" t="s">
        <v>71</v>
      </c>
      <c r="U191" s="275">
        <f>U190</f>
        <v>87.39</v>
      </c>
      <c r="V191" s="201"/>
      <c r="W191" s="166"/>
      <c r="X191" s="166"/>
      <c r="Y191" s="166"/>
      <c r="Z191" s="166"/>
      <c r="AA191" s="166"/>
      <c r="AB191" s="166"/>
      <c r="AC191" s="166"/>
      <c r="AD191" s="166"/>
      <c r="AE191" s="166"/>
      <c r="AF191" s="166"/>
      <c r="AG191" s="166"/>
      <c r="AH191" s="166"/>
      <c r="AI191" s="166"/>
      <c r="AJ191" s="166"/>
      <c r="AK191" s="166"/>
      <c r="AL191" s="166"/>
      <c r="AM191" s="166"/>
      <c r="AN191" s="166"/>
      <c r="AO191" s="166"/>
      <c r="AP191" s="166"/>
      <c r="AQ191" s="166"/>
      <c r="AR191" s="166"/>
    </row>
    <row r="192" customHeight="1" spans="1:44">
      <c r="A192" s="166"/>
      <c r="B192" s="176">
        <v>2953</v>
      </c>
      <c r="C192" s="176" t="s">
        <v>118</v>
      </c>
      <c r="D192" s="176" t="s">
        <v>0</v>
      </c>
      <c r="E192" s="176">
        <v>1</v>
      </c>
      <c r="F192" s="176" t="s">
        <v>1</v>
      </c>
      <c r="G192" s="177">
        <v>45874</v>
      </c>
      <c r="H192" s="176" t="s">
        <v>64</v>
      </c>
      <c r="I192" s="176" t="s">
        <v>54</v>
      </c>
      <c r="J192" s="176">
        <v>1137</v>
      </c>
      <c r="K192" s="182">
        <v>150</v>
      </c>
      <c r="L192" s="182">
        <v>0</v>
      </c>
      <c r="M192" s="182">
        <f t="shared" ref="M192:M193" si="102">K192-L192</f>
        <v>150</v>
      </c>
      <c r="N192" s="182">
        <f>M192*C2</f>
        <v>6</v>
      </c>
      <c r="O192" s="183">
        <f>M192*2.05%</f>
        <v>3.075</v>
      </c>
      <c r="P192" s="212" t="s">
        <v>7</v>
      </c>
      <c r="Q192" s="212" t="s">
        <v>79</v>
      </c>
      <c r="R192" s="183">
        <f t="shared" ref="R192:R193" si="103">M192-N192-O192</f>
        <v>140.925</v>
      </c>
      <c r="S192" s="183">
        <f t="shared" ref="S192:S193" si="104">R192/E192</f>
        <v>140.925</v>
      </c>
      <c r="T192" s="213" t="s">
        <v>66</v>
      </c>
      <c r="U192" s="209">
        <f>M192-O192</f>
        <v>146.925</v>
      </c>
      <c r="V192" s="176" t="s">
        <v>128</v>
      </c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  <c r="AG192" s="166"/>
      <c r="AH192" s="166"/>
      <c r="AI192" s="166"/>
      <c r="AJ192" s="166"/>
      <c r="AK192" s="166"/>
      <c r="AL192" s="166"/>
      <c r="AM192" s="166"/>
      <c r="AN192" s="166"/>
      <c r="AO192" s="166"/>
      <c r="AP192" s="166"/>
      <c r="AQ192" s="166"/>
      <c r="AR192" s="166"/>
    </row>
    <row r="193" customHeight="1" spans="1:44">
      <c r="A193" s="166"/>
      <c r="B193" s="206">
        <v>2470</v>
      </c>
      <c r="C193" s="206" t="s">
        <v>16</v>
      </c>
      <c r="D193" s="206" t="s">
        <v>0</v>
      </c>
      <c r="E193" s="206">
        <v>1</v>
      </c>
      <c r="F193" s="206" t="s">
        <v>1</v>
      </c>
      <c r="G193" s="207">
        <v>45874</v>
      </c>
      <c r="H193" s="206" t="s">
        <v>64</v>
      </c>
      <c r="I193" s="206" t="s">
        <v>54</v>
      </c>
      <c r="J193" s="206">
        <v>1138</v>
      </c>
      <c r="K193" s="208">
        <v>180</v>
      </c>
      <c r="L193" s="208">
        <v>80</v>
      </c>
      <c r="M193" s="208">
        <f t="shared" si="102"/>
        <v>100</v>
      </c>
      <c r="N193" s="208">
        <f>M193*C2</f>
        <v>4</v>
      </c>
      <c r="O193" s="209">
        <v>2.9</v>
      </c>
      <c r="P193" s="213" t="s">
        <v>10</v>
      </c>
      <c r="Q193" s="213" t="s">
        <v>62</v>
      </c>
      <c r="R193" s="209">
        <f t="shared" si="103"/>
        <v>93.1</v>
      </c>
      <c r="S193" s="222">
        <f t="shared" si="104"/>
        <v>93.1</v>
      </c>
      <c r="T193" s="213" t="s">
        <v>70</v>
      </c>
      <c r="U193" s="274">
        <f>M193/2-O193/2</f>
        <v>48.55</v>
      </c>
      <c r="V193" s="223" t="s">
        <v>128</v>
      </c>
      <c r="W193" s="166"/>
      <c r="X193" s="166"/>
      <c r="Y193" s="166"/>
      <c r="Z193" s="166"/>
      <c r="AA193" s="166"/>
      <c r="AB193" s="166"/>
      <c r="AC193" s="166"/>
      <c r="AD193" s="166"/>
      <c r="AE193" s="166"/>
      <c r="AF193" s="166"/>
      <c r="AG193" s="166"/>
      <c r="AH193" s="166"/>
      <c r="AI193" s="166"/>
      <c r="AJ193" s="166"/>
      <c r="AK193" s="166"/>
      <c r="AL193" s="166"/>
      <c r="AM193" s="166"/>
      <c r="AN193" s="166"/>
      <c r="AO193" s="166"/>
      <c r="AP193" s="166"/>
      <c r="AQ193" s="166"/>
      <c r="AR193" s="166"/>
    </row>
    <row r="194" customHeight="1" spans="1:44">
      <c r="A194" s="16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200"/>
      <c r="T194" s="266" t="s">
        <v>71</v>
      </c>
      <c r="U194" s="275">
        <f>U193</f>
        <v>48.55</v>
      </c>
      <c r="V194" s="201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  <c r="AG194" s="166"/>
      <c r="AH194" s="166"/>
      <c r="AI194" s="166"/>
      <c r="AJ194" s="166"/>
      <c r="AK194" s="166"/>
      <c r="AL194" s="166"/>
      <c r="AM194" s="166"/>
      <c r="AN194" s="166"/>
      <c r="AO194" s="166"/>
      <c r="AP194" s="166"/>
      <c r="AQ194" s="166"/>
      <c r="AR194" s="166"/>
    </row>
    <row r="195" customHeight="1" spans="1:44">
      <c r="A195" s="166"/>
      <c r="B195" s="176">
        <v>2953</v>
      </c>
      <c r="C195" s="176" t="s">
        <v>118</v>
      </c>
      <c r="D195" s="176" t="s">
        <v>0</v>
      </c>
      <c r="E195" s="176">
        <v>1</v>
      </c>
      <c r="F195" s="176" t="s">
        <v>1</v>
      </c>
      <c r="G195" s="177">
        <v>45874</v>
      </c>
      <c r="H195" s="176" t="s">
        <v>64</v>
      </c>
      <c r="I195" s="176" t="s">
        <v>54</v>
      </c>
      <c r="J195" s="176">
        <v>1139</v>
      </c>
      <c r="K195" s="182">
        <v>150</v>
      </c>
      <c r="L195" s="182">
        <v>0</v>
      </c>
      <c r="M195" s="182">
        <f t="shared" ref="M195:M208" si="105">K195-L195</f>
        <v>150</v>
      </c>
      <c r="N195" s="182">
        <f>M195*C2</f>
        <v>6</v>
      </c>
      <c r="O195" s="183">
        <f t="shared" ref="O195:O197" si="106">M195*1.65%</f>
        <v>2.475</v>
      </c>
      <c r="P195" s="212" t="s">
        <v>7</v>
      </c>
      <c r="Q195" s="212" t="s">
        <v>55</v>
      </c>
      <c r="R195" s="183">
        <f t="shared" ref="R195:R208" si="107">M195-N195-O195</f>
        <v>141.525</v>
      </c>
      <c r="S195" s="183">
        <f t="shared" ref="S195:S208" si="108">R195/E195</f>
        <v>141.525</v>
      </c>
      <c r="T195" s="266" t="s">
        <v>66</v>
      </c>
      <c r="U195" s="184">
        <f t="shared" ref="U195:U207" si="109">M195-O195</f>
        <v>147.525</v>
      </c>
      <c r="V195" s="206" t="s">
        <v>128</v>
      </c>
      <c r="W195" s="166"/>
      <c r="X195" s="166"/>
      <c r="Y195" s="166"/>
      <c r="Z195" s="166"/>
      <c r="AA195" s="166"/>
      <c r="AB195" s="166"/>
      <c r="AC195" s="166"/>
      <c r="AD195" s="166"/>
      <c r="AE195" s="166"/>
      <c r="AF195" s="166"/>
      <c r="AG195" s="166"/>
      <c r="AH195" s="166"/>
      <c r="AI195" s="166"/>
      <c r="AJ195" s="166"/>
      <c r="AK195" s="166"/>
      <c r="AL195" s="166"/>
      <c r="AM195" s="166"/>
      <c r="AN195" s="166"/>
      <c r="AO195" s="166"/>
      <c r="AP195" s="166"/>
      <c r="AQ195" s="166"/>
      <c r="AR195" s="166"/>
    </row>
    <row r="196" customHeight="1" spans="1:44">
      <c r="A196" s="166"/>
      <c r="B196" s="176">
        <v>2550</v>
      </c>
      <c r="C196" s="176" t="s">
        <v>58</v>
      </c>
      <c r="D196" s="176" t="s">
        <v>0</v>
      </c>
      <c r="E196" s="176">
        <v>1</v>
      </c>
      <c r="F196" s="176" t="s">
        <v>1</v>
      </c>
      <c r="G196" s="177">
        <v>45874</v>
      </c>
      <c r="H196" s="176" t="s">
        <v>64</v>
      </c>
      <c r="I196" s="176" t="s">
        <v>54</v>
      </c>
      <c r="J196" s="176">
        <v>1139</v>
      </c>
      <c r="K196" s="182">
        <v>60</v>
      </c>
      <c r="L196" s="182">
        <v>0</v>
      </c>
      <c r="M196" s="182">
        <f t="shared" si="105"/>
        <v>60</v>
      </c>
      <c r="N196" s="182">
        <f>M196*C2</f>
        <v>2.4</v>
      </c>
      <c r="O196" s="183">
        <f t="shared" si="106"/>
        <v>0.99</v>
      </c>
      <c r="P196" s="212" t="s">
        <v>7</v>
      </c>
      <c r="Q196" s="212" t="s">
        <v>55</v>
      </c>
      <c r="R196" s="183">
        <f t="shared" si="107"/>
        <v>56.61</v>
      </c>
      <c r="S196" s="183">
        <f t="shared" si="108"/>
        <v>56.61</v>
      </c>
      <c r="T196" s="212" t="s">
        <v>66</v>
      </c>
      <c r="U196" s="183">
        <f t="shared" si="109"/>
        <v>59.01</v>
      </c>
      <c r="V196" s="1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  <c r="AG196" s="166"/>
      <c r="AH196" s="166"/>
      <c r="AI196" s="166"/>
      <c r="AJ196" s="166"/>
      <c r="AK196" s="166"/>
      <c r="AL196" s="166"/>
      <c r="AM196" s="166"/>
      <c r="AN196" s="166"/>
      <c r="AO196" s="166"/>
      <c r="AP196" s="166"/>
      <c r="AQ196" s="166"/>
      <c r="AR196" s="166"/>
    </row>
    <row r="197" customHeight="1" spans="1:44">
      <c r="A197" s="166"/>
      <c r="B197" s="176">
        <v>2470</v>
      </c>
      <c r="C197" s="176" t="s">
        <v>16</v>
      </c>
      <c r="D197" s="176" t="s">
        <v>0</v>
      </c>
      <c r="E197" s="176">
        <v>3</v>
      </c>
      <c r="F197" s="176" t="s">
        <v>1</v>
      </c>
      <c r="G197" s="177">
        <v>45874</v>
      </c>
      <c r="H197" s="176" t="s">
        <v>64</v>
      </c>
      <c r="I197" s="176" t="s">
        <v>54</v>
      </c>
      <c r="J197" s="176">
        <v>1140</v>
      </c>
      <c r="K197" s="182">
        <v>540</v>
      </c>
      <c r="L197" s="182">
        <v>160</v>
      </c>
      <c r="M197" s="182">
        <f t="shared" si="105"/>
        <v>380</v>
      </c>
      <c r="N197" s="182">
        <f>M197*C2</f>
        <v>15.2</v>
      </c>
      <c r="O197" s="183">
        <f t="shared" si="106"/>
        <v>6.27</v>
      </c>
      <c r="P197" s="212" t="s">
        <v>7</v>
      </c>
      <c r="Q197" s="212" t="s">
        <v>55</v>
      </c>
      <c r="R197" s="183">
        <f t="shared" si="107"/>
        <v>358.53</v>
      </c>
      <c r="S197" s="183">
        <f t="shared" si="108"/>
        <v>119.51</v>
      </c>
      <c r="T197" s="212" t="s">
        <v>66</v>
      </c>
      <c r="U197" s="183">
        <f t="shared" si="109"/>
        <v>373.73</v>
      </c>
      <c r="V197" s="176" t="s">
        <v>129</v>
      </c>
      <c r="W197" s="166"/>
      <c r="X197" s="166"/>
      <c r="Y197" s="166"/>
      <c r="Z197" s="166"/>
      <c r="AA197" s="166"/>
      <c r="AB197" s="166"/>
      <c r="AC197" s="166"/>
      <c r="AD197" s="166"/>
      <c r="AE197" s="166"/>
      <c r="AF197" s="166"/>
      <c r="AG197" s="166"/>
      <c r="AH197" s="166"/>
      <c r="AI197" s="166"/>
      <c r="AJ197" s="166"/>
      <c r="AK197" s="166"/>
      <c r="AL197" s="166"/>
      <c r="AM197" s="166"/>
      <c r="AN197" s="166"/>
      <c r="AO197" s="166"/>
      <c r="AP197" s="166"/>
      <c r="AQ197" s="166"/>
      <c r="AR197" s="166"/>
    </row>
    <row r="198" customHeight="1" spans="1:44">
      <c r="A198" s="166"/>
      <c r="B198" s="235">
        <v>2470</v>
      </c>
      <c r="C198" s="235" t="s">
        <v>16</v>
      </c>
      <c r="D198" s="235" t="s">
        <v>0</v>
      </c>
      <c r="E198" s="235">
        <v>1</v>
      </c>
      <c r="F198" s="235" t="s">
        <v>1</v>
      </c>
      <c r="G198" s="236">
        <v>45875</v>
      </c>
      <c r="H198" s="235" t="s">
        <v>68</v>
      </c>
      <c r="I198" s="235" t="s">
        <v>54</v>
      </c>
      <c r="J198" s="235">
        <v>1141</v>
      </c>
      <c r="K198" s="256">
        <v>180</v>
      </c>
      <c r="L198" s="256">
        <v>0</v>
      </c>
      <c r="M198" s="256">
        <f t="shared" si="105"/>
        <v>180</v>
      </c>
      <c r="N198" s="256">
        <f>M198*C2</f>
        <v>7.2</v>
      </c>
      <c r="O198" s="257">
        <f t="shared" ref="O198:O199" si="110">M198*1.9%</f>
        <v>3.42</v>
      </c>
      <c r="P198" s="257" t="s">
        <v>7</v>
      </c>
      <c r="Q198" s="258" t="s">
        <v>62</v>
      </c>
      <c r="R198" s="257">
        <f t="shared" si="107"/>
        <v>169.38</v>
      </c>
      <c r="S198" s="257">
        <f t="shared" si="108"/>
        <v>169.38</v>
      </c>
      <c r="T198" s="258" t="s">
        <v>66</v>
      </c>
      <c r="U198" s="257">
        <f t="shared" si="109"/>
        <v>176.58</v>
      </c>
      <c r="V198" s="235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  <c r="AG198" s="166"/>
      <c r="AH198" s="166"/>
      <c r="AI198" s="166"/>
      <c r="AJ198" s="166"/>
      <c r="AK198" s="166"/>
      <c r="AL198" s="166"/>
      <c r="AM198" s="166"/>
      <c r="AN198" s="166"/>
      <c r="AO198" s="166"/>
      <c r="AP198" s="166"/>
      <c r="AQ198" s="166"/>
      <c r="AR198" s="166"/>
    </row>
    <row r="199" customHeight="1" spans="1:44">
      <c r="A199" s="166"/>
      <c r="B199" s="235">
        <v>2470</v>
      </c>
      <c r="C199" s="235" t="s">
        <v>16</v>
      </c>
      <c r="D199" s="235" t="s">
        <v>0</v>
      </c>
      <c r="E199" s="235">
        <v>1</v>
      </c>
      <c r="F199" s="235" t="s">
        <v>1</v>
      </c>
      <c r="G199" s="236">
        <v>45875</v>
      </c>
      <c r="H199" s="235" t="s">
        <v>68</v>
      </c>
      <c r="I199" s="235" t="s">
        <v>54</v>
      </c>
      <c r="J199" s="235">
        <v>1142</v>
      </c>
      <c r="K199" s="256">
        <v>180</v>
      </c>
      <c r="L199" s="256">
        <v>0</v>
      </c>
      <c r="M199" s="256">
        <f t="shared" si="105"/>
        <v>180</v>
      </c>
      <c r="N199" s="256">
        <f>M199*C2</f>
        <v>7.2</v>
      </c>
      <c r="O199" s="257">
        <f t="shared" si="110"/>
        <v>3.42</v>
      </c>
      <c r="P199" s="258" t="s">
        <v>7</v>
      </c>
      <c r="Q199" s="258" t="s">
        <v>55</v>
      </c>
      <c r="R199" s="257">
        <f t="shared" si="107"/>
        <v>169.38</v>
      </c>
      <c r="S199" s="257">
        <f t="shared" si="108"/>
        <v>169.38</v>
      </c>
      <c r="T199" s="258" t="s">
        <v>66</v>
      </c>
      <c r="U199" s="257">
        <f t="shared" si="109"/>
        <v>176.58</v>
      </c>
      <c r="V199" s="235"/>
      <c r="W199" s="166"/>
      <c r="X199" s="166"/>
      <c r="Y199" s="166"/>
      <c r="Z199" s="166"/>
      <c r="AA199" s="166"/>
      <c r="AB199" s="166"/>
      <c r="AC199" s="166"/>
      <c r="AD199" s="166"/>
      <c r="AE199" s="166"/>
      <c r="AF199" s="166"/>
      <c r="AG199" s="166"/>
      <c r="AH199" s="166"/>
      <c r="AI199" s="166"/>
      <c r="AJ199" s="166"/>
      <c r="AK199" s="166"/>
      <c r="AL199" s="166"/>
      <c r="AM199" s="166"/>
      <c r="AN199" s="166"/>
      <c r="AO199" s="166"/>
      <c r="AP199" s="166"/>
      <c r="AQ199" s="166"/>
      <c r="AR199" s="166"/>
    </row>
    <row r="200" customHeight="1" spans="1:44">
      <c r="A200" s="166"/>
      <c r="B200" s="176">
        <v>2470</v>
      </c>
      <c r="C200" s="176" t="s">
        <v>16</v>
      </c>
      <c r="D200" s="176" t="s">
        <v>0</v>
      </c>
      <c r="E200" s="176">
        <v>2</v>
      </c>
      <c r="F200" s="176" t="s">
        <v>1</v>
      </c>
      <c r="G200" s="177">
        <v>45875</v>
      </c>
      <c r="H200" s="176" t="s">
        <v>68</v>
      </c>
      <c r="I200" s="176" t="s">
        <v>54</v>
      </c>
      <c r="J200" s="176">
        <v>1143</v>
      </c>
      <c r="K200" s="182">
        <v>360</v>
      </c>
      <c r="L200" s="182">
        <v>160</v>
      </c>
      <c r="M200" s="182">
        <f t="shared" si="105"/>
        <v>200</v>
      </c>
      <c r="N200" s="182">
        <f>M200*C2</f>
        <v>8</v>
      </c>
      <c r="O200" s="183">
        <f>M200*0.75%</f>
        <v>1.5</v>
      </c>
      <c r="P200" s="212" t="s">
        <v>5</v>
      </c>
      <c r="Q200" s="212" t="s">
        <v>6</v>
      </c>
      <c r="R200" s="183">
        <f t="shared" si="107"/>
        <v>190.5</v>
      </c>
      <c r="S200" s="183">
        <f t="shared" si="108"/>
        <v>95.25</v>
      </c>
      <c r="T200" s="212" t="s">
        <v>66</v>
      </c>
      <c r="U200" s="183">
        <f t="shared" si="109"/>
        <v>198.5</v>
      </c>
      <c r="V200" s="176" t="s">
        <v>130</v>
      </c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  <c r="AG200" s="166"/>
      <c r="AH200" s="166"/>
      <c r="AI200" s="166"/>
      <c r="AJ200" s="166"/>
      <c r="AK200" s="166"/>
      <c r="AL200" s="166"/>
      <c r="AM200" s="166"/>
      <c r="AN200" s="166"/>
      <c r="AO200" s="166"/>
      <c r="AP200" s="166"/>
      <c r="AQ200" s="166"/>
      <c r="AR200" s="166"/>
    </row>
    <row r="201" customHeight="1" spans="1:44">
      <c r="A201" s="166"/>
      <c r="B201" s="176">
        <v>2470</v>
      </c>
      <c r="C201" s="176" t="s">
        <v>16</v>
      </c>
      <c r="D201" s="176" t="s">
        <v>0</v>
      </c>
      <c r="E201" s="176">
        <v>1</v>
      </c>
      <c r="F201" s="176" t="s">
        <v>1</v>
      </c>
      <c r="G201" s="177">
        <v>45875</v>
      </c>
      <c r="H201" s="176" t="s">
        <v>68</v>
      </c>
      <c r="I201" s="176" t="s">
        <v>54</v>
      </c>
      <c r="J201" s="176">
        <v>1144</v>
      </c>
      <c r="K201" s="182">
        <v>180</v>
      </c>
      <c r="L201" s="182">
        <v>0</v>
      </c>
      <c r="M201" s="182">
        <f t="shared" si="105"/>
        <v>180</v>
      </c>
      <c r="N201" s="182">
        <f>M201*C2</f>
        <v>7.2</v>
      </c>
      <c r="O201" s="183">
        <v>1.35</v>
      </c>
      <c r="P201" s="212" t="s">
        <v>5</v>
      </c>
      <c r="Q201" s="212" t="s">
        <v>6</v>
      </c>
      <c r="R201" s="183">
        <f t="shared" si="107"/>
        <v>171.45</v>
      </c>
      <c r="S201" s="183">
        <f t="shared" si="108"/>
        <v>171.45</v>
      </c>
      <c r="T201" s="212" t="s">
        <v>66</v>
      </c>
      <c r="U201" s="183">
        <f t="shared" si="109"/>
        <v>178.65</v>
      </c>
      <c r="V201" s="176" t="s">
        <v>130</v>
      </c>
      <c r="W201" s="166"/>
      <c r="X201" s="166"/>
      <c r="Y201" s="166"/>
      <c r="Z201" s="166"/>
      <c r="AA201" s="166"/>
      <c r="AB201" s="166"/>
      <c r="AC201" s="166"/>
      <c r="AD201" s="166"/>
      <c r="AE201" s="166"/>
      <c r="AF201" s="166"/>
      <c r="AG201" s="166"/>
      <c r="AH201" s="166"/>
      <c r="AI201" s="166"/>
      <c r="AJ201" s="166"/>
      <c r="AK201" s="166"/>
      <c r="AL201" s="166"/>
      <c r="AM201" s="166"/>
      <c r="AN201" s="166"/>
      <c r="AO201" s="166"/>
      <c r="AP201" s="166"/>
      <c r="AQ201" s="166"/>
      <c r="AR201" s="166"/>
    </row>
    <row r="202" customHeight="1" spans="1:44">
      <c r="A202" s="166"/>
      <c r="B202" s="176">
        <v>2470</v>
      </c>
      <c r="C202" s="176" t="s">
        <v>16</v>
      </c>
      <c r="D202" s="176" t="s">
        <v>0</v>
      </c>
      <c r="E202" s="176">
        <v>1</v>
      </c>
      <c r="F202" s="176" t="s">
        <v>1</v>
      </c>
      <c r="G202" s="177">
        <v>45875</v>
      </c>
      <c r="H202" s="176" t="s">
        <v>68</v>
      </c>
      <c r="I202" s="176" t="s">
        <v>54</v>
      </c>
      <c r="J202" s="176">
        <v>1145</v>
      </c>
      <c r="K202" s="182">
        <v>180</v>
      </c>
      <c r="L202" s="182">
        <v>80</v>
      </c>
      <c r="M202" s="182">
        <f t="shared" si="105"/>
        <v>100</v>
      </c>
      <c r="N202" s="182">
        <f>M202*C2</f>
        <v>4</v>
      </c>
      <c r="O202" s="183">
        <v>0.75</v>
      </c>
      <c r="P202" s="212" t="s">
        <v>5</v>
      </c>
      <c r="Q202" s="212" t="s">
        <v>6</v>
      </c>
      <c r="R202" s="183">
        <f t="shared" si="107"/>
        <v>95.25</v>
      </c>
      <c r="S202" s="183">
        <f t="shared" si="108"/>
        <v>95.25</v>
      </c>
      <c r="T202" s="212" t="s">
        <v>66</v>
      </c>
      <c r="U202" s="183">
        <f t="shared" si="109"/>
        <v>99.25</v>
      </c>
      <c r="V202" s="176" t="s">
        <v>130</v>
      </c>
      <c r="W202" s="166"/>
      <c r="X202" s="166"/>
      <c r="Y202" s="166"/>
      <c r="Z202" s="166"/>
      <c r="AA202" s="166"/>
      <c r="AB202" s="166"/>
      <c r="AC202" s="166"/>
      <c r="AD202" s="166"/>
      <c r="AE202" s="166"/>
      <c r="AF202" s="166"/>
      <c r="AG202" s="166"/>
      <c r="AH202" s="166"/>
      <c r="AI202" s="166"/>
      <c r="AJ202" s="166"/>
      <c r="AK202" s="166"/>
      <c r="AL202" s="166"/>
      <c r="AM202" s="166"/>
      <c r="AN202" s="166"/>
      <c r="AO202" s="166"/>
      <c r="AP202" s="166"/>
      <c r="AQ202" s="166"/>
      <c r="AR202" s="166"/>
    </row>
    <row r="203" customHeight="1" spans="1:44">
      <c r="A203" s="166"/>
      <c r="B203" s="176">
        <v>2470</v>
      </c>
      <c r="C203" s="176" t="s">
        <v>16</v>
      </c>
      <c r="D203" s="176" t="s">
        <v>0</v>
      </c>
      <c r="E203" s="176">
        <v>1</v>
      </c>
      <c r="F203" s="176" t="s">
        <v>1</v>
      </c>
      <c r="G203" s="177">
        <v>45875</v>
      </c>
      <c r="H203" s="176" t="s">
        <v>68</v>
      </c>
      <c r="I203" s="176" t="s">
        <v>54</v>
      </c>
      <c r="J203" s="176">
        <v>1146</v>
      </c>
      <c r="K203" s="182">
        <v>180</v>
      </c>
      <c r="L203" s="182">
        <v>80</v>
      </c>
      <c r="M203" s="182">
        <f t="shared" si="105"/>
        <v>100</v>
      </c>
      <c r="N203" s="182">
        <f>M203*C2</f>
        <v>4</v>
      </c>
      <c r="O203" s="183">
        <v>0.75</v>
      </c>
      <c r="P203" s="212" t="s">
        <v>5</v>
      </c>
      <c r="Q203" s="212" t="s">
        <v>6</v>
      </c>
      <c r="R203" s="183">
        <f t="shared" si="107"/>
        <v>95.25</v>
      </c>
      <c r="S203" s="183">
        <f t="shared" si="108"/>
        <v>95.25</v>
      </c>
      <c r="T203" s="212" t="s">
        <v>66</v>
      </c>
      <c r="U203" s="183">
        <f t="shared" si="109"/>
        <v>99.25</v>
      </c>
      <c r="V203" s="176" t="s">
        <v>130</v>
      </c>
      <c r="W203" s="166"/>
      <c r="X203" s="166"/>
      <c r="Y203" s="166"/>
      <c r="Z203" s="166"/>
      <c r="AA203" s="166"/>
      <c r="AB203" s="166"/>
      <c r="AC203" s="166"/>
      <c r="AD203" s="166"/>
      <c r="AE203" s="166"/>
      <c r="AF203" s="166"/>
      <c r="AG203" s="166"/>
      <c r="AH203" s="166"/>
      <c r="AI203" s="166"/>
      <c r="AJ203" s="166"/>
      <c r="AK203" s="166"/>
      <c r="AL203" s="166"/>
      <c r="AM203" s="166"/>
      <c r="AN203" s="166"/>
      <c r="AO203" s="166"/>
      <c r="AP203" s="166"/>
      <c r="AQ203" s="166"/>
      <c r="AR203" s="166"/>
    </row>
    <row r="204" customHeight="1" spans="1:44">
      <c r="A204" s="166"/>
      <c r="B204" s="176">
        <v>3008</v>
      </c>
      <c r="C204" s="176" t="s">
        <v>28</v>
      </c>
      <c r="D204" s="176" t="s">
        <v>0</v>
      </c>
      <c r="E204" s="176">
        <v>1</v>
      </c>
      <c r="F204" s="176" t="s">
        <v>1</v>
      </c>
      <c r="G204" s="177">
        <v>45875</v>
      </c>
      <c r="H204" s="176" t="s">
        <v>68</v>
      </c>
      <c r="I204" s="176" t="s">
        <v>54</v>
      </c>
      <c r="J204" s="176">
        <v>1147</v>
      </c>
      <c r="K204" s="182">
        <v>215</v>
      </c>
      <c r="L204" s="182">
        <v>0</v>
      </c>
      <c r="M204" s="182">
        <f t="shared" si="105"/>
        <v>215</v>
      </c>
      <c r="N204" s="182">
        <f>M204*C2</f>
        <v>8.6</v>
      </c>
      <c r="O204" s="183">
        <v>1.61</v>
      </c>
      <c r="P204" s="212" t="s">
        <v>5</v>
      </c>
      <c r="Q204" s="212" t="s">
        <v>6</v>
      </c>
      <c r="R204" s="183">
        <f t="shared" si="107"/>
        <v>204.79</v>
      </c>
      <c r="S204" s="183">
        <f t="shared" si="108"/>
        <v>204.79</v>
      </c>
      <c r="T204" s="212" t="s">
        <v>66</v>
      </c>
      <c r="U204" s="183">
        <f t="shared" si="109"/>
        <v>213.39</v>
      </c>
      <c r="V204" s="176" t="s">
        <v>130</v>
      </c>
      <c r="W204" s="166"/>
      <c r="X204" s="166"/>
      <c r="Y204" s="166"/>
      <c r="Z204" s="166"/>
      <c r="AA204" s="166"/>
      <c r="AB204" s="166"/>
      <c r="AC204" s="166"/>
      <c r="AD204" s="166"/>
      <c r="AE204" s="166"/>
      <c r="AF204" s="166"/>
      <c r="AG204" s="166"/>
      <c r="AH204" s="166"/>
      <c r="AI204" s="166"/>
      <c r="AJ204" s="166"/>
      <c r="AK204" s="166"/>
      <c r="AL204" s="166"/>
      <c r="AM204" s="166"/>
      <c r="AN204" s="166"/>
      <c r="AO204" s="166"/>
      <c r="AP204" s="166"/>
      <c r="AQ204" s="166"/>
      <c r="AR204" s="166"/>
    </row>
    <row r="205" customHeight="1" spans="1:44">
      <c r="A205" s="166"/>
      <c r="B205" s="176">
        <v>2470</v>
      </c>
      <c r="C205" s="176" t="s">
        <v>16</v>
      </c>
      <c r="D205" s="176" t="s">
        <v>0</v>
      </c>
      <c r="E205" s="176">
        <v>2</v>
      </c>
      <c r="F205" s="176" t="s">
        <v>1</v>
      </c>
      <c r="G205" s="177">
        <v>45875</v>
      </c>
      <c r="H205" s="176" t="s">
        <v>68</v>
      </c>
      <c r="I205" s="176" t="s">
        <v>54</v>
      </c>
      <c r="J205" s="176">
        <v>1148</v>
      </c>
      <c r="K205" s="182">
        <v>360</v>
      </c>
      <c r="L205" s="182">
        <v>0</v>
      </c>
      <c r="M205" s="182">
        <f t="shared" si="105"/>
        <v>360</v>
      </c>
      <c r="N205" s="182">
        <f>M205*C2</f>
        <v>14.4</v>
      </c>
      <c r="O205" s="183">
        <v>2.7</v>
      </c>
      <c r="P205" s="212" t="s">
        <v>5</v>
      </c>
      <c r="Q205" s="212" t="s">
        <v>6</v>
      </c>
      <c r="R205" s="183">
        <f t="shared" si="107"/>
        <v>342.9</v>
      </c>
      <c r="S205" s="183">
        <f t="shared" si="108"/>
        <v>171.45</v>
      </c>
      <c r="T205" s="212"/>
      <c r="U205" s="183">
        <f t="shared" si="109"/>
        <v>357.3</v>
      </c>
      <c r="V205" s="176" t="s">
        <v>130</v>
      </c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  <c r="AG205" s="166"/>
      <c r="AH205" s="166"/>
      <c r="AI205" s="166"/>
      <c r="AJ205" s="166"/>
      <c r="AK205" s="166"/>
      <c r="AL205" s="166"/>
      <c r="AM205" s="166"/>
      <c r="AN205" s="166"/>
      <c r="AO205" s="166"/>
      <c r="AP205" s="166"/>
      <c r="AQ205" s="166"/>
      <c r="AR205" s="166"/>
    </row>
    <row r="206" customHeight="1" spans="1:44">
      <c r="A206" s="166"/>
      <c r="B206" s="176">
        <v>3008</v>
      </c>
      <c r="C206" s="176" t="s">
        <v>28</v>
      </c>
      <c r="D206" s="176" t="s">
        <v>0</v>
      </c>
      <c r="E206" s="176">
        <v>1</v>
      </c>
      <c r="F206" s="176" t="s">
        <v>1</v>
      </c>
      <c r="G206" s="177">
        <v>45875</v>
      </c>
      <c r="H206" s="176" t="s">
        <v>68</v>
      </c>
      <c r="I206" s="176" t="s">
        <v>54</v>
      </c>
      <c r="J206" s="176">
        <v>1149</v>
      </c>
      <c r="K206" s="182">
        <v>215</v>
      </c>
      <c r="L206" s="182">
        <v>0</v>
      </c>
      <c r="M206" s="182">
        <f t="shared" si="105"/>
        <v>215</v>
      </c>
      <c r="N206" s="182">
        <f>M206*C2</f>
        <v>8.6</v>
      </c>
      <c r="O206" s="183">
        <f t="shared" ref="O206:O207" si="111">M206*0.75%</f>
        <v>1.6125</v>
      </c>
      <c r="P206" s="212" t="s">
        <v>5</v>
      </c>
      <c r="Q206" s="212" t="s">
        <v>6</v>
      </c>
      <c r="R206" s="183">
        <f t="shared" si="107"/>
        <v>204.7875</v>
      </c>
      <c r="S206" s="183">
        <f t="shared" si="108"/>
        <v>204.7875</v>
      </c>
      <c r="T206" s="212" t="s">
        <v>66</v>
      </c>
      <c r="U206" s="183">
        <f t="shared" si="109"/>
        <v>213.3875</v>
      </c>
      <c r="V206" s="176" t="s">
        <v>130</v>
      </c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  <c r="AH206" s="166"/>
      <c r="AI206" s="166"/>
      <c r="AJ206" s="166"/>
      <c r="AK206" s="166"/>
      <c r="AL206" s="166"/>
      <c r="AM206" s="166"/>
      <c r="AN206" s="166"/>
      <c r="AO206" s="166"/>
      <c r="AP206" s="166"/>
      <c r="AQ206" s="166"/>
      <c r="AR206" s="166"/>
    </row>
    <row r="207" customHeight="1" spans="1:44">
      <c r="A207" s="166"/>
      <c r="B207" s="176">
        <v>2470</v>
      </c>
      <c r="C207" s="176" t="s">
        <v>16</v>
      </c>
      <c r="D207" s="176" t="s">
        <v>0</v>
      </c>
      <c r="E207" s="176">
        <v>2</v>
      </c>
      <c r="F207" s="176" t="s">
        <v>1</v>
      </c>
      <c r="G207" s="177">
        <v>45875</v>
      </c>
      <c r="H207" s="176" t="s">
        <v>68</v>
      </c>
      <c r="I207" s="176" t="s">
        <v>54</v>
      </c>
      <c r="J207" s="176">
        <v>1150</v>
      </c>
      <c r="K207" s="182">
        <v>360</v>
      </c>
      <c r="L207" s="182">
        <v>80</v>
      </c>
      <c r="M207" s="182">
        <f t="shared" si="105"/>
        <v>280</v>
      </c>
      <c r="N207" s="182">
        <f>M207*C2</f>
        <v>11.2</v>
      </c>
      <c r="O207" s="183">
        <f t="shared" si="111"/>
        <v>2.1</v>
      </c>
      <c r="P207" s="212" t="s">
        <v>5</v>
      </c>
      <c r="Q207" s="212" t="s">
        <v>6</v>
      </c>
      <c r="R207" s="183">
        <f t="shared" si="107"/>
        <v>266.7</v>
      </c>
      <c r="S207" s="183">
        <f t="shared" si="108"/>
        <v>133.35</v>
      </c>
      <c r="T207" s="212" t="s">
        <v>66</v>
      </c>
      <c r="U207" s="183">
        <f t="shared" si="109"/>
        <v>277.9</v>
      </c>
      <c r="V207" s="176" t="s">
        <v>130</v>
      </c>
      <c r="W207" s="166"/>
      <c r="X207" s="166"/>
      <c r="Y207" s="166"/>
      <c r="Z207" s="166"/>
      <c r="AA207" s="166"/>
      <c r="AB207" s="166"/>
      <c r="AC207" s="166"/>
      <c r="AD207" s="166"/>
      <c r="AE207" s="166"/>
      <c r="AF207" s="166"/>
      <c r="AG207" s="166"/>
      <c r="AH207" s="166"/>
      <c r="AI207" s="166"/>
      <c r="AJ207" s="166"/>
      <c r="AK207" s="166"/>
      <c r="AL207" s="166"/>
      <c r="AM207" s="166"/>
      <c r="AN207" s="166"/>
      <c r="AO207" s="166"/>
      <c r="AP207" s="166"/>
      <c r="AQ207" s="166"/>
      <c r="AR207" s="166"/>
    </row>
    <row r="208" customHeight="1" spans="1:44">
      <c r="A208" s="166"/>
      <c r="B208" s="206">
        <v>2946</v>
      </c>
      <c r="C208" s="206" t="s">
        <v>91</v>
      </c>
      <c r="D208" s="206" t="s">
        <v>0</v>
      </c>
      <c r="E208" s="206">
        <v>1</v>
      </c>
      <c r="F208" s="207" t="s">
        <v>1</v>
      </c>
      <c r="G208" s="207">
        <v>45875</v>
      </c>
      <c r="H208" s="206" t="s">
        <v>68</v>
      </c>
      <c r="I208" s="206" t="s">
        <v>54</v>
      </c>
      <c r="J208" s="206">
        <v>1151</v>
      </c>
      <c r="K208" s="208">
        <v>100</v>
      </c>
      <c r="L208" s="208">
        <v>0</v>
      </c>
      <c r="M208" s="208">
        <f t="shared" si="105"/>
        <v>100</v>
      </c>
      <c r="N208" s="208">
        <f>M208*C2</f>
        <v>4</v>
      </c>
      <c r="O208" s="209">
        <f>M208*2.9%</f>
        <v>2.9</v>
      </c>
      <c r="P208" s="213" t="s">
        <v>10</v>
      </c>
      <c r="Q208" s="209" t="s">
        <v>62</v>
      </c>
      <c r="R208" s="222">
        <f t="shared" si="107"/>
        <v>93.1</v>
      </c>
      <c r="S208" s="209">
        <f t="shared" si="108"/>
        <v>93.1</v>
      </c>
      <c r="T208" s="274" t="s">
        <v>70</v>
      </c>
      <c r="U208" s="274">
        <f>M208/2-O208/2</f>
        <v>48.55</v>
      </c>
      <c r="V208" s="223" t="s">
        <v>130</v>
      </c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  <c r="AH208" s="166"/>
      <c r="AI208" s="166"/>
      <c r="AJ208" s="166"/>
      <c r="AK208" s="166"/>
      <c r="AL208" s="166"/>
      <c r="AM208" s="166"/>
      <c r="AN208" s="166"/>
      <c r="AO208" s="166"/>
      <c r="AP208" s="166"/>
      <c r="AQ208" s="166"/>
      <c r="AR208" s="166"/>
    </row>
    <row r="209" customHeight="1" spans="1:44">
      <c r="A209" s="16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200"/>
      <c r="S209" s="266"/>
      <c r="T209" s="275" t="s">
        <v>71</v>
      </c>
      <c r="U209" s="201"/>
      <c r="V209" s="201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  <c r="AH209" s="166"/>
      <c r="AI209" s="166"/>
      <c r="AJ209" s="166"/>
      <c r="AK209" s="166"/>
      <c r="AL209" s="166"/>
      <c r="AM209" s="166"/>
      <c r="AN209" s="166"/>
      <c r="AO209" s="166"/>
      <c r="AP209" s="166"/>
      <c r="AQ209" s="166"/>
      <c r="AR209" s="166"/>
    </row>
    <row r="210" customHeight="1" spans="1:44">
      <c r="A210" s="166"/>
      <c r="B210" s="206">
        <v>2470</v>
      </c>
      <c r="C210" s="206" t="s">
        <v>16</v>
      </c>
      <c r="D210" s="206" t="s">
        <v>0</v>
      </c>
      <c r="E210" s="206">
        <v>1</v>
      </c>
      <c r="F210" s="206" t="s">
        <v>1</v>
      </c>
      <c r="G210" s="207">
        <v>45875</v>
      </c>
      <c r="H210" s="206" t="s">
        <v>68</v>
      </c>
      <c r="I210" s="206" t="s">
        <v>54</v>
      </c>
      <c r="J210" s="206">
        <v>1152</v>
      </c>
      <c r="K210" s="208">
        <v>180</v>
      </c>
      <c r="L210" s="208">
        <v>0</v>
      </c>
      <c r="M210" s="208">
        <f>K210-L210</f>
        <v>180</v>
      </c>
      <c r="N210" s="208">
        <f>M210*C2</f>
        <v>7.2</v>
      </c>
      <c r="O210" s="209">
        <f>M210*2.9%</f>
        <v>5.22</v>
      </c>
      <c r="P210" s="213" t="s">
        <v>10</v>
      </c>
      <c r="Q210" s="213" t="s">
        <v>55</v>
      </c>
      <c r="R210" s="209">
        <f>M210-N210-O210</f>
        <v>167.58</v>
      </c>
      <c r="S210" s="209">
        <f>R210/E210</f>
        <v>167.58</v>
      </c>
      <c r="T210" s="274" t="s">
        <v>70</v>
      </c>
      <c r="U210" s="209">
        <f>M210/2-O210/2</f>
        <v>87.39</v>
      </c>
      <c r="V210" s="206" t="s">
        <v>130</v>
      </c>
      <c r="W210" s="166"/>
      <c r="X210" s="166"/>
      <c r="Y210" s="166"/>
      <c r="Z210" s="166"/>
      <c r="AA210" s="166"/>
      <c r="AB210" s="166"/>
      <c r="AC210" s="166"/>
      <c r="AD210" s="166"/>
      <c r="AE210" s="166"/>
      <c r="AF210" s="166"/>
      <c r="AG210" s="166"/>
      <c r="AH210" s="166"/>
      <c r="AI210" s="166"/>
      <c r="AJ210" s="166"/>
      <c r="AK210" s="166"/>
      <c r="AL210" s="166"/>
      <c r="AM210" s="166"/>
      <c r="AN210" s="166"/>
      <c r="AO210" s="166"/>
      <c r="AP210" s="166"/>
      <c r="AQ210" s="166"/>
      <c r="AR210" s="166"/>
    </row>
    <row r="211" customHeight="1" spans="1:44">
      <c r="A211" s="16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275" t="s">
        <v>71</v>
      </c>
      <c r="U211" s="184">
        <f>U210</f>
        <v>87.39</v>
      </c>
      <c r="V211" s="16"/>
      <c r="W211" s="166"/>
      <c r="X211" s="166"/>
      <c r="Y211" s="166"/>
      <c r="Z211" s="166"/>
      <c r="AA211" s="166"/>
      <c r="AB211" s="166"/>
      <c r="AC211" s="166"/>
      <c r="AD211" s="166"/>
      <c r="AE211" s="166"/>
      <c r="AF211" s="166"/>
      <c r="AG211" s="166"/>
      <c r="AH211" s="166"/>
      <c r="AI211" s="166"/>
      <c r="AJ211" s="166"/>
      <c r="AK211" s="166"/>
      <c r="AL211" s="166"/>
      <c r="AM211" s="166"/>
      <c r="AN211" s="166"/>
      <c r="AO211" s="166"/>
      <c r="AP211" s="166"/>
      <c r="AQ211" s="166"/>
      <c r="AR211" s="166"/>
    </row>
    <row r="212" customHeight="1" spans="1:44">
      <c r="A212" s="166"/>
      <c r="B212" s="293">
        <v>2470</v>
      </c>
      <c r="C212" s="293" t="s">
        <v>16</v>
      </c>
      <c r="D212" s="293" t="s">
        <v>0</v>
      </c>
      <c r="E212" s="293">
        <v>1</v>
      </c>
      <c r="F212" s="293" t="s">
        <v>1</v>
      </c>
      <c r="G212" s="294">
        <v>45875</v>
      </c>
      <c r="H212" s="293" t="s">
        <v>68</v>
      </c>
      <c r="I212" s="293" t="s">
        <v>54</v>
      </c>
      <c r="J212" s="293">
        <v>1153</v>
      </c>
      <c r="K212" s="295">
        <v>180</v>
      </c>
      <c r="L212" s="295">
        <v>0</v>
      </c>
      <c r="M212" s="295">
        <f t="shared" ref="M212:M213" si="112">K212-L212</f>
        <v>180</v>
      </c>
      <c r="N212" s="295">
        <v>0</v>
      </c>
      <c r="O212" s="296"/>
      <c r="P212" s="297"/>
      <c r="Q212" s="297"/>
      <c r="R212" s="296">
        <f t="shared" ref="R212:R213" si="113">M212-N212-O212</f>
        <v>180</v>
      </c>
      <c r="S212" s="296">
        <f t="shared" ref="S212:S213" si="114">R212/E212</f>
        <v>180</v>
      </c>
      <c r="T212" s="297"/>
      <c r="U212" s="296">
        <f>M212-O212</f>
        <v>180</v>
      </c>
      <c r="V212" s="293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  <c r="AG212" s="166"/>
      <c r="AH212" s="166"/>
      <c r="AI212" s="166"/>
      <c r="AJ212" s="166"/>
      <c r="AK212" s="166"/>
      <c r="AL212" s="166"/>
      <c r="AM212" s="166"/>
      <c r="AN212" s="166"/>
      <c r="AO212" s="166"/>
      <c r="AP212" s="166"/>
      <c r="AQ212" s="166"/>
      <c r="AR212" s="166"/>
    </row>
    <row r="213" customHeight="1" spans="1:44">
      <c r="A213" s="166"/>
      <c r="B213" s="206">
        <v>3006</v>
      </c>
      <c r="C213" s="206" t="s">
        <v>25</v>
      </c>
      <c r="D213" s="206" t="s">
        <v>0</v>
      </c>
      <c r="E213" s="206">
        <v>1</v>
      </c>
      <c r="F213" s="206" t="s">
        <v>1</v>
      </c>
      <c r="G213" s="207">
        <v>45875</v>
      </c>
      <c r="H213" s="206" t="s">
        <v>68</v>
      </c>
      <c r="I213" s="206" t="s">
        <v>54</v>
      </c>
      <c r="J213" s="206">
        <v>1154</v>
      </c>
      <c r="K213" s="208">
        <v>170</v>
      </c>
      <c r="L213" s="208">
        <v>0</v>
      </c>
      <c r="M213" s="208">
        <f t="shared" si="112"/>
        <v>170</v>
      </c>
      <c r="N213" s="208">
        <f>M213*C2</f>
        <v>6.8</v>
      </c>
      <c r="O213" s="209">
        <f>M213*2.9%</f>
        <v>4.93</v>
      </c>
      <c r="P213" s="213" t="s">
        <v>10</v>
      </c>
      <c r="Q213" s="213" t="s">
        <v>55</v>
      </c>
      <c r="R213" s="209">
        <f t="shared" si="113"/>
        <v>158.27</v>
      </c>
      <c r="S213" s="209">
        <f t="shared" si="114"/>
        <v>158.27</v>
      </c>
      <c r="T213" s="274" t="s">
        <v>70</v>
      </c>
      <c r="U213" s="209">
        <f>M213/2-O213/2</f>
        <v>82.535</v>
      </c>
      <c r="V213" s="206" t="s">
        <v>130</v>
      </c>
      <c r="W213" s="166"/>
      <c r="X213" s="166"/>
      <c r="Y213" s="166"/>
      <c r="Z213" s="166"/>
      <c r="AA213" s="166"/>
      <c r="AB213" s="166"/>
      <c r="AC213" s="166"/>
      <c r="AD213" s="166"/>
      <c r="AE213" s="166"/>
      <c r="AF213" s="166"/>
      <c r="AG213" s="166"/>
      <c r="AH213" s="166"/>
      <c r="AI213" s="166"/>
      <c r="AJ213" s="166"/>
      <c r="AK213" s="166"/>
      <c r="AL213" s="166"/>
      <c r="AM213" s="166"/>
      <c r="AN213" s="166"/>
      <c r="AO213" s="166"/>
      <c r="AP213" s="166"/>
      <c r="AQ213" s="166"/>
      <c r="AR213" s="166"/>
    </row>
    <row r="214" customHeight="1" spans="1:44">
      <c r="A214" s="16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275" t="s">
        <v>71</v>
      </c>
      <c r="U214" s="184">
        <f>U213</f>
        <v>82.535</v>
      </c>
      <c r="V214" s="16"/>
      <c r="W214" s="166"/>
      <c r="X214" s="166"/>
      <c r="Y214" s="166"/>
      <c r="Z214" s="166"/>
      <c r="AA214" s="166"/>
      <c r="AB214" s="166"/>
      <c r="AC214" s="166"/>
      <c r="AD214" s="166"/>
      <c r="AE214" s="166"/>
      <c r="AF214" s="166"/>
      <c r="AG214" s="166"/>
      <c r="AH214" s="166"/>
      <c r="AI214" s="166"/>
      <c r="AJ214" s="166"/>
      <c r="AK214" s="166"/>
      <c r="AL214" s="166"/>
      <c r="AM214" s="166"/>
      <c r="AN214" s="166"/>
      <c r="AO214" s="166"/>
      <c r="AP214" s="166"/>
      <c r="AQ214" s="166"/>
      <c r="AR214" s="166"/>
    </row>
    <row r="215" customHeight="1" spans="1:44">
      <c r="A215" s="166"/>
      <c r="B215" s="176">
        <v>2470</v>
      </c>
      <c r="C215" s="176" t="s">
        <v>16</v>
      </c>
      <c r="D215" s="176" t="s">
        <v>0</v>
      </c>
      <c r="E215" s="176">
        <v>1</v>
      </c>
      <c r="F215" s="176" t="s">
        <v>1</v>
      </c>
      <c r="G215" s="177">
        <v>45875</v>
      </c>
      <c r="H215" s="176" t="s">
        <v>68</v>
      </c>
      <c r="I215" s="176" t="s">
        <v>54</v>
      </c>
      <c r="J215" s="176">
        <v>1155</v>
      </c>
      <c r="K215" s="182">
        <v>180</v>
      </c>
      <c r="L215" s="182">
        <v>0</v>
      </c>
      <c r="M215" s="182">
        <f t="shared" ref="M215:M216" si="115">K215-L215</f>
        <v>180</v>
      </c>
      <c r="N215" s="182">
        <f>M215*C2</f>
        <v>7.2</v>
      </c>
      <c r="O215" s="183">
        <f>M215*3.63%</f>
        <v>6.534</v>
      </c>
      <c r="P215" s="212" t="s">
        <v>9</v>
      </c>
      <c r="Q215" s="212" t="s">
        <v>131</v>
      </c>
      <c r="R215" s="183">
        <f t="shared" ref="R215:R216" si="116">M215-N215-O215</f>
        <v>166.266</v>
      </c>
      <c r="S215" s="183">
        <f t="shared" ref="S215:S216" si="117">R215/E215</f>
        <v>166.266</v>
      </c>
      <c r="T215" s="212" t="s">
        <v>70</v>
      </c>
      <c r="U215" s="183">
        <f>M215-O215</f>
        <v>173.466</v>
      </c>
      <c r="V215" s="176" t="s">
        <v>130</v>
      </c>
      <c r="W215" s="166"/>
      <c r="X215" s="166"/>
      <c r="Y215" s="166"/>
      <c r="Z215" s="166"/>
      <c r="AA215" s="166"/>
      <c r="AB215" s="166"/>
      <c r="AC215" s="166"/>
      <c r="AD215" s="166"/>
      <c r="AE215" s="166"/>
      <c r="AF215" s="166"/>
      <c r="AG215" s="166"/>
      <c r="AH215" s="166"/>
      <c r="AI215" s="166"/>
      <c r="AJ215" s="166"/>
      <c r="AK215" s="166"/>
      <c r="AL215" s="166"/>
      <c r="AM215" s="166"/>
      <c r="AN215" s="166"/>
      <c r="AO215" s="166"/>
      <c r="AP215" s="166"/>
      <c r="AQ215" s="166"/>
      <c r="AR215" s="166"/>
    </row>
    <row r="216" customHeight="1" spans="1:44">
      <c r="A216" s="166"/>
      <c r="B216" s="206">
        <v>2470</v>
      </c>
      <c r="C216" s="206" t="s">
        <v>16</v>
      </c>
      <c r="D216" s="206" t="s">
        <v>0</v>
      </c>
      <c r="E216" s="206">
        <v>1</v>
      </c>
      <c r="F216" s="206" t="s">
        <v>1</v>
      </c>
      <c r="G216" s="207">
        <v>45875</v>
      </c>
      <c r="H216" s="206" t="s">
        <v>68</v>
      </c>
      <c r="I216" s="206" t="s">
        <v>54</v>
      </c>
      <c r="J216" s="206">
        <v>1156</v>
      </c>
      <c r="K216" s="208">
        <v>180</v>
      </c>
      <c r="L216" s="208">
        <v>0</v>
      </c>
      <c r="M216" s="208">
        <f t="shared" si="115"/>
        <v>180</v>
      </c>
      <c r="N216" s="208">
        <f>M216*C2</f>
        <v>7.2</v>
      </c>
      <c r="O216" s="209">
        <f>M216*2.9%</f>
        <v>5.22</v>
      </c>
      <c r="P216" s="213" t="s">
        <v>10</v>
      </c>
      <c r="Q216" s="213" t="s">
        <v>55</v>
      </c>
      <c r="R216" s="209">
        <f t="shared" si="116"/>
        <v>167.58</v>
      </c>
      <c r="S216" s="222">
        <f t="shared" si="117"/>
        <v>167.58</v>
      </c>
      <c r="T216" s="213" t="s">
        <v>70</v>
      </c>
      <c r="U216" s="209">
        <f>M216/2-O216/2</f>
        <v>87.39</v>
      </c>
      <c r="V216" s="223" t="s">
        <v>130</v>
      </c>
      <c r="W216" s="166"/>
      <c r="X216" s="166"/>
      <c r="Y216" s="166"/>
      <c r="Z216" s="166"/>
      <c r="AA216" s="166"/>
      <c r="AB216" s="166"/>
      <c r="AC216" s="166"/>
      <c r="AD216" s="166"/>
      <c r="AE216" s="166"/>
      <c r="AF216" s="166"/>
      <c r="AG216" s="166"/>
      <c r="AH216" s="166"/>
      <c r="AI216" s="166"/>
      <c r="AJ216" s="166"/>
      <c r="AK216" s="166"/>
      <c r="AL216" s="166"/>
      <c r="AM216" s="166"/>
      <c r="AN216" s="166"/>
      <c r="AO216" s="166"/>
      <c r="AP216" s="166"/>
      <c r="AQ216" s="166"/>
      <c r="AR216" s="166"/>
    </row>
    <row r="217" customHeight="1" spans="1:44">
      <c r="A217" s="16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00"/>
      <c r="Q217" s="100"/>
      <c r="R217" s="16"/>
      <c r="S217" s="200"/>
      <c r="T217" s="266" t="s">
        <v>71</v>
      </c>
      <c r="U217" s="184">
        <f>U216</f>
        <v>87.39</v>
      </c>
      <c r="V217" s="199"/>
      <c r="W217" s="166"/>
      <c r="X217" s="166"/>
      <c r="Y217" s="166"/>
      <c r="Z217" s="166"/>
      <c r="AA217" s="166"/>
      <c r="AB217" s="166"/>
      <c r="AC217" s="166"/>
      <c r="AD217" s="166"/>
      <c r="AE217" s="166"/>
      <c r="AF217" s="166"/>
      <c r="AG217" s="166"/>
      <c r="AH217" s="166"/>
      <c r="AI217" s="166"/>
      <c r="AJ217" s="166"/>
      <c r="AK217" s="166"/>
      <c r="AL217" s="166"/>
      <c r="AM217" s="166"/>
      <c r="AN217" s="166"/>
      <c r="AO217" s="166"/>
      <c r="AP217" s="166"/>
      <c r="AQ217" s="166"/>
      <c r="AR217" s="166"/>
    </row>
    <row r="218" customHeight="1" spans="1:44">
      <c r="A218" s="166"/>
      <c r="B218" s="206">
        <v>3049</v>
      </c>
      <c r="C218" s="206" t="s">
        <v>99</v>
      </c>
      <c r="D218" s="206" t="s">
        <v>0</v>
      </c>
      <c r="E218" s="206">
        <v>1</v>
      </c>
      <c r="F218" s="206" t="s">
        <v>1</v>
      </c>
      <c r="G218" s="207">
        <v>45875</v>
      </c>
      <c r="H218" s="206" t="s">
        <v>68</v>
      </c>
      <c r="I218" s="206" t="s">
        <v>54</v>
      </c>
      <c r="J218" s="206">
        <v>1156</v>
      </c>
      <c r="K218" s="208">
        <v>180</v>
      </c>
      <c r="L218" s="208">
        <v>0</v>
      </c>
      <c r="M218" s="208">
        <f>K218-L218</f>
        <v>180</v>
      </c>
      <c r="N218" s="208">
        <f>M218*C2</f>
        <v>7.2</v>
      </c>
      <c r="O218" s="209">
        <f>M218*2.9%</f>
        <v>5.22</v>
      </c>
      <c r="P218" s="100"/>
      <c r="Q218" s="100"/>
      <c r="R218" s="209">
        <f>M218-N218-O218</f>
        <v>167.58</v>
      </c>
      <c r="S218" s="222">
        <f>R218/E218</f>
        <v>167.58</v>
      </c>
      <c r="T218" s="213" t="s">
        <v>70</v>
      </c>
      <c r="U218" s="209">
        <f>M218/2-O218/2</f>
        <v>87.39</v>
      </c>
      <c r="V218" s="199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  <c r="AG218" s="166"/>
      <c r="AH218" s="166"/>
      <c r="AI218" s="166"/>
      <c r="AJ218" s="166"/>
      <c r="AK218" s="166"/>
      <c r="AL218" s="166"/>
      <c r="AM218" s="166"/>
      <c r="AN218" s="166"/>
      <c r="AO218" s="166"/>
      <c r="AP218" s="166"/>
      <c r="AQ218" s="166"/>
      <c r="AR218" s="166"/>
    </row>
    <row r="219" customHeight="1" spans="1:44">
      <c r="A219" s="16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200"/>
      <c r="T219" s="266" t="s">
        <v>71</v>
      </c>
      <c r="U219" s="184">
        <f>U218</f>
        <v>87.39</v>
      </c>
      <c r="V219" s="201"/>
      <c r="W219" s="166"/>
      <c r="X219" s="166"/>
      <c r="Y219" s="166"/>
      <c r="Z219" s="166"/>
      <c r="AA219" s="166"/>
      <c r="AB219" s="166"/>
      <c r="AC219" s="166"/>
      <c r="AD219" s="166"/>
      <c r="AE219" s="166"/>
      <c r="AF219" s="166"/>
      <c r="AG219" s="166"/>
      <c r="AH219" s="166"/>
      <c r="AI219" s="166"/>
      <c r="AJ219" s="166"/>
      <c r="AK219" s="166"/>
      <c r="AL219" s="166"/>
      <c r="AM219" s="166"/>
      <c r="AN219" s="166"/>
      <c r="AO219" s="166"/>
      <c r="AP219" s="166"/>
      <c r="AQ219" s="166"/>
      <c r="AR219" s="166"/>
    </row>
    <row r="220" customHeight="1" spans="1:44">
      <c r="A220" s="166"/>
      <c r="B220" s="176">
        <v>2470</v>
      </c>
      <c r="C220" s="176" t="s">
        <v>16</v>
      </c>
      <c r="D220" s="176" t="s">
        <v>0</v>
      </c>
      <c r="E220" s="176">
        <v>1</v>
      </c>
      <c r="F220" s="176" t="s">
        <v>1</v>
      </c>
      <c r="G220" s="177">
        <v>45875</v>
      </c>
      <c r="H220" s="176" t="s">
        <v>68</v>
      </c>
      <c r="I220" s="176" t="s">
        <v>54</v>
      </c>
      <c r="J220" s="176">
        <v>1157</v>
      </c>
      <c r="K220" s="182">
        <v>180</v>
      </c>
      <c r="L220" s="182">
        <v>80</v>
      </c>
      <c r="M220" s="182">
        <f t="shared" ref="M220:M221" si="118">K220-L220</f>
        <v>100</v>
      </c>
      <c r="N220" s="182">
        <f>M220*C2</f>
        <v>4</v>
      </c>
      <c r="O220" s="183">
        <f>M220*1.65%</f>
        <v>1.65</v>
      </c>
      <c r="P220" s="183" t="s">
        <v>7</v>
      </c>
      <c r="Q220" s="212" t="s">
        <v>62</v>
      </c>
      <c r="R220" s="183">
        <f t="shared" ref="R220:R221" si="119">M220-N220-O220</f>
        <v>94.35</v>
      </c>
      <c r="S220" s="183">
        <f t="shared" ref="S220:S221" si="120">R220/E220</f>
        <v>94.35</v>
      </c>
      <c r="T220" s="213" t="s">
        <v>66</v>
      </c>
      <c r="U220" s="209">
        <f>M220-O220</f>
        <v>98.35</v>
      </c>
      <c r="V220" s="176" t="s">
        <v>130</v>
      </c>
      <c r="W220" s="166"/>
      <c r="X220" s="166"/>
      <c r="Y220" s="166"/>
      <c r="Z220" s="166"/>
      <c r="AA220" s="166"/>
      <c r="AB220" s="166"/>
      <c r="AC220" s="166"/>
      <c r="AD220" s="166"/>
      <c r="AE220" s="166"/>
      <c r="AF220" s="166"/>
      <c r="AG220" s="166"/>
      <c r="AH220" s="166"/>
      <c r="AI220" s="166"/>
      <c r="AJ220" s="166"/>
      <c r="AK220" s="166"/>
      <c r="AL220" s="166"/>
      <c r="AM220" s="166"/>
      <c r="AN220" s="166"/>
      <c r="AO220" s="166"/>
      <c r="AP220" s="166"/>
      <c r="AQ220" s="166"/>
      <c r="AR220" s="166"/>
    </row>
    <row r="221" customHeight="1" spans="1:44">
      <c r="A221" s="166"/>
      <c r="B221" s="206">
        <v>2470</v>
      </c>
      <c r="C221" s="206" t="s">
        <v>16</v>
      </c>
      <c r="D221" s="206" t="s">
        <v>0</v>
      </c>
      <c r="E221" s="206">
        <v>1</v>
      </c>
      <c r="F221" s="206" t="s">
        <v>1</v>
      </c>
      <c r="G221" s="207">
        <v>45875</v>
      </c>
      <c r="H221" s="206" t="s">
        <v>68</v>
      </c>
      <c r="I221" s="206" t="s">
        <v>54</v>
      </c>
      <c r="J221" s="206">
        <v>1158</v>
      </c>
      <c r="K221" s="208">
        <v>180</v>
      </c>
      <c r="L221" s="208">
        <v>0</v>
      </c>
      <c r="M221" s="208">
        <f t="shared" si="118"/>
        <v>180</v>
      </c>
      <c r="N221" s="208">
        <f>M221*C2</f>
        <v>7.2</v>
      </c>
      <c r="O221" s="209">
        <f>M221*2.9%</f>
        <v>5.22</v>
      </c>
      <c r="P221" s="213" t="s">
        <v>10</v>
      </c>
      <c r="Q221" s="213" t="s">
        <v>62</v>
      </c>
      <c r="R221" s="209">
        <f t="shared" si="119"/>
        <v>167.58</v>
      </c>
      <c r="S221" s="209">
        <f t="shared" si="120"/>
        <v>167.58</v>
      </c>
      <c r="T221" s="213" t="s">
        <v>70</v>
      </c>
      <c r="U221" s="209">
        <f>M221/2-O221/2</f>
        <v>87.39</v>
      </c>
      <c r="V221" s="206" t="s">
        <v>130</v>
      </c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  <c r="AG221" s="166"/>
      <c r="AH221" s="166"/>
      <c r="AI221" s="166"/>
      <c r="AJ221" s="166"/>
      <c r="AK221" s="166"/>
      <c r="AL221" s="166"/>
      <c r="AM221" s="166"/>
      <c r="AN221" s="166"/>
      <c r="AO221" s="166"/>
      <c r="AP221" s="166"/>
      <c r="AQ221" s="166"/>
      <c r="AR221" s="166"/>
    </row>
    <row r="222" customHeight="1" spans="1:44">
      <c r="A222" s="16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266" t="s">
        <v>71</v>
      </c>
      <c r="U222" s="184">
        <f>U221</f>
        <v>87.39</v>
      </c>
      <c r="V222" s="16"/>
      <c r="W222" s="166"/>
      <c r="X222" s="166"/>
      <c r="Y222" s="166"/>
      <c r="Z222" s="166"/>
      <c r="AA222" s="166"/>
      <c r="AB222" s="166"/>
      <c r="AC222" s="166"/>
      <c r="AD222" s="166"/>
      <c r="AE222" s="166"/>
      <c r="AF222" s="166"/>
      <c r="AG222" s="166"/>
      <c r="AH222" s="166"/>
      <c r="AI222" s="166"/>
      <c r="AJ222" s="166"/>
      <c r="AK222" s="166"/>
      <c r="AL222" s="166"/>
      <c r="AM222" s="166"/>
      <c r="AN222" s="166"/>
      <c r="AO222" s="166"/>
      <c r="AP222" s="166"/>
      <c r="AQ222" s="166"/>
      <c r="AR222" s="166"/>
    </row>
    <row r="223" customHeight="1" spans="1:44">
      <c r="A223" s="166"/>
      <c r="B223" s="176">
        <v>2470</v>
      </c>
      <c r="C223" s="176" t="s">
        <v>16</v>
      </c>
      <c r="D223" s="176" t="s">
        <v>0</v>
      </c>
      <c r="E223" s="176">
        <v>1</v>
      </c>
      <c r="F223" s="176" t="s">
        <v>1</v>
      </c>
      <c r="G223" s="177">
        <v>45875</v>
      </c>
      <c r="H223" s="176" t="s">
        <v>68</v>
      </c>
      <c r="I223" s="176" t="s">
        <v>54</v>
      </c>
      <c r="J223" s="176">
        <v>1159</v>
      </c>
      <c r="K223" s="182">
        <v>180</v>
      </c>
      <c r="L223" s="182">
        <v>80</v>
      </c>
      <c r="M223" s="182">
        <f t="shared" ref="M223:M224" si="121">K223-L223</f>
        <v>100</v>
      </c>
      <c r="N223" s="182">
        <f>M223*C2</f>
        <v>4</v>
      </c>
      <c r="O223" s="183">
        <v>2.71</v>
      </c>
      <c r="P223" s="183" t="s">
        <v>9</v>
      </c>
      <c r="Q223" s="212" t="s">
        <v>62</v>
      </c>
      <c r="R223" s="183">
        <f t="shared" ref="R223:R224" si="122">M223-N223-O223</f>
        <v>93.29</v>
      </c>
      <c r="S223" s="183">
        <f t="shared" ref="S223:S224" si="123">R223/E223</f>
        <v>93.29</v>
      </c>
      <c r="T223" s="213" t="s">
        <v>70</v>
      </c>
      <c r="U223" s="209">
        <f>M223-O223</f>
        <v>97.29</v>
      </c>
      <c r="V223" s="176" t="s">
        <v>130</v>
      </c>
      <c r="W223" s="166"/>
      <c r="X223" s="166"/>
      <c r="Y223" s="166"/>
      <c r="Z223" s="166"/>
      <c r="AA223" s="166"/>
      <c r="AB223" s="166"/>
      <c r="AC223" s="166"/>
      <c r="AD223" s="166"/>
      <c r="AE223" s="166"/>
      <c r="AF223" s="166"/>
      <c r="AG223" s="166"/>
      <c r="AH223" s="166"/>
      <c r="AI223" s="166"/>
      <c r="AJ223" s="166"/>
      <c r="AK223" s="166"/>
      <c r="AL223" s="166"/>
      <c r="AM223" s="166"/>
      <c r="AN223" s="166"/>
      <c r="AO223" s="166"/>
      <c r="AP223" s="166"/>
      <c r="AQ223" s="166"/>
      <c r="AR223" s="166"/>
    </row>
    <row r="224" customHeight="1" spans="1:44">
      <c r="A224" s="166"/>
      <c r="B224" s="206">
        <v>2470</v>
      </c>
      <c r="C224" s="206" t="s">
        <v>16</v>
      </c>
      <c r="D224" s="206" t="s">
        <v>0</v>
      </c>
      <c r="E224" s="206">
        <v>1</v>
      </c>
      <c r="F224" s="206" t="s">
        <v>1</v>
      </c>
      <c r="G224" s="207">
        <v>45875</v>
      </c>
      <c r="H224" s="206" t="s">
        <v>68</v>
      </c>
      <c r="I224" s="206" t="s">
        <v>54</v>
      </c>
      <c r="J224" s="206">
        <v>1160</v>
      </c>
      <c r="K224" s="208">
        <v>180</v>
      </c>
      <c r="L224" s="208">
        <v>80</v>
      </c>
      <c r="M224" s="208">
        <f t="shared" si="121"/>
        <v>100</v>
      </c>
      <c r="N224" s="208">
        <f>M224*C2</f>
        <v>4</v>
      </c>
      <c r="O224" s="209">
        <v>2.9</v>
      </c>
      <c r="P224" s="213" t="s">
        <v>10</v>
      </c>
      <c r="Q224" s="213" t="s">
        <v>62</v>
      </c>
      <c r="R224" s="209">
        <f t="shared" si="122"/>
        <v>93.1</v>
      </c>
      <c r="S224" s="222">
        <f t="shared" si="123"/>
        <v>93.1</v>
      </c>
      <c r="T224" s="213" t="s">
        <v>70</v>
      </c>
      <c r="U224" s="209">
        <f>M224/2-O224/2</f>
        <v>48.55</v>
      </c>
      <c r="V224" s="223" t="s">
        <v>130</v>
      </c>
      <c r="W224" s="166"/>
      <c r="X224" s="166"/>
      <c r="Y224" s="166"/>
      <c r="Z224" s="166"/>
      <c r="AA224" s="166"/>
      <c r="AB224" s="166"/>
      <c r="AC224" s="166"/>
      <c r="AD224" s="166"/>
      <c r="AE224" s="166"/>
      <c r="AF224" s="166"/>
      <c r="AG224" s="166"/>
      <c r="AH224" s="166"/>
      <c r="AI224" s="166"/>
      <c r="AJ224" s="166"/>
      <c r="AK224" s="166"/>
      <c r="AL224" s="166"/>
      <c r="AM224" s="166"/>
      <c r="AN224" s="166"/>
      <c r="AO224" s="166"/>
      <c r="AP224" s="166"/>
      <c r="AQ224" s="166"/>
      <c r="AR224" s="166"/>
    </row>
    <row r="225" customHeight="1" spans="1:44">
      <c r="A225" s="16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200"/>
      <c r="T225" s="266" t="s">
        <v>71</v>
      </c>
      <c r="U225" s="184">
        <f>U224</f>
        <v>48.55</v>
      </c>
      <c r="V225" s="201"/>
      <c r="W225" s="166"/>
      <c r="X225" s="166"/>
      <c r="Y225" s="166"/>
      <c r="Z225" s="166"/>
      <c r="AA225" s="166"/>
      <c r="AB225" s="166"/>
      <c r="AC225" s="166"/>
      <c r="AD225" s="166"/>
      <c r="AE225" s="166"/>
      <c r="AF225" s="166"/>
      <c r="AG225" s="166"/>
      <c r="AH225" s="166"/>
      <c r="AI225" s="166"/>
      <c r="AJ225" s="166"/>
      <c r="AK225" s="166"/>
      <c r="AL225" s="166"/>
      <c r="AM225" s="166"/>
      <c r="AN225" s="166"/>
      <c r="AO225" s="166"/>
      <c r="AP225" s="166"/>
      <c r="AQ225" s="166"/>
      <c r="AR225" s="166"/>
    </row>
    <row r="226" customHeight="1" spans="1:44">
      <c r="A226" s="166"/>
      <c r="B226" s="206">
        <v>2470</v>
      </c>
      <c r="C226" s="206" t="s">
        <v>16</v>
      </c>
      <c r="D226" s="206" t="s">
        <v>0</v>
      </c>
      <c r="E226" s="206">
        <v>1</v>
      </c>
      <c r="F226" s="206" t="s">
        <v>1</v>
      </c>
      <c r="G226" s="207">
        <v>45875</v>
      </c>
      <c r="H226" s="206" t="s">
        <v>68</v>
      </c>
      <c r="I226" s="206" t="s">
        <v>54</v>
      </c>
      <c r="J226" s="206">
        <v>1161</v>
      </c>
      <c r="K226" s="208">
        <v>180</v>
      </c>
      <c r="L226" s="208">
        <v>80</v>
      </c>
      <c r="M226" s="208">
        <f>K226-L226</f>
        <v>100</v>
      </c>
      <c r="N226" s="208">
        <f>M226*C2</f>
        <v>4</v>
      </c>
      <c r="O226" s="209">
        <v>2.9</v>
      </c>
      <c r="P226" s="213" t="s">
        <v>10</v>
      </c>
      <c r="Q226" s="213" t="s">
        <v>62</v>
      </c>
      <c r="R226" s="209">
        <f>M226-N226-O226</f>
        <v>93.1</v>
      </c>
      <c r="S226" s="222">
        <f>R226/E226</f>
        <v>93.1</v>
      </c>
      <c r="T226" s="213" t="s">
        <v>70</v>
      </c>
      <c r="U226" s="209">
        <f>M226/2-O226/2</f>
        <v>48.55</v>
      </c>
      <c r="V226" s="223" t="s">
        <v>130</v>
      </c>
      <c r="W226" s="166"/>
      <c r="X226" s="166"/>
      <c r="Y226" s="166"/>
      <c r="Z226" s="166"/>
      <c r="AA226" s="166"/>
      <c r="AB226" s="166"/>
      <c r="AC226" s="166"/>
      <c r="AD226" s="166"/>
      <c r="AE226" s="166"/>
      <c r="AF226" s="166"/>
      <c r="AG226" s="166"/>
      <c r="AH226" s="166"/>
      <c r="AI226" s="166"/>
      <c r="AJ226" s="166"/>
      <c r="AK226" s="166"/>
      <c r="AL226" s="166"/>
      <c r="AM226" s="166"/>
      <c r="AN226" s="166"/>
      <c r="AO226" s="166"/>
      <c r="AP226" s="166"/>
      <c r="AQ226" s="166"/>
      <c r="AR226" s="166"/>
    </row>
    <row r="227" customHeight="1" spans="1:44">
      <c r="A227" s="16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200"/>
      <c r="T227" s="266" t="s">
        <v>71</v>
      </c>
      <c r="U227" s="184">
        <f>U226</f>
        <v>48.55</v>
      </c>
      <c r="V227" s="201"/>
      <c r="W227" s="166"/>
      <c r="X227" s="166"/>
      <c r="Y227" s="166"/>
      <c r="Z227" s="166"/>
      <c r="AA227" s="166"/>
      <c r="AB227" s="166"/>
      <c r="AC227" s="166"/>
      <c r="AD227" s="166"/>
      <c r="AE227" s="166"/>
      <c r="AF227" s="166"/>
      <c r="AG227" s="166"/>
      <c r="AH227" s="166"/>
      <c r="AI227" s="166"/>
      <c r="AJ227" s="166"/>
      <c r="AK227" s="166"/>
      <c r="AL227" s="166"/>
      <c r="AM227" s="166"/>
      <c r="AN227" s="166"/>
      <c r="AO227" s="166"/>
      <c r="AP227" s="166"/>
      <c r="AQ227" s="166"/>
      <c r="AR227" s="166"/>
    </row>
    <row r="228" customHeight="1" spans="1:44">
      <c r="A228" s="166"/>
      <c r="B228" s="176">
        <v>2550</v>
      </c>
      <c r="C228" s="176" t="s">
        <v>58</v>
      </c>
      <c r="D228" s="176" t="s">
        <v>0</v>
      </c>
      <c r="E228" s="176">
        <v>1</v>
      </c>
      <c r="F228" s="176" t="s">
        <v>1</v>
      </c>
      <c r="G228" s="177">
        <v>45875</v>
      </c>
      <c r="H228" s="176" t="s">
        <v>68</v>
      </c>
      <c r="I228" s="176" t="s">
        <v>54</v>
      </c>
      <c r="J228" s="176">
        <v>1162</v>
      </c>
      <c r="K228" s="182">
        <v>60</v>
      </c>
      <c r="L228" s="182">
        <v>0</v>
      </c>
      <c r="M228" s="182">
        <f t="shared" ref="M228:M229" si="124">K228-L228</f>
        <v>60</v>
      </c>
      <c r="N228" s="182">
        <f>M228*C2</f>
        <v>2.4</v>
      </c>
      <c r="O228" s="183">
        <v>2.13</v>
      </c>
      <c r="P228" s="212" t="s">
        <v>9</v>
      </c>
      <c r="Q228" s="212" t="s">
        <v>62</v>
      </c>
      <c r="R228" s="183">
        <f t="shared" ref="R228:R229" si="125">M228-N228-O228</f>
        <v>55.47</v>
      </c>
      <c r="S228" s="183">
        <f t="shared" ref="S228:S229" si="126">R228/E228</f>
        <v>55.47</v>
      </c>
      <c r="T228" s="212" t="s">
        <v>70</v>
      </c>
      <c r="U228" s="183">
        <f>M228-O228</f>
        <v>57.87</v>
      </c>
      <c r="V228" s="176" t="s">
        <v>130</v>
      </c>
      <c r="W228" s="166"/>
      <c r="X228" s="166"/>
      <c r="Y228" s="166"/>
      <c r="Z228" s="166"/>
      <c r="AA228" s="166"/>
      <c r="AB228" s="166"/>
      <c r="AC228" s="166"/>
      <c r="AD228" s="166"/>
      <c r="AE228" s="166"/>
      <c r="AF228" s="166"/>
      <c r="AG228" s="166"/>
      <c r="AH228" s="166"/>
      <c r="AI228" s="166"/>
      <c r="AJ228" s="166"/>
      <c r="AK228" s="166"/>
      <c r="AL228" s="166"/>
      <c r="AM228" s="166"/>
      <c r="AN228" s="166"/>
      <c r="AO228" s="166"/>
      <c r="AP228" s="166"/>
      <c r="AQ228" s="166"/>
      <c r="AR228" s="166"/>
    </row>
    <row r="229" customHeight="1" spans="1:44">
      <c r="A229" s="166"/>
      <c r="B229" s="206">
        <v>3008</v>
      </c>
      <c r="C229" s="206" t="s">
        <v>28</v>
      </c>
      <c r="D229" s="206" t="s">
        <v>0</v>
      </c>
      <c r="E229" s="206">
        <v>1</v>
      </c>
      <c r="F229" s="206" t="s">
        <v>1</v>
      </c>
      <c r="G229" s="207">
        <v>45875</v>
      </c>
      <c r="H229" s="206" t="s">
        <v>68</v>
      </c>
      <c r="I229" s="206" t="s">
        <v>54</v>
      </c>
      <c r="J229" s="206">
        <v>1163</v>
      </c>
      <c r="K229" s="208">
        <v>215</v>
      </c>
      <c r="L229" s="208">
        <v>0</v>
      </c>
      <c r="M229" s="208">
        <f t="shared" si="124"/>
        <v>215</v>
      </c>
      <c r="N229" s="208">
        <f>M229*C2</f>
        <v>8.6</v>
      </c>
      <c r="O229" s="209">
        <f>M229*2.9%</f>
        <v>6.235</v>
      </c>
      <c r="P229" s="213" t="s">
        <v>10</v>
      </c>
      <c r="Q229" s="213" t="s">
        <v>62</v>
      </c>
      <c r="R229" s="209">
        <f t="shared" si="125"/>
        <v>200.165</v>
      </c>
      <c r="S229" s="222">
        <f t="shared" si="126"/>
        <v>200.165</v>
      </c>
      <c r="T229" s="213" t="s">
        <v>70</v>
      </c>
      <c r="U229" s="209">
        <f>S229/2-O229/2</f>
        <v>96.965</v>
      </c>
      <c r="V229" s="223" t="s">
        <v>130</v>
      </c>
      <c r="W229" s="166"/>
      <c r="X229" s="166"/>
      <c r="Y229" s="166"/>
      <c r="Z229" s="166"/>
      <c r="AA229" s="166"/>
      <c r="AB229" s="166"/>
      <c r="AC229" s="166"/>
      <c r="AD229" s="166"/>
      <c r="AE229" s="166"/>
      <c r="AF229" s="166"/>
      <c r="AG229" s="166"/>
      <c r="AH229" s="166"/>
      <c r="AI229" s="166"/>
      <c r="AJ229" s="166"/>
      <c r="AK229" s="166"/>
      <c r="AL229" s="166"/>
      <c r="AM229" s="166"/>
      <c r="AN229" s="166"/>
      <c r="AO229" s="166"/>
      <c r="AP229" s="166"/>
      <c r="AQ229" s="166"/>
      <c r="AR229" s="166"/>
    </row>
    <row r="230" customHeight="1" spans="1:44">
      <c r="A230" s="16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200"/>
      <c r="T230" s="266" t="s">
        <v>71</v>
      </c>
      <c r="U230" s="184">
        <f>U229</f>
        <v>96.965</v>
      </c>
      <c r="V230" s="201"/>
      <c r="W230" s="166"/>
      <c r="X230" s="166"/>
      <c r="Y230" s="166"/>
      <c r="Z230" s="166"/>
      <c r="AA230" s="166"/>
      <c r="AB230" s="166"/>
      <c r="AC230" s="166"/>
      <c r="AD230" s="166"/>
      <c r="AE230" s="166"/>
      <c r="AF230" s="166"/>
      <c r="AG230" s="166"/>
      <c r="AH230" s="166"/>
      <c r="AI230" s="166"/>
      <c r="AJ230" s="166"/>
      <c r="AK230" s="166"/>
      <c r="AL230" s="166"/>
      <c r="AM230" s="166"/>
      <c r="AN230" s="166"/>
      <c r="AO230" s="166"/>
      <c r="AP230" s="166"/>
      <c r="AQ230" s="166"/>
      <c r="AR230" s="166"/>
    </row>
    <row r="231" customHeight="1" spans="1:44">
      <c r="A231" s="166"/>
      <c r="B231" s="206">
        <v>2470</v>
      </c>
      <c r="C231" s="206" t="s">
        <v>16</v>
      </c>
      <c r="D231" s="206" t="s">
        <v>0</v>
      </c>
      <c r="E231" s="206">
        <v>2</v>
      </c>
      <c r="F231" s="206" t="s">
        <v>1</v>
      </c>
      <c r="G231" s="207">
        <v>45875</v>
      </c>
      <c r="H231" s="206" t="s">
        <v>68</v>
      </c>
      <c r="I231" s="206" t="s">
        <v>54</v>
      </c>
      <c r="J231" s="206">
        <v>1164</v>
      </c>
      <c r="K231" s="208">
        <v>360</v>
      </c>
      <c r="L231" s="208">
        <v>0</v>
      </c>
      <c r="M231" s="208">
        <f>K231-L231</f>
        <v>360</v>
      </c>
      <c r="N231" s="208">
        <f>M231*C2</f>
        <v>14.4</v>
      </c>
      <c r="O231" s="209">
        <f>M231*2.9%</f>
        <v>10.44</v>
      </c>
      <c r="P231" s="213" t="s">
        <v>10</v>
      </c>
      <c r="Q231" s="213" t="s">
        <v>62</v>
      </c>
      <c r="R231" s="209">
        <f>M231-N231-O231</f>
        <v>335.16</v>
      </c>
      <c r="S231" s="222">
        <f>R231/E231</f>
        <v>167.58</v>
      </c>
      <c r="T231" s="213" t="s">
        <v>70</v>
      </c>
      <c r="U231" s="209">
        <f>M231/2-O231/2</f>
        <v>174.78</v>
      </c>
      <c r="V231" s="223" t="s">
        <v>130</v>
      </c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  <c r="AH231" s="166"/>
      <c r="AI231" s="166"/>
      <c r="AJ231" s="166"/>
      <c r="AK231" s="166"/>
      <c r="AL231" s="166"/>
      <c r="AM231" s="166"/>
      <c r="AN231" s="166"/>
      <c r="AO231" s="166"/>
      <c r="AP231" s="166"/>
      <c r="AQ231" s="166"/>
      <c r="AR231" s="166"/>
    </row>
    <row r="232" customHeight="1" spans="1:44">
      <c r="A232" s="16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200"/>
      <c r="T232" s="266" t="s">
        <v>71</v>
      </c>
      <c r="U232" s="184">
        <f>U231</f>
        <v>174.78</v>
      </c>
      <c r="V232" s="201"/>
      <c r="W232" s="166"/>
      <c r="X232" s="166"/>
      <c r="Y232" s="166"/>
      <c r="Z232" s="166"/>
      <c r="AA232" s="166"/>
      <c r="AB232" s="166"/>
      <c r="AC232" s="166"/>
      <c r="AD232" s="166"/>
      <c r="AE232" s="166"/>
      <c r="AF232" s="166"/>
      <c r="AG232" s="166"/>
      <c r="AH232" s="166"/>
      <c r="AI232" s="166"/>
      <c r="AJ232" s="166"/>
      <c r="AK232" s="166"/>
      <c r="AL232" s="166"/>
      <c r="AM232" s="166"/>
      <c r="AN232" s="166"/>
      <c r="AO232" s="166"/>
      <c r="AP232" s="166"/>
      <c r="AQ232" s="166"/>
      <c r="AR232" s="166"/>
    </row>
    <row r="233" customHeight="1" spans="1:44">
      <c r="A233" s="166"/>
      <c r="B233" s="206">
        <v>2470</v>
      </c>
      <c r="C233" s="206" t="s">
        <v>16</v>
      </c>
      <c r="D233" s="206" t="s">
        <v>0</v>
      </c>
      <c r="E233" s="206">
        <v>2</v>
      </c>
      <c r="F233" s="206" t="s">
        <v>1</v>
      </c>
      <c r="G233" s="207">
        <v>45875</v>
      </c>
      <c r="H233" s="206" t="s">
        <v>68</v>
      </c>
      <c r="I233" s="206" t="s">
        <v>54</v>
      </c>
      <c r="J233" s="206">
        <v>1165</v>
      </c>
      <c r="K233" s="208">
        <v>360</v>
      </c>
      <c r="L233" s="208">
        <v>160</v>
      </c>
      <c r="M233" s="208">
        <f>K233-L233</f>
        <v>200</v>
      </c>
      <c r="N233" s="208">
        <f>M233*C2</f>
        <v>8</v>
      </c>
      <c r="O233" s="209">
        <v>5.8</v>
      </c>
      <c r="P233" s="213" t="s">
        <v>87</v>
      </c>
      <c r="Q233" s="213" t="s">
        <v>62</v>
      </c>
      <c r="R233" s="209">
        <f>M233-N233-O233</f>
        <v>186.2</v>
      </c>
      <c r="S233" s="222">
        <f>R233/E233</f>
        <v>93.1</v>
      </c>
      <c r="T233" s="213" t="s">
        <v>70</v>
      </c>
      <c r="U233" s="209">
        <f>M233/3-O233/3</f>
        <v>64.7333333333333</v>
      </c>
      <c r="V233" s="223" t="s">
        <v>130</v>
      </c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  <c r="AG233" s="166"/>
      <c r="AH233" s="166"/>
      <c r="AI233" s="166"/>
      <c r="AJ233" s="166"/>
      <c r="AK233" s="166"/>
      <c r="AL233" s="166"/>
      <c r="AM233" s="166"/>
      <c r="AN233" s="166"/>
      <c r="AO233" s="166"/>
      <c r="AP233" s="166"/>
      <c r="AQ233" s="166"/>
      <c r="AR233" s="166"/>
    </row>
    <row r="234" customHeight="1" spans="1:44">
      <c r="A234" s="166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98"/>
      <c r="T234" s="298" t="s">
        <v>71</v>
      </c>
      <c r="U234" s="210">
        <f>U233</f>
        <v>64.7333333333333</v>
      </c>
      <c r="V234" s="199"/>
      <c r="W234" s="166"/>
      <c r="X234" s="166"/>
      <c r="Y234" s="166"/>
      <c r="Z234" s="166"/>
      <c r="AA234" s="166"/>
      <c r="AB234" s="166"/>
      <c r="AC234" s="166"/>
      <c r="AD234" s="166"/>
      <c r="AE234" s="166"/>
      <c r="AF234" s="166"/>
      <c r="AG234" s="166"/>
      <c r="AH234" s="166"/>
      <c r="AI234" s="166"/>
      <c r="AJ234" s="166"/>
      <c r="AK234" s="166"/>
      <c r="AL234" s="166"/>
      <c r="AM234" s="166"/>
      <c r="AN234" s="166"/>
      <c r="AO234" s="166"/>
      <c r="AP234" s="166"/>
      <c r="AQ234" s="166"/>
      <c r="AR234" s="166"/>
    </row>
    <row r="235" customHeight="1" spans="1:44">
      <c r="A235" s="16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200"/>
      <c r="T235" s="266" t="s">
        <v>72</v>
      </c>
      <c r="U235" s="184">
        <f>U233</f>
        <v>64.7333333333333</v>
      </c>
      <c r="V235" s="201"/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  <c r="AH235" s="166"/>
      <c r="AI235" s="166"/>
      <c r="AJ235" s="166"/>
      <c r="AK235" s="166"/>
      <c r="AL235" s="166"/>
      <c r="AM235" s="166"/>
      <c r="AN235" s="166"/>
      <c r="AO235" s="166"/>
      <c r="AP235" s="166"/>
      <c r="AQ235" s="166"/>
      <c r="AR235" s="166"/>
    </row>
    <row r="236" customHeight="1" spans="1:44">
      <c r="A236" s="166"/>
      <c r="B236" s="206">
        <v>2470</v>
      </c>
      <c r="C236" s="206" t="s">
        <v>16</v>
      </c>
      <c r="D236" s="206" t="s">
        <v>0</v>
      </c>
      <c r="E236" s="206">
        <v>2</v>
      </c>
      <c r="F236" s="206" t="s">
        <v>1</v>
      </c>
      <c r="G236" s="207">
        <v>45875</v>
      </c>
      <c r="H236" s="206" t="s">
        <v>68</v>
      </c>
      <c r="I236" s="206" t="s">
        <v>54</v>
      </c>
      <c r="J236" s="206">
        <v>1166</v>
      </c>
      <c r="K236" s="208">
        <v>360</v>
      </c>
      <c r="L236" s="208">
        <v>160</v>
      </c>
      <c r="M236" s="208">
        <f>K236-L236</f>
        <v>200</v>
      </c>
      <c r="N236" s="208">
        <f>M236*C2</f>
        <v>8</v>
      </c>
      <c r="O236" s="209">
        <f>M236*2.9%</f>
        <v>5.8</v>
      </c>
      <c r="P236" s="213" t="s">
        <v>10</v>
      </c>
      <c r="Q236" s="213" t="s">
        <v>62</v>
      </c>
      <c r="R236" s="209">
        <f>M236-N236-O236</f>
        <v>186.2</v>
      </c>
      <c r="S236" s="222">
        <f>R236/E236</f>
        <v>93.1</v>
      </c>
      <c r="T236" s="213" t="s">
        <v>70</v>
      </c>
      <c r="U236" s="209">
        <f>M236/2-O236/2</f>
        <v>97.1</v>
      </c>
      <c r="V236" s="223" t="s">
        <v>130</v>
      </c>
      <c r="W236" s="166"/>
      <c r="X236" s="166"/>
      <c r="Y236" s="166"/>
      <c r="Z236" s="166"/>
      <c r="AA236" s="166"/>
      <c r="AB236" s="166"/>
      <c r="AC236" s="166"/>
      <c r="AD236" s="166"/>
      <c r="AE236" s="166"/>
      <c r="AF236" s="166"/>
      <c r="AG236" s="166"/>
      <c r="AH236" s="166"/>
      <c r="AI236" s="166"/>
      <c r="AJ236" s="166"/>
      <c r="AK236" s="166"/>
      <c r="AL236" s="166"/>
      <c r="AM236" s="166"/>
      <c r="AN236" s="166"/>
      <c r="AO236" s="166"/>
      <c r="AP236" s="166"/>
      <c r="AQ236" s="166"/>
      <c r="AR236" s="166"/>
    </row>
    <row r="237" customHeight="1" spans="1:44">
      <c r="A237" s="16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200"/>
      <c r="T237" s="266" t="s">
        <v>71</v>
      </c>
      <c r="U237" s="184">
        <f>U236</f>
        <v>97.1</v>
      </c>
      <c r="V237" s="201"/>
      <c r="W237" s="166"/>
      <c r="X237" s="166"/>
      <c r="Y237" s="166"/>
      <c r="Z237" s="166"/>
      <c r="AA237" s="166"/>
      <c r="AB237" s="166"/>
      <c r="AC237" s="166"/>
      <c r="AD237" s="166"/>
      <c r="AE237" s="166"/>
      <c r="AF237" s="166"/>
      <c r="AG237" s="166"/>
      <c r="AH237" s="166"/>
      <c r="AI237" s="166"/>
      <c r="AJ237" s="166"/>
      <c r="AK237" s="166"/>
      <c r="AL237" s="166"/>
      <c r="AM237" s="166"/>
      <c r="AN237" s="166"/>
      <c r="AO237" s="166"/>
      <c r="AP237" s="166"/>
      <c r="AQ237" s="166"/>
      <c r="AR237" s="166"/>
    </row>
    <row r="238" customHeight="1" spans="1:44">
      <c r="A238" s="166"/>
      <c r="B238" s="206">
        <v>2470</v>
      </c>
      <c r="C238" s="206" t="s">
        <v>16</v>
      </c>
      <c r="D238" s="206" t="s">
        <v>0</v>
      </c>
      <c r="E238" s="206">
        <v>1</v>
      </c>
      <c r="F238" s="206" t="s">
        <v>1</v>
      </c>
      <c r="G238" s="207">
        <v>45875</v>
      </c>
      <c r="H238" s="206" t="s">
        <v>68</v>
      </c>
      <c r="I238" s="206" t="s">
        <v>54</v>
      </c>
      <c r="J238" s="206">
        <v>1167</v>
      </c>
      <c r="K238" s="208">
        <v>180</v>
      </c>
      <c r="L238" s="208">
        <v>0</v>
      </c>
      <c r="M238" s="208">
        <f>K238-L238</f>
        <v>180</v>
      </c>
      <c r="N238" s="208">
        <f>M238*C2</f>
        <v>7.2</v>
      </c>
      <c r="O238" s="209">
        <f>M238*2.9%</f>
        <v>5.22</v>
      </c>
      <c r="P238" s="213" t="s">
        <v>10</v>
      </c>
      <c r="Q238" s="213" t="s">
        <v>62</v>
      </c>
      <c r="R238" s="209">
        <f>M238-N238-O238</f>
        <v>167.58</v>
      </c>
      <c r="S238" s="222">
        <f>R238/E238</f>
        <v>167.58</v>
      </c>
      <c r="T238" s="213" t="s">
        <v>70</v>
      </c>
      <c r="U238" s="209">
        <f>M238/2-O238/2</f>
        <v>87.39</v>
      </c>
      <c r="V238" s="223" t="s">
        <v>130</v>
      </c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  <c r="AG238" s="166"/>
      <c r="AH238" s="166"/>
      <c r="AI238" s="166"/>
      <c r="AJ238" s="166"/>
      <c r="AK238" s="166"/>
      <c r="AL238" s="166"/>
      <c r="AM238" s="166"/>
      <c r="AN238" s="166"/>
      <c r="AO238" s="166"/>
      <c r="AP238" s="166"/>
      <c r="AQ238" s="166"/>
      <c r="AR238" s="166"/>
    </row>
    <row r="239" customHeight="1" spans="1:44">
      <c r="A239" s="16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200"/>
      <c r="T239" s="266" t="s">
        <v>71</v>
      </c>
      <c r="U239" s="184">
        <f>U238</f>
        <v>87.39</v>
      </c>
      <c r="V239" s="201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  <c r="AG239" s="166"/>
      <c r="AH239" s="166"/>
      <c r="AI239" s="166"/>
      <c r="AJ239" s="166"/>
      <c r="AK239" s="166"/>
      <c r="AL239" s="166"/>
      <c r="AM239" s="166"/>
      <c r="AN239" s="166"/>
      <c r="AO239" s="166"/>
      <c r="AP239" s="166"/>
      <c r="AQ239" s="166"/>
      <c r="AR239" s="166"/>
    </row>
    <row r="240" customHeight="1" spans="1:44">
      <c r="A240" s="166"/>
      <c r="B240" s="206">
        <v>2470</v>
      </c>
      <c r="C240" s="206" t="s">
        <v>16</v>
      </c>
      <c r="D240" s="206" t="s">
        <v>0</v>
      </c>
      <c r="E240" s="206">
        <v>1</v>
      </c>
      <c r="F240" s="206" t="s">
        <v>1</v>
      </c>
      <c r="G240" s="207">
        <v>45875</v>
      </c>
      <c r="H240" s="206" t="s">
        <v>68</v>
      </c>
      <c r="I240" s="206" t="s">
        <v>54</v>
      </c>
      <c r="J240" s="206">
        <v>1168</v>
      </c>
      <c r="K240" s="208">
        <v>180</v>
      </c>
      <c r="L240" s="208">
        <v>0</v>
      </c>
      <c r="M240" s="208">
        <f>K240-L240</f>
        <v>180</v>
      </c>
      <c r="N240" s="208">
        <f>M240*C2</f>
        <v>7.2</v>
      </c>
      <c r="O240" s="209">
        <f>M240*2.9%</f>
        <v>5.22</v>
      </c>
      <c r="P240" s="213" t="s">
        <v>10</v>
      </c>
      <c r="Q240" s="213" t="s">
        <v>62</v>
      </c>
      <c r="R240" s="209">
        <f>M240-N240-O240</f>
        <v>167.58</v>
      </c>
      <c r="S240" s="222">
        <f>R240/E240</f>
        <v>167.58</v>
      </c>
      <c r="T240" s="213" t="s">
        <v>70</v>
      </c>
      <c r="U240" s="209">
        <f>M240/2-O240/2</f>
        <v>87.39</v>
      </c>
      <c r="V240" s="223" t="s">
        <v>130</v>
      </c>
      <c r="W240" s="166"/>
      <c r="X240" s="166"/>
      <c r="Y240" s="166"/>
      <c r="Z240" s="166"/>
      <c r="AA240" s="166"/>
      <c r="AB240" s="166"/>
      <c r="AC240" s="166"/>
      <c r="AD240" s="166"/>
      <c r="AE240" s="166"/>
      <c r="AF240" s="166"/>
      <c r="AG240" s="166"/>
      <c r="AH240" s="166"/>
      <c r="AI240" s="166"/>
      <c r="AJ240" s="166"/>
      <c r="AK240" s="166"/>
      <c r="AL240" s="166"/>
      <c r="AM240" s="166"/>
      <c r="AN240" s="166"/>
      <c r="AO240" s="166"/>
      <c r="AP240" s="166"/>
      <c r="AQ240" s="166"/>
      <c r="AR240" s="166"/>
    </row>
    <row r="241" customHeight="1" spans="1:44">
      <c r="A241" s="16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200"/>
      <c r="T241" s="266" t="s">
        <v>71</v>
      </c>
      <c r="U241" s="184">
        <f>U240</f>
        <v>87.39</v>
      </c>
      <c r="V241" s="201"/>
      <c r="W241" s="166"/>
      <c r="X241" s="166"/>
      <c r="Y241" s="166"/>
      <c r="Z241" s="166"/>
      <c r="AA241" s="166"/>
      <c r="AB241" s="166"/>
      <c r="AC241" s="166"/>
      <c r="AD241" s="166"/>
      <c r="AE241" s="166"/>
      <c r="AF241" s="166"/>
      <c r="AG241" s="166"/>
      <c r="AH241" s="166"/>
      <c r="AI241" s="166"/>
      <c r="AJ241" s="166"/>
      <c r="AK241" s="166"/>
      <c r="AL241" s="166"/>
      <c r="AM241" s="166"/>
      <c r="AN241" s="166"/>
      <c r="AO241" s="166"/>
      <c r="AP241" s="166"/>
      <c r="AQ241" s="166"/>
      <c r="AR241" s="166"/>
    </row>
    <row r="242" customHeight="1" spans="1:44">
      <c r="A242" s="166"/>
      <c r="B242" s="176">
        <v>3049</v>
      </c>
      <c r="C242" s="176" t="s">
        <v>99</v>
      </c>
      <c r="D242" s="176" t="s">
        <v>0</v>
      </c>
      <c r="E242" s="176">
        <v>1</v>
      </c>
      <c r="F242" s="176" t="s">
        <v>1</v>
      </c>
      <c r="G242" s="177">
        <v>45875</v>
      </c>
      <c r="H242" s="176" t="s">
        <v>68</v>
      </c>
      <c r="I242" s="176" t="s">
        <v>54</v>
      </c>
      <c r="J242" s="176">
        <v>1169</v>
      </c>
      <c r="K242" s="182">
        <v>180</v>
      </c>
      <c r="L242" s="182">
        <v>0</v>
      </c>
      <c r="M242" s="182">
        <f t="shared" ref="M242:M245" si="127">K242-L242</f>
        <v>180</v>
      </c>
      <c r="N242" s="182">
        <f>M242*C2</f>
        <v>7.2</v>
      </c>
      <c r="O242" s="183">
        <f>M242*2.71%</f>
        <v>4.878</v>
      </c>
      <c r="P242" s="212" t="s">
        <v>9</v>
      </c>
      <c r="Q242" s="212" t="s">
        <v>62</v>
      </c>
      <c r="R242" s="183">
        <f t="shared" ref="R242:R245" si="128">M242-N242-O242</f>
        <v>167.922</v>
      </c>
      <c r="S242" s="183">
        <f t="shared" ref="S242:S245" si="129">R242/E242</f>
        <v>167.922</v>
      </c>
      <c r="T242" s="212" t="s">
        <v>70</v>
      </c>
      <c r="U242" s="183">
        <f t="shared" ref="U242:U244" si="130">M242-O242</f>
        <v>175.122</v>
      </c>
      <c r="V242" s="176" t="s">
        <v>130</v>
      </c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  <c r="AG242" s="166"/>
      <c r="AH242" s="166"/>
      <c r="AI242" s="166"/>
      <c r="AJ242" s="166"/>
      <c r="AK242" s="166"/>
      <c r="AL242" s="166"/>
      <c r="AM242" s="166"/>
      <c r="AN242" s="166"/>
      <c r="AO242" s="166"/>
      <c r="AP242" s="166"/>
      <c r="AQ242" s="166"/>
      <c r="AR242" s="166"/>
    </row>
    <row r="243" customHeight="1" spans="1:44">
      <c r="A243" s="166"/>
      <c r="B243" s="235">
        <v>2470</v>
      </c>
      <c r="C243" s="235" t="s">
        <v>16</v>
      </c>
      <c r="D243" s="235" t="s">
        <v>0</v>
      </c>
      <c r="E243" s="235">
        <v>1</v>
      </c>
      <c r="F243" s="235" t="s">
        <v>1</v>
      </c>
      <c r="G243" s="236">
        <v>45876</v>
      </c>
      <c r="H243" s="235" t="s">
        <v>73</v>
      </c>
      <c r="I243" s="235" t="s">
        <v>54</v>
      </c>
      <c r="J243" s="235">
        <v>1170</v>
      </c>
      <c r="K243" s="256">
        <v>180</v>
      </c>
      <c r="L243" s="256">
        <v>0</v>
      </c>
      <c r="M243" s="256">
        <f t="shared" si="127"/>
        <v>180</v>
      </c>
      <c r="N243" s="256">
        <f>M243*C2</f>
        <v>7.2</v>
      </c>
      <c r="O243" s="257">
        <v>0</v>
      </c>
      <c r="P243" s="258" t="s">
        <v>5</v>
      </c>
      <c r="Q243" s="258" t="s">
        <v>6</v>
      </c>
      <c r="R243" s="257">
        <f t="shared" si="128"/>
        <v>172.8</v>
      </c>
      <c r="S243" s="257">
        <f t="shared" si="129"/>
        <v>172.8</v>
      </c>
      <c r="T243" s="258" t="s">
        <v>66</v>
      </c>
      <c r="U243" s="257">
        <f t="shared" si="130"/>
        <v>180</v>
      </c>
      <c r="V243" s="235"/>
      <c r="W243" s="166"/>
      <c r="X243" s="166"/>
      <c r="Y243" s="166"/>
      <c r="Z243" s="166"/>
      <c r="AA243" s="166"/>
      <c r="AB243" s="166"/>
      <c r="AC243" s="166"/>
      <c r="AD243" s="166"/>
      <c r="AE243" s="166"/>
      <c r="AF243" s="166"/>
      <c r="AG243" s="166"/>
      <c r="AH243" s="166"/>
      <c r="AI243" s="166"/>
      <c r="AJ243" s="166"/>
      <c r="AK243" s="166"/>
      <c r="AL243" s="166"/>
      <c r="AM243" s="166"/>
      <c r="AN243" s="166"/>
      <c r="AO243" s="166"/>
      <c r="AP243" s="166"/>
      <c r="AQ243" s="166"/>
      <c r="AR243" s="166"/>
    </row>
    <row r="244" customHeight="1" spans="1:44">
      <c r="A244" s="166"/>
      <c r="B244" s="176">
        <v>2470</v>
      </c>
      <c r="C244" s="176" t="s">
        <v>16</v>
      </c>
      <c r="D244" s="176" t="s">
        <v>0</v>
      </c>
      <c r="E244" s="176">
        <v>2</v>
      </c>
      <c r="F244" s="176" t="s">
        <v>1</v>
      </c>
      <c r="G244" s="177">
        <v>45876</v>
      </c>
      <c r="H244" s="176" t="s">
        <v>73</v>
      </c>
      <c r="I244" s="176" t="s">
        <v>132</v>
      </c>
      <c r="J244" s="176">
        <v>1171</v>
      </c>
      <c r="K244" s="182">
        <v>360</v>
      </c>
      <c r="L244" s="182">
        <v>72</v>
      </c>
      <c r="M244" s="182">
        <f t="shared" si="127"/>
        <v>288</v>
      </c>
      <c r="N244" s="182">
        <f>M244*C2</f>
        <v>11.52</v>
      </c>
      <c r="O244" s="183">
        <f>M244*1.65%</f>
        <v>4.752</v>
      </c>
      <c r="P244" s="212" t="s">
        <v>7</v>
      </c>
      <c r="Q244" s="212" t="s">
        <v>62</v>
      </c>
      <c r="R244" s="183">
        <f t="shared" si="128"/>
        <v>271.728</v>
      </c>
      <c r="S244" s="183">
        <f t="shared" si="129"/>
        <v>135.864</v>
      </c>
      <c r="T244" s="212" t="s">
        <v>66</v>
      </c>
      <c r="U244" s="183">
        <f t="shared" si="130"/>
        <v>283.248</v>
      </c>
      <c r="V244" s="176" t="s">
        <v>130</v>
      </c>
      <c r="W244" s="166"/>
      <c r="X244" s="166"/>
      <c r="Y244" s="166"/>
      <c r="Z244" s="166"/>
      <c r="AA244" s="166"/>
      <c r="AB244" s="166"/>
      <c r="AC244" s="166"/>
      <c r="AD244" s="166"/>
      <c r="AE244" s="166"/>
      <c r="AF244" s="166"/>
      <c r="AG244" s="166"/>
      <c r="AH244" s="166"/>
      <c r="AI244" s="166"/>
      <c r="AJ244" s="166"/>
      <c r="AK244" s="166"/>
      <c r="AL244" s="166"/>
      <c r="AM244" s="166"/>
      <c r="AN244" s="166"/>
      <c r="AO244" s="166"/>
      <c r="AP244" s="166"/>
      <c r="AQ244" s="166"/>
      <c r="AR244" s="166"/>
    </row>
    <row r="245" customHeight="1" spans="1:44">
      <c r="A245" s="166"/>
      <c r="B245" s="233">
        <v>2470</v>
      </c>
      <c r="C245" s="233" t="s">
        <v>16</v>
      </c>
      <c r="D245" s="233" t="s">
        <v>0</v>
      </c>
      <c r="E245" s="233">
        <v>1</v>
      </c>
      <c r="F245" s="233" t="s">
        <v>1</v>
      </c>
      <c r="G245" s="234">
        <v>45876</v>
      </c>
      <c r="H245" s="233" t="s">
        <v>73</v>
      </c>
      <c r="I245" s="233" t="s">
        <v>54</v>
      </c>
      <c r="J245" s="233">
        <v>1172</v>
      </c>
      <c r="K245" s="253">
        <v>180</v>
      </c>
      <c r="L245" s="253">
        <v>0</v>
      </c>
      <c r="M245" s="253">
        <f t="shared" si="127"/>
        <v>180</v>
      </c>
      <c r="N245" s="253">
        <f>M245*C2</f>
        <v>7.2</v>
      </c>
      <c r="O245" s="254">
        <f>M245*3.78%</f>
        <v>6.804</v>
      </c>
      <c r="P245" s="255" t="s">
        <v>10</v>
      </c>
      <c r="Q245" s="255" t="s">
        <v>62</v>
      </c>
      <c r="R245" s="254">
        <f t="shared" si="128"/>
        <v>165.996</v>
      </c>
      <c r="S245" s="284">
        <f t="shared" si="129"/>
        <v>165.996</v>
      </c>
      <c r="T245" s="255" t="s">
        <v>70</v>
      </c>
      <c r="U245" s="254">
        <f>M245/2-O245/2</f>
        <v>86.598</v>
      </c>
      <c r="V245" s="286"/>
      <c r="W245" s="166"/>
      <c r="X245" s="166"/>
      <c r="Y245" s="166"/>
      <c r="Z245" s="166"/>
      <c r="AA245" s="166"/>
      <c r="AB245" s="166"/>
      <c r="AC245" s="166"/>
      <c r="AD245" s="166"/>
      <c r="AE245" s="166"/>
      <c r="AF245" s="166"/>
      <c r="AG245" s="166"/>
      <c r="AH245" s="166"/>
      <c r="AI245" s="166"/>
      <c r="AJ245" s="166"/>
      <c r="AK245" s="166"/>
      <c r="AL245" s="166"/>
      <c r="AM245" s="166"/>
      <c r="AN245" s="166"/>
      <c r="AO245" s="166"/>
      <c r="AP245" s="166"/>
      <c r="AQ245" s="166"/>
      <c r="AR245" s="166"/>
    </row>
    <row r="246" customHeight="1" spans="1:44">
      <c r="A246" s="16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200"/>
      <c r="T246" s="291" t="s">
        <v>71</v>
      </c>
      <c r="U246" s="292">
        <f>U245</f>
        <v>86.598</v>
      </c>
      <c r="V246" s="201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  <c r="AG246" s="166"/>
      <c r="AH246" s="166"/>
      <c r="AI246" s="166"/>
      <c r="AJ246" s="166"/>
      <c r="AK246" s="166"/>
      <c r="AL246" s="166"/>
      <c r="AM246" s="166"/>
      <c r="AN246" s="166"/>
      <c r="AO246" s="166"/>
      <c r="AP246" s="166"/>
      <c r="AQ246" s="166"/>
      <c r="AR246" s="166"/>
    </row>
    <row r="247" customHeight="1" spans="1:44">
      <c r="A247" s="166"/>
      <c r="B247" s="206">
        <v>3049</v>
      </c>
      <c r="C247" s="206" t="s">
        <v>99</v>
      </c>
      <c r="D247" s="206" t="s">
        <v>0</v>
      </c>
      <c r="E247" s="206">
        <v>1</v>
      </c>
      <c r="F247" s="206" t="s">
        <v>1</v>
      </c>
      <c r="G247" s="207">
        <v>45876</v>
      </c>
      <c r="H247" s="206" t="s">
        <v>73</v>
      </c>
      <c r="I247" s="206" t="s">
        <v>54</v>
      </c>
      <c r="J247" s="206">
        <v>1173</v>
      </c>
      <c r="K247" s="208">
        <v>180</v>
      </c>
      <c r="L247" s="208">
        <v>0</v>
      </c>
      <c r="M247" s="208">
        <f>K247-L247</f>
        <v>180</v>
      </c>
      <c r="N247" s="208">
        <f>M247*C2</f>
        <v>7.2</v>
      </c>
      <c r="O247" s="209">
        <f>M247*2.9%</f>
        <v>5.22</v>
      </c>
      <c r="P247" s="213" t="s">
        <v>87</v>
      </c>
      <c r="Q247" s="213" t="s">
        <v>55</v>
      </c>
      <c r="R247" s="209">
        <f>M247-N247-O247</f>
        <v>167.58</v>
      </c>
      <c r="S247" s="222">
        <f>R247/E247</f>
        <v>167.58</v>
      </c>
      <c r="T247" s="213" t="s">
        <v>70</v>
      </c>
      <c r="U247" s="209">
        <f>M247/3-O247/3</f>
        <v>58.26</v>
      </c>
      <c r="V247" s="223" t="s">
        <v>130</v>
      </c>
      <c r="W247" s="166"/>
      <c r="X247" s="166"/>
      <c r="Y247" s="166"/>
      <c r="Z247" s="166"/>
      <c r="AA247" s="166"/>
      <c r="AB247" s="166"/>
      <c r="AC247" s="166"/>
      <c r="AD247" s="166"/>
      <c r="AE247" s="166"/>
      <c r="AF247" s="166"/>
      <c r="AG247" s="166"/>
      <c r="AH247" s="166"/>
      <c r="AI247" s="166"/>
      <c r="AJ247" s="166"/>
      <c r="AK247" s="166"/>
      <c r="AL247" s="166"/>
      <c r="AM247" s="166"/>
      <c r="AN247" s="166"/>
      <c r="AO247" s="166"/>
      <c r="AP247" s="166"/>
      <c r="AQ247" s="166"/>
      <c r="AR247" s="166"/>
    </row>
    <row r="248" customHeight="1" spans="1:44">
      <c r="A248" s="166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98"/>
      <c r="T248" s="298" t="s">
        <v>71</v>
      </c>
      <c r="U248" s="210">
        <f>U247</f>
        <v>58.26</v>
      </c>
      <c r="V248" s="199"/>
      <c r="W248" s="166"/>
      <c r="X248" s="166"/>
      <c r="Y248" s="166"/>
      <c r="Z248" s="166"/>
      <c r="AA248" s="166"/>
      <c r="AB248" s="166"/>
      <c r="AC248" s="166"/>
      <c r="AD248" s="166"/>
      <c r="AE248" s="166"/>
      <c r="AF248" s="166"/>
      <c r="AG248" s="166"/>
      <c r="AH248" s="166"/>
      <c r="AI248" s="166"/>
      <c r="AJ248" s="166"/>
      <c r="AK248" s="166"/>
      <c r="AL248" s="166"/>
      <c r="AM248" s="166"/>
      <c r="AN248" s="166"/>
      <c r="AO248" s="166"/>
      <c r="AP248" s="166"/>
      <c r="AQ248" s="166"/>
      <c r="AR248" s="166"/>
    </row>
    <row r="249" customHeight="1" spans="1:44">
      <c r="A249" s="16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200"/>
      <c r="T249" s="266" t="s">
        <v>72</v>
      </c>
      <c r="U249" s="184">
        <f>U247</f>
        <v>58.26</v>
      </c>
      <c r="V249" s="199"/>
      <c r="W249" s="166"/>
      <c r="X249" s="166"/>
      <c r="Y249" s="166"/>
      <c r="Z249" s="166"/>
      <c r="AA249" s="166"/>
      <c r="AB249" s="166"/>
      <c r="AC249" s="166"/>
      <c r="AD249" s="166"/>
      <c r="AE249" s="166"/>
      <c r="AF249" s="166"/>
      <c r="AG249" s="166"/>
      <c r="AH249" s="166"/>
      <c r="AI249" s="166"/>
      <c r="AJ249" s="166"/>
      <c r="AK249" s="166"/>
      <c r="AL249" s="166"/>
      <c r="AM249" s="166"/>
      <c r="AN249" s="166"/>
      <c r="AO249" s="166"/>
      <c r="AP249" s="166"/>
      <c r="AQ249" s="166"/>
      <c r="AR249" s="166"/>
    </row>
    <row r="250" customHeight="1" spans="1:44">
      <c r="A250" s="166"/>
      <c r="B250" s="206">
        <v>2470</v>
      </c>
      <c r="C250" s="206" t="s">
        <v>16</v>
      </c>
      <c r="D250" s="206" t="s">
        <v>0</v>
      </c>
      <c r="E250" s="206">
        <v>1</v>
      </c>
      <c r="F250" s="206" t="s">
        <v>1</v>
      </c>
      <c r="G250" s="207">
        <v>45876</v>
      </c>
      <c r="H250" s="206" t="s">
        <v>73</v>
      </c>
      <c r="I250" s="206" t="s">
        <v>54</v>
      </c>
      <c r="J250" s="206">
        <v>1173</v>
      </c>
      <c r="K250" s="208">
        <v>180</v>
      </c>
      <c r="L250" s="208">
        <v>0</v>
      </c>
      <c r="M250" s="208">
        <f>K250-L250</f>
        <v>180</v>
      </c>
      <c r="N250" s="208">
        <f>M250*C2</f>
        <v>7.2</v>
      </c>
      <c r="O250" s="209">
        <f>M250*2.9%</f>
        <v>5.22</v>
      </c>
      <c r="P250" s="213" t="s">
        <v>87</v>
      </c>
      <c r="Q250" s="213" t="s">
        <v>55</v>
      </c>
      <c r="R250" s="209">
        <f>M250-N250-O250</f>
        <v>167.58</v>
      </c>
      <c r="S250" s="222">
        <f>R250/E250</f>
        <v>167.58</v>
      </c>
      <c r="T250" s="213" t="s">
        <v>70</v>
      </c>
      <c r="U250" s="209">
        <f>M250/3-O250/3</f>
        <v>58.26</v>
      </c>
      <c r="V250" s="199"/>
      <c r="W250" s="166"/>
      <c r="X250" s="166"/>
      <c r="Y250" s="166"/>
      <c r="Z250" s="166"/>
      <c r="AA250" s="166"/>
      <c r="AB250" s="166"/>
      <c r="AC250" s="166"/>
      <c r="AD250" s="166"/>
      <c r="AE250" s="166"/>
      <c r="AF250" s="166"/>
      <c r="AG250" s="166"/>
      <c r="AH250" s="166"/>
      <c r="AI250" s="166"/>
      <c r="AJ250" s="166"/>
      <c r="AK250" s="166"/>
      <c r="AL250" s="166"/>
      <c r="AM250" s="166"/>
      <c r="AN250" s="166"/>
      <c r="AO250" s="166"/>
      <c r="AP250" s="166"/>
      <c r="AQ250" s="166"/>
      <c r="AR250" s="166"/>
    </row>
    <row r="251" customHeight="1" spans="1:44">
      <c r="A251" s="166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98"/>
      <c r="T251" s="298" t="s">
        <v>71</v>
      </c>
      <c r="U251" s="210">
        <f>U250</f>
        <v>58.26</v>
      </c>
      <c r="V251" s="199"/>
      <c r="W251" s="166"/>
      <c r="X251" s="166"/>
      <c r="Y251" s="166"/>
      <c r="Z251" s="166"/>
      <c r="AA251" s="166"/>
      <c r="AB251" s="166"/>
      <c r="AC251" s="166"/>
      <c r="AD251" s="166"/>
      <c r="AE251" s="166"/>
      <c r="AF251" s="166"/>
      <c r="AG251" s="166"/>
      <c r="AH251" s="166"/>
      <c r="AI251" s="166"/>
      <c r="AJ251" s="166"/>
      <c r="AK251" s="166"/>
      <c r="AL251" s="166"/>
      <c r="AM251" s="166"/>
      <c r="AN251" s="166"/>
      <c r="AO251" s="166"/>
      <c r="AP251" s="166"/>
      <c r="AQ251" s="166"/>
      <c r="AR251" s="166"/>
    </row>
    <row r="252" customHeight="1" spans="1:44">
      <c r="A252" s="16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200"/>
      <c r="T252" s="266" t="s">
        <v>72</v>
      </c>
      <c r="U252" s="184">
        <f>U250</f>
        <v>58.26</v>
      </c>
      <c r="V252" s="199"/>
      <c r="W252" s="166"/>
      <c r="X252" s="166"/>
      <c r="Y252" s="166"/>
      <c r="Z252" s="166"/>
      <c r="AA252" s="166"/>
      <c r="AB252" s="166"/>
      <c r="AC252" s="166"/>
      <c r="AD252" s="166"/>
      <c r="AE252" s="166"/>
      <c r="AF252" s="166"/>
      <c r="AG252" s="166"/>
      <c r="AH252" s="166"/>
      <c r="AI252" s="166"/>
      <c r="AJ252" s="166"/>
      <c r="AK252" s="166"/>
      <c r="AL252" s="166"/>
      <c r="AM252" s="166"/>
      <c r="AN252" s="166"/>
      <c r="AO252" s="166"/>
      <c r="AP252" s="166"/>
      <c r="AQ252" s="166"/>
      <c r="AR252" s="166"/>
    </row>
    <row r="253" customHeight="1" spans="1:44">
      <c r="A253" s="166"/>
      <c r="B253" s="206">
        <v>2946</v>
      </c>
      <c r="C253" s="206" t="s">
        <v>91</v>
      </c>
      <c r="D253" s="206" t="s">
        <v>0</v>
      </c>
      <c r="E253" s="206">
        <v>2</v>
      </c>
      <c r="F253" s="206" t="s">
        <v>1</v>
      </c>
      <c r="G253" s="207">
        <v>45876</v>
      </c>
      <c r="H253" s="206" t="s">
        <v>73</v>
      </c>
      <c r="I253" s="206" t="s">
        <v>54</v>
      </c>
      <c r="J253" s="206">
        <v>1173</v>
      </c>
      <c r="K253" s="208">
        <v>200</v>
      </c>
      <c r="L253" s="208">
        <v>0</v>
      </c>
      <c r="M253" s="208">
        <f>K253-L253</f>
        <v>200</v>
      </c>
      <c r="N253" s="208">
        <f>M253*C2</f>
        <v>8</v>
      </c>
      <c r="O253" s="209">
        <f>M253*2.9%</f>
        <v>5.8</v>
      </c>
      <c r="P253" s="213" t="s">
        <v>87</v>
      </c>
      <c r="Q253" s="213" t="s">
        <v>55</v>
      </c>
      <c r="R253" s="209">
        <f>M253-N253-O253</f>
        <v>186.2</v>
      </c>
      <c r="S253" s="222">
        <f>R253/E253</f>
        <v>93.1</v>
      </c>
      <c r="T253" s="213" t="s">
        <v>70</v>
      </c>
      <c r="U253" s="209">
        <f>M253/3-O253/3</f>
        <v>64.7333333333333</v>
      </c>
      <c r="V253" s="199"/>
      <c r="W253" s="166"/>
      <c r="X253" s="166"/>
      <c r="Y253" s="166"/>
      <c r="Z253" s="166"/>
      <c r="AA253" s="166"/>
      <c r="AB253" s="166"/>
      <c r="AC253" s="166"/>
      <c r="AD253" s="166"/>
      <c r="AE253" s="166"/>
      <c r="AF253" s="166"/>
      <c r="AG253" s="166"/>
      <c r="AH253" s="166"/>
      <c r="AI253" s="166"/>
      <c r="AJ253" s="166"/>
      <c r="AK253" s="166"/>
      <c r="AL253" s="166"/>
      <c r="AM253" s="166"/>
      <c r="AN253" s="166"/>
      <c r="AO253" s="166"/>
      <c r="AP253" s="166"/>
      <c r="AQ253" s="166"/>
      <c r="AR253" s="166"/>
    </row>
    <row r="254" customHeight="1" spans="1:44">
      <c r="A254" s="166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98"/>
      <c r="T254" s="298" t="s">
        <v>71</v>
      </c>
      <c r="U254" s="210">
        <f>U253</f>
        <v>64.7333333333333</v>
      </c>
      <c r="V254" s="199"/>
      <c r="W254" s="166"/>
      <c r="X254" s="166"/>
      <c r="Y254" s="166"/>
      <c r="Z254" s="166"/>
      <c r="AA254" s="166"/>
      <c r="AB254" s="166"/>
      <c r="AC254" s="166"/>
      <c r="AD254" s="166"/>
      <c r="AE254" s="166"/>
      <c r="AF254" s="166"/>
      <c r="AG254" s="166"/>
      <c r="AH254" s="166"/>
      <c r="AI254" s="166"/>
      <c r="AJ254" s="166"/>
      <c r="AK254" s="166"/>
      <c r="AL254" s="166"/>
      <c r="AM254" s="166"/>
      <c r="AN254" s="166"/>
      <c r="AO254" s="166"/>
      <c r="AP254" s="166"/>
      <c r="AQ254" s="166"/>
      <c r="AR254" s="166"/>
    </row>
    <row r="255" customHeight="1" spans="1:44">
      <c r="A255" s="16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200"/>
      <c r="T255" s="266" t="s">
        <v>72</v>
      </c>
      <c r="U255" s="184">
        <f>U253</f>
        <v>64.7333333333333</v>
      </c>
      <c r="V255" s="201"/>
      <c r="W255" s="166"/>
      <c r="X255" s="166"/>
      <c r="Y255" s="166"/>
      <c r="Z255" s="166"/>
      <c r="AA255" s="166"/>
      <c r="AB255" s="166"/>
      <c r="AC255" s="166"/>
      <c r="AD255" s="166"/>
      <c r="AE255" s="166"/>
      <c r="AF255" s="166"/>
      <c r="AG255" s="166"/>
      <c r="AH255" s="166"/>
      <c r="AI255" s="166"/>
      <c r="AJ255" s="166"/>
      <c r="AK255" s="166"/>
      <c r="AL255" s="166"/>
      <c r="AM255" s="166"/>
      <c r="AN255" s="166"/>
      <c r="AO255" s="166"/>
      <c r="AP255" s="166"/>
      <c r="AQ255" s="166"/>
      <c r="AR255" s="166"/>
    </row>
    <row r="256" customHeight="1" spans="1:44">
      <c r="A256" s="166"/>
      <c r="B256" s="206">
        <v>2470</v>
      </c>
      <c r="C256" s="206" t="s">
        <v>16</v>
      </c>
      <c r="D256" s="206" t="s">
        <v>0</v>
      </c>
      <c r="E256" s="206">
        <v>2</v>
      </c>
      <c r="F256" s="206" t="s">
        <v>1</v>
      </c>
      <c r="G256" s="207">
        <v>45876</v>
      </c>
      <c r="H256" s="206" t="s">
        <v>73</v>
      </c>
      <c r="I256" s="206" t="s">
        <v>54</v>
      </c>
      <c r="J256" s="206">
        <v>1174</v>
      </c>
      <c r="K256" s="208">
        <v>360</v>
      </c>
      <c r="L256" s="208">
        <v>0</v>
      </c>
      <c r="M256" s="208">
        <f>K256-L256</f>
        <v>360</v>
      </c>
      <c r="N256" s="208">
        <f>M256*C2</f>
        <v>14.4</v>
      </c>
      <c r="O256" s="209">
        <f>M256*2.9%</f>
        <v>10.44</v>
      </c>
      <c r="P256" s="213" t="s">
        <v>10</v>
      </c>
      <c r="Q256" s="213" t="s">
        <v>62</v>
      </c>
      <c r="R256" s="209">
        <f>M256-N256-O256</f>
        <v>335.16</v>
      </c>
      <c r="S256" s="222">
        <f>R256/E256</f>
        <v>167.58</v>
      </c>
      <c r="T256" s="213" t="s">
        <v>70</v>
      </c>
      <c r="U256" s="209">
        <f>M256/2-O256/2</f>
        <v>174.78</v>
      </c>
      <c r="V256" s="223" t="s">
        <v>130</v>
      </c>
      <c r="W256" s="166"/>
      <c r="X256" s="166"/>
      <c r="Y256" s="166"/>
      <c r="Z256" s="166"/>
      <c r="AA256" s="166"/>
      <c r="AB256" s="166"/>
      <c r="AC256" s="166"/>
      <c r="AD256" s="166"/>
      <c r="AE256" s="166"/>
      <c r="AF256" s="166"/>
      <c r="AG256" s="166"/>
      <c r="AH256" s="166"/>
      <c r="AI256" s="166"/>
      <c r="AJ256" s="166"/>
      <c r="AK256" s="166"/>
      <c r="AL256" s="166"/>
      <c r="AM256" s="166"/>
      <c r="AN256" s="166"/>
      <c r="AO256" s="166"/>
      <c r="AP256" s="166"/>
      <c r="AQ256" s="166"/>
      <c r="AR256" s="166"/>
    </row>
    <row r="257" customHeight="1" spans="1:44">
      <c r="A257" s="16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200"/>
      <c r="T257" s="298" t="s">
        <v>71</v>
      </c>
      <c r="U257" s="210">
        <f>U256</f>
        <v>174.78</v>
      </c>
      <c r="V257" s="201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  <c r="AG257" s="166"/>
      <c r="AH257" s="166"/>
      <c r="AI257" s="166"/>
      <c r="AJ257" s="166"/>
      <c r="AK257" s="166"/>
      <c r="AL257" s="166"/>
      <c r="AM257" s="166"/>
      <c r="AN257" s="166"/>
      <c r="AO257" s="166"/>
      <c r="AP257" s="166"/>
      <c r="AQ257" s="166"/>
      <c r="AR257" s="166"/>
    </row>
    <row r="258" customHeight="1" spans="1:44">
      <c r="A258" s="166"/>
      <c r="B258" s="206">
        <v>3049</v>
      </c>
      <c r="C258" s="206" t="s">
        <v>99</v>
      </c>
      <c r="D258" s="206" t="s">
        <v>0</v>
      </c>
      <c r="E258" s="206">
        <v>5</v>
      </c>
      <c r="F258" s="206" t="s">
        <v>1</v>
      </c>
      <c r="G258" s="207">
        <v>45876</v>
      </c>
      <c r="H258" s="206" t="s">
        <v>73</v>
      </c>
      <c r="I258" s="206" t="s">
        <v>54</v>
      </c>
      <c r="J258" s="206">
        <v>1175</v>
      </c>
      <c r="K258" s="208">
        <v>900</v>
      </c>
      <c r="L258" s="208">
        <v>0</v>
      </c>
      <c r="M258" s="208">
        <f>K258-L258</f>
        <v>900</v>
      </c>
      <c r="N258" s="208">
        <f>M258*C2</f>
        <v>36</v>
      </c>
      <c r="O258" s="209">
        <f>M258*3.64%</f>
        <v>32.76</v>
      </c>
      <c r="P258" s="213" t="s">
        <v>69</v>
      </c>
      <c r="Q258" s="213" t="s">
        <v>131</v>
      </c>
      <c r="R258" s="209">
        <f>M258-N258-O258</f>
        <v>831.24</v>
      </c>
      <c r="S258" s="222">
        <f>R258/E258</f>
        <v>166.248</v>
      </c>
      <c r="T258" s="213" t="s">
        <v>70</v>
      </c>
      <c r="U258" s="274">
        <f>M258/4-O258/4</f>
        <v>216.81</v>
      </c>
      <c r="V258" s="223" t="s">
        <v>130</v>
      </c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  <c r="AG258" s="166"/>
      <c r="AH258" s="166"/>
      <c r="AI258" s="166"/>
      <c r="AJ258" s="166"/>
      <c r="AK258" s="166"/>
      <c r="AL258" s="166"/>
      <c r="AM258" s="166"/>
      <c r="AN258" s="166"/>
      <c r="AO258" s="166"/>
      <c r="AP258" s="166"/>
      <c r="AQ258" s="166"/>
      <c r="AR258" s="166"/>
    </row>
    <row r="259" customHeight="1" spans="1:44">
      <c r="A259" s="166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98"/>
      <c r="T259" s="298" t="s">
        <v>71</v>
      </c>
      <c r="U259" s="305">
        <f t="shared" ref="U259:U260" si="131">U258</f>
        <v>216.81</v>
      </c>
      <c r="V259" s="199"/>
      <c r="W259" s="166"/>
      <c r="X259" s="166"/>
      <c r="Y259" s="166"/>
      <c r="Z259" s="166"/>
      <c r="AA259" s="166"/>
      <c r="AB259" s="166"/>
      <c r="AC259" s="166"/>
      <c r="AD259" s="166"/>
      <c r="AE259" s="166"/>
      <c r="AF259" s="166"/>
      <c r="AG259" s="166"/>
      <c r="AH259" s="166"/>
      <c r="AI259" s="166"/>
      <c r="AJ259" s="166"/>
      <c r="AK259" s="166"/>
      <c r="AL259" s="166"/>
      <c r="AM259" s="166"/>
      <c r="AN259" s="166"/>
      <c r="AO259" s="166"/>
      <c r="AP259" s="166"/>
      <c r="AQ259" s="166"/>
      <c r="AR259" s="166"/>
    </row>
    <row r="260" customHeight="1" spans="1:44">
      <c r="A260" s="166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98"/>
      <c r="T260" s="298" t="s">
        <v>72</v>
      </c>
      <c r="U260" s="305">
        <f t="shared" si="131"/>
        <v>216.81</v>
      </c>
      <c r="V260" s="199"/>
      <c r="W260" s="166"/>
      <c r="X260" s="166"/>
      <c r="Y260" s="166"/>
      <c r="Z260" s="166"/>
      <c r="AA260" s="166"/>
      <c r="AB260" s="166"/>
      <c r="AC260" s="166"/>
      <c r="AD260" s="166"/>
      <c r="AE260" s="166"/>
      <c r="AF260" s="166"/>
      <c r="AG260" s="166"/>
      <c r="AH260" s="166"/>
      <c r="AI260" s="166"/>
      <c r="AJ260" s="166"/>
      <c r="AK260" s="166"/>
      <c r="AL260" s="166"/>
      <c r="AM260" s="166"/>
      <c r="AN260" s="166"/>
      <c r="AO260" s="166"/>
      <c r="AP260" s="166"/>
      <c r="AQ260" s="166"/>
      <c r="AR260" s="166"/>
    </row>
    <row r="261" customHeight="1" spans="1:44">
      <c r="A261" s="16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200"/>
      <c r="T261" s="266" t="s">
        <v>133</v>
      </c>
      <c r="U261" s="275">
        <f>U259</f>
        <v>216.81</v>
      </c>
      <c r="V261" s="199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  <c r="AH261" s="166"/>
      <c r="AI261" s="166"/>
      <c r="AJ261" s="166"/>
      <c r="AK261" s="166"/>
      <c r="AL261" s="166"/>
      <c r="AM261" s="166"/>
      <c r="AN261" s="166"/>
      <c r="AO261" s="166"/>
      <c r="AP261" s="166"/>
      <c r="AQ261" s="166"/>
      <c r="AR261" s="166"/>
    </row>
    <row r="262" customHeight="1" spans="1:44">
      <c r="A262" s="166"/>
      <c r="B262" s="206">
        <v>3006</v>
      </c>
      <c r="C262" s="206" t="s">
        <v>25</v>
      </c>
      <c r="D262" s="206" t="s">
        <v>0</v>
      </c>
      <c r="E262" s="206">
        <v>1</v>
      </c>
      <c r="F262" s="206" t="s">
        <v>1</v>
      </c>
      <c r="G262" s="207">
        <v>45876</v>
      </c>
      <c r="H262" s="206" t="s">
        <v>73</v>
      </c>
      <c r="I262" s="206" t="s">
        <v>54</v>
      </c>
      <c r="J262" s="206">
        <v>1175</v>
      </c>
      <c r="K262" s="208">
        <v>170</v>
      </c>
      <c r="L262" s="208">
        <v>0</v>
      </c>
      <c r="M262" s="208">
        <f>K262-L262</f>
        <v>170</v>
      </c>
      <c r="N262" s="208">
        <f>M262*C2</f>
        <v>6.8</v>
      </c>
      <c r="O262" s="209">
        <f>M262*3.64%</f>
        <v>6.188</v>
      </c>
      <c r="P262" s="213" t="s">
        <v>69</v>
      </c>
      <c r="Q262" s="213" t="s">
        <v>131</v>
      </c>
      <c r="R262" s="209">
        <f>M262-N262-O262</f>
        <v>157.012</v>
      </c>
      <c r="S262" s="222">
        <f>R262/E262</f>
        <v>157.012</v>
      </c>
      <c r="T262" s="213" t="s">
        <v>70</v>
      </c>
      <c r="U262" s="274">
        <f>M262/4-O262/4</f>
        <v>40.953</v>
      </c>
      <c r="V262" s="199"/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  <c r="AI262" s="166"/>
      <c r="AJ262" s="166"/>
      <c r="AK262" s="166"/>
      <c r="AL262" s="166"/>
      <c r="AM262" s="166"/>
      <c r="AN262" s="166"/>
      <c r="AO262" s="166"/>
      <c r="AP262" s="166"/>
      <c r="AQ262" s="166"/>
      <c r="AR262" s="166"/>
    </row>
    <row r="263" customHeight="1" spans="1:44">
      <c r="A263" s="166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98"/>
      <c r="T263" s="298" t="s">
        <v>71</v>
      </c>
      <c r="U263" s="305">
        <f>U262</f>
        <v>40.953</v>
      </c>
      <c r="V263" s="199"/>
      <c r="W263" s="166"/>
      <c r="X263" s="166"/>
      <c r="Y263" s="166"/>
      <c r="Z263" s="166"/>
      <c r="AA263" s="166"/>
      <c r="AB263" s="166"/>
      <c r="AC263" s="166"/>
      <c r="AD263" s="166"/>
      <c r="AE263" s="166"/>
      <c r="AF263" s="166"/>
      <c r="AG263" s="166"/>
      <c r="AH263" s="166"/>
      <c r="AI263" s="166"/>
      <c r="AJ263" s="166"/>
      <c r="AK263" s="166"/>
      <c r="AL263" s="166"/>
      <c r="AM263" s="166"/>
      <c r="AN263" s="166"/>
      <c r="AO263" s="166"/>
      <c r="AP263" s="166"/>
      <c r="AQ263" s="166"/>
      <c r="AR263" s="166"/>
    </row>
    <row r="264" customHeight="1" spans="1:44">
      <c r="A264" s="166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98"/>
      <c r="T264" s="298" t="s">
        <v>72</v>
      </c>
      <c r="U264" s="305">
        <f>U262</f>
        <v>40.953</v>
      </c>
      <c r="V264" s="199"/>
      <c r="W264" s="166"/>
      <c r="X264" s="166"/>
      <c r="Y264" s="166"/>
      <c r="Z264" s="166"/>
      <c r="AA264" s="166"/>
      <c r="AB264" s="166"/>
      <c r="AC264" s="166"/>
      <c r="AD264" s="166"/>
      <c r="AE264" s="166"/>
      <c r="AF264" s="166"/>
      <c r="AG264" s="166"/>
      <c r="AH264" s="166"/>
      <c r="AI264" s="166"/>
      <c r="AJ264" s="166"/>
      <c r="AK264" s="166"/>
      <c r="AL264" s="166"/>
      <c r="AM264" s="166"/>
      <c r="AN264" s="166"/>
      <c r="AO264" s="166"/>
      <c r="AP264" s="166"/>
      <c r="AQ264" s="166"/>
      <c r="AR264" s="166"/>
    </row>
    <row r="265" customHeight="1" spans="1:44">
      <c r="A265" s="16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200"/>
      <c r="T265" s="266" t="s">
        <v>133</v>
      </c>
      <c r="U265" s="275">
        <f>U262</f>
        <v>40.953</v>
      </c>
      <c r="V265" s="199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  <c r="AG265" s="166"/>
      <c r="AH265" s="166"/>
      <c r="AI265" s="166"/>
      <c r="AJ265" s="166"/>
      <c r="AK265" s="166"/>
      <c r="AL265" s="166"/>
      <c r="AM265" s="166"/>
      <c r="AN265" s="166"/>
      <c r="AO265" s="166"/>
      <c r="AP265" s="166"/>
      <c r="AQ265" s="166"/>
      <c r="AR265" s="166"/>
    </row>
    <row r="266" customHeight="1" spans="1:44">
      <c r="A266" s="166"/>
      <c r="B266" s="206">
        <v>2550</v>
      </c>
      <c r="C266" s="206" t="s">
        <v>58</v>
      </c>
      <c r="D266" s="206" t="s">
        <v>0</v>
      </c>
      <c r="E266" s="206">
        <v>1</v>
      </c>
      <c r="F266" s="206" t="s">
        <v>1</v>
      </c>
      <c r="G266" s="207">
        <v>45876</v>
      </c>
      <c r="H266" s="206" t="s">
        <v>73</v>
      </c>
      <c r="I266" s="206" t="s">
        <v>54</v>
      </c>
      <c r="J266" s="206">
        <v>1175</v>
      </c>
      <c r="K266" s="208">
        <v>60</v>
      </c>
      <c r="L266" s="208">
        <v>0</v>
      </c>
      <c r="M266" s="208">
        <f>K266-L266</f>
        <v>60</v>
      </c>
      <c r="N266" s="208">
        <f>M266*C2</f>
        <v>2.4</v>
      </c>
      <c r="O266" s="209">
        <f>M266*3.64%</f>
        <v>2.184</v>
      </c>
      <c r="P266" s="213" t="s">
        <v>69</v>
      </c>
      <c r="Q266" s="213" t="s">
        <v>131</v>
      </c>
      <c r="R266" s="209">
        <f>M266-N266-O266</f>
        <v>55.416</v>
      </c>
      <c r="S266" s="222">
        <f>R266/E266</f>
        <v>55.416</v>
      </c>
      <c r="T266" s="213" t="s">
        <v>70</v>
      </c>
      <c r="U266" s="274">
        <f>M266/4-O266/4</f>
        <v>14.454</v>
      </c>
      <c r="V266" s="199"/>
      <c r="W266" s="166"/>
      <c r="X266" s="166"/>
      <c r="Y266" s="166"/>
      <c r="Z266" s="166"/>
      <c r="AA266" s="166"/>
      <c r="AB266" s="166"/>
      <c r="AC266" s="166"/>
      <c r="AD266" s="166"/>
      <c r="AE266" s="166"/>
      <c r="AF266" s="166"/>
      <c r="AG266" s="166"/>
      <c r="AH266" s="166"/>
      <c r="AI266" s="166"/>
      <c r="AJ266" s="166"/>
      <c r="AK266" s="166"/>
      <c r="AL266" s="166"/>
      <c r="AM266" s="166"/>
      <c r="AN266" s="166"/>
      <c r="AO266" s="166"/>
      <c r="AP266" s="166"/>
      <c r="AQ266" s="166"/>
      <c r="AR266" s="166"/>
    </row>
    <row r="267" customHeight="1" spans="1:44">
      <c r="A267" s="166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98"/>
      <c r="T267" s="298" t="s">
        <v>71</v>
      </c>
      <c r="U267" s="305">
        <f>U266</f>
        <v>14.454</v>
      </c>
      <c r="V267" s="199"/>
      <c r="W267" s="166"/>
      <c r="X267" s="166"/>
      <c r="Y267" s="166"/>
      <c r="Z267" s="166"/>
      <c r="AA267" s="166"/>
      <c r="AB267" s="166"/>
      <c r="AC267" s="166"/>
      <c r="AD267" s="166"/>
      <c r="AE267" s="166"/>
      <c r="AF267" s="166"/>
      <c r="AG267" s="166"/>
      <c r="AH267" s="166"/>
      <c r="AI267" s="166"/>
      <c r="AJ267" s="166"/>
      <c r="AK267" s="166"/>
      <c r="AL267" s="166"/>
      <c r="AM267" s="166"/>
      <c r="AN267" s="166"/>
      <c r="AO267" s="166"/>
      <c r="AP267" s="166"/>
      <c r="AQ267" s="166"/>
      <c r="AR267" s="166"/>
    </row>
    <row r="268" customHeight="1" spans="1:44">
      <c r="A268" s="166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98"/>
      <c r="T268" s="298" t="s">
        <v>72</v>
      </c>
      <c r="U268" s="305">
        <f>U266</f>
        <v>14.454</v>
      </c>
      <c r="V268" s="199"/>
      <c r="W268" s="166"/>
      <c r="X268" s="166"/>
      <c r="Y268" s="166"/>
      <c r="Z268" s="166"/>
      <c r="AA268" s="166"/>
      <c r="AB268" s="166"/>
      <c r="AC268" s="166"/>
      <c r="AD268" s="166"/>
      <c r="AE268" s="166"/>
      <c r="AF268" s="166"/>
      <c r="AG268" s="166"/>
      <c r="AH268" s="166"/>
      <c r="AI268" s="166"/>
      <c r="AJ268" s="166"/>
      <c r="AK268" s="166"/>
      <c r="AL268" s="166"/>
      <c r="AM268" s="166"/>
      <c r="AN268" s="166"/>
      <c r="AO268" s="166"/>
      <c r="AP268" s="166"/>
      <c r="AQ268" s="166"/>
      <c r="AR268" s="166"/>
    </row>
    <row r="269" customHeight="1" spans="1:44">
      <c r="A269" s="16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200"/>
      <c r="T269" s="266" t="s">
        <v>133</v>
      </c>
      <c r="U269" s="275">
        <f>U266</f>
        <v>14.454</v>
      </c>
      <c r="V269" s="199"/>
      <c r="W269" s="166"/>
      <c r="X269" s="166"/>
      <c r="Y269" s="166"/>
      <c r="Z269" s="166"/>
      <c r="AA269" s="166"/>
      <c r="AB269" s="166"/>
      <c r="AC269" s="166"/>
      <c r="AD269" s="166"/>
      <c r="AE269" s="166"/>
      <c r="AF269" s="166"/>
      <c r="AG269" s="166"/>
      <c r="AH269" s="166"/>
      <c r="AI269" s="166"/>
      <c r="AJ269" s="166"/>
      <c r="AK269" s="166"/>
      <c r="AL269" s="166"/>
      <c r="AM269" s="166"/>
      <c r="AN269" s="166"/>
      <c r="AO269" s="166"/>
      <c r="AP269" s="166"/>
      <c r="AQ269" s="166"/>
      <c r="AR269" s="166"/>
    </row>
    <row r="270" customHeight="1" spans="1:44">
      <c r="A270" s="166"/>
      <c r="B270" s="206">
        <v>2946</v>
      </c>
      <c r="C270" s="206" t="s">
        <v>91</v>
      </c>
      <c r="D270" s="206" t="s">
        <v>0</v>
      </c>
      <c r="E270" s="206">
        <v>1</v>
      </c>
      <c r="F270" s="206" t="s">
        <v>1</v>
      </c>
      <c r="G270" s="207">
        <v>45876</v>
      </c>
      <c r="H270" s="206" t="s">
        <v>73</v>
      </c>
      <c r="I270" s="206" t="s">
        <v>54</v>
      </c>
      <c r="J270" s="206">
        <v>1175</v>
      </c>
      <c r="K270" s="208">
        <v>100</v>
      </c>
      <c r="L270" s="208">
        <v>80</v>
      </c>
      <c r="M270" s="208">
        <f>K270-L270</f>
        <v>20</v>
      </c>
      <c r="N270" s="208">
        <f>M270*C2</f>
        <v>0.8</v>
      </c>
      <c r="O270" s="209">
        <f>M270*3.64%</f>
        <v>0.728</v>
      </c>
      <c r="P270" s="213" t="s">
        <v>69</v>
      </c>
      <c r="Q270" s="213" t="s">
        <v>131</v>
      </c>
      <c r="R270" s="209">
        <f>M270-N270-O270</f>
        <v>18.472</v>
      </c>
      <c r="S270" s="222">
        <f>R270/E270</f>
        <v>18.472</v>
      </c>
      <c r="T270" s="213" t="s">
        <v>70</v>
      </c>
      <c r="U270" s="274">
        <f>M270/4-O270/4</f>
        <v>4.818</v>
      </c>
      <c r="V270" s="199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  <c r="AG270" s="166"/>
      <c r="AH270" s="166"/>
      <c r="AI270" s="166"/>
      <c r="AJ270" s="166"/>
      <c r="AK270" s="166"/>
      <c r="AL270" s="166"/>
      <c r="AM270" s="166"/>
      <c r="AN270" s="166"/>
      <c r="AO270" s="166"/>
      <c r="AP270" s="166"/>
      <c r="AQ270" s="166"/>
      <c r="AR270" s="166"/>
    </row>
    <row r="271" customHeight="1" spans="1:44">
      <c r="A271" s="166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98"/>
      <c r="T271" s="298" t="s">
        <v>71</v>
      </c>
      <c r="U271" s="305">
        <f t="shared" ref="U271:U272" si="132">U270</f>
        <v>4.818</v>
      </c>
      <c r="V271" s="199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/>
      <c r="AH271" s="166"/>
      <c r="AI271" s="166"/>
      <c r="AJ271" s="166"/>
      <c r="AK271" s="166"/>
      <c r="AL271" s="166"/>
      <c r="AM271" s="166"/>
      <c r="AN271" s="166"/>
      <c r="AO271" s="166"/>
      <c r="AP271" s="166"/>
      <c r="AQ271" s="166"/>
      <c r="AR271" s="166"/>
    </row>
    <row r="272" customHeight="1" spans="1:44">
      <c r="A272" s="166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98"/>
      <c r="T272" s="298" t="s">
        <v>72</v>
      </c>
      <c r="U272" s="305">
        <f t="shared" si="132"/>
        <v>4.818</v>
      </c>
      <c r="V272" s="199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  <c r="AG272" s="166"/>
      <c r="AH272" s="166"/>
      <c r="AI272" s="166"/>
      <c r="AJ272" s="166"/>
      <c r="AK272" s="166"/>
      <c r="AL272" s="166"/>
      <c r="AM272" s="166"/>
      <c r="AN272" s="166"/>
      <c r="AO272" s="166"/>
      <c r="AP272" s="166"/>
      <c r="AQ272" s="166"/>
      <c r="AR272" s="166"/>
    </row>
    <row r="273" customHeight="1" spans="1:44">
      <c r="A273" s="16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200"/>
      <c r="T273" s="266" t="s">
        <v>133</v>
      </c>
      <c r="U273" s="275">
        <f>U271</f>
        <v>4.818</v>
      </c>
      <c r="V273" s="201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6"/>
      <c r="AH273" s="166"/>
      <c r="AI273" s="166"/>
      <c r="AJ273" s="166"/>
      <c r="AK273" s="166"/>
      <c r="AL273" s="166"/>
      <c r="AM273" s="166"/>
      <c r="AN273" s="166"/>
      <c r="AO273" s="166"/>
      <c r="AP273" s="166"/>
      <c r="AQ273" s="166"/>
      <c r="AR273" s="166"/>
    </row>
    <row r="274" customHeight="1" spans="1:44">
      <c r="A274" s="166"/>
      <c r="B274" s="235">
        <v>3049</v>
      </c>
      <c r="C274" s="235" t="s">
        <v>99</v>
      </c>
      <c r="D274" s="235" t="s">
        <v>0</v>
      </c>
      <c r="E274" s="235">
        <v>1</v>
      </c>
      <c r="F274" s="235" t="s">
        <v>1</v>
      </c>
      <c r="G274" s="236">
        <v>45876</v>
      </c>
      <c r="H274" s="235" t="s">
        <v>73</v>
      </c>
      <c r="I274" s="235" t="s">
        <v>54</v>
      </c>
      <c r="J274" s="235">
        <v>1176</v>
      </c>
      <c r="K274" s="256">
        <v>180</v>
      </c>
      <c r="L274" s="256">
        <v>0</v>
      </c>
      <c r="M274" s="256">
        <f t="shared" ref="M274:M283" si="133">K274-L274</f>
        <v>180</v>
      </c>
      <c r="N274" s="256">
        <f>M274*C2</f>
        <v>7.2</v>
      </c>
      <c r="O274" s="257"/>
      <c r="P274" s="258"/>
      <c r="Q274" s="258"/>
      <c r="R274" s="257">
        <f t="shared" ref="R274:R283" si="134">M274-N274-O274</f>
        <v>172.8</v>
      </c>
      <c r="S274" s="257">
        <f t="shared" ref="S274:S283" si="135">R274/E274</f>
        <v>172.8</v>
      </c>
      <c r="T274" s="258"/>
      <c r="U274" s="257">
        <f t="shared" ref="U274:U282" si="136">M274-O274</f>
        <v>180</v>
      </c>
      <c r="V274" s="235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  <c r="AG274" s="166"/>
      <c r="AH274" s="166"/>
      <c r="AI274" s="166"/>
      <c r="AJ274" s="166"/>
      <c r="AK274" s="166"/>
      <c r="AL274" s="166"/>
      <c r="AM274" s="166"/>
      <c r="AN274" s="166"/>
      <c r="AO274" s="166"/>
      <c r="AP274" s="166"/>
      <c r="AQ274" s="166"/>
      <c r="AR274" s="166"/>
    </row>
    <row r="275" customHeight="1" spans="1:44">
      <c r="A275" s="166"/>
      <c r="B275" s="235">
        <v>2470</v>
      </c>
      <c r="C275" s="235" t="s">
        <v>16</v>
      </c>
      <c r="D275" s="235" t="s">
        <v>0</v>
      </c>
      <c r="E275" s="235">
        <v>1</v>
      </c>
      <c r="F275" s="235" t="s">
        <v>1</v>
      </c>
      <c r="G275" s="236">
        <v>45876</v>
      </c>
      <c r="H275" s="235" t="s">
        <v>73</v>
      </c>
      <c r="I275" s="235" t="s">
        <v>54</v>
      </c>
      <c r="J275" s="235">
        <v>1177</v>
      </c>
      <c r="K275" s="256">
        <v>180</v>
      </c>
      <c r="L275" s="256">
        <v>80</v>
      </c>
      <c r="M275" s="256">
        <f t="shared" si="133"/>
        <v>100</v>
      </c>
      <c r="N275" s="256">
        <f>M275*C2</f>
        <v>4</v>
      </c>
      <c r="O275" s="257"/>
      <c r="P275" s="258"/>
      <c r="Q275" s="258"/>
      <c r="R275" s="257">
        <f t="shared" si="134"/>
        <v>96</v>
      </c>
      <c r="S275" s="257">
        <f t="shared" si="135"/>
        <v>96</v>
      </c>
      <c r="T275" s="258"/>
      <c r="U275" s="257">
        <f t="shared" si="136"/>
        <v>100</v>
      </c>
      <c r="V275" s="235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/>
      <c r="AH275" s="166"/>
      <c r="AI275" s="166"/>
      <c r="AJ275" s="166"/>
      <c r="AK275" s="166"/>
      <c r="AL275" s="166"/>
      <c r="AM275" s="166"/>
      <c r="AN275" s="166"/>
      <c r="AO275" s="166"/>
      <c r="AP275" s="166"/>
      <c r="AQ275" s="166"/>
      <c r="AR275" s="166"/>
    </row>
    <row r="276" customHeight="1" spans="1:44">
      <c r="A276" s="166"/>
      <c r="B276" s="176">
        <v>2470</v>
      </c>
      <c r="C276" s="176" t="s">
        <v>16</v>
      </c>
      <c r="D276" s="176" t="s">
        <v>0</v>
      </c>
      <c r="E276" s="176">
        <v>2</v>
      </c>
      <c r="F276" s="176" t="s">
        <v>1</v>
      </c>
      <c r="G276" s="177">
        <v>45876</v>
      </c>
      <c r="H276" s="176" t="s">
        <v>73</v>
      </c>
      <c r="I276" s="176" t="s">
        <v>54</v>
      </c>
      <c r="J276" s="176">
        <v>1178</v>
      </c>
      <c r="K276" s="182">
        <v>360</v>
      </c>
      <c r="L276" s="182">
        <v>160</v>
      </c>
      <c r="M276" s="182">
        <f t="shared" si="133"/>
        <v>200</v>
      </c>
      <c r="N276" s="182">
        <f>M276*C2</f>
        <v>8</v>
      </c>
      <c r="O276" s="183">
        <v>0</v>
      </c>
      <c r="P276" s="212" t="s">
        <v>134</v>
      </c>
      <c r="Q276" s="212" t="s">
        <v>6</v>
      </c>
      <c r="R276" s="183">
        <f t="shared" si="134"/>
        <v>192</v>
      </c>
      <c r="S276" s="183">
        <f t="shared" si="135"/>
        <v>96</v>
      </c>
      <c r="T276" s="212" t="s">
        <v>66</v>
      </c>
      <c r="U276" s="183">
        <f t="shared" si="136"/>
        <v>200</v>
      </c>
      <c r="V276" s="176" t="s">
        <v>135</v>
      </c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  <c r="AG276" s="166"/>
      <c r="AH276" s="166"/>
      <c r="AI276" s="166"/>
      <c r="AJ276" s="166"/>
      <c r="AK276" s="166"/>
      <c r="AL276" s="166"/>
      <c r="AM276" s="166"/>
      <c r="AN276" s="166"/>
      <c r="AO276" s="166"/>
      <c r="AP276" s="166"/>
      <c r="AQ276" s="166"/>
      <c r="AR276" s="166"/>
    </row>
    <row r="277" customHeight="1" spans="1:44">
      <c r="A277" s="166"/>
      <c r="B277" s="176">
        <v>2470</v>
      </c>
      <c r="C277" s="176" t="s">
        <v>16</v>
      </c>
      <c r="D277" s="176" t="s">
        <v>0</v>
      </c>
      <c r="E277" s="176">
        <v>1</v>
      </c>
      <c r="F277" s="176" t="s">
        <v>1</v>
      </c>
      <c r="G277" s="177">
        <v>45876</v>
      </c>
      <c r="H277" s="176" t="s">
        <v>73</v>
      </c>
      <c r="I277" s="176" t="s">
        <v>54</v>
      </c>
      <c r="J277" s="176">
        <v>1179</v>
      </c>
      <c r="K277" s="182">
        <v>180</v>
      </c>
      <c r="L277" s="182">
        <v>65</v>
      </c>
      <c r="M277" s="182">
        <f t="shared" si="133"/>
        <v>115</v>
      </c>
      <c r="N277" s="182">
        <f>M277*C2</f>
        <v>4.6</v>
      </c>
      <c r="O277" s="183">
        <v>0</v>
      </c>
      <c r="P277" s="212" t="s">
        <v>134</v>
      </c>
      <c r="Q277" s="212" t="s">
        <v>6</v>
      </c>
      <c r="R277" s="183">
        <f t="shared" si="134"/>
        <v>110.4</v>
      </c>
      <c r="S277" s="183">
        <f t="shared" si="135"/>
        <v>110.4</v>
      </c>
      <c r="T277" s="212" t="s">
        <v>66</v>
      </c>
      <c r="U277" s="183">
        <f t="shared" si="136"/>
        <v>115</v>
      </c>
      <c r="V277" s="176" t="s">
        <v>135</v>
      </c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/>
      <c r="AL277" s="166"/>
      <c r="AM277" s="166"/>
      <c r="AN277" s="166"/>
      <c r="AO277" s="166"/>
      <c r="AP277" s="166"/>
      <c r="AQ277" s="166"/>
      <c r="AR277" s="166"/>
    </row>
    <row r="278" customHeight="1" spans="1:44">
      <c r="A278" s="166"/>
      <c r="B278" s="176">
        <v>2470</v>
      </c>
      <c r="C278" s="176" t="s">
        <v>16</v>
      </c>
      <c r="D278" s="176" t="s">
        <v>0</v>
      </c>
      <c r="E278" s="176">
        <v>1</v>
      </c>
      <c r="F278" s="176" t="s">
        <v>1</v>
      </c>
      <c r="G278" s="177">
        <v>45876</v>
      </c>
      <c r="H278" s="176" t="s">
        <v>73</v>
      </c>
      <c r="I278" s="176" t="s">
        <v>54</v>
      </c>
      <c r="J278" s="176">
        <v>1180</v>
      </c>
      <c r="K278" s="182">
        <v>180</v>
      </c>
      <c r="L278" s="182">
        <v>80</v>
      </c>
      <c r="M278" s="182">
        <f t="shared" si="133"/>
        <v>100</v>
      </c>
      <c r="N278" s="182">
        <f>M278*C2</f>
        <v>4</v>
      </c>
      <c r="O278" s="183">
        <v>0</v>
      </c>
      <c r="P278" s="212" t="s">
        <v>134</v>
      </c>
      <c r="Q278" s="212" t="s">
        <v>6</v>
      </c>
      <c r="R278" s="183">
        <f t="shared" si="134"/>
        <v>96</v>
      </c>
      <c r="S278" s="183">
        <f t="shared" si="135"/>
        <v>96</v>
      </c>
      <c r="T278" s="212" t="s">
        <v>66</v>
      </c>
      <c r="U278" s="183">
        <f t="shared" si="136"/>
        <v>100</v>
      </c>
      <c r="V278" s="176" t="s">
        <v>136</v>
      </c>
      <c r="W278" s="166"/>
      <c r="X278" s="166"/>
      <c r="Y278" s="166"/>
      <c r="Z278" s="166"/>
      <c r="AA278" s="166"/>
      <c r="AB278" s="166"/>
      <c r="AC278" s="166"/>
      <c r="AD278" s="166"/>
      <c r="AE278" s="166"/>
      <c r="AF278" s="166"/>
      <c r="AG278" s="166"/>
      <c r="AH278" s="166"/>
      <c r="AI278" s="166"/>
      <c r="AJ278" s="166"/>
      <c r="AK278" s="166"/>
      <c r="AL278" s="166"/>
      <c r="AM278" s="166"/>
      <c r="AN278" s="166"/>
      <c r="AO278" s="166"/>
      <c r="AP278" s="166"/>
      <c r="AQ278" s="166"/>
      <c r="AR278" s="166"/>
    </row>
    <row r="279" customHeight="1" spans="1:44">
      <c r="A279" s="166"/>
      <c r="B279" s="235">
        <v>2470</v>
      </c>
      <c r="C279" s="235" t="s">
        <v>16</v>
      </c>
      <c r="D279" s="235" t="s">
        <v>0</v>
      </c>
      <c r="E279" s="235">
        <v>1</v>
      </c>
      <c r="F279" s="235" t="s">
        <v>1</v>
      </c>
      <c r="G279" s="236">
        <v>45877</v>
      </c>
      <c r="H279" s="235" t="s">
        <v>75</v>
      </c>
      <c r="I279" s="235" t="s">
        <v>102</v>
      </c>
      <c r="J279" s="235">
        <v>1181</v>
      </c>
      <c r="K279" s="256">
        <v>180</v>
      </c>
      <c r="L279" s="256">
        <v>36</v>
      </c>
      <c r="M279" s="256">
        <f t="shared" si="133"/>
        <v>144</v>
      </c>
      <c r="N279" s="256">
        <f>M279*C2</f>
        <v>5.76</v>
      </c>
      <c r="O279" s="257">
        <f t="shared" ref="O279:O280" si="137">M279*3.29%</f>
        <v>4.7376</v>
      </c>
      <c r="P279" s="258" t="s">
        <v>9</v>
      </c>
      <c r="Q279" s="258" t="s">
        <v>55</v>
      </c>
      <c r="R279" s="257">
        <f t="shared" si="134"/>
        <v>133.5024</v>
      </c>
      <c r="S279" s="257">
        <f t="shared" si="135"/>
        <v>133.5024</v>
      </c>
      <c r="T279" s="258" t="s">
        <v>70</v>
      </c>
      <c r="U279" s="257">
        <f t="shared" si="136"/>
        <v>139.2624</v>
      </c>
      <c r="V279" s="235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  <c r="AG279" s="166"/>
      <c r="AH279" s="166"/>
      <c r="AI279" s="166"/>
      <c r="AJ279" s="166"/>
      <c r="AK279" s="166"/>
      <c r="AL279" s="166"/>
      <c r="AM279" s="166"/>
      <c r="AN279" s="166"/>
      <c r="AO279" s="166"/>
      <c r="AP279" s="166"/>
      <c r="AQ279" s="166"/>
      <c r="AR279" s="166"/>
    </row>
    <row r="280" customHeight="1" spans="1:44">
      <c r="A280" s="166"/>
      <c r="B280" s="235">
        <v>2470</v>
      </c>
      <c r="C280" s="235" t="s">
        <v>16</v>
      </c>
      <c r="D280" s="235" t="s">
        <v>0</v>
      </c>
      <c r="E280" s="235">
        <v>1</v>
      </c>
      <c r="F280" s="235" t="s">
        <v>1</v>
      </c>
      <c r="G280" s="236">
        <v>45877</v>
      </c>
      <c r="H280" s="235" t="s">
        <v>75</v>
      </c>
      <c r="I280" s="235" t="s">
        <v>102</v>
      </c>
      <c r="J280" s="235">
        <v>1181</v>
      </c>
      <c r="K280" s="256">
        <v>180</v>
      </c>
      <c r="L280" s="256">
        <v>80</v>
      </c>
      <c r="M280" s="256">
        <f t="shared" si="133"/>
        <v>100</v>
      </c>
      <c r="N280" s="256">
        <f>M280*C2</f>
        <v>4</v>
      </c>
      <c r="O280" s="257">
        <f t="shared" si="137"/>
        <v>3.29</v>
      </c>
      <c r="P280" s="258" t="s">
        <v>9</v>
      </c>
      <c r="Q280" s="258" t="s">
        <v>55</v>
      </c>
      <c r="R280" s="257">
        <f t="shared" si="134"/>
        <v>92.71</v>
      </c>
      <c r="S280" s="257">
        <f t="shared" si="135"/>
        <v>92.71</v>
      </c>
      <c r="T280" s="258" t="s">
        <v>70</v>
      </c>
      <c r="U280" s="257">
        <f t="shared" si="136"/>
        <v>96.71</v>
      </c>
      <c r="V280" s="235"/>
      <c r="W280" s="166"/>
      <c r="X280" s="166"/>
      <c r="Y280" s="166"/>
      <c r="Z280" s="166"/>
      <c r="AA280" s="166"/>
      <c r="AB280" s="166"/>
      <c r="AC280" s="166"/>
      <c r="AD280" s="166"/>
      <c r="AE280" s="166"/>
      <c r="AF280" s="166"/>
      <c r="AG280" s="166"/>
      <c r="AH280" s="166"/>
      <c r="AI280" s="166"/>
      <c r="AJ280" s="166"/>
      <c r="AK280" s="166"/>
      <c r="AL280" s="166"/>
      <c r="AM280" s="166"/>
      <c r="AN280" s="166"/>
      <c r="AO280" s="166"/>
      <c r="AP280" s="166"/>
      <c r="AQ280" s="166"/>
      <c r="AR280" s="166"/>
    </row>
    <row r="281" customHeight="1" spans="1:44">
      <c r="A281" s="166"/>
      <c r="B281" s="235">
        <v>2470</v>
      </c>
      <c r="C281" s="235" t="s">
        <v>16</v>
      </c>
      <c r="D281" s="235" t="s">
        <v>0</v>
      </c>
      <c r="E281" s="235">
        <v>1</v>
      </c>
      <c r="F281" s="235" t="s">
        <v>1</v>
      </c>
      <c r="G281" s="236">
        <v>45877</v>
      </c>
      <c r="H281" s="235" t="s">
        <v>75</v>
      </c>
      <c r="I281" s="235" t="s">
        <v>137</v>
      </c>
      <c r="J281" s="235">
        <v>1182</v>
      </c>
      <c r="K281" s="256">
        <v>180</v>
      </c>
      <c r="L281" s="256">
        <v>36</v>
      </c>
      <c r="M281" s="256">
        <f t="shared" si="133"/>
        <v>144</v>
      </c>
      <c r="N281" s="256">
        <f>M281*C2</f>
        <v>5.76</v>
      </c>
      <c r="O281" s="257">
        <f t="shared" ref="O281:O282" si="138">M281*1.9%</f>
        <v>2.736</v>
      </c>
      <c r="P281" s="258" t="s">
        <v>7</v>
      </c>
      <c r="Q281" s="258" t="s">
        <v>62</v>
      </c>
      <c r="R281" s="257">
        <f t="shared" si="134"/>
        <v>135.504</v>
      </c>
      <c r="S281" s="257">
        <f t="shared" si="135"/>
        <v>135.504</v>
      </c>
      <c r="T281" s="258" t="s">
        <v>66</v>
      </c>
      <c r="U281" s="257">
        <f t="shared" si="136"/>
        <v>141.264</v>
      </c>
      <c r="V281" s="235"/>
      <c r="W281" s="166"/>
      <c r="X281" s="166"/>
      <c r="Y281" s="166"/>
      <c r="Z281" s="166"/>
      <c r="AA281" s="166"/>
      <c r="AB281" s="166"/>
      <c r="AC281" s="166"/>
      <c r="AD281" s="166"/>
      <c r="AE281" s="166"/>
      <c r="AF281" s="166"/>
      <c r="AG281" s="166"/>
      <c r="AH281" s="166"/>
      <c r="AI281" s="166"/>
      <c r="AJ281" s="166"/>
      <c r="AK281" s="166"/>
      <c r="AL281" s="166"/>
      <c r="AM281" s="166"/>
      <c r="AN281" s="166"/>
      <c r="AO281" s="166"/>
      <c r="AP281" s="166"/>
      <c r="AQ281" s="166"/>
      <c r="AR281" s="166"/>
    </row>
    <row r="282" customHeight="1" spans="1:44">
      <c r="A282" s="166"/>
      <c r="B282" s="235">
        <v>2946</v>
      </c>
      <c r="C282" s="235" t="s">
        <v>91</v>
      </c>
      <c r="D282" s="235" t="s">
        <v>0</v>
      </c>
      <c r="E282" s="235">
        <v>1</v>
      </c>
      <c r="F282" s="235" t="s">
        <v>1</v>
      </c>
      <c r="G282" s="236">
        <v>45877</v>
      </c>
      <c r="H282" s="235" t="s">
        <v>75</v>
      </c>
      <c r="I282" s="235" t="s">
        <v>137</v>
      </c>
      <c r="J282" s="235">
        <v>1182</v>
      </c>
      <c r="K282" s="256">
        <v>100</v>
      </c>
      <c r="L282" s="256">
        <v>20</v>
      </c>
      <c r="M282" s="256">
        <f t="shared" si="133"/>
        <v>80</v>
      </c>
      <c r="N282" s="256">
        <f>M282*C2</f>
        <v>3.2</v>
      </c>
      <c r="O282" s="257">
        <f t="shared" si="138"/>
        <v>1.52</v>
      </c>
      <c r="P282" s="258" t="s">
        <v>7</v>
      </c>
      <c r="Q282" s="258" t="s">
        <v>62</v>
      </c>
      <c r="R282" s="257">
        <f t="shared" si="134"/>
        <v>75.28</v>
      </c>
      <c r="S282" s="257">
        <f t="shared" si="135"/>
        <v>75.28</v>
      </c>
      <c r="T282" s="258" t="s">
        <v>66</v>
      </c>
      <c r="U282" s="257">
        <f t="shared" si="136"/>
        <v>78.48</v>
      </c>
      <c r="V282" s="235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  <c r="AG282" s="166"/>
      <c r="AH282" s="166"/>
      <c r="AI282" s="166"/>
      <c r="AJ282" s="166"/>
      <c r="AK282" s="166"/>
      <c r="AL282" s="166"/>
      <c r="AM282" s="166"/>
      <c r="AN282" s="166"/>
      <c r="AO282" s="166"/>
      <c r="AP282" s="166"/>
      <c r="AQ282" s="166"/>
      <c r="AR282" s="166"/>
    </row>
    <row r="283" customHeight="1" spans="1:44">
      <c r="A283" s="166"/>
      <c r="B283" s="233">
        <v>3049</v>
      </c>
      <c r="C283" s="233" t="s">
        <v>99</v>
      </c>
      <c r="D283" s="233" t="s">
        <v>0</v>
      </c>
      <c r="E283" s="233">
        <v>1</v>
      </c>
      <c r="F283" s="233" t="s">
        <v>1</v>
      </c>
      <c r="G283" s="234">
        <v>45877</v>
      </c>
      <c r="H283" s="233" t="s">
        <v>75</v>
      </c>
      <c r="I283" s="233" t="s">
        <v>138</v>
      </c>
      <c r="J283" s="233">
        <v>1183</v>
      </c>
      <c r="K283" s="253">
        <v>180</v>
      </c>
      <c r="L283" s="253">
        <v>36</v>
      </c>
      <c r="M283" s="253">
        <f t="shared" si="133"/>
        <v>144</v>
      </c>
      <c r="N283" s="253">
        <f>M283*C2</f>
        <v>5.76</v>
      </c>
      <c r="O283" s="254">
        <f>M283*3.78%</f>
        <v>5.4432</v>
      </c>
      <c r="P283" s="255" t="s">
        <v>10</v>
      </c>
      <c r="Q283" s="255" t="s">
        <v>62</v>
      </c>
      <c r="R283" s="254">
        <f t="shared" si="134"/>
        <v>132.7968</v>
      </c>
      <c r="S283" s="284">
        <f t="shared" si="135"/>
        <v>132.7968</v>
      </c>
      <c r="T283" s="255" t="s">
        <v>70</v>
      </c>
      <c r="U283" s="254">
        <f>M283/2-O283/2</f>
        <v>69.2784</v>
      </c>
      <c r="V283" s="286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  <c r="AG283" s="166"/>
      <c r="AH283" s="166"/>
      <c r="AI283" s="166"/>
      <c r="AJ283" s="166"/>
      <c r="AK283" s="166"/>
      <c r="AL283" s="166"/>
      <c r="AM283" s="166"/>
      <c r="AN283" s="166"/>
      <c r="AO283" s="166"/>
      <c r="AP283" s="166"/>
      <c r="AQ283" s="166"/>
      <c r="AR283" s="166"/>
    </row>
    <row r="284" customHeight="1" spans="1:44">
      <c r="A284" s="16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200"/>
      <c r="T284" s="287" t="s">
        <v>71</v>
      </c>
      <c r="U284" s="289">
        <f>U283</f>
        <v>69.2784</v>
      </c>
      <c r="V284" s="201"/>
      <c r="W284" s="166"/>
      <c r="X284" s="166"/>
      <c r="Y284" s="166"/>
      <c r="Z284" s="166"/>
      <c r="AA284" s="166"/>
      <c r="AB284" s="166"/>
      <c r="AC284" s="166"/>
      <c r="AD284" s="166"/>
      <c r="AE284" s="166"/>
      <c r="AF284" s="166"/>
      <c r="AG284" s="166"/>
      <c r="AH284" s="166"/>
      <c r="AI284" s="166"/>
      <c r="AJ284" s="166"/>
      <c r="AK284" s="166"/>
      <c r="AL284" s="166"/>
      <c r="AM284" s="166"/>
      <c r="AN284" s="166"/>
      <c r="AO284" s="166"/>
      <c r="AP284" s="166"/>
      <c r="AQ284" s="166"/>
      <c r="AR284" s="166"/>
    </row>
    <row r="285" customHeight="1" spans="1:44">
      <c r="A285" s="166"/>
      <c r="B285" s="235">
        <v>2470</v>
      </c>
      <c r="C285" s="235" t="s">
        <v>16</v>
      </c>
      <c r="D285" s="235" t="s">
        <v>0</v>
      </c>
      <c r="E285" s="235">
        <v>2</v>
      </c>
      <c r="F285" s="235" t="s">
        <v>1</v>
      </c>
      <c r="G285" s="236">
        <v>45877</v>
      </c>
      <c r="H285" s="235" t="s">
        <v>75</v>
      </c>
      <c r="I285" s="235" t="s">
        <v>139</v>
      </c>
      <c r="J285" s="235">
        <v>1184</v>
      </c>
      <c r="K285" s="256">
        <v>360</v>
      </c>
      <c r="L285" s="256">
        <v>72</v>
      </c>
      <c r="M285" s="256">
        <f t="shared" ref="M285:M286" si="139">K285-L285</f>
        <v>288</v>
      </c>
      <c r="N285" s="256">
        <f>M285*C2</f>
        <v>11.52</v>
      </c>
      <c r="O285" s="257">
        <v>0</v>
      </c>
      <c r="P285" s="258" t="s">
        <v>5</v>
      </c>
      <c r="Q285" s="258" t="s">
        <v>6</v>
      </c>
      <c r="R285" s="257">
        <f t="shared" ref="R285:R286" si="140">M285-N285-O285</f>
        <v>276.48</v>
      </c>
      <c r="S285" s="257">
        <f t="shared" ref="S285:S286" si="141">R285/E285</f>
        <v>138.24</v>
      </c>
      <c r="T285" s="258" t="s">
        <v>66</v>
      </c>
      <c r="U285" s="257">
        <f>M285-O285</f>
        <v>288</v>
      </c>
      <c r="V285" s="235"/>
      <c r="W285" s="166"/>
      <c r="X285" s="166"/>
      <c r="Y285" s="166"/>
      <c r="Z285" s="166"/>
      <c r="AA285" s="166"/>
      <c r="AB285" s="166"/>
      <c r="AC285" s="166"/>
      <c r="AD285" s="166"/>
      <c r="AE285" s="166"/>
      <c r="AF285" s="166"/>
      <c r="AG285" s="166"/>
      <c r="AH285" s="166"/>
      <c r="AI285" s="166"/>
      <c r="AJ285" s="166"/>
      <c r="AK285" s="166"/>
      <c r="AL285" s="166"/>
      <c r="AM285" s="166"/>
      <c r="AN285" s="166"/>
      <c r="AO285" s="166"/>
      <c r="AP285" s="166"/>
      <c r="AQ285" s="166"/>
      <c r="AR285" s="166"/>
    </row>
    <row r="286" customHeight="1" spans="1:44">
      <c r="A286" s="166"/>
      <c r="B286" s="233">
        <v>3008</v>
      </c>
      <c r="C286" s="233" t="s">
        <v>28</v>
      </c>
      <c r="D286" s="233" t="s">
        <v>0</v>
      </c>
      <c r="E286" s="233">
        <v>1</v>
      </c>
      <c r="F286" s="233" t="s">
        <v>1</v>
      </c>
      <c r="G286" s="234">
        <v>45878</v>
      </c>
      <c r="H286" s="233" t="s">
        <v>76</v>
      </c>
      <c r="I286" s="233" t="s">
        <v>140</v>
      </c>
      <c r="J286" s="233">
        <v>1185</v>
      </c>
      <c r="K286" s="253">
        <v>215</v>
      </c>
      <c r="L286" s="253">
        <v>0</v>
      </c>
      <c r="M286" s="253">
        <f t="shared" si="139"/>
        <v>215</v>
      </c>
      <c r="N286" s="253">
        <f>M286*C2</f>
        <v>8.6</v>
      </c>
      <c r="O286" s="254">
        <f>M286*3.78%</f>
        <v>8.127</v>
      </c>
      <c r="P286" s="255" t="s">
        <v>10</v>
      </c>
      <c r="Q286" s="255" t="s">
        <v>55</v>
      </c>
      <c r="R286" s="254">
        <f t="shared" si="140"/>
        <v>198.273</v>
      </c>
      <c r="S286" s="284">
        <f t="shared" si="141"/>
        <v>198.273</v>
      </c>
      <c r="T286" s="255" t="s">
        <v>70</v>
      </c>
      <c r="U286" s="254">
        <f>M286/2-O286/2</f>
        <v>103.4365</v>
      </c>
      <c r="V286" s="28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6"/>
      <c r="AH286" s="166"/>
      <c r="AI286" s="166"/>
      <c r="AJ286" s="166"/>
      <c r="AK286" s="166"/>
      <c r="AL286" s="166"/>
      <c r="AM286" s="166"/>
      <c r="AN286" s="166"/>
      <c r="AO286" s="166"/>
      <c r="AP286" s="166"/>
      <c r="AQ286" s="166"/>
      <c r="AR286" s="166"/>
    </row>
    <row r="287" customHeight="1" spans="1:44">
      <c r="A287" s="16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200"/>
      <c r="T287" s="287" t="s">
        <v>71</v>
      </c>
      <c r="U287" s="289">
        <f>U286</f>
        <v>103.4365</v>
      </c>
      <c r="V287" s="201"/>
      <c r="W287" s="166"/>
      <c r="X287" s="166"/>
      <c r="Y287" s="166"/>
      <c r="Z287" s="166"/>
      <c r="AA287" s="166"/>
      <c r="AB287" s="166"/>
      <c r="AC287" s="166"/>
      <c r="AD287" s="166"/>
      <c r="AE287" s="166"/>
      <c r="AF287" s="166"/>
      <c r="AG287" s="166"/>
      <c r="AH287" s="166"/>
      <c r="AI287" s="166"/>
      <c r="AJ287" s="166"/>
      <c r="AK287" s="166"/>
      <c r="AL287" s="166"/>
      <c r="AM287" s="166"/>
      <c r="AN287" s="166"/>
      <c r="AO287" s="166"/>
      <c r="AP287" s="166"/>
      <c r="AQ287" s="166"/>
      <c r="AR287" s="166"/>
    </row>
    <row r="288" customHeight="1" spans="1:44">
      <c r="A288" s="166"/>
      <c r="B288" s="235">
        <v>2470</v>
      </c>
      <c r="C288" s="235" t="s">
        <v>16</v>
      </c>
      <c r="D288" s="235" t="s">
        <v>0</v>
      </c>
      <c r="E288" s="235">
        <v>1</v>
      </c>
      <c r="F288" s="235" t="s">
        <v>1</v>
      </c>
      <c r="G288" s="236">
        <v>45879</v>
      </c>
      <c r="H288" s="235" t="s">
        <v>92</v>
      </c>
      <c r="I288" s="235" t="s">
        <v>141</v>
      </c>
      <c r="J288" s="235">
        <v>1186</v>
      </c>
      <c r="K288" s="256">
        <v>180</v>
      </c>
      <c r="L288" s="256">
        <v>36</v>
      </c>
      <c r="M288" s="256">
        <f t="shared" ref="M288:M289" si="142">K288-L288</f>
        <v>144</v>
      </c>
      <c r="N288" s="256">
        <f>M288*C2</f>
        <v>5.76</v>
      </c>
      <c r="O288" s="254">
        <f>M288*1.9%</f>
        <v>2.736</v>
      </c>
      <c r="P288" s="255" t="s">
        <v>7</v>
      </c>
      <c r="Q288" s="255" t="s">
        <v>62</v>
      </c>
      <c r="R288" s="257">
        <f t="shared" ref="R288:R289" si="143">M288-N288-O288</f>
        <v>135.504</v>
      </c>
      <c r="S288" s="257">
        <f t="shared" ref="S288:S289" si="144">R288/E288</f>
        <v>135.504</v>
      </c>
      <c r="T288" s="258" t="s">
        <v>66</v>
      </c>
      <c r="U288" s="257">
        <f>M288-O288</f>
        <v>141.264</v>
      </c>
      <c r="V288" s="235"/>
      <c r="W288" s="166"/>
      <c r="X288" s="166"/>
      <c r="Y288" s="166"/>
      <c r="Z288" s="166"/>
      <c r="AA288" s="166"/>
      <c r="AB288" s="166"/>
      <c r="AC288" s="166"/>
      <c r="AD288" s="166"/>
      <c r="AE288" s="166"/>
      <c r="AF288" s="166"/>
      <c r="AG288" s="166"/>
      <c r="AH288" s="166"/>
      <c r="AI288" s="166"/>
      <c r="AJ288" s="166"/>
      <c r="AK288" s="166"/>
      <c r="AL288" s="166"/>
      <c r="AM288" s="166"/>
      <c r="AN288" s="166"/>
      <c r="AO288" s="166"/>
      <c r="AP288" s="166"/>
      <c r="AQ288" s="166"/>
      <c r="AR288" s="166"/>
    </row>
    <row r="289" customHeight="1" spans="1:44">
      <c r="A289" s="166"/>
      <c r="B289" s="233">
        <v>2470</v>
      </c>
      <c r="C289" s="233" t="s">
        <v>16</v>
      </c>
      <c r="D289" s="233" t="s">
        <v>0</v>
      </c>
      <c r="E289" s="233">
        <v>1</v>
      </c>
      <c r="F289" s="233" t="s">
        <v>1</v>
      </c>
      <c r="G289" s="234">
        <v>45881</v>
      </c>
      <c r="H289" s="233" t="s">
        <v>64</v>
      </c>
      <c r="I289" s="233" t="s">
        <v>54</v>
      </c>
      <c r="J289" s="233">
        <v>1187</v>
      </c>
      <c r="K289" s="253">
        <v>180</v>
      </c>
      <c r="L289" s="253">
        <v>0</v>
      </c>
      <c r="M289" s="253">
        <f t="shared" si="142"/>
        <v>180</v>
      </c>
      <c r="N289" s="301">
        <f>M289*C2</f>
        <v>7.2</v>
      </c>
      <c r="O289" s="254">
        <f>80*3.29%</f>
        <v>2.632</v>
      </c>
      <c r="P289" s="255" t="s">
        <v>9</v>
      </c>
      <c r="Q289" s="255" t="s">
        <v>62</v>
      </c>
      <c r="R289" s="285">
        <f t="shared" si="143"/>
        <v>170.168</v>
      </c>
      <c r="S289" s="284">
        <f t="shared" si="144"/>
        <v>170.168</v>
      </c>
      <c r="T289" s="255" t="s">
        <v>70</v>
      </c>
      <c r="U289" s="254">
        <f>80-O289</f>
        <v>77.368</v>
      </c>
      <c r="V289" s="286" t="s">
        <v>142</v>
      </c>
      <c r="W289" s="166"/>
      <c r="X289" s="166"/>
      <c r="Y289" s="166"/>
      <c r="Z289" s="166"/>
      <c r="AA289" s="166"/>
      <c r="AB289" s="166"/>
      <c r="AC289" s="166"/>
      <c r="AD289" s="166"/>
      <c r="AE289" s="166"/>
      <c r="AF289" s="166"/>
      <c r="AG289" s="166"/>
      <c r="AH289" s="166"/>
      <c r="AI289" s="166"/>
      <c r="AJ289" s="166"/>
      <c r="AK289" s="166"/>
      <c r="AL289" s="166"/>
      <c r="AM289" s="166"/>
      <c r="AN289" s="166"/>
      <c r="AO289" s="166"/>
      <c r="AP289" s="166"/>
      <c r="AQ289" s="166"/>
      <c r="AR289" s="166"/>
    </row>
    <row r="290" customHeight="1" spans="1:44">
      <c r="A290" s="16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200"/>
      <c r="O290" s="289">
        <v>0</v>
      </c>
      <c r="P290" s="287" t="s">
        <v>134</v>
      </c>
      <c r="Q290" s="287" t="s">
        <v>6</v>
      </c>
      <c r="R290" s="201"/>
      <c r="S290" s="200"/>
      <c r="T290" s="287" t="s">
        <v>66</v>
      </c>
      <c r="U290" s="289">
        <f>100</f>
        <v>100</v>
      </c>
      <c r="V290" s="201"/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  <c r="AG290" s="166"/>
      <c r="AH290" s="166"/>
      <c r="AI290" s="166"/>
      <c r="AJ290" s="166"/>
      <c r="AK290" s="166"/>
      <c r="AL290" s="166"/>
      <c r="AM290" s="166"/>
      <c r="AN290" s="166"/>
      <c r="AO290" s="166"/>
      <c r="AP290" s="166"/>
      <c r="AQ290" s="166"/>
      <c r="AR290" s="166"/>
    </row>
    <row r="291" customHeight="1" spans="1:44">
      <c r="A291" s="166"/>
      <c r="B291" s="235">
        <v>2470</v>
      </c>
      <c r="C291" s="235" t="s">
        <v>16</v>
      </c>
      <c r="D291" s="235" t="s">
        <v>0</v>
      </c>
      <c r="E291" s="235">
        <v>1</v>
      </c>
      <c r="F291" s="235" t="s">
        <v>1</v>
      </c>
      <c r="G291" s="236">
        <v>45884</v>
      </c>
      <c r="H291" s="235" t="s">
        <v>75</v>
      </c>
      <c r="I291" s="235" t="s">
        <v>54</v>
      </c>
      <c r="J291" s="235">
        <v>1188</v>
      </c>
      <c r="K291" s="256">
        <v>180</v>
      </c>
      <c r="L291" s="256">
        <v>0</v>
      </c>
      <c r="M291" s="256">
        <f t="shared" ref="M291:M295" si="145">K291-L291</f>
        <v>180</v>
      </c>
      <c r="N291" s="256">
        <f>M291*C2</f>
        <v>7.2</v>
      </c>
      <c r="O291" s="289">
        <v>0</v>
      </c>
      <c r="P291" s="287" t="s">
        <v>5</v>
      </c>
      <c r="Q291" s="287" t="s">
        <v>6</v>
      </c>
      <c r="R291" s="257">
        <f t="shared" ref="R291:R295" si="146">M291-N291-O291</f>
        <v>172.8</v>
      </c>
      <c r="S291" s="257">
        <f t="shared" ref="S291:S295" si="147">R291/E291</f>
        <v>172.8</v>
      </c>
      <c r="T291" s="258" t="s">
        <v>66</v>
      </c>
      <c r="U291" s="257">
        <f t="shared" ref="U291:U294" si="148">M291-O291</f>
        <v>180</v>
      </c>
      <c r="V291" s="235"/>
      <c r="W291" s="166"/>
      <c r="X291" s="166"/>
      <c r="Y291" s="166"/>
      <c r="Z291" s="166"/>
      <c r="AA291" s="166"/>
      <c r="AB291" s="166"/>
      <c r="AC291" s="166"/>
      <c r="AD291" s="166"/>
      <c r="AE291" s="166"/>
      <c r="AF291" s="166"/>
      <c r="AG291" s="166"/>
      <c r="AH291" s="166"/>
      <c r="AI291" s="166"/>
      <c r="AJ291" s="166"/>
      <c r="AK291" s="166"/>
      <c r="AL291" s="166"/>
      <c r="AM291" s="166"/>
      <c r="AN291" s="166"/>
      <c r="AO291" s="166"/>
      <c r="AP291" s="166"/>
      <c r="AQ291" s="166"/>
      <c r="AR291" s="166"/>
    </row>
    <row r="292" customHeight="1" spans="1:44">
      <c r="A292" s="166"/>
      <c r="B292" s="235">
        <v>2470</v>
      </c>
      <c r="C292" s="235" t="s">
        <v>16</v>
      </c>
      <c r="D292" s="235" t="s">
        <v>0</v>
      </c>
      <c r="E292" s="235">
        <v>2</v>
      </c>
      <c r="F292" s="235" t="s">
        <v>1</v>
      </c>
      <c r="G292" s="236">
        <v>45884</v>
      </c>
      <c r="H292" s="235" t="s">
        <v>75</v>
      </c>
      <c r="I292" s="235" t="s">
        <v>143</v>
      </c>
      <c r="J292" s="235">
        <v>1189</v>
      </c>
      <c r="K292" s="256">
        <v>360</v>
      </c>
      <c r="L292" s="256">
        <v>0</v>
      </c>
      <c r="M292" s="256">
        <f t="shared" si="145"/>
        <v>360</v>
      </c>
      <c r="N292" s="256">
        <f>M292*C2</f>
        <v>14.4</v>
      </c>
      <c r="O292" s="257">
        <f t="shared" ref="O292:O293" si="149">M292*3.29%</f>
        <v>11.844</v>
      </c>
      <c r="P292" s="258" t="s">
        <v>9</v>
      </c>
      <c r="Q292" s="258" t="s">
        <v>55</v>
      </c>
      <c r="R292" s="257">
        <f t="shared" si="146"/>
        <v>333.756</v>
      </c>
      <c r="S292" s="257">
        <f t="shared" si="147"/>
        <v>166.878</v>
      </c>
      <c r="T292" s="258" t="s">
        <v>70</v>
      </c>
      <c r="U292" s="257">
        <f t="shared" si="148"/>
        <v>348.156</v>
      </c>
      <c r="V292" s="235"/>
      <c r="W292" s="166"/>
      <c r="X292" s="166"/>
      <c r="Y292" s="166"/>
      <c r="Z292" s="166"/>
      <c r="AA292" s="166"/>
      <c r="AB292" s="166"/>
      <c r="AC292" s="166"/>
      <c r="AD292" s="166"/>
      <c r="AE292" s="166"/>
      <c r="AF292" s="166"/>
      <c r="AG292" s="166"/>
      <c r="AH292" s="166"/>
      <c r="AI292" s="166"/>
      <c r="AJ292" s="166"/>
      <c r="AK292" s="166"/>
      <c r="AL292" s="166"/>
      <c r="AM292" s="166"/>
      <c r="AN292" s="166"/>
      <c r="AO292" s="166"/>
      <c r="AP292" s="166"/>
      <c r="AQ292" s="166"/>
      <c r="AR292" s="166"/>
    </row>
    <row r="293" customHeight="1" spans="1:44">
      <c r="A293" s="166"/>
      <c r="B293" s="235">
        <v>2470</v>
      </c>
      <c r="C293" s="235" t="s">
        <v>16</v>
      </c>
      <c r="D293" s="235" t="s">
        <v>0</v>
      </c>
      <c r="E293" s="235">
        <v>1</v>
      </c>
      <c r="F293" s="235" t="s">
        <v>1</v>
      </c>
      <c r="G293" s="236">
        <v>45884</v>
      </c>
      <c r="H293" s="235" t="s">
        <v>75</v>
      </c>
      <c r="I293" s="235" t="s">
        <v>54</v>
      </c>
      <c r="J293" s="235">
        <v>1190</v>
      </c>
      <c r="K293" s="256">
        <v>180</v>
      </c>
      <c r="L293" s="256">
        <v>0</v>
      </c>
      <c r="M293" s="256">
        <f t="shared" si="145"/>
        <v>180</v>
      </c>
      <c r="N293" s="256">
        <f>M293*C2</f>
        <v>7.2</v>
      </c>
      <c r="O293" s="257">
        <f t="shared" si="149"/>
        <v>5.922</v>
      </c>
      <c r="P293" s="258" t="s">
        <v>9</v>
      </c>
      <c r="Q293" s="258" t="s">
        <v>55</v>
      </c>
      <c r="R293" s="257">
        <f t="shared" si="146"/>
        <v>166.878</v>
      </c>
      <c r="S293" s="257">
        <f t="shared" si="147"/>
        <v>166.878</v>
      </c>
      <c r="T293" s="258" t="s">
        <v>70</v>
      </c>
      <c r="U293" s="257">
        <f t="shared" si="148"/>
        <v>174.078</v>
      </c>
      <c r="V293" s="235"/>
      <c r="W293" s="166"/>
      <c r="X293" s="166"/>
      <c r="Y293" s="166"/>
      <c r="Z293" s="166"/>
      <c r="AA293" s="166"/>
      <c r="AB293" s="166"/>
      <c r="AC293" s="166"/>
      <c r="AD293" s="166"/>
      <c r="AE293" s="166"/>
      <c r="AF293" s="166"/>
      <c r="AG293" s="166"/>
      <c r="AH293" s="166"/>
      <c r="AI293" s="166"/>
      <c r="AJ293" s="166"/>
      <c r="AK293" s="166"/>
      <c r="AL293" s="166"/>
      <c r="AM293" s="166"/>
      <c r="AN293" s="166"/>
      <c r="AO293" s="166"/>
      <c r="AP293" s="166"/>
      <c r="AQ293" s="166"/>
      <c r="AR293" s="166"/>
    </row>
    <row r="294" customHeight="1" spans="1:44">
      <c r="A294" s="166"/>
      <c r="B294" s="235">
        <v>2470</v>
      </c>
      <c r="C294" s="235" t="s">
        <v>16</v>
      </c>
      <c r="D294" s="235" t="s">
        <v>0</v>
      </c>
      <c r="E294" s="235">
        <v>1</v>
      </c>
      <c r="F294" s="235" t="s">
        <v>1</v>
      </c>
      <c r="G294" s="236">
        <v>45884</v>
      </c>
      <c r="H294" s="235" t="s">
        <v>75</v>
      </c>
      <c r="I294" s="235" t="s">
        <v>54</v>
      </c>
      <c r="J294" s="235">
        <v>1191</v>
      </c>
      <c r="K294" s="256">
        <v>180</v>
      </c>
      <c r="L294" s="256">
        <v>0</v>
      </c>
      <c r="M294" s="256">
        <f t="shared" si="145"/>
        <v>180</v>
      </c>
      <c r="N294" s="256">
        <f>M294*C2</f>
        <v>7.2</v>
      </c>
      <c r="O294" s="257">
        <f>M294*1.9%</f>
        <v>3.42</v>
      </c>
      <c r="P294" s="258" t="s">
        <v>7</v>
      </c>
      <c r="Q294" s="258" t="s">
        <v>62</v>
      </c>
      <c r="R294" s="257">
        <f t="shared" si="146"/>
        <v>169.38</v>
      </c>
      <c r="S294" s="257">
        <f t="shared" si="147"/>
        <v>169.38</v>
      </c>
      <c r="T294" s="258" t="s">
        <v>66</v>
      </c>
      <c r="U294" s="257">
        <f t="shared" si="148"/>
        <v>176.58</v>
      </c>
      <c r="V294" s="235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  <c r="AG294" s="166"/>
      <c r="AH294" s="166"/>
      <c r="AI294" s="166"/>
      <c r="AJ294" s="166"/>
      <c r="AK294" s="166"/>
      <c r="AL294" s="166"/>
      <c r="AM294" s="166"/>
      <c r="AN294" s="166"/>
      <c r="AO294" s="166"/>
      <c r="AP294" s="166"/>
      <c r="AQ294" s="166"/>
      <c r="AR294" s="166"/>
    </row>
    <row r="295" customHeight="1" spans="1:44">
      <c r="A295" s="166"/>
      <c r="B295" s="233">
        <v>2470</v>
      </c>
      <c r="C295" s="233" t="s">
        <v>16</v>
      </c>
      <c r="D295" s="233" t="s">
        <v>0</v>
      </c>
      <c r="E295" s="233">
        <v>1</v>
      </c>
      <c r="F295" s="233" t="s">
        <v>1</v>
      </c>
      <c r="G295" s="234">
        <v>45885</v>
      </c>
      <c r="H295" s="233" t="s">
        <v>76</v>
      </c>
      <c r="I295" s="233" t="s">
        <v>54</v>
      </c>
      <c r="J295" s="233">
        <v>1192</v>
      </c>
      <c r="K295" s="253">
        <v>180</v>
      </c>
      <c r="L295" s="253">
        <v>0</v>
      </c>
      <c r="M295" s="253">
        <f t="shared" si="145"/>
        <v>180</v>
      </c>
      <c r="N295" s="253">
        <f>M295*C2</f>
        <v>7.2</v>
      </c>
      <c r="O295" s="254">
        <f>M295*3.78%</f>
        <v>6.804</v>
      </c>
      <c r="P295" s="255" t="s">
        <v>10</v>
      </c>
      <c r="Q295" s="255" t="s">
        <v>62</v>
      </c>
      <c r="R295" s="254">
        <f t="shared" si="146"/>
        <v>165.996</v>
      </c>
      <c r="S295" s="284">
        <f t="shared" si="147"/>
        <v>165.996</v>
      </c>
      <c r="T295" s="255" t="s">
        <v>70</v>
      </c>
      <c r="U295" s="254">
        <f>M295/2-O295/2</f>
        <v>86.598</v>
      </c>
      <c r="V295" s="286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  <c r="AG295" s="166"/>
      <c r="AH295" s="166"/>
      <c r="AI295" s="166"/>
      <c r="AJ295" s="166"/>
      <c r="AK295" s="166"/>
      <c r="AL295" s="166"/>
      <c r="AM295" s="166"/>
      <c r="AN295" s="166"/>
      <c r="AO295" s="166"/>
      <c r="AP295" s="166"/>
      <c r="AQ295" s="166"/>
      <c r="AR295" s="166"/>
    </row>
    <row r="296" customHeight="1" spans="1:44">
      <c r="A296" s="16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200"/>
      <c r="T296" s="291" t="s">
        <v>71</v>
      </c>
      <c r="U296" s="292">
        <f>U295</f>
        <v>86.598</v>
      </c>
      <c r="V296" s="201"/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  <c r="AH296" s="166"/>
      <c r="AI296" s="166"/>
      <c r="AJ296" s="166"/>
      <c r="AK296" s="166"/>
      <c r="AL296" s="166"/>
      <c r="AM296" s="166"/>
      <c r="AN296" s="166"/>
      <c r="AO296" s="166"/>
      <c r="AP296" s="166"/>
      <c r="AQ296" s="166"/>
      <c r="AR296" s="166"/>
    </row>
    <row r="297" customHeight="1" spans="1:44">
      <c r="A297" s="166"/>
      <c r="B297" s="233">
        <v>2470</v>
      </c>
      <c r="C297" s="233" t="s">
        <v>16</v>
      </c>
      <c r="D297" s="233" t="s">
        <v>0</v>
      </c>
      <c r="E297" s="233">
        <v>1</v>
      </c>
      <c r="F297" s="233" t="s">
        <v>1</v>
      </c>
      <c r="G297" s="234">
        <v>45886</v>
      </c>
      <c r="H297" s="233" t="s">
        <v>92</v>
      </c>
      <c r="I297" s="233" t="s">
        <v>54</v>
      </c>
      <c r="J297" s="233">
        <v>1193</v>
      </c>
      <c r="K297" s="253">
        <v>180</v>
      </c>
      <c r="L297" s="253">
        <v>0</v>
      </c>
      <c r="M297" s="253">
        <v>180</v>
      </c>
      <c r="N297" s="253">
        <f>M298*C2</f>
        <v>0</v>
      </c>
      <c r="O297" s="254">
        <f>M297*3.83%</f>
        <v>6.894</v>
      </c>
      <c r="P297" s="255" t="s">
        <v>10</v>
      </c>
      <c r="Q297" s="255" t="s">
        <v>131</v>
      </c>
      <c r="R297" s="254">
        <f>M297-N297-O297</f>
        <v>173.106</v>
      </c>
      <c r="S297" s="284">
        <f>R297/E297</f>
        <v>173.106</v>
      </c>
      <c r="T297" s="255" t="s">
        <v>70</v>
      </c>
      <c r="U297" s="254">
        <f>M297/2-O297/2</f>
        <v>86.553</v>
      </c>
      <c r="V297" s="286"/>
      <c r="W297" s="166"/>
      <c r="X297" s="166"/>
      <c r="Y297" s="166"/>
      <c r="Z297" s="166"/>
      <c r="AA297" s="166"/>
      <c r="AB297" s="166"/>
      <c r="AC297" s="166"/>
      <c r="AD297" s="166"/>
      <c r="AE297" s="166"/>
      <c r="AF297" s="166"/>
      <c r="AG297" s="166"/>
      <c r="AH297" s="166"/>
      <c r="AI297" s="166"/>
      <c r="AJ297" s="166"/>
      <c r="AK297" s="166"/>
      <c r="AL297" s="166"/>
      <c r="AM297" s="166"/>
      <c r="AN297" s="166"/>
      <c r="AO297" s="166"/>
      <c r="AP297" s="166"/>
      <c r="AQ297" s="166"/>
      <c r="AR297" s="166"/>
    </row>
    <row r="298" customHeight="1" spans="1:44">
      <c r="A298" s="16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200"/>
      <c r="T298" s="291" t="s">
        <v>71</v>
      </c>
      <c r="U298" s="292">
        <f>U297</f>
        <v>86.553</v>
      </c>
      <c r="V298" s="201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  <c r="AG298" s="166"/>
      <c r="AH298" s="166"/>
      <c r="AI298" s="166"/>
      <c r="AJ298" s="166"/>
      <c r="AK298" s="166"/>
      <c r="AL298" s="166"/>
      <c r="AM298" s="166"/>
      <c r="AN298" s="166"/>
      <c r="AO298" s="166"/>
      <c r="AP298" s="166"/>
      <c r="AQ298" s="166"/>
      <c r="AR298" s="166"/>
    </row>
    <row r="299" customHeight="1" spans="1:44">
      <c r="A299" s="166"/>
      <c r="B299" s="233">
        <v>2470</v>
      </c>
      <c r="C299" s="233" t="s">
        <v>16</v>
      </c>
      <c r="D299" s="233" t="s">
        <v>0</v>
      </c>
      <c r="E299" s="233">
        <v>1</v>
      </c>
      <c r="F299" s="233" t="s">
        <v>1</v>
      </c>
      <c r="G299" s="234">
        <v>45886</v>
      </c>
      <c r="H299" s="233" t="s">
        <v>92</v>
      </c>
      <c r="I299" s="233" t="s">
        <v>54</v>
      </c>
      <c r="J299" s="233">
        <v>1194</v>
      </c>
      <c r="K299" s="253">
        <v>180</v>
      </c>
      <c r="L299" s="253">
        <v>0</v>
      </c>
      <c r="M299" s="253">
        <v>180</v>
      </c>
      <c r="N299" s="253">
        <f>M300*C2</f>
        <v>0</v>
      </c>
      <c r="O299" s="254">
        <f>M299*3.78%</f>
        <v>6.804</v>
      </c>
      <c r="P299" s="255" t="s">
        <v>10</v>
      </c>
      <c r="Q299" s="255" t="s">
        <v>55</v>
      </c>
      <c r="R299" s="254">
        <f>M299-N299-O299</f>
        <v>173.196</v>
      </c>
      <c r="S299" s="284">
        <f>R299/E299</f>
        <v>173.196</v>
      </c>
      <c r="T299" s="255" t="s">
        <v>70</v>
      </c>
      <c r="U299" s="254">
        <f>M299/2-O299/2</f>
        <v>86.598</v>
      </c>
      <c r="V299" s="286"/>
      <c r="W299" s="166"/>
      <c r="X299" s="166"/>
      <c r="Y299" s="166"/>
      <c r="Z299" s="166"/>
      <c r="AA299" s="166"/>
      <c r="AB299" s="166"/>
      <c r="AC299" s="166"/>
      <c r="AD299" s="166"/>
      <c r="AE299" s="166"/>
      <c r="AF299" s="166"/>
      <c r="AG299" s="166"/>
      <c r="AH299" s="166"/>
      <c r="AI299" s="166"/>
      <c r="AJ299" s="166"/>
      <c r="AK299" s="166"/>
      <c r="AL299" s="166"/>
      <c r="AM299" s="166"/>
      <c r="AN299" s="166"/>
      <c r="AO299" s="166"/>
      <c r="AP299" s="166"/>
      <c r="AQ299" s="166"/>
      <c r="AR299" s="166"/>
    </row>
    <row r="300" customHeight="1" spans="1:44">
      <c r="A300" s="16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200"/>
      <c r="T300" s="287" t="s">
        <v>71</v>
      </c>
      <c r="U300" s="289">
        <f>U299</f>
        <v>86.598</v>
      </c>
      <c r="V300" s="201"/>
      <c r="W300" s="166"/>
      <c r="X300" s="166"/>
      <c r="Y300" s="166"/>
      <c r="Z300" s="166"/>
      <c r="AA300" s="166"/>
      <c r="AB300" s="166"/>
      <c r="AC300" s="166"/>
      <c r="AD300" s="166"/>
      <c r="AE300" s="166"/>
      <c r="AF300" s="166"/>
      <c r="AG300" s="166"/>
      <c r="AH300" s="166"/>
      <c r="AI300" s="166"/>
      <c r="AJ300" s="166"/>
      <c r="AK300" s="166"/>
      <c r="AL300" s="166"/>
      <c r="AM300" s="166"/>
      <c r="AN300" s="166"/>
      <c r="AO300" s="166"/>
      <c r="AP300" s="166"/>
      <c r="AQ300" s="166"/>
      <c r="AR300" s="166"/>
    </row>
    <row r="301" customHeight="1" spans="1:44">
      <c r="A301" s="166"/>
      <c r="B301" s="235">
        <v>2470</v>
      </c>
      <c r="C301" s="235" t="s">
        <v>16</v>
      </c>
      <c r="D301" s="235" t="s">
        <v>0</v>
      </c>
      <c r="E301" s="235">
        <v>1</v>
      </c>
      <c r="F301" s="235" t="s">
        <v>1</v>
      </c>
      <c r="G301" s="236">
        <v>45887</v>
      </c>
      <c r="H301" s="235" t="s">
        <v>77</v>
      </c>
      <c r="I301" s="235" t="s">
        <v>54</v>
      </c>
      <c r="J301" s="235">
        <v>1195</v>
      </c>
      <c r="K301" s="256">
        <v>180</v>
      </c>
      <c r="L301" s="256">
        <v>0</v>
      </c>
      <c r="M301" s="256">
        <f t="shared" ref="M301:M302" si="150">K301-L301</f>
        <v>180</v>
      </c>
      <c r="N301" s="256">
        <f>M301*C2</f>
        <v>7.2</v>
      </c>
      <c r="O301" s="257"/>
      <c r="P301" s="258"/>
      <c r="Q301" s="258"/>
      <c r="R301" s="257">
        <f t="shared" ref="R301:R302" si="151">M301-N301-O301</f>
        <v>172.8</v>
      </c>
      <c r="S301" s="257">
        <f t="shared" ref="S301:S302" si="152">R301/E301</f>
        <v>172.8</v>
      </c>
      <c r="T301" s="287"/>
      <c r="U301" s="289">
        <f t="shared" ref="U301:U302" si="153">M301-O301</f>
        <v>180</v>
      </c>
      <c r="V301" s="235"/>
      <c r="W301" s="166"/>
      <c r="X301" s="166"/>
      <c r="Y301" s="166"/>
      <c r="Z301" s="166"/>
      <c r="AA301" s="166"/>
      <c r="AB301" s="166"/>
      <c r="AC301" s="166"/>
      <c r="AD301" s="166"/>
      <c r="AE301" s="166"/>
      <c r="AF301" s="166"/>
      <c r="AG301" s="166"/>
      <c r="AH301" s="166"/>
      <c r="AI301" s="166"/>
      <c r="AJ301" s="166"/>
      <c r="AK301" s="166"/>
      <c r="AL301" s="166"/>
      <c r="AM301" s="166"/>
      <c r="AN301" s="166"/>
      <c r="AO301" s="166"/>
      <c r="AP301" s="166"/>
      <c r="AQ301" s="166"/>
      <c r="AR301" s="166"/>
    </row>
    <row r="302" customHeight="1" spans="1:44">
      <c r="A302" s="166"/>
      <c r="B302" s="235">
        <v>2470</v>
      </c>
      <c r="C302" s="235" t="s">
        <v>16</v>
      </c>
      <c r="D302" s="235" t="s">
        <v>0</v>
      </c>
      <c r="E302" s="235">
        <v>1</v>
      </c>
      <c r="F302" s="235" t="s">
        <v>1</v>
      </c>
      <c r="G302" s="236">
        <v>45887</v>
      </c>
      <c r="H302" s="235" t="s">
        <v>77</v>
      </c>
      <c r="I302" s="235" t="s">
        <v>144</v>
      </c>
      <c r="J302" s="235">
        <v>1196</v>
      </c>
      <c r="K302" s="256">
        <v>180</v>
      </c>
      <c r="L302" s="256">
        <v>36</v>
      </c>
      <c r="M302" s="256">
        <f t="shared" si="150"/>
        <v>144</v>
      </c>
      <c r="N302" s="256">
        <f>M302*C2</f>
        <v>5.76</v>
      </c>
      <c r="O302" s="257">
        <v>0</v>
      </c>
      <c r="P302" s="258" t="s">
        <v>5</v>
      </c>
      <c r="Q302" s="258" t="s">
        <v>6</v>
      </c>
      <c r="R302" s="257">
        <f t="shared" si="151"/>
        <v>138.24</v>
      </c>
      <c r="S302" s="257">
        <f t="shared" si="152"/>
        <v>138.24</v>
      </c>
      <c r="T302" s="255" t="s">
        <v>66</v>
      </c>
      <c r="U302" s="254">
        <f t="shared" si="153"/>
        <v>144</v>
      </c>
      <c r="V302" s="235"/>
      <c r="W302" s="166"/>
      <c r="X302" s="166"/>
      <c r="Y302" s="166"/>
      <c r="Z302" s="166"/>
      <c r="AA302" s="166"/>
      <c r="AB302" s="166"/>
      <c r="AC302" s="166"/>
      <c r="AD302" s="166"/>
      <c r="AE302" s="166"/>
      <c r="AF302" s="166"/>
      <c r="AG302" s="166"/>
      <c r="AH302" s="166"/>
      <c r="AI302" s="166"/>
      <c r="AJ302" s="166"/>
      <c r="AK302" s="166"/>
      <c r="AL302" s="166"/>
      <c r="AM302" s="166"/>
      <c r="AN302" s="166"/>
      <c r="AO302" s="166"/>
      <c r="AP302" s="166"/>
      <c r="AQ302" s="166"/>
      <c r="AR302" s="166"/>
    </row>
    <row r="303" customHeight="1" spans="1:44">
      <c r="A303" s="166"/>
      <c r="B303" s="233">
        <v>3008</v>
      </c>
      <c r="C303" s="233" t="s">
        <v>28</v>
      </c>
      <c r="D303" s="233" t="s">
        <v>0</v>
      </c>
      <c r="E303" s="233">
        <v>1</v>
      </c>
      <c r="F303" s="233" t="s">
        <v>1</v>
      </c>
      <c r="G303" s="234">
        <v>45887</v>
      </c>
      <c r="H303" s="233" t="s">
        <v>77</v>
      </c>
      <c r="I303" s="233" t="s">
        <v>54</v>
      </c>
      <c r="J303" s="233">
        <v>1197</v>
      </c>
      <c r="K303" s="253">
        <v>215</v>
      </c>
      <c r="L303" s="253">
        <v>43</v>
      </c>
      <c r="M303" s="253">
        <f>K305-L305</f>
        <v>0</v>
      </c>
      <c r="N303" s="253">
        <f>M305*C2</f>
        <v>0</v>
      </c>
      <c r="O303" s="257">
        <f>28*2.96%</f>
        <v>0.8288</v>
      </c>
      <c r="P303" s="258" t="s">
        <v>7</v>
      </c>
      <c r="Q303" s="258" t="s">
        <v>79</v>
      </c>
      <c r="R303" s="284">
        <f>K303-O303-(10.88/2)</f>
        <v>208.7312</v>
      </c>
      <c r="S303" s="284">
        <f>R303+R304</f>
        <v>208.7312</v>
      </c>
      <c r="T303" s="254" t="s">
        <v>70</v>
      </c>
      <c r="U303" s="254">
        <f>28-O303</f>
        <v>27.1712</v>
      </c>
      <c r="V303" s="286" t="s">
        <v>145</v>
      </c>
      <c r="W303" s="166"/>
      <c r="X303" s="166"/>
      <c r="Y303" s="166"/>
      <c r="Z303" s="166"/>
      <c r="AA303" s="166"/>
      <c r="AB303" s="166"/>
      <c r="AC303" s="166"/>
      <c r="AD303" s="166"/>
      <c r="AE303" s="166"/>
      <c r="AF303" s="166"/>
      <c r="AG303" s="166"/>
      <c r="AH303" s="166"/>
      <c r="AI303" s="166"/>
      <c r="AJ303" s="166"/>
      <c r="AK303" s="166"/>
      <c r="AL303" s="166"/>
      <c r="AM303" s="166"/>
      <c r="AN303" s="166"/>
      <c r="AO303" s="166"/>
      <c r="AP303" s="166"/>
      <c r="AQ303" s="166"/>
      <c r="AR303" s="166"/>
    </row>
    <row r="304" customHeight="1" spans="1:44">
      <c r="A304" s="166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254">
        <v>10.88</v>
      </c>
      <c r="P304" s="255" t="s">
        <v>10</v>
      </c>
      <c r="Q304" s="255" t="s">
        <v>55</v>
      </c>
      <c r="R304" s="198"/>
      <c r="S304" s="198"/>
      <c r="T304" s="292" t="s">
        <v>70</v>
      </c>
      <c r="U304" s="292">
        <f>144-O304/2</f>
        <v>138.56</v>
      </c>
      <c r="V304" s="199"/>
      <c r="W304" s="166"/>
      <c r="X304" s="166"/>
      <c r="Y304" s="166"/>
      <c r="Z304" s="166"/>
      <c r="AA304" s="166"/>
      <c r="AB304" s="166"/>
      <c r="AC304" s="166"/>
      <c r="AD304" s="166"/>
      <c r="AE304" s="166"/>
      <c r="AF304" s="166"/>
      <c r="AG304" s="166"/>
      <c r="AH304" s="166"/>
      <c r="AI304" s="166"/>
      <c r="AJ304" s="166"/>
      <c r="AK304" s="166"/>
      <c r="AL304" s="166"/>
      <c r="AM304" s="166"/>
      <c r="AN304" s="166"/>
      <c r="AO304" s="166"/>
      <c r="AP304" s="166"/>
      <c r="AQ304" s="166"/>
      <c r="AR304" s="166"/>
    </row>
    <row r="305" customHeight="1" spans="1:44">
      <c r="A305" s="16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00"/>
      <c r="P305" s="100"/>
      <c r="Q305" s="100"/>
      <c r="R305" s="200"/>
      <c r="S305" s="200"/>
      <c r="T305" s="16"/>
      <c r="U305" s="16"/>
      <c r="V305" s="201"/>
      <c r="W305" s="166"/>
      <c r="X305" s="166"/>
      <c r="Y305" s="166"/>
      <c r="Z305" s="166"/>
      <c r="AA305" s="166"/>
      <c r="AB305" s="166"/>
      <c r="AC305" s="166"/>
      <c r="AD305" s="166"/>
      <c r="AE305" s="166"/>
      <c r="AF305" s="166"/>
      <c r="AG305" s="166"/>
      <c r="AH305" s="166"/>
      <c r="AI305" s="166"/>
      <c r="AJ305" s="166"/>
      <c r="AK305" s="166"/>
      <c r="AL305" s="166"/>
      <c r="AM305" s="166"/>
      <c r="AN305" s="166"/>
      <c r="AO305" s="166"/>
      <c r="AP305" s="166"/>
      <c r="AQ305" s="166"/>
      <c r="AR305" s="166"/>
    </row>
    <row r="306" customHeight="1" spans="1:44">
      <c r="A306" s="166"/>
      <c r="B306" s="235">
        <v>3049</v>
      </c>
      <c r="C306" s="235" t="s">
        <v>99</v>
      </c>
      <c r="D306" s="235" t="s">
        <v>0</v>
      </c>
      <c r="E306" s="235">
        <v>1</v>
      </c>
      <c r="F306" s="235" t="s">
        <v>1</v>
      </c>
      <c r="G306" s="236">
        <v>45887</v>
      </c>
      <c r="H306" s="235" t="s">
        <v>77</v>
      </c>
      <c r="I306" s="235" t="s">
        <v>54</v>
      </c>
      <c r="J306" s="235">
        <v>1197</v>
      </c>
      <c r="K306" s="256">
        <v>180</v>
      </c>
      <c r="L306" s="256">
        <v>36</v>
      </c>
      <c r="M306" s="256">
        <f t="shared" ref="M306:M314" si="154">K306-L306</f>
        <v>144</v>
      </c>
      <c r="N306" s="256">
        <f>M306*C2</f>
        <v>5.76</v>
      </c>
      <c r="O306" s="16"/>
      <c r="P306" s="16"/>
      <c r="Q306" s="16"/>
      <c r="R306" s="289">
        <f>M306-(10.88/2)</f>
        <v>138.56</v>
      </c>
      <c r="S306" s="257">
        <f t="shared" ref="S306:S307" si="155">R306/E306</f>
        <v>138.56</v>
      </c>
      <c r="T306" s="287" t="s">
        <v>71</v>
      </c>
      <c r="U306" s="289">
        <f>U304</f>
        <v>138.56</v>
      </c>
      <c r="V306" s="235"/>
      <c r="W306" s="166"/>
      <c r="X306" s="166"/>
      <c r="Y306" s="166"/>
      <c r="Z306" s="166"/>
      <c r="AA306" s="166"/>
      <c r="AB306" s="166"/>
      <c r="AC306" s="166"/>
      <c r="AD306" s="166"/>
      <c r="AE306" s="166"/>
      <c r="AF306" s="166"/>
      <c r="AG306" s="166"/>
      <c r="AH306" s="166"/>
      <c r="AI306" s="166"/>
      <c r="AJ306" s="166"/>
      <c r="AK306" s="166"/>
      <c r="AL306" s="166"/>
      <c r="AM306" s="166"/>
      <c r="AN306" s="166"/>
      <c r="AO306" s="166"/>
      <c r="AP306" s="166"/>
      <c r="AQ306" s="166"/>
      <c r="AR306" s="166"/>
    </row>
    <row r="307" customHeight="1" spans="1:44">
      <c r="A307" s="166"/>
      <c r="B307" s="239">
        <v>2470</v>
      </c>
      <c r="C307" s="239" t="s">
        <v>16</v>
      </c>
      <c r="D307" s="239" t="s">
        <v>0</v>
      </c>
      <c r="E307" s="239">
        <v>3</v>
      </c>
      <c r="F307" s="239" t="s">
        <v>1</v>
      </c>
      <c r="G307" s="240">
        <v>45889</v>
      </c>
      <c r="H307" s="239" t="s">
        <v>68</v>
      </c>
      <c r="I307" s="239" t="s">
        <v>54</v>
      </c>
      <c r="J307" s="239">
        <v>1199</v>
      </c>
      <c r="K307" s="262">
        <v>540</v>
      </c>
      <c r="L307" s="262">
        <v>0</v>
      </c>
      <c r="M307" s="262">
        <f t="shared" si="154"/>
        <v>540</v>
      </c>
      <c r="N307" s="262">
        <v>0</v>
      </c>
      <c r="O307" s="263">
        <v>0</v>
      </c>
      <c r="P307" s="265" t="s">
        <v>6</v>
      </c>
      <c r="Q307" s="265" t="s">
        <v>6</v>
      </c>
      <c r="R307" s="263">
        <v>0</v>
      </c>
      <c r="S307" s="263">
        <f t="shared" si="155"/>
        <v>0</v>
      </c>
      <c r="T307" s="265" t="s">
        <v>6</v>
      </c>
      <c r="U307" s="263">
        <v>0</v>
      </c>
      <c r="V307" s="239" t="s">
        <v>146</v>
      </c>
      <c r="W307" s="166"/>
      <c r="X307" s="166"/>
      <c r="Y307" s="166"/>
      <c r="Z307" s="166"/>
      <c r="AA307" s="166"/>
      <c r="AB307" s="166"/>
      <c r="AC307" s="166"/>
      <c r="AD307" s="166"/>
      <c r="AE307" s="166"/>
      <c r="AF307" s="166"/>
      <c r="AG307" s="166"/>
      <c r="AH307" s="166"/>
      <c r="AI307" s="166"/>
      <c r="AJ307" s="166"/>
      <c r="AK307" s="166"/>
      <c r="AL307" s="166"/>
      <c r="AM307" s="166"/>
      <c r="AN307" s="166"/>
      <c r="AO307" s="166"/>
      <c r="AP307" s="166"/>
      <c r="AQ307" s="166"/>
      <c r="AR307" s="166"/>
    </row>
    <row r="308" customHeight="1" spans="1:44">
      <c r="A308" s="166"/>
      <c r="B308" s="239">
        <v>3049</v>
      </c>
      <c r="C308" s="239" t="s">
        <v>99</v>
      </c>
      <c r="D308" s="239" t="s">
        <v>0</v>
      </c>
      <c r="E308" s="239">
        <v>5</v>
      </c>
      <c r="F308" s="239" t="s">
        <v>1</v>
      </c>
      <c r="G308" s="240">
        <v>45889</v>
      </c>
      <c r="H308" s="239" t="s">
        <v>68</v>
      </c>
      <c r="I308" s="239" t="s">
        <v>54</v>
      </c>
      <c r="J308" s="239">
        <v>1200</v>
      </c>
      <c r="K308" s="262">
        <v>900</v>
      </c>
      <c r="L308" s="262">
        <v>0</v>
      </c>
      <c r="M308" s="262">
        <f t="shared" si="154"/>
        <v>900</v>
      </c>
      <c r="N308" s="262">
        <v>0</v>
      </c>
      <c r="O308" s="263">
        <v>0</v>
      </c>
      <c r="P308" s="265" t="s">
        <v>6</v>
      </c>
      <c r="Q308" s="265" t="s">
        <v>6</v>
      </c>
      <c r="R308" s="263">
        <v>0</v>
      </c>
      <c r="S308" s="263">
        <v>0</v>
      </c>
      <c r="T308" s="265" t="s">
        <v>6</v>
      </c>
      <c r="U308" s="263">
        <v>0</v>
      </c>
      <c r="V308" s="239" t="s">
        <v>147</v>
      </c>
      <c r="W308" s="166"/>
      <c r="X308" s="166"/>
      <c r="Y308" s="166"/>
      <c r="Z308" s="166"/>
      <c r="AA308" s="166"/>
      <c r="AB308" s="166"/>
      <c r="AC308" s="166"/>
      <c r="AD308" s="166"/>
      <c r="AE308" s="166"/>
      <c r="AF308" s="166"/>
      <c r="AG308" s="166"/>
      <c r="AH308" s="166"/>
      <c r="AI308" s="166"/>
      <c r="AJ308" s="166"/>
      <c r="AK308" s="166"/>
      <c r="AL308" s="166"/>
      <c r="AM308" s="166"/>
      <c r="AN308" s="166"/>
      <c r="AO308" s="166"/>
      <c r="AP308" s="166"/>
      <c r="AQ308" s="166"/>
      <c r="AR308" s="166"/>
    </row>
    <row r="309" customHeight="1" spans="1:44">
      <c r="A309" s="166"/>
      <c r="B309" s="235">
        <v>2470</v>
      </c>
      <c r="C309" s="235" t="s">
        <v>16</v>
      </c>
      <c r="D309" s="235" t="s">
        <v>0</v>
      </c>
      <c r="E309" s="235">
        <v>1</v>
      </c>
      <c r="F309" s="235" t="s">
        <v>1</v>
      </c>
      <c r="G309" s="236">
        <v>45889</v>
      </c>
      <c r="H309" s="235" t="s">
        <v>68</v>
      </c>
      <c r="I309" s="235" t="s">
        <v>54</v>
      </c>
      <c r="J309" s="235">
        <v>1201</v>
      </c>
      <c r="K309" s="256">
        <v>180</v>
      </c>
      <c r="L309" s="256">
        <v>0</v>
      </c>
      <c r="M309" s="256">
        <f t="shared" si="154"/>
        <v>180</v>
      </c>
      <c r="N309" s="256">
        <f>M309*C2</f>
        <v>7.2</v>
      </c>
      <c r="O309" s="257">
        <f>M309*1.9%</f>
        <v>3.42</v>
      </c>
      <c r="P309" s="258" t="s">
        <v>7</v>
      </c>
      <c r="Q309" s="258" t="s">
        <v>55</v>
      </c>
      <c r="R309" s="257">
        <f t="shared" ref="R309:R314" si="156">M309-N309-O309</f>
        <v>169.38</v>
      </c>
      <c r="S309" s="257">
        <f t="shared" ref="S309:S314" si="157">R309/E309</f>
        <v>169.38</v>
      </c>
      <c r="T309" s="258" t="s">
        <v>66</v>
      </c>
      <c r="U309" s="257">
        <f t="shared" ref="U309:U313" si="158">M309-O309</f>
        <v>176.58</v>
      </c>
      <c r="V309" s="235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  <c r="AG309" s="166"/>
      <c r="AH309" s="166"/>
      <c r="AI309" s="166"/>
      <c r="AJ309" s="166"/>
      <c r="AK309" s="166"/>
      <c r="AL309" s="166"/>
      <c r="AM309" s="166"/>
      <c r="AN309" s="166"/>
      <c r="AO309" s="166"/>
      <c r="AP309" s="166"/>
      <c r="AQ309" s="166"/>
      <c r="AR309" s="166"/>
    </row>
    <row r="310" customHeight="1" spans="1:44">
      <c r="A310" s="166"/>
      <c r="B310" s="176">
        <v>2470</v>
      </c>
      <c r="C310" s="176" t="s">
        <v>16</v>
      </c>
      <c r="D310" s="176" t="s">
        <v>0</v>
      </c>
      <c r="E310" s="176">
        <v>85</v>
      </c>
      <c r="F310" s="176" t="s">
        <v>1</v>
      </c>
      <c r="G310" s="177">
        <v>45889</v>
      </c>
      <c r="H310" s="176" t="s">
        <v>68</v>
      </c>
      <c r="I310" s="176" t="s">
        <v>148</v>
      </c>
      <c r="J310" s="176">
        <v>1202</v>
      </c>
      <c r="K310" s="182">
        <v>15300</v>
      </c>
      <c r="L310" s="182">
        <v>4250</v>
      </c>
      <c r="M310" s="182">
        <f t="shared" si="154"/>
        <v>11050</v>
      </c>
      <c r="N310" s="182">
        <f>M310*C2</f>
        <v>442</v>
      </c>
      <c r="O310" s="183">
        <v>0</v>
      </c>
      <c r="P310" s="212" t="s">
        <v>5</v>
      </c>
      <c r="Q310" s="212" t="s">
        <v>6</v>
      </c>
      <c r="R310" s="183">
        <f t="shared" si="156"/>
        <v>10608</v>
      </c>
      <c r="S310" s="183">
        <f t="shared" si="157"/>
        <v>124.8</v>
      </c>
      <c r="T310" s="212" t="s">
        <v>66</v>
      </c>
      <c r="U310" s="183">
        <f t="shared" si="158"/>
        <v>11050</v>
      </c>
      <c r="V310" s="176" t="s">
        <v>149</v>
      </c>
      <c r="W310" s="166"/>
      <c r="X310" s="166"/>
      <c r="Y310" s="166"/>
      <c r="Z310" s="166"/>
      <c r="AA310" s="166"/>
      <c r="AB310" s="166"/>
      <c r="AC310" s="166"/>
      <c r="AD310" s="166"/>
      <c r="AE310" s="166"/>
      <c r="AF310" s="166"/>
      <c r="AG310" s="166"/>
      <c r="AH310" s="166"/>
      <c r="AI310" s="166"/>
      <c r="AJ310" s="166"/>
      <c r="AK310" s="166"/>
      <c r="AL310" s="166"/>
      <c r="AM310" s="166"/>
      <c r="AN310" s="166"/>
      <c r="AO310" s="166"/>
      <c r="AP310" s="166"/>
      <c r="AQ310" s="166"/>
      <c r="AR310" s="166"/>
    </row>
    <row r="311" customHeight="1" spans="1:44">
      <c r="A311" s="166"/>
      <c r="B311" s="235">
        <v>3006</v>
      </c>
      <c r="C311" s="235" t="s">
        <v>25</v>
      </c>
      <c r="D311" s="235" t="s">
        <v>0</v>
      </c>
      <c r="E311" s="235">
        <v>2</v>
      </c>
      <c r="F311" s="235" t="s">
        <v>1</v>
      </c>
      <c r="G311" s="236">
        <v>45889</v>
      </c>
      <c r="H311" s="235" t="s">
        <v>68</v>
      </c>
      <c r="I311" s="235" t="s">
        <v>150</v>
      </c>
      <c r="J311" s="235">
        <v>1203</v>
      </c>
      <c r="K311" s="256">
        <v>340</v>
      </c>
      <c r="L311" s="256">
        <v>68</v>
      </c>
      <c r="M311" s="256">
        <f t="shared" si="154"/>
        <v>272</v>
      </c>
      <c r="N311" s="256">
        <f>M311*C2</f>
        <v>10.88</v>
      </c>
      <c r="O311" s="257">
        <f>M311*3.29%</f>
        <v>8.9488</v>
      </c>
      <c r="P311" s="258" t="s">
        <v>151</v>
      </c>
      <c r="Q311" s="258" t="s">
        <v>62</v>
      </c>
      <c r="R311" s="257">
        <f t="shared" si="156"/>
        <v>252.1712</v>
      </c>
      <c r="S311" s="257">
        <f t="shared" si="157"/>
        <v>126.0856</v>
      </c>
      <c r="T311" s="258" t="s">
        <v>70</v>
      </c>
      <c r="U311" s="257">
        <f t="shared" si="158"/>
        <v>263.0512</v>
      </c>
      <c r="V311" s="235"/>
      <c r="W311" s="166"/>
      <c r="X311" s="166"/>
      <c r="Y311" s="166"/>
      <c r="Z311" s="166"/>
      <c r="AA311" s="166"/>
      <c r="AB311" s="166"/>
      <c r="AC311" s="166"/>
      <c r="AD311" s="166"/>
      <c r="AE311" s="166"/>
      <c r="AF311" s="166"/>
      <c r="AG311" s="166"/>
      <c r="AH311" s="166"/>
      <c r="AI311" s="166"/>
      <c r="AJ311" s="166"/>
      <c r="AK311" s="166"/>
      <c r="AL311" s="166"/>
      <c r="AM311" s="166"/>
      <c r="AN311" s="166"/>
      <c r="AO311" s="166"/>
      <c r="AP311" s="166"/>
      <c r="AQ311" s="166"/>
      <c r="AR311" s="166"/>
    </row>
    <row r="312" customHeight="1" spans="1:44">
      <c r="A312" s="166"/>
      <c r="B312" s="235">
        <v>2470</v>
      </c>
      <c r="C312" s="235" t="s">
        <v>16</v>
      </c>
      <c r="D312" s="235" t="s">
        <v>0</v>
      </c>
      <c r="E312" s="235">
        <v>1</v>
      </c>
      <c r="F312" s="235" t="s">
        <v>1</v>
      </c>
      <c r="G312" s="236">
        <v>45889</v>
      </c>
      <c r="H312" s="235" t="s">
        <v>68</v>
      </c>
      <c r="I312" s="235" t="s">
        <v>54</v>
      </c>
      <c r="J312" s="235">
        <v>1204</v>
      </c>
      <c r="K312" s="256">
        <v>180</v>
      </c>
      <c r="L312" s="256">
        <v>0</v>
      </c>
      <c r="M312" s="256">
        <f t="shared" si="154"/>
        <v>180</v>
      </c>
      <c r="N312" s="256">
        <f>M312*C2</f>
        <v>7.2</v>
      </c>
      <c r="O312" s="257">
        <f>M312*1.9%</f>
        <v>3.42</v>
      </c>
      <c r="P312" s="258" t="s">
        <v>7</v>
      </c>
      <c r="Q312" s="258" t="s">
        <v>55</v>
      </c>
      <c r="R312" s="257">
        <f t="shared" si="156"/>
        <v>169.38</v>
      </c>
      <c r="S312" s="257">
        <f t="shared" si="157"/>
        <v>169.38</v>
      </c>
      <c r="T312" s="258" t="s">
        <v>66</v>
      </c>
      <c r="U312" s="257">
        <f t="shared" si="158"/>
        <v>176.58</v>
      </c>
      <c r="V312" s="235"/>
      <c r="W312" s="166"/>
      <c r="X312" s="166"/>
      <c r="Y312" s="166"/>
      <c r="Z312" s="166"/>
      <c r="AA312" s="166"/>
      <c r="AB312" s="166"/>
      <c r="AC312" s="166"/>
      <c r="AD312" s="166"/>
      <c r="AE312" s="166"/>
      <c r="AF312" s="166"/>
      <c r="AG312" s="166"/>
      <c r="AH312" s="166"/>
      <c r="AI312" s="166"/>
      <c r="AJ312" s="166"/>
      <c r="AK312" s="166"/>
      <c r="AL312" s="166"/>
      <c r="AM312" s="166"/>
      <c r="AN312" s="166"/>
      <c r="AO312" s="166"/>
      <c r="AP312" s="166"/>
      <c r="AQ312" s="166"/>
      <c r="AR312" s="166"/>
    </row>
    <row r="313" customHeight="1" spans="1:44">
      <c r="A313" s="166"/>
      <c r="B313" s="235">
        <v>2470</v>
      </c>
      <c r="C313" s="235" t="s">
        <v>16</v>
      </c>
      <c r="D313" s="235" t="s">
        <v>0</v>
      </c>
      <c r="E313" s="235">
        <v>1</v>
      </c>
      <c r="F313" s="235" t="s">
        <v>1</v>
      </c>
      <c r="G313" s="236">
        <v>45890</v>
      </c>
      <c r="H313" s="235" t="s">
        <v>73</v>
      </c>
      <c r="I313" s="235" t="s">
        <v>54</v>
      </c>
      <c r="J313" s="235">
        <v>1205</v>
      </c>
      <c r="K313" s="256">
        <v>180</v>
      </c>
      <c r="L313" s="256">
        <v>0</v>
      </c>
      <c r="M313" s="256">
        <f t="shared" si="154"/>
        <v>180</v>
      </c>
      <c r="N313" s="256">
        <f>M313*C2</f>
        <v>7.2</v>
      </c>
      <c r="O313" s="257">
        <f>M313*3.29%</f>
        <v>5.922</v>
      </c>
      <c r="P313" s="258" t="s">
        <v>9</v>
      </c>
      <c r="Q313" s="258" t="s">
        <v>62</v>
      </c>
      <c r="R313" s="257">
        <f t="shared" si="156"/>
        <v>166.878</v>
      </c>
      <c r="S313" s="257">
        <f t="shared" si="157"/>
        <v>166.878</v>
      </c>
      <c r="T313" s="258" t="s">
        <v>70</v>
      </c>
      <c r="U313" s="257">
        <f t="shared" si="158"/>
        <v>174.078</v>
      </c>
      <c r="V313" s="235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6"/>
      <c r="AG313" s="166"/>
      <c r="AH313" s="166"/>
      <c r="AI313" s="166"/>
      <c r="AJ313" s="166"/>
      <c r="AK313" s="166"/>
      <c r="AL313" s="166"/>
      <c r="AM313" s="166"/>
      <c r="AN313" s="166"/>
      <c r="AO313" s="166"/>
      <c r="AP313" s="166"/>
      <c r="AQ313" s="166"/>
      <c r="AR313" s="166"/>
    </row>
    <row r="314" customHeight="1" spans="1:44">
      <c r="A314" s="166"/>
      <c r="B314" s="206">
        <v>2470</v>
      </c>
      <c r="C314" s="206" t="s">
        <v>16</v>
      </c>
      <c r="D314" s="206" t="s">
        <v>0</v>
      </c>
      <c r="E314" s="206">
        <v>1</v>
      </c>
      <c r="F314" s="206" t="s">
        <v>1</v>
      </c>
      <c r="G314" s="207">
        <v>45891</v>
      </c>
      <c r="H314" s="206" t="s">
        <v>6</v>
      </c>
      <c r="I314" s="206" t="s">
        <v>54</v>
      </c>
      <c r="J314" s="206">
        <v>1206</v>
      </c>
      <c r="K314" s="208">
        <v>180</v>
      </c>
      <c r="L314" s="208">
        <v>0</v>
      </c>
      <c r="M314" s="208">
        <f t="shared" si="154"/>
        <v>180</v>
      </c>
      <c r="N314" s="208">
        <f>M314*C2</f>
        <v>7.2</v>
      </c>
      <c r="O314" s="209">
        <f>M314*3.78%</f>
        <v>6.804</v>
      </c>
      <c r="P314" s="213" t="s">
        <v>10</v>
      </c>
      <c r="Q314" s="213" t="s">
        <v>55</v>
      </c>
      <c r="R314" s="209">
        <f t="shared" si="156"/>
        <v>165.996</v>
      </c>
      <c r="S314" s="209">
        <f t="shared" si="157"/>
        <v>165.996</v>
      </c>
      <c r="T314" s="213" t="s">
        <v>56</v>
      </c>
      <c r="U314" s="209">
        <f>M314/2-O314/2</f>
        <v>86.598</v>
      </c>
      <c r="V314" s="206" t="s">
        <v>152</v>
      </c>
      <c r="W314" s="166"/>
      <c r="X314" s="166"/>
      <c r="Y314" s="166"/>
      <c r="Z314" s="166"/>
      <c r="AA314" s="166"/>
      <c r="AB314" s="166"/>
      <c r="AC314" s="166"/>
      <c r="AD314" s="166"/>
      <c r="AE314" s="166"/>
      <c r="AF314" s="166"/>
      <c r="AG314" s="166"/>
      <c r="AH314" s="166"/>
      <c r="AI314" s="166"/>
      <c r="AJ314" s="166"/>
      <c r="AK314" s="166"/>
      <c r="AL314" s="166"/>
      <c r="AM314" s="166"/>
      <c r="AN314" s="166"/>
      <c r="AO314" s="166"/>
      <c r="AP314" s="166"/>
      <c r="AQ314" s="166"/>
      <c r="AR314" s="166"/>
    </row>
    <row r="315" customHeight="1" spans="1:44">
      <c r="A315" s="16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266" t="s">
        <v>66</v>
      </c>
      <c r="U315" s="184">
        <f>U314</f>
        <v>86.598</v>
      </c>
      <c r="V315" s="16"/>
      <c r="W315" s="166"/>
      <c r="X315" s="166"/>
      <c r="Y315" s="166"/>
      <c r="Z315" s="166"/>
      <c r="AA315" s="166"/>
      <c r="AB315" s="166"/>
      <c r="AC315" s="166"/>
      <c r="AD315" s="166"/>
      <c r="AE315" s="166"/>
      <c r="AF315" s="166"/>
      <c r="AG315" s="166"/>
      <c r="AH315" s="166"/>
      <c r="AI315" s="166"/>
      <c r="AJ315" s="166"/>
      <c r="AK315" s="166"/>
      <c r="AL315" s="166"/>
      <c r="AM315" s="166"/>
      <c r="AN315" s="166"/>
      <c r="AO315" s="166"/>
      <c r="AP315" s="166"/>
      <c r="AQ315" s="166"/>
      <c r="AR315" s="166"/>
    </row>
    <row r="316" customHeight="1" spans="1:44">
      <c r="A316" s="166"/>
      <c r="B316" s="176">
        <v>2470</v>
      </c>
      <c r="C316" s="176" t="s">
        <v>16</v>
      </c>
      <c r="D316" s="176" t="s">
        <v>0</v>
      </c>
      <c r="E316" s="176">
        <v>1</v>
      </c>
      <c r="F316" s="176" t="s">
        <v>1</v>
      </c>
      <c r="G316" s="177">
        <v>45891</v>
      </c>
      <c r="H316" s="176" t="s">
        <v>6</v>
      </c>
      <c r="I316" s="176" t="s">
        <v>54</v>
      </c>
      <c r="J316" s="176">
        <v>1207</v>
      </c>
      <c r="K316" s="182">
        <v>180</v>
      </c>
      <c r="L316" s="182">
        <v>0</v>
      </c>
      <c r="M316" s="182">
        <f t="shared" ref="M316:M317" si="159">K316-L316</f>
        <v>180</v>
      </c>
      <c r="N316" s="182">
        <f>M316*C2</f>
        <v>7.2</v>
      </c>
      <c r="O316" s="183">
        <f>M316*1.9%</f>
        <v>3.42</v>
      </c>
      <c r="P316" s="212" t="s">
        <v>7</v>
      </c>
      <c r="Q316" s="212" t="s">
        <v>55</v>
      </c>
      <c r="R316" s="183">
        <f t="shared" ref="R316:R318" si="160">M316-N316-O316</f>
        <v>169.38</v>
      </c>
      <c r="S316" s="183">
        <f t="shared" ref="S316:S318" si="161">R316/E316</f>
        <v>169.38</v>
      </c>
      <c r="T316" s="212" t="s">
        <v>56</v>
      </c>
      <c r="U316" s="183">
        <f t="shared" ref="U316:U318" si="162">M316-O316</f>
        <v>176.58</v>
      </c>
      <c r="V316" s="176" t="s">
        <v>153</v>
      </c>
      <c r="W316" s="166"/>
      <c r="X316" s="166"/>
      <c r="Y316" s="166"/>
      <c r="Z316" s="166"/>
      <c r="AA316" s="166"/>
      <c r="AB316" s="166"/>
      <c r="AC316" s="166"/>
      <c r="AD316" s="166"/>
      <c r="AE316" s="166"/>
      <c r="AF316" s="166"/>
      <c r="AG316" s="166"/>
      <c r="AH316" s="166"/>
      <c r="AI316" s="166"/>
      <c r="AJ316" s="166"/>
      <c r="AK316" s="166"/>
      <c r="AL316" s="166"/>
      <c r="AM316" s="166"/>
      <c r="AN316" s="166"/>
      <c r="AO316" s="166"/>
      <c r="AP316" s="166"/>
      <c r="AQ316" s="166"/>
      <c r="AR316" s="166"/>
    </row>
    <row r="317" customHeight="1" spans="1:44">
      <c r="A317" s="166"/>
      <c r="B317" s="176">
        <v>2470</v>
      </c>
      <c r="C317" s="176" t="s">
        <v>16</v>
      </c>
      <c r="D317" s="176" t="s">
        <v>0</v>
      </c>
      <c r="E317" s="176">
        <v>2</v>
      </c>
      <c r="F317" s="176" t="s">
        <v>1</v>
      </c>
      <c r="G317" s="177">
        <v>45891</v>
      </c>
      <c r="H317" s="176" t="s">
        <v>6</v>
      </c>
      <c r="I317" s="176" t="s">
        <v>54</v>
      </c>
      <c r="J317" s="176">
        <v>1208</v>
      </c>
      <c r="K317" s="182">
        <v>360</v>
      </c>
      <c r="L317" s="182">
        <v>100</v>
      </c>
      <c r="M317" s="182">
        <f t="shared" si="159"/>
        <v>260</v>
      </c>
      <c r="N317" s="182">
        <f>M317*C2</f>
        <v>10.4</v>
      </c>
      <c r="O317" s="183">
        <v>0</v>
      </c>
      <c r="P317" s="212" t="s">
        <v>5</v>
      </c>
      <c r="Q317" s="212" t="s">
        <v>6</v>
      </c>
      <c r="R317" s="183">
        <f t="shared" si="160"/>
        <v>249.6</v>
      </c>
      <c r="S317" s="183">
        <f t="shared" si="161"/>
        <v>124.8</v>
      </c>
      <c r="T317" s="212" t="s">
        <v>56</v>
      </c>
      <c r="U317" s="183">
        <f t="shared" si="162"/>
        <v>260</v>
      </c>
      <c r="V317" s="176" t="s">
        <v>154</v>
      </c>
      <c r="W317" s="166"/>
      <c r="X317" s="166"/>
      <c r="Y317" s="166"/>
      <c r="Z317" s="166"/>
      <c r="AA317" s="166"/>
      <c r="AB317" s="166"/>
      <c r="AC317" s="166"/>
      <c r="AD317" s="166"/>
      <c r="AE317" s="166"/>
      <c r="AF317" s="166"/>
      <c r="AG317" s="166"/>
      <c r="AH317" s="166"/>
      <c r="AI317" s="166"/>
      <c r="AJ317" s="166"/>
      <c r="AK317" s="166"/>
      <c r="AL317" s="166"/>
      <c r="AM317" s="166"/>
      <c r="AN317" s="166"/>
      <c r="AO317" s="166"/>
      <c r="AP317" s="166"/>
      <c r="AQ317" s="166"/>
      <c r="AR317" s="166"/>
    </row>
    <row r="318" customHeight="1" spans="1:44">
      <c r="A318" s="155"/>
      <c r="B318" s="299">
        <v>3010</v>
      </c>
      <c r="C318" s="299" t="s">
        <v>30</v>
      </c>
      <c r="D318" s="299" t="s">
        <v>0</v>
      </c>
      <c r="E318" s="299">
        <v>1</v>
      </c>
      <c r="F318" s="299" t="s">
        <v>1</v>
      </c>
      <c r="G318" s="300">
        <v>45891</v>
      </c>
      <c r="H318" s="299" t="s">
        <v>6</v>
      </c>
      <c r="I318" s="299" t="s">
        <v>54</v>
      </c>
      <c r="J318" s="299">
        <v>1209</v>
      </c>
      <c r="K318" s="302">
        <v>215</v>
      </c>
      <c r="L318" s="302">
        <v>0</v>
      </c>
      <c r="M318" s="302">
        <v>250</v>
      </c>
      <c r="N318" s="302">
        <f>M318*C2</f>
        <v>10</v>
      </c>
      <c r="O318" s="303">
        <v>8.82</v>
      </c>
      <c r="P318" s="304" t="s">
        <v>9</v>
      </c>
      <c r="Q318" s="304" t="s">
        <v>55</v>
      </c>
      <c r="R318" s="303">
        <f t="shared" si="160"/>
        <v>231.18</v>
      </c>
      <c r="S318" s="303">
        <f t="shared" si="161"/>
        <v>231.18</v>
      </c>
      <c r="T318" s="304" t="s">
        <v>56</v>
      </c>
      <c r="U318" s="303">
        <f t="shared" si="162"/>
        <v>241.18</v>
      </c>
      <c r="V318" s="299" t="s">
        <v>155</v>
      </c>
      <c r="W318" s="155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155"/>
      <c r="AI318" s="155"/>
      <c r="AJ318" s="155"/>
      <c r="AK318" s="155"/>
      <c r="AL318" s="155"/>
      <c r="AM318" s="155"/>
      <c r="AN318" s="155"/>
      <c r="AO318" s="155"/>
      <c r="AP318" s="155"/>
      <c r="AQ318" s="155"/>
      <c r="AR318" s="155"/>
    </row>
    <row r="319" customHeight="1" spans="1:44">
      <c r="A319" s="166"/>
      <c r="B319" s="229">
        <v>2470</v>
      </c>
      <c r="C319" s="229" t="s">
        <v>16</v>
      </c>
      <c r="D319" s="229" t="s">
        <v>4</v>
      </c>
      <c r="E319" s="229">
        <v>1</v>
      </c>
      <c r="F319" s="229" t="s">
        <v>3</v>
      </c>
      <c r="G319" s="230">
        <v>45891</v>
      </c>
      <c r="H319" s="229" t="s">
        <v>75</v>
      </c>
      <c r="I319" s="229" t="s">
        <v>106</v>
      </c>
      <c r="J319" s="229">
        <v>123</v>
      </c>
      <c r="K319" s="247">
        <v>144</v>
      </c>
      <c r="L319" s="247">
        <v>0</v>
      </c>
      <c r="M319" s="247">
        <f t="shared" ref="M319:M323" si="163">K319-L319</f>
        <v>144</v>
      </c>
      <c r="N319" s="247">
        <v>0</v>
      </c>
      <c r="O319" s="248">
        <v>0</v>
      </c>
      <c r="P319" s="249" t="s">
        <v>6</v>
      </c>
      <c r="Q319" s="249" t="s">
        <v>6</v>
      </c>
      <c r="R319" s="248">
        <v>0</v>
      </c>
      <c r="S319" s="248">
        <v>0</v>
      </c>
      <c r="T319" s="249" t="s">
        <v>6</v>
      </c>
      <c r="U319" s="248">
        <v>0</v>
      </c>
      <c r="V319" s="229" t="s">
        <v>156</v>
      </c>
      <c r="W319" s="166"/>
      <c r="X319" s="166"/>
      <c r="Y319" s="166"/>
      <c r="Z319" s="166"/>
      <c r="AA319" s="166"/>
      <c r="AB319" s="166"/>
      <c r="AC319" s="166"/>
      <c r="AD319" s="166"/>
      <c r="AE319" s="166"/>
      <c r="AF319" s="166"/>
      <c r="AG319" s="166"/>
      <c r="AH319" s="166"/>
      <c r="AI319" s="166"/>
      <c r="AJ319" s="166"/>
      <c r="AK319" s="166"/>
      <c r="AL319" s="166"/>
      <c r="AM319" s="166"/>
      <c r="AN319" s="166"/>
      <c r="AO319" s="166"/>
      <c r="AP319" s="166"/>
      <c r="AQ319" s="166"/>
      <c r="AR319" s="166"/>
    </row>
    <row r="320" customHeight="1" spans="1:44">
      <c r="A320" s="166"/>
      <c r="B320" s="176">
        <v>2470</v>
      </c>
      <c r="C320" s="176" t="s">
        <v>16</v>
      </c>
      <c r="D320" s="176" t="s">
        <v>0</v>
      </c>
      <c r="E320" s="176">
        <v>1</v>
      </c>
      <c r="F320" s="176" t="s">
        <v>1</v>
      </c>
      <c r="G320" s="177">
        <v>45891</v>
      </c>
      <c r="H320" s="176" t="s">
        <v>6</v>
      </c>
      <c r="I320" s="176" t="s">
        <v>106</v>
      </c>
      <c r="J320" s="176">
        <v>1210</v>
      </c>
      <c r="K320" s="182">
        <v>180</v>
      </c>
      <c r="L320" s="182">
        <v>36</v>
      </c>
      <c r="M320" s="182">
        <f t="shared" si="163"/>
        <v>144</v>
      </c>
      <c r="N320" s="182">
        <f>M320*C2</f>
        <v>5.76</v>
      </c>
      <c r="O320" s="183">
        <v>3.9</v>
      </c>
      <c r="P320" s="212" t="s">
        <v>9</v>
      </c>
      <c r="Q320" s="212" t="s">
        <v>55</v>
      </c>
      <c r="R320" s="183">
        <f>M320-N320-O320</f>
        <v>134.34</v>
      </c>
      <c r="S320" s="183">
        <f>R320/E320</f>
        <v>134.34</v>
      </c>
      <c r="T320" s="212" t="s">
        <v>66</v>
      </c>
      <c r="U320" s="183">
        <f>M320-O320</f>
        <v>140.1</v>
      </c>
      <c r="V320" s="176" t="s">
        <v>157</v>
      </c>
      <c r="W320" s="166"/>
      <c r="X320" s="166"/>
      <c r="Y320" s="166"/>
      <c r="Z320" s="166"/>
      <c r="AA320" s="166"/>
      <c r="AB320" s="166"/>
      <c r="AC320" s="166"/>
      <c r="AD320" s="166"/>
      <c r="AE320" s="166"/>
      <c r="AF320" s="166"/>
      <c r="AG320" s="166"/>
      <c r="AH320" s="166"/>
      <c r="AI320" s="166"/>
      <c r="AJ320" s="166"/>
      <c r="AK320" s="166"/>
      <c r="AL320" s="166"/>
      <c r="AM320" s="166"/>
      <c r="AN320" s="166"/>
      <c r="AO320" s="166"/>
      <c r="AP320" s="166"/>
      <c r="AQ320" s="166"/>
      <c r="AR320" s="166"/>
    </row>
    <row r="321" customHeight="1" spans="1:44">
      <c r="A321" s="166"/>
      <c r="B321" s="229">
        <v>2470</v>
      </c>
      <c r="C321" s="229" t="s">
        <v>16</v>
      </c>
      <c r="D321" s="229" t="s">
        <v>4</v>
      </c>
      <c r="E321" s="229">
        <v>1</v>
      </c>
      <c r="F321" s="229" t="s">
        <v>3</v>
      </c>
      <c r="G321" s="230">
        <v>45891</v>
      </c>
      <c r="H321" s="229" t="s">
        <v>75</v>
      </c>
      <c r="I321" s="229" t="s">
        <v>54</v>
      </c>
      <c r="J321" s="229">
        <v>124</v>
      </c>
      <c r="K321" s="247">
        <v>100</v>
      </c>
      <c r="L321" s="247">
        <v>0</v>
      </c>
      <c r="M321" s="247">
        <f t="shared" si="163"/>
        <v>100</v>
      </c>
      <c r="N321" s="247">
        <v>0</v>
      </c>
      <c r="O321" s="248">
        <v>0</v>
      </c>
      <c r="P321" s="249" t="s">
        <v>6</v>
      </c>
      <c r="Q321" s="249" t="s">
        <v>6</v>
      </c>
      <c r="R321" s="248">
        <v>0</v>
      </c>
      <c r="S321" s="248">
        <v>0</v>
      </c>
      <c r="T321" s="249" t="s">
        <v>6</v>
      </c>
      <c r="U321" s="248">
        <v>0</v>
      </c>
      <c r="V321" s="229" t="s">
        <v>158</v>
      </c>
      <c r="W321" s="166"/>
      <c r="X321" s="166"/>
      <c r="Y321" s="166"/>
      <c r="Z321" s="166"/>
      <c r="AA321" s="166"/>
      <c r="AB321" s="166"/>
      <c r="AC321" s="166"/>
      <c r="AD321" s="166"/>
      <c r="AE321" s="166"/>
      <c r="AF321" s="166"/>
      <c r="AG321" s="166"/>
      <c r="AH321" s="166"/>
      <c r="AI321" s="166"/>
      <c r="AJ321" s="166"/>
      <c r="AK321" s="166"/>
      <c r="AL321" s="166"/>
      <c r="AM321" s="166"/>
      <c r="AN321" s="166"/>
      <c r="AO321" s="166"/>
      <c r="AP321" s="166"/>
      <c r="AQ321" s="166"/>
      <c r="AR321" s="166"/>
    </row>
    <row r="322" customHeight="1" spans="1:44">
      <c r="A322" s="166"/>
      <c r="B322" s="176">
        <v>2470</v>
      </c>
      <c r="C322" s="176" t="s">
        <v>16</v>
      </c>
      <c r="D322" s="176" t="s">
        <v>0</v>
      </c>
      <c r="E322" s="176">
        <v>1</v>
      </c>
      <c r="F322" s="176" t="s">
        <v>1</v>
      </c>
      <c r="G322" s="177">
        <v>45891</v>
      </c>
      <c r="H322" s="176" t="s">
        <v>6</v>
      </c>
      <c r="I322" s="176" t="s">
        <v>54</v>
      </c>
      <c r="J322" s="176">
        <v>1211</v>
      </c>
      <c r="K322" s="182">
        <v>180</v>
      </c>
      <c r="L322" s="182">
        <v>80</v>
      </c>
      <c r="M322" s="182">
        <f t="shared" si="163"/>
        <v>100</v>
      </c>
      <c r="N322" s="182">
        <f>M322*C2</f>
        <v>4</v>
      </c>
      <c r="O322" s="183">
        <v>3.9</v>
      </c>
      <c r="P322" s="212" t="s">
        <v>9</v>
      </c>
      <c r="Q322" s="212" t="s">
        <v>55</v>
      </c>
      <c r="R322" s="183">
        <f t="shared" ref="R322:R323" si="164">M322-N322-O322</f>
        <v>92.1</v>
      </c>
      <c r="S322" s="183">
        <f t="shared" ref="S322:S323" si="165">R322/E322</f>
        <v>92.1</v>
      </c>
      <c r="T322" s="212" t="s">
        <v>66</v>
      </c>
      <c r="U322" s="183">
        <f>M322-O322</f>
        <v>96.1</v>
      </c>
      <c r="V322" s="176" t="s">
        <v>159</v>
      </c>
      <c r="W322" s="166"/>
      <c r="X322" s="166"/>
      <c r="Y322" s="166"/>
      <c r="Z322" s="166"/>
      <c r="AA322" s="166"/>
      <c r="AB322" s="166"/>
      <c r="AC322" s="166"/>
      <c r="AD322" s="166"/>
      <c r="AE322" s="166"/>
      <c r="AF322" s="166"/>
      <c r="AG322" s="166"/>
      <c r="AH322" s="166"/>
      <c r="AI322" s="166"/>
      <c r="AJ322" s="166"/>
      <c r="AK322" s="166"/>
      <c r="AL322" s="166"/>
      <c r="AM322" s="166"/>
      <c r="AN322" s="166"/>
      <c r="AO322" s="166"/>
      <c r="AP322" s="166"/>
      <c r="AQ322" s="166"/>
      <c r="AR322" s="166"/>
    </row>
    <row r="323" customHeight="1" spans="1:44">
      <c r="A323" s="166"/>
      <c r="B323" s="279">
        <v>2470</v>
      </c>
      <c r="C323" s="279" t="s">
        <v>16</v>
      </c>
      <c r="D323" s="279" t="s">
        <v>0</v>
      </c>
      <c r="E323" s="279">
        <v>2</v>
      </c>
      <c r="F323" s="279" t="s">
        <v>1</v>
      </c>
      <c r="G323" s="306">
        <v>45891</v>
      </c>
      <c r="H323" s="279" t="s">
        <v>75</v>
      </c>
      <c r="I323" s="279" t="s">
        <v>160</v>
      </c>
      <c r="J323" s="279">
        <v>1212</v>
      </c>
      <c r="K323" s="311">
        <v>360</v>
      </c>
      <c r="L323" s="311">
        <f>36+36</f>
        <v>72</v>
      </c>
      <c r="M323" s="311">
        <f t="shared" si="163"/>
        <v>288</v>
      </c>
      <c r="N323" s="311">
        <f>M323*C2</f>
        <v>11.52</v>
      </c>
      <c r="O323" s="251">
        <f>M323*3.78%</f>
        <v>10.8864</v>
      </c>
      <c r="P323" s="276" t="s">
        <v>10</v>
      </c>
      <c r="Q323" s="276" t="s">
        <v>55</v>
      </c>
      <c r="R323" s="251">
        <f t="shared" si="164"/>
        <v>265.5936</v>
      </c>
      <c r="S323" s="316">
        <f t="shared" si="165"/>
        <v>132.7968</v>
      </c>
      <c r="T323" s="276" t="s">
        <v>70</v>
      </c>
      <c r="U323" s="251">
        <f>M323/2-O323/2</f>
        <v>138.5568</v>
      </c>
      <c r="V323" s="317"/>
      <c r="W323" s="166"/>
      <c r="X323" s="166"/>
      <c r="Y323" s="166"/>
      <c r="Z323" s="166"/>
      <c r="AA323" s="166"/>
      <c r="AB323" s="166"/>
      <c r="AC323" s="166"/>
      <c r="AD323" s="166"/>
      <c r="AE323" s="166"/>
      <c r="AF323" s="166"/>
      <c r="AG323" s="166"/>
      <c r="AH323" s="166"/>
      <c r="AI323" s="166"/>
      <c r="AJ323" s="166"/>
      <c r="AK323" s="166"/>
      <c r="AL323" s="166"/>
      <c r="AM323" s="166"/>
      <c r="AN323" s="166"/>
      <c r="AO323" s="166"/>
      <c r="AP323" s="166"/>
      <c r="AQ323" s="166"/>
      <c r="AR323" s="166"/>
    </row>
    <row r="324" customHeight="1" spans="1:44">
      <c r="A324" s="16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200"/>
      <c r="T324" s="278" t="s">
        <v>71</v>
      </c>
      <c r="U324" s="313">
        <f>U323</f>
        <v>138.5568</v>
      </c>
      <c r="V324" s="201"/>
      <c r="W324" s="166"/>
      <c r="X324" s="166"/>
      <c r="Y324" s="166"/>
      <c r="Z324" s="166"/>
      <c r="AA324" s="166"/>
      <c r="AB324" s="166"/>
      <c r="AC324" s="166"/>
      <c r="AD324" s="166"/>
      <c r="AE324" s="166"/>
      <c r="AF324" s="166"/>
      <c r="AG324" s="166"/>
      <c r="AH324" s="166"/>
      <c r="AI324" s="166"/>
      <c r="AJ324" s="166"/>
      <c r="AK324" s="166"/>
      <c r="AL324" s="166"/>
      <c r="AM324" s="166"/>
      <c r="AN324" s="166"/>
      <c r="AO324" s="166"/>
      <c r="AP324" s="166"/>
      <c r="AQ324" s="166"/>
      <c r="AR324" s="166"/>
    </row>
    <row r="325" customHeight="1" spans="1:44">
      <c r="A325" s="166"/>
      <c r="B325" s="279">
        <v>2550</v>
      </c>
      <c r="C325" s="279" t="s">
        <v>58</v>
      </c>
      <c r="D325" s="279" t="s">
        <v>0</v>
      </c>
      <c r="E325" s="279">
        <v>1</v>
      </c>
      <c r="F325" s="279" t="s">
        <v>1</v>
      </c>
      <c r="G325" s="306">
        <v>45891</v>
      </c>
      <c r="H325" s="279" t="s">
        <v>75</v>
      </c>
      <c r="I325" s="279" t="s">
        <v>160</v>
      </c>
      <c r="J325" s="279">
        <v>1212</v>
      </c>
      <c r="K325" s="311">
        <v>60</v>
      </c>
      <c r="L325" s="311">
        <v>12</v>
      </c>
      <c r="M325" s="311">
        <f>K325-L325</f>
        <v>48</v>
      </c>
      <c r="N325" s="311">
        <f>M325*C2</f>
        <v>1.92</v>
      </c>
      <c r="O325" s="251">
        <f>M325*3.78%</f>
        <v>1.8144</v>
      </c>
      <c r="P325" s="276" t="s">
        <v>10</v>
      </c>
      <c r="Q325" s="276" t="s">
        <v>55</v>
      </c>
      <c r="R325" s="251">
        <f>M325-N325-O325</f>
        <v>44.2656</v>
      </c>
      <c r="S325" s="316">
        <f>R325/E325</f>
        <v>44.2656</v>
      </c>
      <c r="T325" s="276" t="s">
        <v>70</v>
      </c>
      <c r="U325" s="251">
        <f>M325/2-O325/2</f>
        <v>23.0928</v>
      </c>
      <c r="V325" s="317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  <c r="AG325" s="166"/>
      <c r="AH325" s="166"/>
      <c r="AI325" s="166"/>
      <c r="AJ325" s="166"/>
      <c r="AK325" s="166"/>
      <c r="AL325" s="166"/>
      <c r="AM325" s="166"/>
      <c r="AN325" s="166"/>
      <c r="AO325" s="166"/>
      <c r="AP325" s="166"/>
      <c r="AQ325" s="166"/>
      <c r="AR325" s="166"/>
    </row>
    <row r="326" customHeight="1" spans="1:44">
      <c r="A326" s="16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200"/>
      <c r="T326" s="278" t="s">
        <v>71</v>
      </c>
      <c r="U326" s="313">
        <f>U325</f>
        <v>23.0928</v>
      </c>
      <c r="V326" s="201"/>
      <c r="W326" s="166"/>
      <c r="X326" s="166"/>
      <c r="Y326" s="166"/>
      <c r="Z326" s="166"/>
      <c r="AA326" s="166"/>
      <c r="AB326" s="166"/>
      <c r="AC326" s="166"/>
      <c r="AD326" s="166"/>
      <c r="AE326" s="166"/>
      <c r="AF326" s="166"/>
      <c r="AG326" s="166"/>
      <c r="AH326" s="166"/>
      <c r="AI326" s="166"/>
      <c r="AJ326" s="166"/>
      <c r="AK326" s="166"/>
      <c r="AL326" s="166"/>
      <c r="AM326" s="166"/>
      <c r="AN326" s="166"/>
      <c r="AO326" s="166"/>
      <c r="AP326" s="166"/>
      <c r="AQ326" s="166"/>
      <c r="AR326" s="166"/>
    </row>
    <row r="327" customHeight="1" spans="1:44">
      <c r="A327" s="166"/>
      <c r="B327" s="279">
        <v>2946</v>
      </c>
      <c r="C327" s="279" t="s">
        <v>91</v>
      </c>
      <c r="D327" s="279" t="s">
        <v>0</v>
      </c>
      <c r="E327" s="279">
        <v>1</v>
      </c>
      <c r="F327" s="279" t="s">
        <v>1</v>
      </c>
      <c r="G327" s="306">
        <v>45891</v>
      </c>
      <c r="H327" s="279" t="s">
        <v>75</v>
      </c>
      <c r="I327" s="279" t="s">
        <v>160</v>
      </c>
      <c r="J327" s="279">
        <v>1212</v>
      </c>
      <c r="K327" s="311">
        <v>100</v>
      </c>
      <c r="L327" s="311">
        <v>20</v>
      </c>
      <c r="M327" s="311">
        <f>K327-L327</f>
        <v>80</v>
      </c>
      <c r="N327" s="311">
        <f>M327*C2</f>
        <v>3.2</v>
      </c>
      <c r="O327" s="251">
        <f>M327*3.78%</f>
        <v>3.024</v>
      </c>
      <c r="P327" s="276" t="s">
        <v>10</v>
      </c>
      <c r="Q327" s="276" t="s">
        <v>55</v>
      </c>
      <c r="R327" s="251">
        <f>M327-N327-O327</f>
        <v>73.776</v>
      </c>
      <c r="S327" s="316">
        <f>R327/E327</f>
        <v>73.776</v>
      </c>
      <c r="T327" s="276" t="s">
        <v>70</v>
      </c>
      <c r="U327" s="251">
        <f>M327/2-O327/2</f>
        <v>38.488</v>
      </c>
      <c r="V327" s="317"/>
      <c r="W327" s="166"/>
      <c r="X327" s="166"/>
      <c r="Y327" s="166"/>
      <c r="Z327" s="166"/>
      <c r="AA327" s="166"/>
      <c r="AB327" s="166"/>
      <c r="AC327" s="166"/>
      <c r="AD327" s="166"/>
      <c r="AE327" s="166"/>
      <c r="AF327" s="166"/>
      <c r="AG327" s="166"/>
      <c r="AH327" s="166"/>
      <c r="AI327" s="166"/>
      <c r="AJ327" s="166"/>
      <c r="AK327" s="166"/>
      <c r="AL327" s="166"/>
      <c r="AM327" s="166"/>
      <c r="AN327" s="166"/>
      <c r="AO327" s="166"/>
      <c r="AP327" s="166"/>
      <c r="AQ327" s="166"/>
      <c r="AR327" s="166"/>
    </row>
    <row r="328" customHeight="1" spans="1:44">
      <c r="A328" s="16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200"/>
      <c r="T328" s="278" t="s">
        <v>71</v>
      </c>
      <c r="U328" s="313">
        <f>U327</f>
        <v>38.488</v>
      </c>
      <c r="V328" s="201"/>
      <c r="W328" s="166"/>
      <c r="X328" s="166"/>
      <c r="Y328" s="166"/>
      <c r="Z328" s="166"/>
      <c r="AA328" s="166"/>
      <c r="AB328" s="166"/>
      <c r="AC328" s="166"/>
      <c r="AD328" s="166"/>
      <c r="AE328" s="166"/>
      <c r="AF328" s="166"/>
      <c r="AG328" s="166"/>
      <c r="AH328" s="166"/>
      <c r="AI328" s="166"/>
      <c r="AJ328" s="166"/>
      <c r="AK328" s="166"/>
      <c r="AL328" s="166"/>
      <c r="AM328" s="166"/>
      <c r="AN328" s="166"/>
      <c r="AO328" s="166"/>
      <c r="AP328" s="166"/>
      <c r="AQ328" s="166"/>
      <c r="AR328" s="166"/>
    </row>
    <row r="329" customHeight="1" spans="1:44">
      <c r="A329" s="166"/>
      <c r="B329" s="279">
        <v>2470</v>
      </c>
      <c r="C329" s="279" t="s">
        <v>16</v>
      </c>
      <c r="D329" s="279" t="s">
        <v>0</v>
      </c>
      <c r="E329" s="279">
        <v>2</v>
      </c>
      <c r="F329" s="279" t="s">
        <v>1</v>
      </c>
      <c r="G329" s="306">
        <v>45891</v>
      </c>
      <c r="H329" s="279" t="s">
        <v>75</v>
      </c>
      <c r="I329" s="279" t="s">
        <v>54</v>
      </c>
      <c r="J329" s="279">
        <v>1213</v>
      </c>
      <c r="K329" s="311">
        <v>360</v>
      </c>
      <c r="L329" s="311">
        <v>0</v>
      </c>
      <c r="M329" s="311">
        <f>K329-L329</f>
        <v>360</v>
      </c>
      <c r="N329" s="311">
        <f>M329*C2</f>
        <v>14.4</v>
      </c>
      <c r="O329" s="251">
        <f>M329*3.78%</f>
        <v>13.608</v>
      </c>
      <c r="P329" s="276" t="s">
        <v>10</v>
      </c>
      <c r="Q329" s="276" t="s">
        <v>55</v>
      </c>
      <c r="R329" s="251">
        <f>M329-N329-O329</f>
        <v>331.992</v>
      </c>
      <c r="S329" s="316">
        <f>R329/E329</f>
        <v>165.996</v>
      </c>
      <c r="T329" s="276" t="s">
        <v>70</v>
      </c>
      <c r="U329" s="251">
        <f>M329/2-O329/2</f>
        <v>173.196</v>
      </c>
      <c r="V329" s="317"/>
      <c r="W329" s="166"/>
      <c r="X329" s="166"/>
      <c r="Y329" s="166"/>
      <c r="Z329" s="166"/>
      <c r="AA329" s="166"/>
      <c r="AB329" s="166"/>
      <c r="AC329" s="166"/>
      <c r="AD329" s="166"/>
      <c r="AE329" s="166"/>
      <c r="AF329" s="166"/>
      <c r="AG329" s="166"/>
      <c r="AH329" s="166"/>
      <c r="AI329" s="166"/>
      <c r="AJ329" s="166"/>
      <c r="AK329" s="166"/>
      <c r="AL329" s="166"/>
      <c r="AM329" s="166"/>
      <c r="AN329" s="166"/>
      <c r="AO329" s="166"/>
      <c r="AP329" s="166"/>
      <c r="AQ329" s="166"/>
      <c r="AR329" s="166"/>
    </row>
    <row r="330" customHeight="1" spans="1:44">
      <c r="A330" s="16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200"/>
      <c r="T330" s="278" t="s">
        <v>71</v>
      </c>
      <c r="U330" s="313">
        <f>U329</f>
        <v>173.196</v>
      </c>
      <c r="V330" s="201"/>
      <c r="W330" s="166"/>
      <c r="X330" s="166"/>
      <c r="Y330" s="166"/>
      <c r="Z330" s="166"/>
      <c r="AA330" s="166"/>
      <c r="AB330" s="166"/>
      <c r="AC330" s="166"/>
      <c r="AD330" s="166"/>
      <c r="AE330" s="166"/>
      <c r="AF330" s="166"/>
      <c r="AG330" s="166"/>
      <c r="AH330" s="166"/>
      <c r="AI330" s="166"/>
      <c r="AJ330" s="166"/>
      <c r="AK330" s="166"/>
      <c r="AL330" s="166"/>
      <c r="AM330" s="166"/>
      <c r="AN330" s="166"/>
      <c r="AO330" s="166"/>
      <c r="AP330" s="166"/>
      <c r="AQ330" s="166"/>
      <c r="AR330" s="166"/>
    </row>
    <row r="331" customHeight="1" spans="1:44">
      <c r="A331" s="166"/>
      <c r="B331" s="279">
        <v>2470</v>
      </c>
      <c r="C331" s="279" t="s">
        <v>16</v>
      </c>
      <c r="D331" s="279" t="s">
        <v>0</v>
      </c>
      <c r="E331" s="279">
        <v>1</v>
      </c>
      <c r="F331" s="279" t="s">
        <v>1</v>
      </c>
      <c r="G331" s="306">
        <v>45894</v>
      </c>
      <c r="H331" s="279" t="s">
        <v>6</v>
      </c>
      <c r="I331" s="279" t="s">
        <v>54</v>
      </c>
      <c r="J331" s="279">
        <v>1214</v>
      </c>
      <c r="K331" s="311">
        <v>180</v>
      </c>
      <c r="L331" s="311">
        <v>0</v>
      </c>
      <c r="M331" s="311">
        <f>K331-L331</f>
        <v>180</v>
      </c>
      <c r="N331" s="311">
        <f>M331*C2</f>
        <v>7.2</v>
      </c>
      <c r="O331" s="251">
        <f>M331*3.78%</f>
        <v>6.804</v>
      </c>
      <c r="P331" s="276" t="s">
        <v>10</v>
      </c>
      <c r="Q331" s="276" t="s">
        <v>62</v>
      </c>
      <c r="R331" s="251">
        <f>M331-N331-O331</f>
        <v>165.996</v>
      </c>
      <c r="S331" s="316">
        <f>R331/E331</f>
        <v>165.996</v>
      </c>
      <c r="T331" s="276" t="s">
        <v>70</v>
      </c>
      <c r="U331" s="251">
        <f>M331/2-O331/2</f>
        <v>86.598</v>
      </c>
      <c r="V331" s="317" t="s">
        <v>161</v>
      </c>
      <c r="W331" s="166"/>
      <c r="X331" s="166"/>
      <c r="Y331" s="166"/>
      <c r="Z331" s="166"/>
      <c r="AA331" s="166"/>
      <c r="AB331" s="166"/>
      <c r="AC331" s="166"/>
      <c r="AD331" s="166"/>
      <c r="AE331" s="166"/>
      <c r="AF331" s="166"/>
      <c r="AG331" s="166"/>
      <c r="AH331" s="166"/>
      <c r="AI331" s="166"/>
      <c r="AJ331" s="166"/>
      <c r="AK331" s="166"/>
      <c r="AL331" s="166"/>
      <c r="AM331" s="166"/>
      <c r="AN331" s="166"/>
      <c r="AO331" s="166"/>
      <c r="AP331" s="166"/>
      <c r="AQ331" s="166"/>
      <c r="AR331" s="166"/>
    </row>
    <row r="332" customHeight="1" spans="1:44">
      <c r="A332" s="16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200"/>
      <c r="T332" s="278" t="s">
        <v>71</v>
      </c>
      <c r="U332" s="313">
        <f>U331</f>
        <v>86.598</v>
      </c>
      <c r="V332" s="201"/>
      <c r="W332" s="166"/>
      <c r="X332" s="166"/>
      <c r="Y332" s="166"/>
      <c r="Z332" s="166"/>
      <c r="AA332" s="166"/>
      <c r="AB332" s="166"/>
      <c r="AC332" s="166"/>
      <c r="AD332" s="166"/>
      <c r="AE332" s="166"/>
      <c r="AF332" s="166"/>
      <c r="AG332" s="166"/>
      <c r="AH332" s="166"/>
      <c r="AI332" s="166"/>
      <c r="AJ332" s="166"/>
      <c r="AK332" s="166"/>
      <c r="AL332" s="166"/>
      <c r="AM332" s="166"/>
      <c r="AN332" s="166"/>
      <c r="AO332" s="166"/>
      <c r="AP332" s="166"/>
      <c r="AQ332" s="166"/>
      <c r="AR332" s="166"/>
    </row>
    <row r="333" customHeight="1" spans="1:44">
      <c r="A333" s="166"/>
      <c r="B333" s="307">
        <v>2470</v>
      </c>
      <c r="C333" s="307" t="s">
        <v>16</v>
      </c>
      <c r="D333" s="307" t="s">
        <v>0</v>
      </c>
      <c r="E333" s="307">
        <v>1</v>
      </c>
      <c r="F333" s="307" t="s">
        <v>1</v>
      </c>
      <c r="G333" s="306">
        <v>45892</v>
      </c>
      <c r="H333" s="307" t="s">
        <v>76</v>
      </c>
      <c r="I333" s="307" t="s">
        <v>54</v>
      </c>
      <c r="J333" s="307">
        <v>1215</v>
      </c>
      <c r="K333" s="312">
        <v>180</v>
      </c>
      <c r="L333" s="312">
        <v>0</v>
      </c>
      <c r="M333" s="312">
        <v>180</v>
      </c>
      <c r="N333" s="312">
        <f>M335*C2</f>
        <v>0</v>
      </c>
      <c r="O333" s="251">
        <v>0</v>
      </c>
      <c r="P333" s="276" t="s">
        <v>134</v>
      </c>
      <c r="Q333" s="276" t="s">
        <v>6</v>
      </c>
      <c r="R333" s="276">
        <f>180-6.05</f>
        <v>173.95</v>
      </c>
      <c r="S333" s="318">
        <f>R333/E333</f>
        <v>173.95</v>
      </c>
      <c r="T333" s="276" t="s">
        <v>66</v>
      </c>
      <c r="U333" s="251">
        <v>20</v>
      </c>
      <c r="V333" s="317" t="s">
        <v>162</v>
      </c>
      <c r="W333" s="166"/>
      <c r="X333" s="166"/>
      <c r="Y333" s="166"/>
      <c r="Z333" s="166"/>
      <c r="AA333" s="166"/>
      <c r="AB333" s="166"/>
      <c r="AC333" s="166"/>
      <c r="AD333" s="166"/>
      <c r="AE333" s="166"/>
      <c r="AF333" s="166"/>
      <c r="AG333" s="166"/>
      <c r="AH333" s="166"/>
      <c r="AI333" s="166"/>
      <c r="AJ333" s="166"/>
      <c r="AK333" s="166"/>
      <c r="AL333" s="166"/>
      <c r="AM333" s="166"/>
      <c r="AN333" s="166"/>
      <c r="AO333" s="166"/>
      <c r="AP333" s="166"/>
      <c r="AQ333" s="166"/>
      <c r="AR333" s="166"/>
    </row>
    <row r="334" customHeight="1" spans="1:44">
      <c r="A334" s="166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313">
        <f>(K333-20)*3.78%</f>
        <v>6.048</v>
      </c>
      <c r="P334" s="278" t="s">
        <v>10</v>
      </c>
      <c r="Q334" s="278" t="s">
        <v>62</v>
      </c>
      <c r="R334" s="100"/>
      <c r="S334" s="198"/>
      <c r="T334" s="278" t="s">
        <v>70</v>
      </c>
      <c r="U334" s="313">
        <f>160/2-6.05/2</f>
        <v>76.975</v>
      </c>
      <c r="V334" s="199"/>
      <c r="W334" s="166"/>
      <c r="X334" s="166"/>
      <c r="Y334" s="166"/>
      <c r="Z334" s="166"/>
      <c r="AA334" s="166"/>
      <c r="AB334" s="166"/>
      <c r="AC334" s="166"/>
      <c r="AD334" s="166"/>
      <c r="AE334" s="166"/>
      <c r="AF334" s="166"/>
      <c r="AG334" s="166"/>
      <c r="AH334" s="166"/>
      <c r="AI334" s="166"/>
      <c r="AJ334" s="166"/>
      <c r="AK334" s="166"/>
      <c r="AL334" s="166"/>
      <c r="AM334" s="166"/>
      <c r="AN334" s="166"/>
      <c r="AO334" s="166"/>
      <c r="AP334" s="166"/>
      <c r="AQ334" s="166"/>
      <c r="AR334" s="166"/>
    </row>
    <row r="335" customHeight="1" spans="1:44">
      <c r="A335" s="16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200"/>
      <c r="T335" s="319" t="s">
        <v>71</v>
      </c>
      <c r="U335" s="320">
        <f>U334</f>
        <v>76.975</v>
      </c>
      <c r="V335" s="201"/>
      <c r="W335" s="166"/>
      <c r="X335" s="166"/>
      <c r="Y335" s="166"/>
      <c r="Z335" s="166"/>
      <c r="AA335" s="166"/>
      <c r="AB335" s="166"/>
      <c r="AC335" s="166"/>
      <c r="AD335" s="166"/>
      <c r="AE335" s="166"/>
      <c r="AF335" s="166"/>
      <c r="AG335" s="166"/>
      <c r="AH335" s="166"/>
      <c r="AI335" s="166"/>
      <c r="AJ335" s="166"/>
      <c r="AK335" s="166"/>
      <c r="AL335" s="166"/>
      <c r="AM335" s="166"/>
      <c r="AN335" s="166"/>
      <c r="AO335" s="166"/>
      <c r="AP335" s="166"/>
      <c r="AQ335" s="166"/>
      <c r="AR335" s="166"/>
    </row>
    <row r="336" customHeight="1" spans="1:44">
      <c r="A336" s="166"/>
      <c r="B336" s="231">
        <v>2470</v>
      </c>
      <c r="C336" s="231" t="s">
        <v>16</v>
      </c>
      <c r="D336" s="231" t="s">
        <v>0</v>
      </c>
      <c r="E336" s="231">
        <v>1</v>
      </c>
      <c r="F336" s="231" t="s">
        <v>1</v>
      </c>
      <c r="G336" s="232">
        <v>45892</v>
      </c>
      <c r="H336" s="231" t="s">
        <v>76</v>
      </c>
      <c r="I336" s="231" t="s">
        <v>54</v>
      </c>
      <c r="J336" s="231">
        <v>1216</v>
      </c>
      <c r="K336" s="250">
        <v>180</v>
      </c>
      <c r="L336" s="250">
        <v>0</v>
      </c>
      <c r="M336" s="250">
        <f t="shared" ref="M336:M353" si="166">K336-L336</f>
        <v>180</v>
      </c>
      <c r="N336" s="250">
        <f>M336*C2</f>
        <v>7.2</v>
      </c>
      <c r="O336" s="314">
        <v>0</v>
      </c>
      <c r="P336" s="314" t="s">
        <v>5</v>
      </c>
      <c r="Q336" s="314" t="s">
        <v>6</v>
      </c>
      <c r="R336" s="277">
        <f t="shared" ref="R336:R338" si="167">M336-N336-O336</f>
        <v>172.8</v>
      </c>
      <c r="S336" s="277">
        <f t="shared" ref="S336:S337" si="168">R336/E336</f>
        <v>172.8</v>
      </c>
      <c r="T336" s="319" t="s">
        <v>66</v>
      </c>
      <c r="U336" s="320">
        <f t="shared" ref="U336:U338" si="169">M336-O336</f>
        <v>180</v>
      </c>
      <c r="V336" s="231"/>
      <c r="W336" s="166"/>
      <c r="X336" s="166"/>
      <c r="Y336" s="166"/>
      <c r="Z336" s="166"/>
      <c r="AA336" s="166"/>
      <c r="AB336" s="166"/>
      <c r="AC336" s="166"/>
      <c r="AD336" s="166"/>
      <c r="AE336" s="166"/>
      <c r="AF336" s="166"/>
      <c r="AG336" s="166"/>
      <c r="AH336" s="166"/>
      <c r="AI336" s="166"/>
      <c r="AJ336" s="166"/>
      <c r="AK336" s="166"/>
      <c r="AL336" s="166"/>
      <c r="AM336" s="166"/>
      <c r="AN336" s="166"/>
      <c r="AO336" s="166"/>
      <c r="AP336" s="166"/>
      <c r="AQ336" s="166"/>
      <c r="AR336" s="166"/>
    </row>
    <row r="337" customHeight="1" spans="1:44">
      <c r="A337" s="166"/>
      <c r="B337" s="231">
        <v>2470</v>
      </c>
      <c r="C337" s="231" t="s">
        <v>16</v>
      </c>
      <c r="D337" s="231" t="s">
        <v>0</v>
      </c>
      <c r="E337" s="231">
        <v>1</v>
      </c>
      <c r="F337" s="231" t="s">
        <v>1</v>
      </c>
      <c r="G337" s="232">
        <v>45892</v>
      </c>
      <c r="H337" s="231" t="s">
        <v>76</v>
      </c>
      <c r="I337" s="231" t="s">
        <v>54</v>
      </c>
      <c r="J337" s="231">
        <v>1217</v>
      </c>
      <c r="K337" s="250">
        <v>180</v>
      </c>
      <c r="L337" s="250">
        <v>0</v>
      </c>
      <c r="M337" s="250">
        <f t="shared" si="166"/>
        <v>180</v>
      </c>
      <c r="N337" s="250">
        <f>M337*C2</f>
        <v>7.2</v>
      </c>
      <c r="O337" s="314">
        <v>0</v>
      </c>
      <c r="P337" s="314" t="s">
        <v>5</v>
      </c>
      <c r="Q337" s="314" t="s">
        <v>6</v>
      </c>
      <c r="R337" s="277">
        <f t="shared" si="167"/>
        <v>172.8</v>
      </c>
      <c r="S337" s="277">
        <f t="shared" si="168"/>
        <v>172.8</v>
      </c>
      <c r="T337" s="314" t="s">
        <v>66</v>
      </c>
      <c r="U337" s="277">
        <f t="shared" si="169"/>
        <v>180</v>
      </c>
      <c r="V337" s="231"/>
      <c r="W337" s="166"/>
      <c r="X337" s="166"/>
      <c r="Y337" s="166"/>
      <c r="Z337" s="166"/>
      <c r="AA337" s="166"/>
      <c r="AB337" s="166"/>
      <c r="AC337" s="166"/>
      <c r="AD337" s="166"/>
      <c r="AE337" s="166"/>
      <c r="AF337" s="166"/>
      <c r="AG337" s="166"/>
      <c r="AH337" s="166"/>
      <c r="AI337" s="166"/>
      <c r="AJ337" s="166"/>
      <c r="AK337" s="166"/>
      <c r="AL337" s="166"/>
      <c r="AM337" s="166"/>
      <c r="AN337" s="166"/>
      <c r="AO337" s="166"/>
      <c r="AP337" s="166"/>
      <c r="AQ337" s="166"/>
      <c r="AR337" s="166"/>
    </row>
    <row r="338" customHeight="1" spans="1:44">
      <c r="A338" s="166"/>
      <c r="B338" s="231">
        <v>3008</v>
      </c>
      <c r="C338" s="231" t="s">
        <v>28</v>
      </c>
      <c r="D338" s="231" t="s">
        <v>0</v>
      </c>
      <c r="E338" s="231">
        <v>1</v>
      </c>
      <c r="F338" s="231" t="s">
        <v>1</v>
      </c>
      <c r="G338" s="232">
        <v>45894</v>
      </c>
      <c r="H338" s="231" t="s">
        <v>77</v>
      </c>
      <c r="I338" s="231" t="s">
        <v>54</v>
      </c>
      <c r="J338" s="231">
        <v>1218</v>
      </c>
      <c r="K338" s="250">
        <v>215</v>
      </c>
      <c r="L338" s="250">
        <v>0</v>
      </c>
      <c r="M338" s="250">
        <f t="shared" si="166"/>
        <v>215</v>
      </c>
      <c r="N338" s="250">
        <f>M338*C2</f>
        <v>8.6</v>
      </c>
      <c r="O338" s="277">
        <f>M338*3.29%</f>
        <v>7.0735</v>
      </c>
      <c r="P338" s="314" t="s">
        <v>9</v>
      </c>
      <c r="Q338" s="314" t="s">
        <v>62</v>
      </c>
      <c r="R338" s="277">
        <f t="shared" si="167"/>
        <v>199.3265</v>
      </c>
      <c r="S338" s="277">
        <f>R338/J338</f>
        <v>0.16365065681445</v>
      </c>
      <c r="T338" s="314" t="s">
        <v>70</v>
      </c>
      <c r="U338" s="277">
        <f t="shared" si="169"/>
        <v>207.9265</v>
      </c>
      <c r="V338" s="231"/>
      <c r="W338" s="166"/>
      <c r="X338" s="166"/>
      <c r="Y338" s="166"/>
      <c r="Z338" s="166"/>
      <c r="AA338" s="166"/>
      <c r="AB338" s="166"/>
      <c r="AC338" s="166"/>
      <c r="AD338" s="166"/>
      <c r="AE338" s="166"/>
      <c r="AF338" s="166"/>
      <c r="AG338" s="166"/>
      <c r="AH338" s="166"/>
      <c r="AI338" s="166"/>
      <c r="AJ338" s="166"/>
      <c r="AK338" s="166"/>
      <c r="AL338" s="166"/>
      <c r="AM338" s="166"/>
      <c r="AN338" s="166"/>
      <c r="AO338" s="166"/>
      <c r="AP338" s="166"/>
      <c r="AQ338" s="166"/>
      <c r="AR338" s="166"/>
    </row>
    <row r="339" customHeight="1" spans="1:44">
      <c r="A339" s="166"/>
      <c r="B339" s="229">
        <v>2550</v>
      </c>
      <c r="C339" s="229" t="s">
        <v>58</v>
      </c>
      <c r="D339" s="308" t="s">
        <v>4</v>
      </c>
      <c r="E339" s="229">
        <v>2</v>
      </c>
      <c r="F339" s="308" t="s">
        <v>3</v>
      </c>
      <c r="G339" s="309">
        <v>45895</v>
      </c>
      <c r="H339" s="308" t="s">
        <v>6</v>
      </c>
      <c r="I339" s="308" t="s">
        <v>123</v>
      </c>
      <c r="J339" s="308">
        <v>125</v>
      </c>
      <c r="K339" s="247">
        <v>96</v>
      </c>
      <c r="L339" s="247">
        <v>0</v>
      </c>
      <c r="M339" s="247">
        <f t="shared" si="166"/>
        <v>96</v>
      </c>
      <c r="N339" s="247">
        <v>0</v>
      </c>
      <c r="O339" s="248">
        <v>0</v>
      </c>
      <c r="P339" s="315" t="s">
        <v>6</v>
      </c>
      <c r="Q339" s="315" t="s">
        <v>6</v>
      </c>
      <c r="R339" s="248">
        <v>0</v>
      </c>
      <c r="S339" s="248">
        <v>0</v>
      </c>
      <c r="T339" s="315" t="s">
        <v>6</v>
      </c>
      <c r="U339" s="248">
        <v>0</v>
      </c>
      <c r="V339" s="308" t="s">
        <v>163</v>
      </c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  <c r="AG339" s="166"/>
      <c r="AH339" s="166"/>
      <c r="AI339" s="166"/>
      <c r="AJ339" s="166"/>
      <c r="AK339" s="166"/>
      <c r="AL339" s="166"/>
      <c r="AM339" s="166"/>
      <c r="AN339" s="166"/>
      <c r="AO339" s="166"/>
      <c r="AP339" s="166"/>
      <c r="AQ339" s="166"/>
      <c r="AR339" s="166"/>
    </row>
    <row r="340" customHeight="1" spans="1:44">
      <c r="A340" s="166"/>
      <c r="B340" s="229">
        <v>3049</v>
      </c>
      <c r="C340" s="229" t="s">
        <v>99</v>
      </c>
      <c r="D340" s="16"/>
      <c r="E340" s="229">
        <v>1</v>
      </c>
      <c r="F340" s="16"/>
      <c r="G340" s="16"/>
      <c r="H340" s="16"/>
      <c r="I340" s="16"/>
      <c r="J340" s="16"/>
      <c r="K340" s="247">
        <v>144</v>
      </c>
      <c r="L340" s="247">
        <v>0</v>
      </c>
      <c r="M340" s="247">
        <f t="shared" si="166"/>
        <v>144</v>
      </c>
      <c r="N340" s="247">
        <v>0</v>
      </c>
      <c r="O340" s="248">
        <v>0</v>
      </c>
      <c r="P340" s="16"/>
      <c r="Q340" s="16"/>
      <c r="R340" s="248">
        <v>0</v>
      </c>
      <c r="S340" s="248">
        <v>0</v>
      </c>
      <c r="T340" s="16"/>
      <c r="U340" s="248">
        <v>0</v>
      </c>
      <c r="V340" s="16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  <c r="AG340" s="166"/>
      <c r="AH340" s="166"/>
      <c r="AI340" s="166"/>
      <c r="AJ340" s="166"/>
      <c r="AK340" s="166"/>
      <c r="AL340" s="166"/>
      <c r="AM340" s="166"/>
      <c r="AN340" s="166"/>
      <c r="AO340" s="166"/>
      <c r="AP340" s="166"/>
      <c r="AQ340" s="166"/>
      <c r="AR340" s="166"/>
    </row>
    <row r="341" customHeight="1" spans="1:44">
      <c r="A341" s="166"/>
      <c r="B341" s="176">
        <v>2550</v>
      </c>
      <c r="C341" s="176" t="s">
        <v>58</v>
      </c>
      <c r="D341" s="176" t="s">
        <v>0</v>
      </c>
      <c r="E341" s="176">
        <v>2</v>
      </c>
      <c r="F341" s="206" t="s">
        <v>1</v>
      </c>
      <c r="G341" s="207">
        <v>45895</v>
      </c>
      <c r="H341" s="206" t="s">
        <v>6</v>
      </c>
      <c r="I341" s="206" t="s">
        <v>123</v>
      </c>
      <c r="J341" s="206">
        <v>1220</v>
      </c>
      <c r="K341" s="182">
        <v>96</v>
      </c>
      <c r="L341" s="182">
        <v>0</v>
      </c>
      <c r="M341" s="182">
        <f t="shared" si="166"/>
        <v>96</v>
      </c>
      <c r="N341" s="182">
        <f>M341*C2</f>
        <v>3.84</v>
      </c>
      <c r="O341" s="183">
        <v>0</v>
      </c>
      <c r="P341" s="213" t="s">
        <v>5</v>
      </c>
      <c r="Q341" s="213" t="s">
        <v>6</v>
      </c>
      <c r="R341" s="183">
        <f t="shared" ref="R341:R342" si="170">M341-N341-O341</f>
        <v>92.16</v>
      </c>
      <c r="S341" s="183">
        <f t="shared" ref="S341:S342" si="171">R341/E341</f>
        <v>46.08</v>
      </c>
      <c r="T341" s="213" t="s">
        <v>66</v>
      </c>
      <c r="U341" s="183">
        <f t="shared" ref="U341:U342" si="172">M341-O341</f>
        <v>96</v>
      </c>
      <c r="V341" s="206" t="s">
        <v>164</v>
      </c>
      <c r="W341" s="166"/>
      <c r="X341" s="166"/>
      <c r="Y341" s="166"/>
      <c r="Z341" s="166"/>
      <c r="AA341" s="166"/>
      <c r="AB341" s="166"/>
      <c r="AC341" s="166"/>
      <c r="AD341" s="166"/>
      <c r="AE341" s="166"/>
      <c r="AF341" s="166"/>
      <c r="AG341" s="166"/>
      <c r="AH341" s="166"/>
      <c r="AI341" s="166"/>
      <c r="AJ341" s="166"/>
      <c r="AK341" s="166"/>
      <c r="AL341" s="166"/>
      <c r="AM341" s="166"/>
      <c r="AN341" s="166"/>
      <c r="AO341" s="166"/>
      <c r="AP341" s="166"/>
      <c r="AQ341" s="166"/>
      <c r="AR341" s="166"/>
    </row>
    <row r="342" customHeight="1" spans="1:44">
      <c r="A342" s="166"/>
      <c r="B342" s="176">
        <v>3049</v>
      </c>
      <c r="C342" s="176" t="s">
        <v>99</v>
      </c>
      <c r="D342" s="176" t="s">
        <v>0</v>
      </c>
      <c r="E342" s="176">
        <v>1</v>
      </c>
      <c r="F342" s="16"/>
      <c r="G342" s="16"/>
      <c r="H342" s="16"/>
      <c r="I342" s="16"/>
      <c r="J342" s="16"/>
      <c r="K342" s="182">
        <v>144</v>
      </c>
      <c r="L342" s="182">
        <v>0</v>
      </c>
      <c r="M342" s="182">
        <f t="shared" si="166"/>
        <v>144</v>
      </c>
      <c r="N342" s="182">
        <f>M342*C2</f>
        <v>5.76</v>
      </c>
      <c r="O342" s="183">
        <v>0</v>
      </c>
      <c r="P342" s="16"/>
      <c r="Q342" s="16"/>
      <c r="R342" s="183">
        <f t="shared" si="170"/>
        <v>138.24</v>
      </c>
      <c r="S342" s="183">
        <f t="shared" si="171"/>
        <v>138.24</v>
      </c>
      <c r="T342" s="16"/>
      <c r="U342" s="183">
        <f t="shared" si="172"/>
        <v>144</v>
      </c>
      <c r="V342" s="1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  <c r="AG342" s="166"/>
      <c r="AH342" s="166"/>
      <c r="AI342" s="166"/>
      <c r="AJ342" s="166"/>
      <c r="AK342" s="166"/>
      <c r="AL342" s="166"/>
      <c r="AM342" s="166"/>
      <c r="AN342" s="166"/>
      <c r="AO342" s="166"/>
      <c r="AP342" s="166"/>
      <c r="AQ342" s="166"/>
      <c r="AR342" s="166"/>
    </row>
    <row r="343" customHeight="1" spans="1:44">
      <c r="A343" s="166"/>
      <c r="B343" s="229">
        <v>2470</v>
      </c>
      <c r="C343" s="229" t="s">
        <v>16</v>
      </c>
      <c r="D343" s="308" t="s">
        <v>4</v>
      </c>
      <c r="E343" s="229">
        <v>1</v>
      </c>
      <c r="F343" s="308" t="s">
        <v>3</v>
      </c>
      <c r="G343" s="309">
        <v>45895</v>
      </c>
      <c r="H343" s="308" t="s">
        <v>6</v>
      </c>
      <c r="I343" s="308" t="s">
        <v>54</v>
      </c>
      <c r="J343" s="308">
        <v>126</v>
      </c>
      <c r="K343" s="247">
        <v>100</v>
      </c>
      <c r="L343" s="247">
        <v>0</v>
      </c>
      <c r="M343" s="247">
        <f t="shared" si="166"/>
        <v>100</v>
      </c>
      <c r="N343" s="247">
        <v>0</v>
      </c>
      <c r="O343" s="248">
        <v>0</v>
      </c>
      <c r="P343" s="315" t="s">
        <v>6</v>
      </c>
      <c r="Q343" s="315" t="s">
        <v>6</v>
      </c>
      <c r="R343" s="248">
        <v>0</v>
      </c>
      <c r="S343" s="248">
        <v>0</v>
      </c>
      <c r="T343" s="315" t="s">
        <v>6</v>
      </c>
      <c r="U343" s="248">
        <v>0</v>
      </c>
      <c r="V343" s="321" t="s">
        <v>165</v>
      </c>
      <c r="W343" s="166"/>
      <c r="X343" s="166"/>
      <c r="Y343" s="166"/>
      <c r="Z343" s="166"/>
      <c r="AA343" s="166"/>
      <c r="AB343" s="166"/>
      <c r="AC343" s="166"/>
      <c r="AD343" s="166"/>
      <c r="AE343" s="166"/>
      <c r="AF343" s="166"/>
      <c r="AG343" s="166"/>
      <c r="AH343" s="166"/>
      <c r="AI343" s="166"/>
      <c r="AJ343" s="166"/>
      <c r="AK343" s="166"/>
      <c r="AL343" s="166"/>
      <c r="AM343" s="166"/>
      <c r="AN343" s="166"/>
      <c r="AO343" s="166"/>
      <c r="AP343" s="166"/>
      <c r="AQ343" s="166"/>
      <c r="AR343" s="166"/>
    </row>
    <row r="344" customHeight="1" spans="1:44">
      <c r="A344" s="166"/>
      <c r="B344" s="229">
        <v>2550</v>
      </c>
      <c r="C344" s="229" t="s">
        <v>58</v>
      </c>
      <c r="D344" s="16"/>
      <c r="E344" s="229">
        <v>2</v>
      </c>
      <c r="F344" s="16"/>
      <c r="G344" s="16"/>
      <c r="H344" s="16"/>
      <c r="I344" s="16"/>
      <c r="J344" s="16"/>
      <c r="K344" s="247">
        <v>120</v>
      </c>
      <c r="L344" s="247">
        <v>0</v>
      </c>
      <c r="M344" s="247">
        <f t="shared" si="166"/>
        <v>120</v>
      </c>
      <c r="N344" s="247">
        <v>0</v>
      </c>
      <c r="O344" s="248">
        <v>0</v>
      </c>
      <c r="P344" s="16"/>
      <c r="Q344" s="16"/>
      <c r="R344" s="248">
        <v>0</v>
      </c>
      <c r="S344" s="248">
        <v>0</v>
      </c>
      <c r="T344" s="16"/>
      <c r="U344" s="248">
        <v>0</v>
      </c>
      <c r="V344" s="16"/>
      <c r="W344" s="166"/>
      <c r="X344" s="166"/>
      <c r="Y344" s="166"/>
      <c r="Z344" s="166"/>
      <c r="AA344" s="166"/>
      <c r="AB344" s="166"/>
      <c r="AC344" s="166"/>
      <c r="AD344" s="166"/>
      <c r="AE344" s="166"/>
      <c r="AF344" s="166"/>
      <c r="AG344" s="166"/>
      <c r="AH344" s="166"/>
      <c r="AI344" s="166"/>
      <c r="AJ344" s="166"/>
      <c r="AK344" s="166"/>
      <c r="AL344" s="166"/>
      <c r="AM344" s="166"/>
      <c r="AN344" s="166"/>
      <c r="AO344" s="166"/>
      <c r="AP344" s="166"/>
      <c r="AQ344" s="166"/>
      <c r="AR344" s="166"/>
    </row>
    <row r="345" customHeight="1" spans="1:44">
      <c r="A345" s="166"/>
      <c r="B345" s="176">
        <v>2550</v>
      </c>
      <c r="C345" s="176" t="s">
        <v>58</v>
      </c>
      <c r="D345" s="206" t="s">
        <v>0</v>
      </c>
      <c r="E345" s="176">
        <v>1</v>
      </c>
      <c r="F345" s="206" t="s">
        <v>1</v>
      </c>
      <c r="G345" s="207">
        <v>45895</v>
      </c>
      <c r="H345" s="206" t="s">
        <v>6</v>
      </c>
      <c r="I345" s="206" t="s">
        <v>54</v>
      </c>
      <c r="J345" s="206">
        <v>1221</v>
      </c>
      <c r="K345" s="182">
        <v>60</v>
      </c>
      <c r="L345" s="182">
        <v>0</v>
      </c>
      <c r="M345" s="182">
        <f t="shared" si="166"/>
        <v>60</v>
      </c>
      <c r="N345" s="182">
        <f>M345*C2</f>
        <v>2.4</v>
      </c>
      <c r="O345" s="183">
        <f t="shared" ref="O345:O347" si="173">M345*1.9%</f>
        <v>1.14</v>
      </c>
      <c r="P345" s="213" t="s">
        <v>7</v>
      </c>
      <c r="Q345" s="213" t="s">
        <v>62</v>
      </c>
      <c r="R345" s="183">
        <f t="shared" ref="R345:R347" si="174">M345-N345-O345</f>
        <v>56.46</v>
      </c>
      <c r="S345" s="183">
        <f t="shared" ref="S345:S347" si="175">R345/E345</f>
        <v>56.46</v>
      </c>
      <c r="T345" s="213" t="s">
        <v>66</v>
      </c>
      <c r="U345" s="183">
        <f t="shared" ref="U345:U347" si="176">M345-O345</f>
        <v>58.86</v>
      </c>
      <c r="V345" s="206" t="s">
        <v>166</v>
      </c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  <c r="AG345" s="166"/>
      <c r="AH345" s="166"/>
      <c r="AI345" s="166"/>
      <c r="AJ345" s="166"/>
      <c r="AK345" s="166"/>
      <c r="AL345" s="166"/>
      <c r="AM345" s="166"/>
      <c r="AN345" s="166"/>
      <c r="AO345" s="166"/>
      <c r="AP345" s="166"/>
      <c r="AQ345" s="166"/>
      <c r="AR345" s="166"/>
    </row>
    <row r="346" customHeight="1" spans="1:44">
      <c r="A346" s="166"/>
      <c r="B346" s="176">
        <v>2731</v>
      </c>
      <c r="C346" s="176" t="s">
        <v>18</v>
      </c>
      <c r="D346" s="100"/>
      <c r="E346" s="176">
        <v>1</v>
      </c>
      <c r="F346" s="100"/>
      <c r="G346" s="100"/>
      <c r="H346" s="100"/>
      <c r="I346" s="100"/>
      <c r="J346" s="100"/>
      <c r="K346" s="182">
        <v>60</v>
      </c>
      <c r="L346" s="182">
        <v>0</v>
      </c>
      <c r="M346" s="182">
        <f t="shared" si="166"/>
        <v>60</v>
      </c>
      <c r="N346" s="182">
        <f>M346*C2</f>
        <v>2.4</v>
      </c>
      <c r="O346" s="183">
        <f t="shared" si="173"/>
        <v>1.14</v>
      </c>
      <c r="P346" s="100"/>
      <c r="Q346" s="100"/>
      <c r="R346" s="183">
        <f t="shared" si="174"/>
        <v>56.46</v>
      </c>
      <c r="S346" s="183">
        <f t="shared" si="175"/>
        <v>56.46</v>
      </c>
      <c r="T346" s="100"/>
      <c r="U346" s="183">
        <f t="shared" si="176"/>
        <v>58.86</v>
      </c>
      <c r="V346" s="100"/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  <c r="AH346" s="166"/>
      <c r="AI346" s="166"/>
      <c r="AJ346" s="166"/>
      <c r="AK346" s="166"/>
      <c r="AL346" s="166"/>
      <c r="AM346" s="166"/>
      <c r="AN346" s="166"/>
      <c r="AO346" s="166"/>
      <c r="AP346" s="166"/>
      <c r="AQ346" s="166"/>
      <c r="AR346" s="166"/>
    </row>
    <row r="347" customHeight="1" spans="1:44">
      <c r="A347" s="166"/>
      <c r="B347" s="176">
        <v>2470</v>
      </c>
      <c r="C347" s="176" t="s">
        <v>16</v>
      </c>
      <c r="D347" s="16"/>
      <c r="E347" s="176">
        <v>1</v>
      </c>
      <c r="F347" s="16"/>
      <c r="G347" s="16"/>
      <c r="H347" s="16"/>
      <c r="I347" s="16"/>
      <c r="J347" s="16"/>
      <c r="K347" s="182">
        <v>100</v>
      </c>
      <c r="L347" s="182">
        <v>0</v>
      </c>
      <c r="M347" s="182">
        <f t="shared" si="166"/>
        <v>100</v>
      </c>
      <c r="N347" s="182">
        <f>M347*C2</f>
        <v>4</v>
      </c>
      <c r="O347" s="183">
        <f t="shared" si="173"/>
        <v>1.9</v>
      </c>
      <c r="P347" s="16"/>
      <c r="Q347" s="16"/>
      <c r="R347" s="183">
        <f t="shared" si="174"/>
        <v>94.1</v>
      </c>
      <c r="S347" s="183">
        <f t="shared" si="175"/>
        <v>94.1</v>
      </c>
      <c r="T347" s="16"/>
      <c r="U347" s="183">
        <f t="shared" si="176"/>
        <v>98.1</v>
      </c>
      <c r="V347" s="16"/>
      <c r="W347" s="166"/>
      <c r="X347" s="166"/>
      <c r="Y347" s="166"/>
      <c r="Z347" s="166"/>
      <c r="AA347" s="166"/>
      <c r="AB347" s="166"/>
      <c r="AC347" s="166"/>
      <c r="AD347" s="166"/>
      <c r="AE347" s="166"/>
      <c r="AF347" s="166"/>
      <c r="AG347" s="166"/>
      <c r="AH347" s="166"/>
      <c r="AI347" s="166"/>
      <c r="AJ347" s="166"/>
      <c r="AK347" s="166"/>
      <c r="AL347" s="166"/>
      <c r="AM347" s="166"/>
      <c r="AN347" s="166"/>
      <c r="AO347" s="166"/>
      <c r="AP347" s="166"/>
      <c r="AQ347" s="166"/>
      <c r="AR347" s="166"/>
    </row>
    <row r="348" customHeight="1" spans="1:44">
      <c r="A348" s="166"/>
      <c r="B348" s="229">
        <v>2470</v>
      </c>
      <c r="C348" s="229" t="s">
        <v>16</v>
      </c>
      <c r="D348" s="229" t="s">
        <v>4</v>
      </c>
      <c r="E348" s="229">
        <v>3</v>
      </c>
      <c r="F348" s="229" t="s">
        <v>3</v>
      </c>
      <c r="G348" s="230">
        <v>45896</v>
      </c>
      <c r="H348" s="229" t="s">
        <v>6</v>
      </c>
      <c r="I348" s="229" t="s">
        <v>108</v>
      </c>
      <c r="J348" s="229">
        <v>127</v>
      </c>
      <c r="K348" s="247">
        <v>432</v>
      </c>
      <c r="L348" s="247">
        <v>0</v>
      </c>
      <c r="M348" s="247">
        <f t="shared" si="166"/>
        <v>432</v>
      </c>
      <c r="N348" s="247">
        <v>0</v>
      </c>
      <c r="O348" s="248">
        <v>0</v>
      </c>
      <c r="P348" s="249" t="s">
        <v>6</v>
      </c>
      <c r="Q348" s="249" t="s">
        <v>6</v>
      </c>
      <c r="R348" s="248">
        <v>0</v>
      </c>
      <c r="S348" s="248">
        <v>0</v>
      </c>
      <c r="T348" s="249" t="s">
        <v>6</v>
      </c>
      <c r="U348" s="248">
        <v>0</v>
      </c>
      <c r="V348" s="229" t="s">
        <v>167</v>
      </c>
      <c r="W348" s="166"/>
      <c r="X348" s="166"/>
      <c r="Y348" s="166"/>
      <c r="Z348" s="166"/>
      <c r="AA348" s="166"/>
      <c r="AB348" s="166"/>
      <c r="AC348" s="166"/>
      <c r="AD348" s="166"/>
      <c r="AE348" s="166"/>
      <c r="AF348" s="166"/>
      <c r="AG348" s="166"/>
      <c r="AH348" s="166"/>
      <c r="AI348" s="166"/>
      <c r="AJ348" s="166"/>
      <c r="AK348" s="166"/>
      <c r="AL348" s="166"/>
      <c r="AM348" s="166"/>
      <c r="AN348" s="166"/>
      <c r="AO348" s="166"/>
      <c r="AP348" s="166"/>
      <c r="AQ348" s="166"/>
      <c r="AR348" s="166"/>
    </row>
    <row r="349" customHeight="1" spans="1:44">
      <c r="A349" s="166"/>
      <c r="B349" s="176">
        <v>2470</v>
      </c>
      <c r="C349" s="176" t="s">
        <v>16</v>
      </c>
      <c r="D349" s="176" t="s">
        <v>0</v>
      </c>
      <c r="E349" s="176">
        <v>3</v>
      </c>
      <c r="F349" s="176" t="s">
        <v>1</v>
      </c>
      <c r="G349" s="177">
        <v>45896</v>
      </c>
      <c r="H349" s="176" t="s">
        <v>6</v>
      </c>
      <c r="I349" s="176" t="s">
        <v>108</v>
      </c>
      <c r="J349" s="176">
        <v>1222</v>
      </c>
      <c r="K349" s="182">
        <v>540</v>
      </c>
      <c r="L349" s="182">
        <v>108</v>
      </c>
      <c r="M349" s="182">
        <f t="shared" si="166"/>
        <v>432</v>
      </c>
      <c r="N349" s="182">
        <f>M349*C2</f>
        <v>17.28</v>
      </c>
      <c r="O349" s="183">
        <v>14.21</v>
      </c>
      <c r="P349" s="212" t="s">
        <v>9</v>
      </c>
      <c r="Q349" s="212" t="s">
        <v>62</v>
      </c>
      <c r="R349" s="183">
        <f>M349-N349-O349</f>
        <v>400.51</v>
      </c>
      <c r="S349" s="183">
        <f>R349/E349</f>
        <v>133.503333333333</v>
      </c>
      <c r="T349" s="212" t="s">
        <v>70</v>
      </c>
      <c r="U349" s="183">
        <f>M349-O349</f>
        <v>417.79</v>
      </c>
      <c r="V349" s="176" t="s">
        <v>168</v>
      </c>
      <c r="W349" s="166"/>
      <c r="X349" s="166"/>
      <c r="Y349" s="166"/>
      <c r="Z349" s="166"/>
      <c r="AA349" s="166"/>
      <c r="AB349" s="166"/>
      <c r="AC349" s="166"/>
      <c r="AD349" s="166"/>
      <c r="AE349" s="166"/>
      <c r="AF349" s="166"/>
      <c r="AG349" s="166"/>
      <c r="AH349" s="166"/>
      <c r="AI349" s="166"/>
      <c r="AJ349" s="166"/>
      <c r="AK349" s="166"/>
      <c r="AL349" s="166"/>
      <c r="AM349" s="166"/>
      <c r="AN349" s="166"/>
      <c r="AO349" s="166"/>
      <c r="AP349" s="166"/>
      <c r="AQ349" s="166"/>
      <c r="AR349" s="166"/>
    </row>
    <row r="350" customHeight="1" spans="1:44">
      <c r="A350" s="166"/>
      <c r="B350" s="229">
        <v>2470</v>
      </c>
      <c r="C350" s="229" t="s">
        <v>16</v>
      </c>
      <c r="D350" s="229" t="s">
        <v>4</v>
      </c>
      <c r="E350" s="229">
        <v>1</v>
      </c>
      <c r="F350" s="229" t="s">
        <v>3</v>
      </c>
      <c r="G350" s="230">
        <v>45896</v>
      </c>
      <c r="H350" s="229" t="s">
        <v>6</v>
      </c>
      <c r="I350" s="229" t="s">
        <v>54</v>
      </c>
      <c r="J350" s="229">
        <v>128</v>
      </c>
      <c r="K350" s="247">
        <v>100</v>
      </c>
      <c r="L350" s="247">
        <v>0</v>
      </c>
      <c r="M350" s="247">
        <f t="shared" si="166"/>
        <v>100</v>
      </c>
      <c r="N350" s="247">
        <v>0</v>
      </c>
      <c r="O350" s="248">
        <v>0</v>
      </c>
      <c r="P350" s="249" t="s">
        <v>6</v>
      </c>
      <c r="Q350" s="249" t="s">
        <v>6</v>
      </c>
      <c r="R350" s="248">
        <v>0</v>
      </c>
      <c r="S350" s="248">
        <v>0</v>
      </c>
      <c r="T350" s="249" t="s">
        <v>6</v>
      </c>
      <c r="U350" s="248">
        <v>0</v>
      </c>
      <c r="V350" s="229" t="s">
        <v>169</v>
      </c>
      <c r="W350" s="166"/>
      <c r="X350" s="166"/>
      <c r="Y350" s="166"/>
      <c r="Z350" s="166"/>
      <c r="AA350" s="166"/>
      <c r="AB350" s="166"/>
      <c r="AC350" s="166"/>
      <c r="AD350" s="166"/>
      <c r="AE350" s="166"/>
      <c r="AF350" s="166"/>
      <c r="AG350" s="166"/>
      <c r="AH350" s="166"/>
      <c r="AI350" s="166"/>
      <c r="AJ350" s="166"/>
      <c r="AK350" s="166"/>
      <c r="AL350" s="166"/>
      <c r="AM350" s="166"/>
      <c r="AN350" s="166"/>
      <c r="AO350" s="166"/>
      <c r="AP350" s="166"/>
      <c r="AQ350" s="166"/>
      <c r="AR350" s="166"/>
    </row>
    <row r="351" customHeight="1" spans="1:44">
      <c r="A351" s="166"/>
      <c r="B351" s="176">
        <v>2470</v>
      </c>
      <c r="C351" s="176" t="s">
        <v>16</v>
      </c>
      <c r="D351" s="176" t="s">
        <v>0</v>
      </c>
      <c r="E351" s="176">
        <v>1</v>
      </c>
      <c r="F351" s="176" t="s">
        <v>1</v>
      </c>
      <c r="G351" s="177">
        <v>45896</v>
      </c>
      <c r="H351" s="176" t="s">
        <v>6</v>
      </c>
      <c r="I351" s="176" t="s">
        <v>54</v>
      </c>
      <c r="J351" s="176">
        <v>1223</v>
      </c>
      <c r="K351" s="182">
        <v>180</v>
      </c>
      <c r="L351" s="182">
        <v>80</v>
      </c>
      <c r="M351" s="182">
        <f t="shared" si="166"/>
        <v>100</v>
      </c>
      <c r="N351" s="182">
        <f>M351*C2</f>
        <v>4</v>
      </c>
      <c r="O351" s="183">
        <f>M351*3.29%</f>
        <v>3.29</v>
      </c>
      <c r="P351" s="212" t="s">
        <v>9</v>
      </c>
      <c r="Q351" s="212" t="s">
        <v>62</v>
      </c>
      <c r="R351" s="183">
        <f>M351-N351-O351</f>
        <v>92.71</v>
      </c>
      <c r="S351" s="183">
        <f>R351/E351</f>
        <v>92.71</v>
      </c>
      <c r="T351" s="212" t="s">
        <v>70</v>
      </c>
      <c r="U351" s="183">
        <f>M351-O351</f>
        <v>96.71</v>
      </c>
      <c r="V351" s="176" t="s">
        <v>170</v>
      </c>
      <c r="W351" s="166"/>
      <c r="X351" s="166"/>
      <c r="Y351" s="166"/>
      <c r="Z351" s="166"/>
      <c r="AA351" s="166"/>
      <c r="AB351" s="166"/>
      <c r="AC351" s="166"/>
      <c r="AD351" s="166"/>
      <c r="AE351" s="166"/>
      <c r="AF351" s="166"/>
      <c r="AG351" s="166"/>
      <c r="AH351" s="166"/>
      <c r="AI351" s="166"/>
      <c r="AJ351" s="166"/>
      <c r="AK351" s="166"/>
      <c r="AL351" s="166"/>
      <c r="AM351" s="166"/>
      <c r="AN351" s="166"/>
      <c r="AO351" s="166"/>
      <c r="AP351" s="166"/>
      <c r="AQ351" s="166"/>
      <c r="AR351" s="166"/>
    </row>
    <row r="352" customHeight="1" spans="1:44">
      <c r="A352" s="166"/>
      <c r="B352" s="229">
        <v>2470</v>
      </c>
      <c r="C352" s="229" t="s">
        <v>16</v>
      </c>
      <c r="D352" s="229" t="s">
        <v>4</v>
      </c>
      <c r="E352" s="229">
        <v>1</v>
      </c>
      <c r="F352" s="229" t="s">
        <v>3</v>
      </c>
      <c r="G352" s="230">
        <v>45896</v>
      </c>
      <c r="H352" s="229" t="s">
        <v>6</v>
      </c>
      <c r="I352" s="229" t="s">
        <v>121</v>
      </c>
      <c r="J352" s="229">
        <v>129</v>
      </c>
      <c r="K352" s="247">
        <v>144</v>
      </c>
      <c r="L352" s="247">
        <v>0</v>
      </c>
      <c r="M352" s="247">
        <f t="shared" si="166"/>
        <v>144</v>
      </c>
      <c r="N352" s="247">
        <v>0</v>
      </c>
      <c r="O352" s="248">
        <v>0</v>
      </c>
      <c r="P352" s="249" t="s">
        <v>6</v>
      </c>
      <c r="Q352" s="249" t="s">
        <v>6</v>
      </c>
      <c r="R352" s="248">
        <v>0</v>
      </c>
      <c r="S352" s="248">
        <v>0</v>
      </c>
      <c r="T352" s="249" t="s">
        <v>6</v>
      </c>
      <c r="U352" s="248">
        <v>0</v>
      </c>
      <c r="V352" s="229" t="s">
        <v>171</v>
      </c>
      <c r="W352" s="166"/>
      <c r="X352" s="166"/>
      <c r="Y352" s="166"/>
      <c r="Z352" s="166"/>
      <c r="AA352" s="166"/>
      <c r="AB352" s="166"/>
      <c r="AC352" s="166"/>
      <c r="AD352" s="166"/>
      <c r="AE352" s="166"/>
      <c r="AF352" s="166"/>
      <c r="AG352" s="166"/>
      <c r="AH352" s="166"/>
      <c r="AI352" s="166"/>
      <c r="AJ352" s="166"/>
      <c r="AK352" s="166"/>
      <c r="AL352" s="166"/>
      <c r="AM352" s="166"/>
      <c r="AN352" s="166"/>
      <c r="AO352" s="166"/>
      <c r="AP352" s="166"/>
      <c r="AQ352" s="166"/>
      <c r="AR352" s="166"/>
    </row>
    <row r="353" customHeight="1" spans="1:44">
      <c r="A353" s="166"/>
      <c r="B353" s="206">
        <v>2470</v>
      </c>
      <c r="C353" s="206" t="s">
        <v>16</v>
      </c>
      <c r="D353" s="206" t="s">
        <v>0</v>
      </c>
      <c r="E353" s="206">
        <v>1</v>
      </c>
      <c r="F353" s="206" t="s">
        <v>1</v>
      </c>
      <c r="G353" s="207">
        <v>45896</v>
      </c>
      <c r="H353" s="206" t="s">
        <v>6</v>
      </c>
      <c r="I353" s="206" t="s">
        <v>54</v>
      </c>
      <c r="J353" s="206">
        <v>1224</v>
      </c>
      <c r="K353" s="208">
        <v>180</v>
      </c>
      <c r="L353" s="208">
        <v>36</v>
      </c>
      <c r="M353" s="208">
        <f t="shared" si="166"/>
        <v>144</v>
      </c>
      <c r="N353" s="208">
        <f>M353*C2</f>
        <v>5.76</v>
      </c>
      <c r="O353" s="209">
        <f>M353*3.78%</f>
        <v>5.4432</v>
      </c>
      <c r="P353" s="213" t="s">
        <v>10</v>
      </c>
      <c r="Q353" s="213" t="s">
        <v>55</v>
      </c>
      <c r="R353" s="209">
        <f>M353-N353-O353</f>
        <v>132.7968</v>
      </c>
      <c r="S353" s="209">
        <f>R353/E353</f>
        <v>132.7968</v>
      </c>
      <c r="T353" s="213" t="s">
        <v>70</v>
      </c>
      <c r="U353" s="209">
        <f>M353/2-O353/2</f>
        <v>69.2784</v>
      </c>
      <c r="V353" s="206" t="s">
        <v>172</v>
      </c>
      <c r="W353" s="166"/>
      <c r="X353" s="166"/>
      <c r="Y353" s="166"/>
      <c r="Z353" s="166"/>
      <c r="AA353" s="166"/>
      <c r="AB353" s="166"/>
      <c r="AC353" s="166"/>
      <c r="AD353" s="166"/>
      <c r="AE353" s="166"/>
      <c r="AF353" s="166"/>
      <c r="AG353" s="166"/>
      <c r="AH353" s="166"/>
      <c r="AI353" s="166"/>
      <c r="AJ353" s="166"/>
      <c r="AK353" s="166"/>
      <c r="AL353" s="166"/>
      <c r="AM353" s="166"/>
      <c r="AN353" s="166"/>
      <c r="AO353" s="166"/>
      <c r="AP353" s="166"/>
      <c r="AQ353" s="166"/>
      <c r="AR353" s="166"/>
    </row>
    <row r="354" customHeight="1" spans="1:44">
      <c r="A354" s="16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266" t="s">
        <v>71</v>
      </c>
      <c r="U354" s="184">
        <f>U353</f>
        <v>69.2784</v>
      </c>
      <c r="V354" s="16"/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  <c r="AH354" s="166"/>
      <c r="AI354" s="166"/>
      <c r="AJ354" s="166"/>
      <c r="AK354" s="166"/>
      <c r="AL354" s="166"/>
      <c r="AM354" s="166"/>
      <c r="AN354" s="166"/>
      <c r="AO354" s="166"/>
      <c r="AP354" s="166"/>
      <c r="AQ354" s="166"/>
      <c r="AR354" s="166"/>
    </row>
    <row r="355" customHeight="1" spans="1:44">
      <c r="A355" s="166"/>
      <c r="B355" s="229">
        <v>2470</v>
      </c>
      <c r="C355" s="229" t="s">
        <v>16</v>
      </c>
      <c r="D355" s="229" t="s">
        <v>4</v>
      </c>
      <c r="E355" s="229">
        <v>3</v>
      </c>
      <c r="F355" s="229" t="s">
        <v>3</v>
      </c>
      <c r="G355" s="230">
        <v>45897</v>
      </c>
      <c r="H355" s="229" t="s">
        <v>6</v>
      </c>
      <c r="I355" s="229" t="s">
        <v>54</v>
      </c>
      <c r="J355" s="229">
        <v>130</v>
      </c>
      <c r="K355" s="247">
        <v>540</v>
      </c>
      <c r="L355" s="247">
        <v>0</v>
      </c>
      <c r="M355" s="247">
        <f t="shared" ref="M355:M357" si="177">K355-L355</f>
        <v>540</v>
      </c>
      <c r="N355" s="247">
        <v>0</v>
      </c>
      <c r="O355" s="248">
        <v>0</v>
      </c>
      <c r="P355" s="249" t="s">
        <v>6</v>
      </c>
      <c r="Q355" s="249" t="s">
        <v>6</v>
      </c>
      <c r="R355" s="248">
        <v>0</v>
      </c>
      <c r="S355" s="248">
        <v>0</v>
      </c>
      <c r="T355" s="249" t="s">
        <v>6</v>
      </c>
      <c r="U355" s="248">
        <v>0</v>
      </c>
      <c r="V355" s="229" t="s">
        <v>173</v>
      </c>
      <c r="W355" s="166"/>
      <c r="X355" s="166"/>
      <c r="Y355" s="166"/>
      <c r="Z355" s="166"/>
      <c r="AA355" s="166"/>
      <c r="AB355" s="166"/>
      <c r="AC355" s="166"/>
      <c r="AD355" s="166"/>
      <c r="AE355" s="166"/>
      <c r="AF355" s="166"/>
      <c r="AG355" s="166"/>
      <c r="AH355" s="166"/>
      <c r="AI355" s="166"/>
      <c r="AJ355" s="166"/>
      <c r="AK355" s="166"/>
      <c r="AL355" s="166"/>
      <c r="AM355" s="166"/>
      <c r="AN355" s="166"/>
      <c r="AO355" s="166"/>
      <c r="AP355" s="166"/>
      <c r="AQ355" s="166"/>
      <c r="AR355" s="166"/>
    </row>
    <row r="356" customHeight="1" spans="1:44">
      <c r="A356" s="166"/>
      <c r="B356" s="229">
        <v>3049</v>
      </c>
      <c r="C356" s="229" t="s">
        <v>99</v>
      </c>
      <c r="D356" s="229" t="s">
        <v>4</v>
      </c>
      <c r="E356" s="229">
        <v>5</v>
      </c>
      <c r="F356" s="229" t="s">
        <v>3</v>
      </c>
      <c r="G356" s="230">
        <v>45897</v>
      </c>
      <c r="H356" s="229" t="s">
        <v>6</v>
      </c>
      <c r="I356" s="229" t="s">
        <v>54</v>
      </c>
      <c r="J356" s="229">
        <v>131</v>
      </c>
      <c r="K356" s="247">
        <v>900</v>
      </c>
      <c r="L356" s="247">
        <v>0</v>
      </c>
      <c r="M356" s="247">
        <f t="shared" si="177"/>
        <v>900</v>
      </c>
      <c r="N356" s="247">
        <v>0</v>
      </c>
      <c r="O356" s="248">
        <v>0</v>
      </c>
      <c r="P356" s="249" t="s">
        <v>6</v>
      </c>
      <c r="Q356" s="249" t="s">
        <v>6</v>
      </c>
      <c r="R356" s="248">
        <v>0</v>
      </c>
      <c r="S356" s="248">
        <v>0</v>
      </c>
      <c r="T356" s="249" t="s">
        <v>6</v>
      </c>
      <c r="U356" s="248">
        <v>0</v>
      </c>
      <c r="V356" s="229" t="s">
        <v>174</v>
      </c>
      <c r="W356" s="166"/>
      <c r="X356" s="166"/>
      <c r="Y356" s="166"/>
      <c r="Z356" s="166"/>
      <c r="AA356" s="166"/>
      <c r="AB356" s="166"/>
      <c r="AC356" s="166"/>
      <c r="AD356" s="166"/>
      <c r="AE356" s="166"/>
      <c r="AF356" s="166"/>
      <c r="AG356" s="166"/>
      <c r="AH356" s="166"/>
      <c r="AI356" s="166"/>
      <c r="AJ356" s="166"/>
      <c r="AK356" s="166"/>
      <c r="AL356" s="166"/>
      <c r="AM356" s="166"/>
      <c r="AN356" s="166"/>
      <c r="AO356" s="166"/>
      <c r="AP356" s="166"/>
      <c r="AQ356" s="166"/>
      <c r="AR356" s="166"/>
    </row>
    <row r="357" customHeight="1" spans="1:44">
      <c r="A357" s="82"/>
      <c r="B357" s="180">
        <v>3006</v>
      </c>
      <c r="C357" s="180" t="s">
        <v>25</v>
      </c>
      <c r="D357" s="180" t="s">
        <v>0</v>
      </c>
      <c r="E357" s="180">
        <v>1</v>
      </c>
      <c r="F357" s="180" t="s">
        <v>1</v>
      </c>
      <c r="G357" s="181">
        <v>45898</v>
      </c>
      <c r="H357" s="180" t="s">
        <v>75</v>
      </c>
      <c r="I357" s="180" t="s">
        <v>54</v>
      </c>
      <c r="J357" s="180">
        <v>1225</v>
      </c>
      <c r="K357" s="188">
        <v>170</v>
      </c>
      <c r="L357" s="188">
        <v>0</v>
      </c>
      <c r="M357" s="188">
        <f t="shared" si="177"/>
        <v>170</v>
      </c>
      <c r="N357" s="188">
        <f>M357*C2</f>
        <v>6.8</v>
      </c>
      <c r="O357" s="189">
        <f>M357*3.78%</f>
        <v>6.426</v>
      </c>
      <c r="P357" s="252" t="s">
        <v>10</v>
      </c>
      <c r="Q357" s="252" t="s">
        <v>62</v>
      </c>
      <c r="R357" s="189">
        <f>M357-N357-O357</f>
        <v>156.774</v>
      </c>
      <c r="S357" s="189">
        <f>R357/E357</f>
        <v>156.774</v>
      </c>
      <c r="T357" s="252" t="s">
        <v>70</v>
      </c>
      <c r="U357" s="189">
        <f>M357/2-O357/2</f>
        <v>81.787</v>
      </c>
      <c r="V357" s="180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  <c r="AM357" s="82"/>
      <c r="AN357" s="82"/>
      <c r="AO357" s="82"/>
      <c r="AP357" s="82"/>
      <c r="AQ357" s="82"/>
      <c r="AR357" s="82"/>
    </row>
    <row r="358" customHeight="1" spans="1:44">
      <c r="A358" s="82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282" t="s">
        <v>71</v>
      </c>
      <c r="U358" s="187">
        <f>U357</f>
        <v>81.787</v>
      </c>
      <c r="V358" s="16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  <c r="AM358" s="82"/>
      <c r="AN358" s="82"/>
      <c r="AO358" s="82"/>
      <c r="AP358" s="82"/>
      <c r="AQ358" s="82"/>
      <c r="AR358" s="82"/>
    </row>
    <row r="359" customHeight="1" spans="1:44">
      <c r="A359" s="82"/>
      <c r="B359" s="180">
        <v>2470</v>
      </c>
      <c r="C359" s="180" t="s">
        <v>16</v>
      </c>
      <c r="D359" s="180" t="s">
        <v>0</v>
      </c>
      <c r="E359" s="180">
        <v>1</v>
      </c>
      <c r="F359" s="180" t="s">
        <v>1</v>
      </c>
      <c r="G359" s="181">
        <v>45898</v>
      </c>
      <c r="H359" s="180" t="s">
        <v>75</v>
      </c>
      <c r="I359" s="180" t="s">
        <v>54</v>
      </c>
      <c r="J359" s="180">
        <v>1225</v>
      </c>
      <c r="K359" s="188">
        <v>180</v>
      </c>
      <c r="L359" s="188">
        <v>0</v>
      </c>
      <c r="M359" s="188">
        <f>K359-L359</f>
        <v>180</v>
      </c>
      <c r="N359" s="188">
        <f>M359*C2</f>
        <v>7.2</v>
      </c>
      <c r="O359" s="189">
        <f>M359*3.78%</f>
        <v>6.804</v>
      </c>
      <c r="P359" s="252" t="s">
        <v>10</v>
      </c>
      <c r="Q359" s="252" t="s">
        <v>62</v>
      </c>
      <c r="R359" s="189">
        <f>M359-N359-O359</f>
        <v>165.996</v>
      </c>
      <c r="S359" s="189">
        <f>R359/E359</f>
        <v>165.996</v>
      </c>
      <c r="T359" s="252" t="s">
        <v>70</v>
      </c>
      <c r="U359" s="189">
        <f>M359/2-O359/2</f>
        <v>86.598</v>
      </c>
      <c r="V359" s="180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  <c r="AL359" s="82"/>
      <c r="AM359" s="82"/>
      <c r="AN359" s="82"/>
      <c r="AO359" s="82"/>
      <c r="AP359" s="82"/>
      <c r="AQ359" s="82"/>
      <c r="AR359" s="82"/>
    </row>
    <row r="360" customHeight="1" spans="1:44">
      <c r="A360" s="82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282" t="s">
        <v>71</v>
      </c>
      <c r="U360" s="187">
        <f>U359</f>
        <v>86.598</v>
      </c>
      <c r="V360" s="16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</row>
    <row r="361" customHeight="1" spans="1:44">
      <c r="A361" s="166"/>
      <c r="B361" s="231">
        <v>2470</v>
      </c>
      <c r="C361" s="231" t="s">
        <v>16</v>
      </c>
      <c r="D361" s="231" t="s">
        <v>0</v>
      </c>
      <c r="E361" s="231">
        <v>1</v>
      </c>
      <c r="F361" s="231" t="s">
        <v>1</v>
      </c>
      <c r="G361" s="232">
        <v>45899</v>
      </c>
      <c r="H361" s="231" t="s">
        <v>76</v>
      </c>
      <c r="I361" s="231" t="s">
        <v>54</v>
      </c>
      <c r="J361" s="231">
        <v>1226</v>
      </c>
      <c r="K361" s="250">
        <v>180</v>
      </c>
      <c r="L361" s="250">
        <v>0</v>
      </c>
      <c r="M361" s="250">
        <f t="shared" ref="M361:M365" si="178">K361-L361</f>
        <v>180</v>
      </c>
      <c r="N361" s="250">
        <f>M361*C2</f>
        <v>7.2</v>
      </c>
      <c r="O361" s="277">
        <f>M361*1.9%</f>
        <v>3.42</v>
      </c>
      <c r="P361" s="314" t="s">
        <v>7</v>
      </c>
      <c r="Q361" s="314" t="s">
        <v>62</v>
      </c>
      <c r="R361" s="277">
        <f>M361-N361-O361</f>
        <v>169.38</v>
      </c>
      <c r="S361" s="277">
        <f t="shared" ref="S361:S365" si="179">R361/E361</f>
        <v>169.38</v>
      </c>
      <c r="T361" s="314" t="s">
        <v>70</v>
      </c>
      <c r="U361" s="277">
        <f t="shared" ref="U361:U364" si="180">M361-O361</f>
        <v>176.58</v>
      </c>
      <c r="V361" s="231"/>
      <c r="W361" s="166"/>
      <c r="X361" s="166"/>
      <c r="Y361" s="166"/>
      <c r="Z361" s="166"/>
      <c r="AA361" s="166"/>
      <c r="AB361" s="166"/>
      <c r="AC361" s="166"/>
      <c r="AD361" s="166"/>
      <c r="AE361" s="166"/>
      <c r="AF361" s="166"/>
      <c r="AG361" s="166"/>
      <c r="AH361" s="166"/>
      <c r="AI361" s="166"/>
      <c r="AJ361" s="166"/>
      <c r="AK361" s="166"/>
      <c r="AL361" s="166"/>
      <c r="AM361" s="166"/>
      <c r="AN361" s="166"/>
      <c r="AO361" s="166"/>
      <c r="AP361" s="166"/>
      <c r="AQ361" s="166"/>
      <c r="AR361" s="166"/>
    </row>
    <row r="362" customHeight="1" spans="1:44">
      <c r="A362" s="166"/>
      <c r="B362" s="231">
        <v>2470</v>
      </c>
      <c r="C362" s="231" t="s">
        <v>16</v>
      </c>
      <c r="D362" s="231" t="s">
        <v>0</v>
      </c>
      <c r="E362" s="231">
        <v>1</v>
      </c>
      <c r="F362" s="231" t="s">
        <v>1</v>
      </c>
      <c r="G362" s="232">
        <v>45899</v>
      </c>
      <c r="H362" s="231" t="s">
        <v>76</v>
      </c>
      <c r="I362" s="231" t="s">
        <v>54</v>
      </c>
      <c r="J362" s="231">
        <v>1227</v>
      </c>
      <c r="K362" s="250">
        <v>180</v>
      </c>
      <c r="L362" s="250">
        <v>0</v>
      </c>
      <c r="M362" s="250">
        <f t="shared" si="178"/>
        <v>180</v>
      </c>
      <c r="N362" s="250">
        <f>M362*C2</f>
        <v>7.2</v>
      </c>
      <c r="O362" s="277">
        <v>0</v>
      </c>
      <c r="P362" s="314" t="s">
        <v>5</v>
      </c>
      <c r="Q362" s="314" t="s">
        <v>6</v>
      </c>
      <c r="R362" s="277">
        <f>M362-N362-O34</f>
        <v>172.8</v>
      </c>
      <c r="S362" s="277">
        <f t="shared" si="179"/>
        <v>172.8</v>
      </c>
      <c r="T362" s="314" t="s">
        <v>70</v>
      </c>
      <c r="U362" s="277">
        <f t="shared" si="180"/>
        <v>180</v>
      </c>
      <c r="V362" s="231"/>
      <c r="W362" s="166"/>
      <c r="X362" s="166"/>
      <c r="Y362" s="166"/>
      <c r="Z362" s="166"/>
      <c r="AA362" s="166"/>
      <c r="AB362" s="166"/>
      <c r="AC362" s="166"/>
      <c r="AD362" s="166"/>
      <c r="AE362" s="166"/>
      <c r="AF362" s="166"/>
      <c r="AG362" s="166"/>
      <c r="AH362" s="166"/>
      <c r="AI362" s="166"/>
      <c r="AJ362" s="166"/>
      <c r="AK362" s="166"/>
      <c r="AL362" s="166"/>
      <c r="AM362" s="166"/>
      <c r="AN362" s="166"/>
      <c r="AO362" s="166"/>
      <c r="AP362" s="166"/>
      <c r="AQ362" s="166"/>
      <c r="AR362" s="166"/>
    </row>
    <row r="363" customHeight="1" spans="1:44">
      <c r="A363" s="166"/>
      <c r="B363" s="231">
        <v>2470</v>
      </c>
      <c r="C363" s="231" t="s">
        <v>16</v>
      </c>
      <c r="D363" s="231" t="s">
        <v>0</v>
      </c>
      <c r="E363" s="231">
        <v>1</v>
      </c>
      <c r="F363" s="231" t="s">
        <v>1</v>
      </c>
      <c r="G363" s="232">
        <v>45900</v>
      </c>
      <c r="H363" s="231" t="s">
        <v>92</v>
      </c>
      <c r="I363" s="231" t="s">
        <v>54</v>
      </c>
      <c r="J363" s="231">
        <v>1228</v>
      </c>
      <c r="K363" s="250">
        <v>180</v>
      </c>
      <c r="L363" s="250">
        <v>0</v>
      </c>
      <c r="M363" s="250">
        <f t="shared" si="178"/>
        <v>180</v>
      </c>
      <c r="N363" s="250">
        <f>M363*C2</f>
        <v>7.2</v>
      </c>
      <c r="O363" s="277">
        <v>0</v>
      </c>
      <c r="P363" s="314" t="s">
        <v>5</v>
      </c>
      <c r="Q363" s="314" t="s">
        <v>6</v>
      </c>
      <c r="R363" s="277">
        <f t="shared" ref="R363:R365" si="181">M363-N363-O363</f>
        <v>172.8</v>
      </c>
      <c r="S363" s="277">
        <f t="shared" si="179"/>
        <v>172.8</v>
      </c>
      <c r="T363" s="314" t="s">
        <v>70</v>
      </c>
      <c r="U363" s="277">
        <f t="shared" si="180"/>
        <v>180</v>
      </c>
      <c r="V363" s="231"/>
      <c r="W363" s="166"/>
      <c r="X363" s="166"/>
      <c r="Y363" s="166"/>
      <c r="Z363" s="166"/>
      <c r="AA363" s="166"/>
      <c r="AB363" s="166"/>
      <c r="AC363" s="166"/>
      <c r="AD363" s="166"/>
      <c r="AE363" s="166"/>
      <c r="AF363" s="166"/>
      <c r="AG363" s="166"/>
      <c r="AH363" s="166"/>
      <c r="AI363" s="166"/>
      <c r="AJ363" s="166"/>
      <c r="AK363" s="166"/>
      <c r="AL363" s="166"/>
      <c r="AM363" s="166"/>
      <c r="AN363" s="166"/>
      <c r="AO363" s="166"/>
      <c r="AP363" s="166"/>
      <c r="AQ363" s="166"/>
      <c r="AR363" s="166"/>
    </row>
    <row r="364" customHeight="1" spans="1:44">
      <c r="A364" s="166"/>
      <c r="B364" s="235">
        <v>3049</v>
      </c>
      <c r="C364" s="235" t="s">
        <v>99</v>
      </c>
      <c r="D364" s="235" t="s">
        <v>0</v>
      </c>
      <c r="E364" s="235">
        <v>1</v>
      </c>
      <c r="F364" s="235" t="s">
        <v>1</v>
      </c>
      <c r="G364" s="236">
        <v>45902</v>
      </c>
      <c r="H364" s="235" t="str">
        <f t="shared" ref="H364:H365" si="182">TEXT(G364,"dddd")</f>
        <v>terça-feira</v>
      </c>
      <c r="I364" s="235" t="s">
        <v>54</v>
      </c>
      <c r="J364" s="235">
        <v>1229</v>
      </c>
      <c r="K364" s="256">
        <v>180</v>
      </c>
      <c r="L364" s="256">
        <v>0</v>
      </c>
      <c r="M364" s="256">
        <f t="shared" si="178"/>
        <v>180</v>
      </c>
      <c r="N364" s="256">
        <f>M364*C2</f>
        <v>7.2</v>
      </c>
      <c r="O364" s="257">
        <f>VLOOKUP(P364,FÓRMULAS!$A$8:$B$11,2,FALSE)</f>
        <v>0</v>
      </c>
      <c r="P364" s="258" t="s">
        <v>5</v>
      </c>
      <c r="Q364" s="258" t="str">
        <f>VLOOKUP(P364,FÓRMULAS!$A$7:$B$7,2,FALSE)</f>
        <v>-</v>
      </c>
      <c r="R364" s="257">
        <f t="shared" si="181"/>
        <v>172.8</v>
      </c>
      <c r="S364" s="257">
        <f t="shared" si="179"/>
        <v>172.8</v>
      </c>
      <c r="T364" s="258" t="s">
        <v>70</v>
      </c>
      <c r="U364" s="257">
        <f t="shared" si="180"/>
        <v>180</v>
      </c>
      <c r="V364" s="235"/>
      <c r="W364" s="166"/>
      <c r="X364" s="166"/>
      <c r="Y364" s="166"/>
      <c r="Z364" s="166"/>
      <c r="AA364" s="166"/>
      <c r="AB364" s="166"/>
      <c r="AC364" s="166"/>
      <c r="AD364" s="166"/>
      <c r="AE364" s="166"/>
      <c r="AF364" s="166"/>
      <c r="AG364" s="166"/>
      <c r="AH364" s="166"/>
      <c r="AI364" s="166"/>
      <c r="AJ364" s="166"/>
      <c r="AK364" s="166"/>
      <c r="AL364" s="166"/>
      <c r="AM364" s="166"/>
      <c r="AN364" s="166"/>
      <c r="AO364" s="166"/>
      <c r="AP364" s="166"/>
      <c r="AQ364" s="166"/>
      <c r="AR364" s="166"/>
    </row>
    <row r="365" customHeight="1" spans="1:44">
      <c r="A365" s="166"/>
      <c r="B365" s="233">
        <v>2470</v>
      </c>
      <c r="C365" s="233" t="str">
        <f>VLOOKUP(B365,ITENS!$B$3:$C$15,2,FALSE)</f>
        <v>CAMISA CHAMPIONS</v>
      </c>
      <c r="D365" s="233" t="s">
        <v>0</v>
      </c>
      <c r="E365" s="233">
        <v>2</v>
      </c>
      <c r="F365" s="233" t="str">
        <f>VLOOKUP(D365,FÓRMULAS!$A$2:$B$5,2,FALSE)</f>
        <v>SAÍDA</v>
      </c>
      <c r="G365" s="234">
        <v>45902</v>
      </c>
      <c r="H365" s="233" t="str">
        <f t="shared" si="182"/>
        <v>terça-feira</v>
      </c>
      <c r="I365" s="233" t="s">
        <v>139</v>
      </c>
      <c r="J365" s="233">
        <v>1230</v>
      </c>
      <c r="K365" s="253">
        <v>360</v>
      </c>
      <c r="L365" s="253">
        <v>72</v>
      </c>
      <c r="M365" s="253">
        <f t="shared" si="178"/>
        <v>288</v>
      </c>
      <c r="N365" s="253">
        <f>M365*C2</f>
        <v>11.52</v>
      </c>
      <c r="O365" s="254">
        <f>M365*3.78%</f>
        <v>10.8864</v>
      </c>
      <c r="P365" s="255" t="s">
        <v>10</v>
      </c>
      <c r="Q365" s="255" t="s">
        <v>62</v>
      </c>
      <c r="R365" s="254">
        <f t="shared" si="181"/>
        <v>265.5936</v>
      </c>
      <c r="S365" s="284">
        <f t="shared" si="179"/>
        <v>132.7968</v>
      </c>
      <c r="T365" s="255" t="s">
        <v>71</v>
      </c>
      <c r="U365" s="254">
        <f>M365/2-O365/2</f>
        <v>138.5568</v>
      </c>
      <c r="V365" s="28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6"/>
      <c r="AG365" s="166"/>
      <c r="AH365" s="166"/>
      <c r="AI365" s="166"/>
      <c r="AJ365" s="166"/>
      <c r="AK365" s="166"/>
      <c r="AL365" s="166"/>
      <c r="AM365" s="166"/>
      <c r="AN365" s="166"/>
      <c r="AO365" s="166"/>
      <c r="AP365" s="166"/>
      <c r="AQ365" s="166"/>
      <c r="AR365" s="166"/>
    </row>
    <row r="366" customHeight="1" spans="1:44">
      <c r="A366" s="16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200"/>
      <c r="T366" s="287" t="s">
        <v>72</v>
      </c>
      <c r="U366" s="289">
        <f>U365</f>
        <v>138.5568</v>
      </c>
      <c r="V366" s="201"/>
      <c r="W366" s="166"/>
      <c r="X366" s="166"/>
      <c r="Y366" s="166"/>
      <c r="Z366" s="166"/>
      <c r="AA366" s="166"/>
      <c r="AB366" s="166"/>
      <c r="AC366" s="166"/>
      <c r="AD366" s="166"/>
      <c r="AE366" s="166"/>
      <c r="AF366" s="166"/>
      <c r="AG366" s="166"/>
      <c r="AH366" s="166"/>
      <c r="AI366" s="166"/>
      <c r="AJ366" s="166"/>
      <c r="AK366" s="166"/>
      <c r="AL366" s="166"/>
      <c r="AM366" s="166"/>
      <c r="AN366" s="166"/>
      <c r="AO366" s="166"/>
      <c r="AP366" s="166"/>
      <c r="AQ366" s="166"/>
      <c r="AR366" s="166"/>
    </row>
    <row r="367" customHeight="1" spans="1:44">
      <c r="A367" s="166"/>
      <c r="B367" s="235">
        <v>3049</v>
      </c>
      <c r="C367" s="235" t="e">
        <f>VLOOKUP(B367,ITENS!$B$3:$C$15,2,FALSE)</f>
        <v>#N/A</v>
      </c>
      <c r="D367" s="235" t="s">
        <v>0</v>
      </c>
      <c r="E367" s="235">
        <v>1</v>
      </c>
      <c r="F367" s="235" t="str">
        <f>VLOOKUP(D367,FÓRMULAS!$A$2:$B$5,2,FALSE)</f>
        <v>SAÍDA</v>
      </c>
      <c r="G367" s="236">
        <v>45902</v>
      </c>
      <c r="H367" s="235" t="str">
        <f t="shared" ref="H367:H368" si="183">TEXT(G367,"dddd")</f>
        <v>terça-feira</v>
      </c>
      <c r="I367" s="235" t="s">
        <v>139</v>
      </c>
      <c r="J367" s="235">
        <v>1231</v>
      </c>
      <c r="K367" s="256">
        <v>180</v>
      </c>
      <c r="L367" s="256">
        <v>0</v>
      </c>
      <c r="M367" s="256">
        <f t="shared" ref="M367:M368" si="184">K367-L367</f>
        <v>180</v>
      </c>
      <c r="N367" s="256">
        <f>M367*C2</f>
        <v>7.2</v>
      </c>
      <c r="O367" s="257">
        <f>M367*1.9%</f>
        <v>3.42</v>
      </c>
      <c r="P367" s="258" t="s">
        <v>7</v>
      </c>
      <c r="Q367" s="258" t="s">
        <v>55</v>
      </c>
      <c r="R367" s="257">
        <f t="shared" ref="R367:R368" si="185">M367-N367-O367</f>
        <v>169.38</v>
      </c>
      <c r="S367" s="257">
        <f t="shared" ref="S367:S368" si="186">R367/E367</f>
        <v>169.38</v>
      </c>
      <c r="T367" s="258" t="s">
        <v>70</v>
      </c>
      <c r="U367" s="257">
        <f>M367-O367</f>
        <v>176.58</v>
      </c>
      <c r="V367" s="235"/>
      <c r="W367" s="166"/>
      <c r="X367" s="166"/>
      <c r="Y367" s="166"/>
      <c r="Z367" s="166"/>
      <c r="AA367" s="166"/>
      <c r="AB367" s="166"/>
      <c r="AC367" s="166"/>
      <c r="AD367" s="166"/>
      <c r="AE367" s="166"/>
      <c r="AF367" s="166"/>
      <c r="AG367" s="166"/>
      <c r="AH367" s="166"/>
      <c r="AI367" s="166"/>
      <c r="AJ367" s="166"/>
      <c r="AK367" s="166"/>
      <c r="AL367" s="166"/>
      <c r="AM367" s="166"/>
      <c r="AN367" s="166"/>
      <c r="AO367" s="166"/>
      <c r="AP367" s="166"/>
      <c r="AQ367" s="166"/>
      <c r="AR367" s="166"/>
    </row>
    <row r="368" customHeight="1" spans="1:44">
      <c r="A368" s="166"/>
      <c r="B368" s="233">
        <v>2470</v>
      </c>
      <c r="C368" s="233" t="str">
        <f>VLOOKUP(B368,ITENS!$B$3:$C$15,2,FALSE)</f>
        <v>CAMISA CHAMPIONS</v>
      </c>
      <c r="D368" s="233" t="s">
        <v>0</v>
      </c>
      <c r="E368" s="233">
        <v>1</v>
      </c>
      <c r="F368" s="233" t="str">
        <f>VLOOKUP(D368,FÓRMULAS!$A$2:$B$5,2,FALSE)</f>
        <v>SAÍDA</v>
      </c>
      <c r="G368" s="234">
        <v>45903</v>
      </c>
      <c r="H368" s="233" t="str">
        <f t="shared" si="183"/>
        <v>quarta-feira</v>
      </c>
      <c r="I368" s="233" t="s">
        <v>54</v>
      </c>
      <c r="J368" s="233">
        <v>1232</v>
      </c>
      <c r="K368" s="253">
        <v>180</v>
      </c>
      <c r="L368" s="253">
        <v>0</v>
      </c>
      <c r="M368" s="253">
        <f t="shared" si="184"/>
        <v>180</v>
      </c>
      <c r="N368" s="253">
        <f>M368*$C$2</f>
        <v>7.2</v>
      </c>
      <c r="O368" s="254">
        <f>M368*3.83%</f>
        <v>6.894</v>
      </c>
      <c r="P368" s="255" t="s">
        <v>10</v>
      </c>
      <c r="Q368" s="255" t="s">
        <v>131</v>
      </c>
      <c r="R368" s="254">
        <f t="shared" si="185"/>
        <v>165.906</v>
      </c>
      <c r="S368" s="284">
        <f t="shared" si="186"/>
        <v>165.906</v>
      </c>
      <c r="T368" s="255" t="s">
        <v>71</v>
      </c>
      <c r="U368" s="254">
        <f>M368/2-O368/2</f>
        <v>86.553</v>
      </c>
      <c r="V368" s="286"/>
      <c r="W368" s="166"/>
      <c r="X368" s="166"/>
      <c r="Y368" s="166"/>
      <c r="Z368" s="166"/>
      <c r="AA368" s="166"/>
      <c r="AB368" s="166"/>
      <c r="AC368" s="166"/>
      <c r="AD368" s="166"/>
      <c r="AE368" s="166"/>
      <c r="AF368" s="166"/>
      <c r="AG368" s="166"/>
      <c r="AH368" s="166"/>
      <c r="AI368" s="166"/>
      <c r="AJ368" s="166"/>
      <c r="AK368" s="166"/>
      <c r="AL368" s="166"/>
      <c r="AM368" s="166"/>
      <c r="AN368" s="166"/>
      <c r="AO368" s="166"/>
      <c r="AP368" s="166"/>
      <c r="AQ368" s="166"/>
      <c r="AR368" s="166"/>
    </row>
    <row r="369" customHeight="1" spans="1:44">
      <c r="A369" s="16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200"/>
      <c r="T369" s="287" t="s">
        <v>72</v>
      </c>
      <c r="U369" s="289">
        <f>U368</f>
        <v>86.553</v>
      </c>
      <c r="V369" s="201"/>
      <c r="W369" s="166"/>
      <c r="X369" s="166"/>
      <c r="Y369" s="166"/>
      <c r="Z369" s="166"/>
      <c r="AA369" s="166"/>
      <c r="AB369" s="166"/>
      <c r="AC369" s="166"/>
      <c r="AD369" s="166"/>
      <c r="AE369" s="166"/>
      <c r="AF369" s="166"/>
      <c r="AG369" s="166"/>
      <c r="AH369" s="166"/>
      <c r="AI369" s="166"/>
      <c r="AJ369" s="166"/>
      <c r="AK369" s="166"/>
      <c r="AL369" s="166"/>
      <c r="AM369" s="166"/>
      <c r="AN369" s="166"/>
      <c r="AO369" s="166"/>
      <c r="AP369" s="166"/>
      <c r="AQ369" s="166"/>
      <c r="AR369" s="166"/>
    </row>
    <row r="370" customHeight="1" spans="1:44">
      <c r="A370" s="166"/>
      <c r="B370" s="235">
        <v>2470</v>
      </c>
      <c r="C370" s="235" t="str">
        <f>VLOOKUP(B370,ITENS!$B$3:$C$15,2,FALSE)</f>
        <v>CAMISA CHAMPIONS</v>
      </c>
      <c r="D370" s="235" t="s">
        <v>0</v>
      </c>
      <c r="E370" s="235">
        <v>1</v>
      </c>
      <c r="F370" s="235" t="str">
        <f>VLOOKUP(D370,FÓRMULAS!$A$2:$B$5,2,FALSE)</f>
        <v>SAÍDA</v>
      </c>
      <c r="G370" s="236">
        <v>45903</v>
      </c>
      <c r="H370" s="235" t="str">
        <f t="shared" ref="H370:H373" si="187">TEXT(G370,"dddd")</f>
        <v>quarta-feira</v>
      </c>
      <c r="I370" s="235" t="s">
        <v>54</v>
      </c>
      <c r="J370" s="235">
        <v>1233</v>
      </c>
      <c r="K370" s="256">
        <v>180</v>
      </c>
      <c r="L370" s="256">
        <v>0</v>
      </c>
      <c r="M370" s="256">
        <f t="shared" ref="M370:M373" si="188">K370-L370</f>
        <v>180</v>
      </c>
      <c r="N370" s="256">
        <f t="shared" ref="N370:N373" si="189">M370*$C$2</f>
        <v>7.2</v>
      </c>
      <c r="O370" s="257">
        <v>0</v>
      </c>
      <c r="P370" s="258" t="s">
        <v>134</v>
      </c>
      <c r="Q370" s="258" t="s">
        <v>6</v>
      </c>
      <c r="R370" s="257">
        <f t="shared" ref="R370:R371" si="190">M370-N370-O370</f>
        <v>172.8</v>
      </c>
      <c r="S370" s="257">
        <f t="shared" ref="S370:S371" si="191">R370/E370</f>
        <v>172.8</v>
      </c>
      <c r="T370" s="258" t="s">
        <v>70</v>
      </c>
      <c r="U370" s="257">
        <f t="shared" ref="U370:U371" si="192">M370-O370</f>
        <v>180</v>
      </c>
      <c r="V370" s="235"/>
      <c r="W370" s="166"/>
      <c r="X370" s="166"/>
      <c r="Y370" s="166"/>
      <c r="Z370" s="166"/>
      <c r="AA370" s="166"/>
      <c r="AB370" s="166"/>
      <c r="AC370" s="166"/>
      <c r="AD370" s="166"/>
      <c r="AE370" s="166"/>
      <c r="AF370" s="166"/>
      <c r="AG370" s="166"/>
      <c r="AH370" s="166"/>
      <c r="AI370" s="166"/>
      <c r="AJ370" s="166"/>
      <c r="AK370" s="166"/>
      <c r="AL370" s="166"/>
      <c r="AM370" s="166"/>
      <c r="AN370" s="166"/>
      <c r="AO370" s="166"/>
      <c r="AP370" s="166"/>
      <c r="AQ370" s="166"/>
      <c r="AR370" s="166"/>
    </row>
    <row r="371" customHeight="1" spans="1:44">
      <c r="A371" s="166"/>
      <c r="B371" s="235">
        <v>3049</v>
      </c>
      <c r="C371" s="235" t="e">
        <f>VLOOKUP(B371,ITENS!$B$3:$C$15,2,FALSE)</f>
        <v>#N/A</v>
      </c>
      <c r="D371" s="235" t="s">
        <v>0</v>
      </c>
      <c r="E371" s="235">
        <v>1</v>
      </c>
      <c r="F371" s="235" t="str">
        <f>VLOOKUP(D371,FÓRMULAS!$A$2:$B$5,2,FALSE)</f>
        <v>SAÍDA</v>
      </c>
      <c r="G371" s="236">
        <v>45904</v>
      </c>
      <c r="H371" s="235" t="str">
        <f t="shared" si="187"/>
        <v>quinta-feira</v>
      </c>
      <c r="I371" s="235" t="s">
        <v>54</v>
      </c>
      <c r="J371" s="235">
        <v>1234</v>
      </c>
      <c r="K371" s="256">
        <v>180</v>
      </c>
      <c r="L371" s="256">
        <v>0</v>
      </c>
      <c r="M371" s="256">
        <f t="shared" si="188"/>
        <v>180</v>
      </c>
      <c r="N371" s="256">
        <f t="shared" si="189"/>
        <v>7.2</v>
      </c>
      <c r="O371" s="257">
        <f>M371*1.9%</f>
        <v>3.42</v>
      </c>
      <c r="P371" s="258" t="s">
        <v>7</v>
      </c>
      <c r="Q371" s="258" t="s">
        <v>55</v>
      </c>
      <c r="R371" s="257">
        <f t="shared" si="190"/>
        <v>169.38</v>
      </c>
      <c r="S371" s="257">
        <f t="shared" si="191"/>
        <v>169.38</v>
      </c>
      <c r="T371" s="258" t="s">
        <v>70</v>
      </c>
      <c r="U371" s="257">
        <f t="shared" si="192"/>
        <v>176.58</v>
      </c>
      <c r="V371" s="235"/>
      <c r="W371" s="166"/>
      <c r="X371" s="166"/>
      <c r="Y371" s="166"/>
      <c r="Z371" s="166"/>
      <c r="AA371" s="166"/>
      <c r="AB371" s="166"/>
      <c r="AC371" s="166"/>
      <c r="AD371" s="166"/>
      <c r="AE371" s="166"/>
      <c r="AF371" s="166"/>
      <c r="AG371" s="166"/>
      <c r="AH371" s="166"/>
      <c r="AI371" s="166"/>
      <c r="AJ371" s="166"/>
      <c r="AK371" s="166"/>
      <c r="AL371" s="166"/>
      <c r="AM371" s="166"/>
      <c r="AN371" s="166"/>
      <c r="AO371" s="166"/>
      <c r="AP371" s="166"/>
      <c r="AQ371" s="166"/>
      <c r="AR371" s="166"/>
    </row>
    <row r="372" customHeight="1" spans="1:44">
      <c r="A372" s="310"/>
      <c r="B372" s="239">
        <v>2470</v>
      </c>
      <c r="C372" s="239" t="str">
        <f>VLOOKUP(B372,ITENS!$B$3:$C$15,2,FALSE)</f>
        <v>CAMISA CHAMPIONS</v>
      </c>
      <c r="D372" s="239" t="s">
        <v>0</v>
      </c>
      <c r="E372" s="239">
        <v>1</v>
      </c>
      <c r="F372" s="239" t="str">
        <f>VLOOKUP(D372,FÓRMULAS!$A$2:$B$5,2,FALSE)</f>
        <v>SAÍDA</v>
      </c>
      <c r="G372" s="240">
        <v>45906</v>
      </c>
      <c r="H372" s="239" t="str">
        <f t="shared" si="187"/>
        <v>sábado</v>
      </c>
      <c r="I372" s="239" t="s">
        <v>54</v>
      </c>
      <c r="J372" s="239">
        <v>1235</v>
      </c>
      <c r="K372" s="262">
        <v>100</v>
      </c>
      <c r="L372" s="262">
        <v>0</v>
      </c>
      <c r="M372" s="262">
        <f t="shared" si="188"/>
        <v>100</v>
      </c>
      <c r="N372" s="262">
        <f t="shared" si="189"/>
        <v>4</v>
      </c>
      <c r="O372" s="263" t="s">
        <v>6</v>
      </c>
      <c r="P372" s="265" t="s">
        <v>6</v>
      </c>
      <c r="Q372" s="265" t="s">
        <v>6</v>
      </c>
      <c r="R372" s="265">
        <v>0</v>
      </c>
      <c r="S372" s="265">
        <v>0</v>
      </c>
      <c r="T372" s="265" t="s">
        <v>6</v>
      </c>
      <c r="U372" s="265">
        <v>0</v>
      </c>
      <c r="V372" s="239" t="s">
        <v>175</v>
      </c>
      <c r="W372" s="310"/>
      <c r="X372" s="310"/>
      <c r="Y372" s="310"/>
      <c r="Z372" s="310"/>
      <c r="AA372" s="310"/>
      <c r="AB372" s="310"/>
      <c r="AC372" s="310"/>
      <c r="AD372" s="310"/>
      <c r="AE372" s="310"/>
      <c r="AF372" s="310"/>
      <c r="AG372" s="310"/>
      <c r="AH372" s="310"/>
      <c r="AI372" s="310"/>
      <c r="AJ372" s="310"/>
      <c r="AK372" s="310"/>
      <c r="AL372" s="310"/>
      <c r="AM372" s="310"/>
      <c r="AN372" s="310"/>
      <c r="AO372" s="310"/>
      <c r="AP372" s="310"/>
      <c r="AQ372" s="310"/>
      <c r="AR372" s="310"/>
    </row>
    <row r="373" customHeight="1" spans="1:44">
      <c r="A373" s="166"/>
      <c r="B373" s="233">
        <v>2470</v>
      </c>
      <c r="C373" s="233" t="str">
        <f>VLOOKUP(B373,ITENS!$B$3:$C$15,2,FALSE)</f>
        <v>CAMISA CHAMPIONS</v>
      </c>
      <c r="D373" s="233" t="s">
        <v>0</v>
      </c>
      <c r="E373" s="233">
        <v>1</v>
      </c>
      <c r="F373" s="233" t="str">
        <f>VLOOKUP(D373,FÓRMULAS!$A$2:$B$5,2,FALSE)</f>
        <v>SAÍDA</v>
      </c>
      <c r="G373" s="234">
        <v>45906</v>
      </c>
      <c r="H373" s="233" t="str">
        <f t="shared" si="187"/>
        <v>sábado</v>
      </c>
      <c r="I373" s="233" t="s">
        <v>54</v>
      </c>
      <c r="J373" s="233">
        <v>1236</v>
      </c>
      <c r="K373" s="253">
        <v>180</v>
      </c>
      <c r="L373" s="253">
        <v>0</v>
      </c>
      <c r="M373" s="253">
        <f t="shared" si="188"/>
        <v>180</v>
      </c>
      <c r="N373" s="253">
        <f t="shared" si="189"/>
        <v>7.2</v>
      </c>
      <c r="O373" s="254">
        <f>M373*3.78%</f>
        <v>6.804</v>
      </c>
      <c r="P373" s="255" t="s">
        <v>10</v>
      </c>
      <c r="Q373" s="255" t="s">
        <v>62</v>
      </c>
      <c r="R373" s="254">
        <f>M373-N373-O373</f>
        <v>165.996</v>
      </c>
      <c r="S373" s="284">
        <f>R373/E373</f>
        <v>165.996</v>
      </c>
      <c r="T373" s="255" t="s">
        <v>71</v>
      </c>
      <c r="U373" s="254">
        <f>M373/2-O373/2</f>
        <v>86.598</v>
      </c>
      <c r="V373" s="286"/>
      <c r="W373" s="166"/>
      <c r="X373" s="166"/>
      <c r="Y373" s="166"/>
      <c r="Z373" s="166"/>
      <c r="AA373" s="166"/>
      <c r="AB373" s="166"/>
      <c r="AC373" s="166"/>
      <c r="AD373" s="166"/>
      <c r="AE373" s="166"/>
      <c r="AF373" s="166"/>
      <c r="AG373" s="166"/>
      <c r="AH373" s="166"/>
      <c r="AI373" s="166"/>
      <c r="AJ373" s="166"/>
      <c r="AK373" s="166"/>
      <c r="AL373" s="166"/>
      <c r="AM373" s="166"/>
      <c r="AN373" s="166"/>
      <c r="AO373" s="166"/>
      <c r="AP373" s="166"/>
      <c r="AQ373" s="166"/>
      <c r="AR373" s="166"/>
    </row>
    <row r="374" customHeight="1" spans="1:44">
      <c r="A374" s="16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200"/>
      <c r="T374" s="287" t="s">
        <v>72</v>
      </c>
      <c r="U374" s="289">
        <f>U373</f>
        <v>86.598</v>
      </c>
      <c r="V374" s="201"/>
      <c r="W374" s="166"/>
      <c r="X374" s="166"/>
      <c r="Y374" s="166"/>
      <c r="Z374" s="166"/>
      <c r="AA374" s="166"/>
      <c r="AB374" s="166"/>
      <c r="AC374" s="166"/>
      <c r="AD374" s="166"/>
      <c r="AE374" s="166"/>
      <c r="AF374" s="166"/>
      <c r="AG374" s="166"/>
      <c r="AH374" s="166"/>
      <c r="AI374" s="166"/>
      <c r="AJ374" s="166"/>
      <c r="AK374" s="166"/>
      <c r="AL374" s="166"/>
      <c r="AM374" s="166"/>
      <c r="AN374" s="166"/>
      <c r="AO374" s="166"/>
      <c r="AP374" s="166"/>
      <c r="AQ374" s="166"/>
      <c r="AR374" s="166"/>
    </row>
    <row r="375" customHeight="1" spans="1:44">
      <c r="A375" s="166"/>
      <c r="B375" s="233">
        <v>3049</v>
      </c>
      <c r="C375" s="233" t="e">
        <f>VLOOKUP(B375,ITENS!$B$3:$C$15,2,FALSE)</f>
        <v>#N/A</v>
      </c>
      <c r="D375" s="233" t="s">
        <v>0</v>
      </c>
      <c r="E375" s="233">
        <v>1</v>
      </c>
      <c r="F375" s="233" t="str">
        <f>VLOOKUP(D375,FÓRMULAS!$A$2:$B$5,2,FALSE)</f>
        <v>SAÍDA</v>
      </c>
      <c r="G375" s="234">
        <v>45906</v>
      </c>
      <c r="H375" s="233" t="str">
        <f>TEXT(G375,"dddd")</f>
        <v>sábado</v>
      </c>
      <c r="I375" s="233" t="s">
        <v>54</v>
      </c>
      <c r="J375" s="233">
        <v>1237</v>
      </c>
      <c r="K375" s="253">
        <v>180</v>
      </c>
      <c r="L375" s="253">
        <v>0</v>
      </c>
      <c r="M375" s="253">
        <f>K375-L375</f>
        <v>180</v>
      </c>
      <c r="N375" s="253">
        <f>M375*$C$2</f>
        <v>7.2</v>
      </c>
      <c r="O375" s="254">
        <f>M375*3.78%</f>
        <v>6.804</v>
      </c>
      <c r="P375" s="255" t="s">
        <v>10</v>
      </c>
      <c r="Q375" s="255" t="s">
        <v>55</v>
      </c>
      <c r="R375" s="254">
        <f>M375-N375-O375</f>
        <v>165.996</v>
      </c>
      <c r="S375" s="284">
        <f>R375/E375</f>
        <v>165.996</v>
      </c>
      <c r="T375" s="255" t="s">
        <v>71</v>
      </c>
      <c r="U375" s="254">
        <f>M375/2-O375/2</f>
        <v>86.598</v>
      </c>
      <c r="V375" s="286"/>
      <c r="W375" s="166"/>
      <c r="X375" s="166"/>
      <c r="Y375" s="166"/>
      <c r="Z375" s="166"/>
      <c r="AA375" s="166"/>
      <c r="AB375" s="166"/>
      <c r="AC375" s="166"/>
      <c r="AD375" s="166"/>
      <c r="AE375" s="166"/>
      <c r="AF375" s="166"/>
      <c r="AG375" s="166"/>
      <c r="AH375" s="166"/>
      <c r="AI375" s="166"/>
      <c r="AJ375" s="166"/>
      <c r="AK375" s="166"/>
      <c r="AL375" s="166"/>
      <c r="AM375" s="166"/>
      <c r="AN375" s="166"/>
      <c r="AO375" s="166"/>
      <c r="AP375" s="166"/>
      <c r="AQ375" s="166"/>
      <c r="AR375" s="166"/>
    </row>
    <row r="376" customHeight="1" spans="1:44">
      <c r="A376" s="16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200"/>
      <c r="T376" s="287" t="s">
        <v>72</v>
      </c>
      <c r="U376" s="289">
        <f>U375</f>
        <v>86.598</v>
      </c>
      <c r="V376" s="201"/>
      <c r="W376" s="166"/>
      <c r="X376" s="166"/>
      <c r="Y376" s="166"/>
      <c r="Z376" s="166"/>
      <c r="AA376" s="166"/>
      <c r="AB376" s="166"/>
      <c r="AC376" s="166"/>
      <c r="AD376" s="166"/>
      <c r="AE376" s="166"/>
      <c r="AF376" s="166"/>
      <c r="AG376" s="166"/>
      <c r="AH376" s="166"/>
      <c r="AI376" s="166"/>
      <c r="AJ376" s="166"/>
      <c r="AK376" s="166"/>
      <c r="AL376" s="166"/>
      <c r="AM376" s="166"/>
      <c r="AN376" s="166"/>
      <c r="AO376" s="166"/>
      <c r="AP376" s="166"/>
      <c r="AQ376" s="166"/>
      <c r="AR376" s="166"/>
    </row>
    <row r="377" customHeight="1" spans="1:44">
      <c r="A377" s="166"/>
      <c r="B377" s="235">
        <v>3049</v>
      </c>
      <c r="C377" s="235" t="e">
        <f>VLOOKUP(B377,ITENS!$B$3:$C$15,2,FALSE)</f>
        <v>#N/A</v>
      </c>
      <c r="D377" s="235" t="s">
        <v>0</v>
      </c>
      <c r="E377" s="235">
        <v>1</v>
      </c>
      <c r="F377" s="235" t="str">
        <f>VLOOKUP(D377,FÓRMULAS!$A$2:$B$5,2,FALSE)</f>
        <v>SAÍDA</v>
      </c>
      <c r="G377" s="236">
        <v>45906</v>
      </c>
      <c r="H377" s="235" t="str">
        <f t="shared" ref="H377:H382" si="193">TEXT(G377,"dddd")</f>
        <v>sábado</v>
      </c>
      <c r="I377" s="235" t="s">
        <v>54</v>
      </c>
      <c r="J377" s="235">
        <v>1238</v>
      </c>
      <c r="K377" s="256">
        <v>180</v>
      </c>
      <c r="L377" s="256">
        <v>0</v>
      </c>
      <c r="M377" s="256">
        <f t="shared" ref="M377:M382" si="194">K377-L377</f>
        <v>180</v>
      </c>
      <c r="N377" s="256">
        <f t="shared" ref="N377:N378" si="195">M377*$C$2</f>
        <v>7.2</v>
      </c>
      <c r="O377" s="257">
        <v>0</v>
      </c>
      <c r="P377" s="258" t="s">
        <v>5</v>
      </c>
      <c r="Q377" s="258" t="s">
        <v>6</v>
      </c>
      <c r="R377" s="257">
        <f t="shared" ref="R377:R378" si="196">M377-N377-O377</f>
        <v>172.8</v>
      </c>
      <c r="S377" s="257">
        <f t="shared" ref="S377:S378" si="197">R377/E377</f>
        <v>172.8</v>
      </c>
      <c r="T377" s="258" t="s">
        <v>70</v>
      </c>
      <c r="U377" s="257">
        <f t="shared" ref="U377:U378" si="198">M377-O377</f>
        <v>180</v>
      </c>
      <c r="V377" s="235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  <c r="AG377" s="166"/>
      <c r="AH377" s="166"/>
      <c r="AI377" s="166"/>
      <c r="AJ377" s="166"/>
      <c r="AK377" s="166"/>
      <c r="AL377" s="166"/>
      <c r="AM377" s="166"/>
      <c r="AN377" s="166"/>
      <c r="AO377" s="166"/>
      <c r="AP377" s="166"/>
      <c r="AQ377" s="166"/>
      <c r="AR377" s="166"/>
    </row>
    <row r="378" customHeight="1" spans="1:44">
      <c r="A378" s="166"/>
      <c r="B378" s="235">
        <v>2550</v>
      </c>
      <c r="C378" s="235" t="str">
        <f>VLOOKUP(B378,ITENS!$B$3:$C$15,2,FALSE)</f>
        <v>BONE LUXO</v>
      </c>
      <c r="D378" s="235" t="s">
        <v>0</v>
      </c>
      <c r="E378" s="235">
        <v>1</v>
      </c>
      <c r="F378" s="235" t="str">
        <f>VLOOKUP(D378,FÓRMULAS!$A$2:$B$5,2,FALSE)</f>
        <v>SAÍDA</v>
      </c>
      <c r="G378" s="236">
        <v>45906</v>
      </c>
      <c r="H378" s="235" t="str">
        <f t="shared" si="193"/>
        <v>sábado</v>
      </c>
      <c r="I378" s="235" t="s">
        <v>54</v>
      </c>
      <c r="J378" s="235">
        <v>1239</v>
      </c>
      <c r="K378" s="256">
        <v>60</v>
      </c>
      <c r="L378" s="256">
        <v>0</v>
      </c>
      <c r="M378" s="256">
        <f t="shared" si="194"/>
        <v>60</v>
      </c>
      <c r="N378" s="256">
        <f t="shared" si="195"/>
        <v>2.4</v>
      </c>
      <c r="O378" s="257">
        <v>0</v>
      </c>
      <c r="P378" s="258" t="s">
        <v>134</v>
      </c>
      <c r="Q378" s="258" t="s">
        <v>6</v>
      </c>
      <c r="R378" s="257">
        <f t="shared" si="196"/>
        <v>57.6</v>
      </c>
      <c r="S378" s="257">
        <f t="shared" si="197"/>
        <v>57.6</v>
      </c>
      <c r="T378" s="258"/>
      <c r="U378" s="257">
        <f t="shared" si="198"/>
        <v>60</v>
      </c>
      <c r="V378" s="235"/>
      <c r="W378" s="166"/>
      <c r="X378" s="166"/>
      <c r="Y378" s="166"/>
      <c r="Z378" s="166"/>
      <c r="AA378" s="166"/>
      <c r="AB378" s="166"/>
      <c r="AC378" s="166"/>
      <c r="AD378" s="166"/>
      <c r="AE378" s="166"/>
      <c r="AF378" s="166"/>
      <c r="AG378" s="166"/>
      <c r="AH378" s="166"/>
      <c r="AI378" s="166"/>
      <c r="AJ378" s="166"/>
      <c r="AK378" s="166"/>
      <c r="AL378" s="166"/>
      <c r="AM378" s="166"/>
      <c r="AN378" s="166"/>
      <c r="AO378" s="166"/>
      <c r="AP378" s="166"/>
      <c r="AQ378" s="166"/>
      <c r="AR378" s="166"/>
    </row>
    <row r="379" customHeight="1" spans="1:44">
      <c r="A379" s="310"/>
      <c r="B379" s="239">
        <v>2470</v>
      </c>
      <c r="C379" s="239" t="str">
        <f>VLOOKUP(B379,ITENS!$B$3:$C$15,2,FALSE)</f>
        <v>CAMISA CHAMPIONS</v>
      </c>
      <c r="D379" s="239" t="s">
        <v>0</v>
      </c>
      <c r="E379" s="239">
        <v>1</v>
      </c>
      <c r="F379" s="239" t="str">
        <f>VLOOKUP(D379,FÓRMULAS!$A$2:$B$5,2,FALSE)</f>
        <v>SAÍDA</v>
      </c>
      <c r="G379" s="240">
        <v>45909</v>
      </c>
      <c r="H379" s="239" t="str">
        <f t="shared" si="193"/>
        <v>terça-feira</v>
      </c>
      <c r="I379" s="239" t="s">
        <v>54</v>
      </c>
      <c r="J379" s="239">
        <v>1240</v>
      </c>
      <c r="K379" s="262">
        <v>100</v>
      </c>
      <c r="L379" s="262">
        <v>0</v>
      </c>
      <c r="M379" s="262">
        <f t="shared" si="194"/>
        <v>100</v>
      </c>
      <c r="N379" s="262">
        <v>0</v>
      </c>
      <c r="O379" s="263" t="s">
        <v>6</v>
      </c>
      <c r="P379" s="265" t="s">
        <v>6</v>
      </c>
      <c r="Q379" s="265" t="s">
        <v>6</v>
      </c>
      <c r="R379" s="265" t="s">
        <v>6</v>
      </c>
      <c r="S379" s="265" t="s">
        <v>6</v>
      </c>
      <c r="T379" s="265" t="s">
        <v>6</v>
      </c>
      <c r="U379" s="265" t="s">
        <v>6</v>
      </c>
      <c r="V379" s="239" t="s">
        <v>176</v>
      </c>
      <c r="W379" s="310"/>
      <c r="X379" s="310"/>
      <c r="Y379" s="310"/>
      <c r="Z379" s="310"/>
      <c r="AA379" s="310"/>
      <c r="AB379" s="310"/>
      <c r="AC379" s="310"/>
      <c r="AD379" s="310"/>
      <c r="AE379" s="310"/>
      <c r="AF379" s="310"/>
      <c r="AG379" s="310"/>
      <c r="AH379" s="310"/>
      <c r="AI379" s="310"/>
      <c r="AJ379" s="310"/>
      <c r="AK379" s="310"/>
      <c r="AL379" s="310"/>
      <c r="AM379" s="310"/>
      <c r="AN379" s="310"/>
      <c r="AO379" s="310"/>
      <c r="AP379" s="310"/>
      <c r="AQ379" s="310"/>
      <c r="AR379" s="310"/>
    </row>
    <row r="380" customHeight="1" spans="1:44">
      <c r="A380" s="166"/>
      <c r="B380" s="235">
        <v>3049</v>
      </c>
      <c r="C380" s="235" t="e">
        <f>VLOOKUP(B380,ITENS!$B$3:$C$15,2,FALSE)</f>
        <v>#N/A</v>
      </c>
      <c r="D380" s="235" t="s">
        <v>0</v>
      </c>
      <c r="E380" s="235">
        <v>1</v>
      </c>
      <c r="F380" s="235" t="str">
        <f>VLOOKUP(D380,FÓRMULAS!$A$2:$B$5,2,FALSE)</f>
        <v>SAÍDA</v>
      </c>
      <c r="G380" s="236">
        <v>45910</v>
      </c>
      <c r="H380" s="235" t="str">
        <f t="shared" si="193"/>
        <v>quarta-feira</v>
      </c>
      <c r="I380" s="235" t="s">
        <v>177</v>
      </c>
      <c r="J380" s="235">
        <v>1242</v>
      </c>
      <c r="K380" s="256">
        <v>180</v>
      </c>
      <c r="L380" s="256">
        <v>0</v>
      </c>
      <c r="M380" s="256">
        <f t="shared" si="194"/>
        <v>180</v>
      </c>
      <c r="N380" s="256">
        <f t="shared" ref="N380:N382" si="199">M380*$C$2</f>
        <v>7.2</v>
      </c>
      <c r="O380" s="257">
        <f>M380*1.9%</f>
        <v>3.42</v>
      </c>
      <c r="P380" s="258" t="s">
        <v>7</v>
      </c>
      <c r="Q380" s="258" t="s">
        <v>55</v>
      </c>
      <c r="R380" s="257">
        <f t="shared" ref="R380:R382" si="200">M380-N380-O380</f>
        <v>169.38</v>
      </c>
      <c r="S380" s="257">
        <f t="shared" ref="S380:S382" si="201">R380/E380</f>
        <v>169.38</v>
      </c>
      <c r="T380" s="258" t="s">
        <v>70</v>
      </c>
      <c r="U380" s="257">
        <f t="shared" ref="U380:U381" si="202">M380-O380</f>
        <v>176.58</v>
      </c>
      <c r="V380" s="235"/>
      <c r="W380" s="166"/>
      <c r="X380" s="166"/>
      <c r="Y380" s="166"/>
      <c r="Z380" s="166"/>
      <c r="AA380" s="166"/>
      <c r="AB380" s="166"/>
      <c r="AC380" s="166"/>
      <c r="AD380" s="166"/>
      <c r="AE380" s="166"/>
      <c r="AF380" s="166"/>
      <c r="AG380" s="166"/>
      <c r="AH380" s="166"/>
      <c r="AI380" s="166"/>
      <c r="AJ380" s="166"/>
      <c r="AK380" s="166"/>
      <c r="AL380" s="166"/>
      <c r="AM380" s="166"/>
      <c r="AN380" s="166"/>
      <c r="AO380" s="166"/>
      <c r="AP380" s="166"/>
      <c r="AQ380" s="166"/>
      <c r="AR380" s="166"/>
    </row>
    <row r="381" customHeight="1" spans="1:44">
      <c r="A381" s="166"/>
      <c r="B381" s="235">
        <v>2470</v>
      </c>
      <c r="C381" s="235" t="str">
        <f>VLOOKUP(B381,ITENS!$B$3:$C$15,2,FALSE)</f>
        <v>CAMISA CHAMPIONS</v>
      </c>
      <c r="D381" s="235" t="s">
        <v>0</v>
      </c>
      <c r="E381" s="235">
        <v>1</v>
      </c>
      <c r="F381" s="235" t="str">
        <f>VLOOKUP(D381,FÓRMULAS!$A$2:$B$5,2,FALSE)</f>
        <v>SAÍDA</v>
      </c>
      <c r="G381" s="236">
        <v>45911</v>
      </c>
      <c r="H381" s="235" t="str">
        <f t="shared" si="193"/>
        <v>quinta-feira</v>
      </c>
      <c r="I381" s="235" t="s">
        <v>54</v>
      </c>
      <c r="J381" s="235">
        <v>1243</v>
      </c>
      <c r="K381" s="256">
        <v>180</v>
      </c>
      <c r="L381" s="256">
        <v>0</v>
      </c>
      <c r="M381" s="256">
        <f t="shared" si="194"/>
        <v>180</v>
      </c>
      <c r="N381" s="256">
        <f t="shared" si="199"/>
        <v>7.2</v>
      </c>
      <c r="O381" s="257">
        <f>M381*2.96%</f>
        <v>5.328</v>
      </c>
      <c r="P381" s="258" t="s">
        <v>7</v>
      </c>
      <c r="Q381" s="258" t="s">
        <v>79</v>
      </c>
      <c r="R381" s="257">
        <f t="shared" si="200"/>
        <v>167.472</v>
      </c>
      <c r="S381" s="257">
        <f t="shared" si="201"/>
        <v>167.472</v>
      </c>
      <c r="T381" s="258" t="s">
        <v>70</v>
      </c>
      <c r="U381" s="257">
        <f t="shared" si="202"/>
        <v>174.672</v>
      </c>
      <c r="V381" s="235"/>
      <c r="W381" s="166"/>
      <c r="X381" s="166"/>
      <c r="Y381" s="166"/>
      <c r="Z381" s="166"/>
      <c r="AA381" s="166"/>
      <c r="AB381" s="166"/>
      <c r="AC381" s="166"/>
      <c r="AD381" s="166"/>
      <c r="AE381" s="166"/>
      <c r="AF381" s="166"/>
      <c r="AG381" s="166"/>
      <c r="AH381" s="166"/>
      <c r="AI381" s="166"/>
      <c r="AJ381" s="166"/>
      <c r="AK381" s="166"/>
      <c r="AL381" s="166"/>
      <c r="AM381" s="166"/>
      <c r="AN381" s="166"/>
      <c r="AO381" s="166"/>
      <c r="AP381" s="166"/>
      <c r="AQ381" s="166"/>
      <c r="AR381" s="166"/>
    </row>
    <row r="382" customHeight="1" spans="1:44">
      <c r="A382" s="166"/>
      <c r="B382" s="233">
        <v>2470</v>
      </c>
      <c r="C382" s="233" t="str">
        <f>VLOOKUP(B382,ITENS!$B$3:$C$15,2,FALSE)</f>
        <v>CAMISA CHAMPIONS</v>
      </c>
      <c r="D382" s="233" t="s">
        <v>0</v>
      </c>
      <c r="E382" s="233">
        <v>2</v>
      </c>
      <c r="F382" s="233" t="str">
        <f>VLOOKUP(D382,FÓRMULAS!$A$2:$B$5,2,FALSE)</f>
        <v>SAÍDA</v>
      </c>
      <c r="G382" s="234">
        <v>45912</v>
      </c>
      <c r="H382" s="233" t="str">
        <f t="shared" si="193"/>
        <v>sexta-feira</v>
      </c>
      <c r="I382" s="233" t="s">
        <v>54</v>
      </c>
      <c r="J382" s="233">
        <v>1244</v>
      </c>
      <c r="K382" s="253">
        <v>360</v>
      </c>
      <c r="L382" s="253">
        <v>0</v>
      </c>
      <c r="M382" s="253">
        <f t="shared" si="194"/>
        <v>360</v>
      </c>
      <c r="N382" s="253">
        <f t="shared" si="199"/>
        <v>14.4</v>
      </c>
      <c r="O382" s="254">
        <f>M382*3.78%</f>
        <v>13.608</v>
      </c>
      <c r="P382" s="255" t="s">
        <v>10</v>
      </c>
      <c r="Q382" s="255" t="s">
        <v>62</v>
      </c>
      <c r="R382" s="254">
        <f t="shared" si="200"/>
        <v>331.992</v>
      </c>
      <c r="S382" s="284">
        <f t="shared" si="201"/>
        <v>165.996</v>
      </c>
      <c r="T382" s="255" t="s">
        <v>71</v>
      </c>
      <c r="U382" s="254">
        <f>M382/2-O382/2</f>
        <v>173.196</v>
      </c>
      <c r="V382" s="286"/>
      <c r="W382" s="166"/>
      <c r="X382" s="166"/>
      <c r="Y382" s="166"/>
      <c r="Z382" s="166"/>
      <c r="AA382" s="166"/>
      <c r="AB382" s="166"/>
      <c r="AC382" s="166"/>
      <c r="AD382" s="166"/>
      <c r="AE382" s="166"/>
      <c r="AF382" s="166"/>
      <c r="AG382" s="166"/>
      <c r="AH382" s="166"/>
      <c r="AI382" s="166"/>
      <c r="AJ382" s="166"/>
      <c r="AK382" s="166"/>
      <c r="AL382" s="166"/>
      <c r="AM382" s="166"/>
      <c r="AN382" s="166"/>
      <c r="AO382" s="166"/>
      <c r="AP382" s="166"/>
      <c r="AQ382" s="166"/>
      <c r="AR382" s="166"/>
    </row>
    <row r="383" customHeight="1" spans="1:44">
      <c r="A383" s="16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200"/>
      <c r="T383" s="287" t="s">
        <v>72</v>
      </c>
      <c r="U383" s="289">
        <f>U382</f>
        <v>173.196</v>
      </c>
      <c r="V383" s="201"/>
      <c r="W383" s="166"/>
      <c r="X383" s="166"/>
      <c r="Y383" s="166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6"/>
      <c r="AQ383" s="166"/>
      <c r="AR383" s="166"/>
    </row>
    <row r="384" customHeight="1" spans="1:44">
      <c r="A384" s="166"/>
      <c r="B384" s="235">
        <v>2470</v>
      </c>
      <c r="C384" s="235" t="str">
        <f>VLOOKUP(B384,ITENS!$B$3:$C$15,2,FALSE)</f>
        <v>CAMISA CHAMPIONS</v>
      </c>
      <c r="D384" s="235" t="s">
        <v>0</v>
      </c>
      <c r="E384" s="235">
        <v>2</v>
      </c>
      <c r="F384" s="235" t="str">
        <f>VLOOKUP(D384,FÓRMULAS!$A$2:$B$5,2,FALSE)</f>
        <v>SAÍDA</v>
      </c>
      <c r="G384" s="236">
        <v>45912</v>
      </c>
      <c r="H384" s="235" t="str">
        <f t="shared" ref="H384:H389" si="203">TEXT(G384,"dddd")</f>
        <v>sexta-feira</v>
      </c>
      <c r="I384" s="235" t="s">
        <v>178</v>
      </c>
      <c r="J384" s="235">
        <v>1246</v>
      </c>
      <c r="K384" s="256">
        <v>360</v>
      </c>
      <c r="L384" s="256">
        <v>72</v>
      </c>
      <c r="M384" s="256">
        <f t="shared" ref="M384:M389" si="204">K384-L384</f>
        <v>288</v>
      </c>
      <c r="N384" s="256">
        <f t="shared" ref="N384:N389" si="205">M384*$C$2</f>
        <v>11.52</v>
      </c>
      <c r="O384" s="257">
        <f t="shared" ref="O384:O386" si="206">M384*1.9%</f>
        <v>5.472</v>
      </c>
      <c r="P384" s="258" t="s">
        <v>7</v>
      </c>
      <c r="Q384" s="258" t="s">
        <v>55</v>
      </c>
      <c r="R384" s="257">
        <f t="shared" ref="R384:R389" si="207">M384-N384-O384</f>
        <v>271.008</v>
      </c>
      <c r="S384" s="257">
        <f t="shared" ref="S384:S389" si="208">R384/E384</f>
        <v>135.504</v>
      </c>
      <c r="T384" s="258" t="s">
        <v>70</v>
      </c>
      <c r="U384" s="257">
        <f t="shared" ref="U384:U388" si="209">M384-O384</f>
        <v>282.528</v>
      </c>
      <c r="V384" s="235"/>
      <c r="W384" s="166"/>
      <c r="X384" s="166"/>
      <c r="Y384" s="166"/>
      <c r="Z384" s="166"/>
      <c r="AA384" s="166"/>
      <c r="AB384" s="166"/>
      <c r="AC384" s="166"/>
      <c r="AD384" s="166"/>
      <c r="AE384" s="166"/>
      <c r="AF384" s="166"/>
      <c r="AG384" s="166"/>
      <c r="AH384" s="166"/>
      <c r="AI384" s="166"/>
      <c r="AJ384" s="166"/>
      <c r="AK384" s="166"/>
      <c r="AL384" s="166"/>
      <c r="AM384" s="166"/>
      <c r="AN384" s="166"/>
      <c r="AO384" s="166"/>
      <c r="AP384" s="166"/>
      <c r="AQ384" s="166"/>
      <c r="AR384" s="166"/>
    </row>
    <row r="385" customHeight="1" spans="1:44">
      <c r="A385" s="166"/>
      <c r="B385" s="235">
        <v>2470</v>
      </c>
      <c r="C385" s="235" t="str">
        <f>VLOOKUP(B385,ITENS!$B$3:$C$15,2,FALSE)</f>
        <v>CAMISA CHAMPIONS</v>
      </c>
      <c r="D385" s="235" t="s">
        <v>0</v>
      </c>
      <c r="E385" s="235">
        <v>2</v>
      </c>
      <c r="F385" s="235" t="str">
        <f>VLOOKUP(D385,FÓRMULAS!$A$2:$B$5,2,FALSE)</f>
        <v>SAÍDA</v>
      </c>
      <c r="G385" s="236">
        <v>45912</v>
      </c>
      <c r="H385" s="235" t="str">
        <f t="shared" si="203"/>
        <v>sexta-feira</v>
      </c>
      <c r="I385" s="235" t="s">
        <v>178</v>
      </c>
      <c r="J385" s="235">
        <v>1246</v>
      </c>
      <c r="K385" s="256">
        <v>360</v>
      </c>
      <c r="L385" s="256">
        <v>160</v>
      </c>
      <c r="M385" s="256">
        <f t="shared" si="204"/>
        <v>200</v>
      </c>
      <c r="N385" s="256">
        <f t="shared" si="205"/>
        <v>8</v>
      </c>
      <c r="O385" s="257">
        <f t="shared" si="206"/>
        <v>3.8</v>
      </c>
      <c r="P385" s="258" t="s">
        <v>7</v>
      </c>
      <c r="Q385" s="258" t="s">
        <v>55</v>
      </c>
      <c r="R385" s="257">
        <f t="shared" si="207"/>
        <v>188.2</v>
      </c>
      <c r="S385" s="257">
        <f t="shared" si="208"/>
        <v>94.1</v>
      </c>
      <c r="T385" s="258" t="s">
        <v>70</v>
      </c>
      <c r="U385" s="257">
        <f t="shared" si="209"/>
        <v>196.2</v>
      </c>
      <c r="V385" s="235"/>
      <c r="W385" s="166"/>
      <c r="X385" s="166"/>
      <c r="Y385" s="166"/>
      <c r="Z385" s="166"/>
      <c r="AA385" s="166"/>
      <c r="AB385" s="166"/>
      <c r="AC385" s="166"/>
      <c r="AD385" s="166"/>
      <c r="AE385" s="166"/>
      <c r="AF385" s="166"/>
      <c r="AG385" s="166"/>
      <c r="AH385" s="166"/>
      <c r="AI385" s="166"/>
      <c r="AJ385" s="166"/>
      <c r="AK385" s="166"/>
      <c r="AL385" s="166"/>
      <c r="AM385" s="166"/>
      <c r="AN385" s="166"/>
      <c r="AO385" s="166"/>
      <c r="AP385" s="166"/>
      <c r="AQ385" s="166"/>
      <c r="AR385" s="166"/>
    </row>
    <row r="386" customHeight="1" spans="1:44">
      <c r="A386" s="166"/>
      <c r="B386" s="235">
        <v>2550</v>
      </c>
      <c r="C386" s="235" t="str">
        <f>VLOOKUP(B386,ITENS!$B$3:$C$15,2,FALSE)</f>
        <v>BONE LUXO</v>
      </c>
      <c r="D386" s="235" t="s">
        <v>0</v>
      </c>
      <c r="E386" s="235">
        <v>1</v>
      </c>
      <c r="F386" s="235" t="str">
        <f>VLOOKUP(D386,FÓRMULAS!$A$2:$B$5,2,FALSE)</f>
        <v>SAÍDA</v>
      </c>
      <c r="G386" s="236">
        <v>45912</v>
      </c>
      <c r="H386" s="235" t="str">
        <f t="shared" si="203"/>
        <v>sexta-feira</v>
      </c>
      <c r="I386" s="235" t="s">
        <v>178</v>
      </c>
      <c r="J386" s="235">
        <v>1246</v>
      </c>
      <c r="K386" s="256">
        <v>60</v>
      </c>
      <c r="L386" s="256">
        <v>12</v>
      </c>
      <c r="M386" s="256">
        <f t="shared" si="204"/>
        <v>48</v>
      </c>
      <c r="N386" s="256">
        <f t="shared" si="205"/>
        <v>1.92</v>
      </c>
      <c r="O386" s="257">
        <f t="shared" si="206"/>
        <v>0.912</v>
      </c>
      <c r="P386" s="258" t="s">
        <v>7</v>
      </c>
      <c r="Q386" s="258" t="s">
        <v>55</v>
      </c>
      <c r="R386" s="257">
        <f t="shared" si="207"/>
        <v>45.168</v>
      </c>
      <c r="S386" s="257">
        <f t="shared" si="208"/>
        <v>45.168</v>
      </c>
      <c r="T386" s="258" t="s">
        <v>70</v>
      </c>
      <c r="U386" s="257">
        <f t="shared" si="209"/>
        <v>47.088</v>
      </c>
      <c r="V386" s="235"/>
      <c r="W386" s="166"/>
      <c r="X386" s="166"/>
      <c r="Y386" s="166"/>
      <c r="Z386" s="166"/>
      <c r="AA386" s="166"/>
      <c r="AB386" s="166"/>
      <c r="AC386" s="166"/>
      <c r="AD386" s="166"/>
      <c r="AE386" s="166"/>
      <c r="AF386" s="166"/>
      <c r="AG386" s="166"/>
      <c r="AH386" s="166"/>
      <c r="AI386" s="166"/>
      <c r="AJ386" s="166"/>
      <c r="AK386" s="166"/>
      <c r="AL386" s="166"/>
      <c r="AM386" s="166"/>
      <c r="AN386" s="166"/>
      <c r="AO386" s="166"/>
      <c r="AP386" s="166"/>
      <c r="AQ386" s="166"/>
      <c r="AR386" s="166"/>
    </row>
    <row r="387" customHeight="1" spans="1:44">
      <c r="A387" s="166"/>
      <c r="B387" s="235">
        <v>2470</v>
      </c>
      <c r="C387" s="235" t="str">
        <f>VLOOKUP(B387,ITENS!$B$3:$C$15,2,FALSE)</f>
        <v>CAMISA CHAMPIONS</v>
      </c>
      <c r="D387" s="235" t="s">
        <v>0</v>
      </c>
      <c r="E387" s="235">
        <v>1</v>
      </c>
      <c r="F387" s="235" t="str">
        <f>VLOOKUP(D387,FÓRMULAS!$A$2:$B$5,2,FALSE)</f>
        <v>SAÍDA</v>
      </c>
      <c r="G387" s="236">
        <v>45912</v>
      </c>
      <c r="H387" s="235" t="str">
        <f t="shared" si="203"/>
        <v>sexta-feira</v>
      </c>
      <c r="I387" s="235" t="s">
        <v>54</v>
      </c>
      <c r="J387" s="235">
        <v>1247</v>
      </c>
      <c r="K387" s="256">
        <v>180</v>
      </c>
      <c r="L387" s="256">
        <v>0</v>
      </c>
      <c r="M387" s="256">
        <f t="shared" si="204"/>
        <v>180</v>
      </c>
      <c r="N387" s="256">
        <f t="shared" si="205"/>
        <v>7.2</v>
      </c>
      <c r="O387" s="257">
        <v>0</v>
      </c>
      <c r="P387" s="258" t="s">
        <v>5</v>
      </c>
      <c r="Q387" s="258" t="str">
        <f>VLOOKUP(P387,FÓRMULAS!$A$7:$B$7,2,FALSE)</f>
        <v>-</v>
      </c>
      <c r="R387" s="257">
        <f t="shared" si="207"/>
        <v>172.8</v>
      </c>
      <c r="S387" s="257">
        <f t="shared" si="208"/>
        <v>172.8</v>
      </c>
      <c r="T387" s="258" t="s">
        <v>70</v>
      </c>
      <c r="U387" s="257">
        <f t="shared" si="209"/>
        <v>180</v>
      </c>
      <c r="V387" s="235"/>
      <c r="W387" s="166"/>
      <c r="X387" s="166"/>
      <c r="Y387" s="166"/>
      <c r="Z387" s="166"/>
      <c r="AA387" s="166"/>
      <c r="AB387" s="166"/>
      <c r="AC387" s="166"/>
      <c r="AD387" s="166"/>
      <c r="AE387" s="166"/>
      <c r="AF387" s="166"/>
      <c r="AG387" s="166"/>
      <c r="AH387" s="166"/>
      <c r="AI387" s="166"/>
      <c r="AJ387" s="166"/>
      <c r="AK387" s="166"/>
      <c r="AL387" s="166"/>
      <c r="AM387" s="166"/>
      <c r="AN387" s="166"/>
      <c r="AO387" s="166"/>
      <c r="AP387" s="166"/>
      <c r="AQ387" s="166"/>
      <c r="AR387" s="166"/>
    </row>
    <row r="388" customHeight="1" spans="1:44">
      <c r="A388" s="166"/>
      <c r="B388" s="235">
        <v>2550</v>
      </c>
      <c r="C388" s="235" t="str">
        <f>VLOOKUP(B388,ITENS!$B$3:$C$15,2,FALSE)</f>
        <v>BONE LUXO</v>
      </c>
      <c r="D388" s="235" t="s">
        <v>0</v>
      </c>
      <c r="E388" s="235">
        <v>1</v>
      </c>
      <c r="F388" s="235" t="str">
        <f>VLOOKUP(D388,FÓRMULAS!$A$2:$B$5,2,FALSE)</f>
        <v>SAÍDA</v>
      </c>
      <c r="G388" s="236">
        <v>45913</v>
      </c>
      <c r="H388" s="235" t="str">
        <f t="shared" si="203"/>
        <v>sábado</v>
      </c>
      <c r="I388" s="235" t="s">
        <v>54</v>
      </c>
      <c r="J388" s="235">
        <v>1248</v>
      </c>
      <c r="K388" s="256">
        <v>60</v>
      </c>
      <c r="L388" s="256">
        <v>0</v>
      </c>
      <c r="M388" s="256">
        <f t="shared" si="204"/>
        <v>60</v>
      </c>
      <c r="N388" s="256">
        <f t="shared" si="205"/>
        <v>2.4</v>
      </c>
      <c r="O388" s="257">
        <f>M388*3.29%</f>
        <v>1.974</v>
      </c>
      <c r="P388" s="258" t="s">
        <v>9</v>
      </c>
      <c r="Q388" s="258" t="s">
        <v>55</v>
      </c>
      <c r="R388" s="257">
        <f t="shared" si="207"/>
        <v>55.626</v>
      </c>
      <c r="S388" s="257">
        <f t="shared" si="208"/>
        <v>55.626</v>
      </c>
      <c r="T388" s="258" t="s">
        <v>71</v>
      </c>
      <c r="U388" s="257">
        <f t="shared" si="209"/>
        <v>58.026</v>
      </c>
      <c r="V388" s="235"/>
      <c r="W388" s="166"/>
      <c r="X388" s="166"/>
      <c r="Y388" s="166"/>
      <c r="Z388" s="166"/>
      <c r="AA388" s="166"/>
      <c r="AB388" s="166"/>
      <c r="AC388" s="166"/>
      <c r="AD388" s="166"/>
      <c r="AE388" s="166"/>
      <c r="AF388" s="166"/>
      <c r="AG388" s="166"/>
      <c r="AH388" s="166"/>
      <c r="AI388" s="166"/>
      <c r="AJ388" s="166"/>
      <c r="AK388" s="166"/>
      <c r="AL388" s="166"/>
      <c r="AM388" s="166"/>
      <c r="AN388" s="166"/>
      <c r="AO388" s="166"/>
      <c r="AP388" s="166"/>
      <c r="AQ388" s="166"/>
      <c r="AR388" s="166"/>
    </row>
    <row r="389" customHeight="1" spans="1:44">
      <c r="A389" s="166"/>
      <c r="B389" s="233">
        <v>2470</v>
      </c>
      <c r="C389" s="233" t="str">
        <f>VLOOKUP(B389,ITENS!$B$3:$C$15,2,FALSE)</f>
        <v>CAMISA CHAMPIONS</v>
      </c>
      <c r="D389" s="233" t="s">
        <v>0</v>
      </c>
      <c r="E389" s="233">
        <v>2</v>
      </c>
      <c r="F389" s="233" t="str">
        <f>VLOOKUP(D389,FÓRMULAS!$A$2:$B$5,2,FALSE)</f>
        <v>SAÍDA</v>
      </c>
      <c r="G389" s="234">
        <v>45913</v>
      </c>
      <c r="H389" s="233" t="str">
        <f t="shared" si="203"/>
        <v>sábado</v>
      </c>
      <c r="I389" s="233" t="s">
        <v>54</v>
      </c>
      <c r="J389" s="233">
        <v>1249</v>
      </c>
      <c r="K389" s="253">
        <v>360</v>
      </c>
      <c r="L389" s="253">
        <v>0</v>
      </c>
      <c r="M389" s="253">
        <f t="shared" si="204"/>
        <v>360</v>
      </c>
      <c r="N389" s="253">
        <f t="shared" si="205"/>
        <v>14.4</v>
      </c>
      <c r="O389" s="254">
        <f>M389*3.78%</f>
        <v>13.608</v>
      </c>
      <c r="P389" s="255" t="s">
        <v>10</v>
      </c>
      <c r="Q389" s="255" t="s">
        <v>62</v>
      </c>
      <c r="R389" s="254">
        <f t="shared" si="207"/>
        <v>331.992</v>
      </c>
      <c r="S389" s="284">
        <f t="shared" si="208"/>
        <v>165.996</v>
      </c>
      <c r="T389" s="255" t="s">
        <v>71</v>
      </c>
      <c r="U389" s="254">
        <f>M389/2-O389/2</f>
        <v>173.196</v>
      </c>
      <c r="V389" s="286"/>
      <c r="W389" s="166"/>
      <c r="X389" s="166"/>
      <c r="Y389" s="166"/>
      <c r="Z389" s="166"/>
      <c r="AA389" s="166"/>
      <c r="AB389" s="166"/>
      <c r="AC389" s="166"/>
      <c r="AD389" s="166"/>
      <c r="AE389" s="166"/>
      <c r="AF389" s="166"/>
      <c r="AG389" s="166"/>
      <c r="AH389" s="166"/>
      <c r="AI389" s="166"/>
      <c r="AJ389" s="166"/>
      <c r="AK389" s="166"/>
      <c r="AL389" s="166"/>
      <c r="AM389" s="166"/>
      <c r="AN389" s="166"/>
      <c r="AO389" s="166"/>
      <c r="AP389" s="166"/>
      <c r="AQ389" s="166"/>
      <c r="AR389" s="166"/>
    </row>
    <row r="390" customHeight="1" spans="1:44">
      <c r="A390" s="16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200"/>
      <c r="T390" s="287" t="s">
        <v>72</v>
      </c>
      <c r="U390" s="289">
        <f>U389</f>
        <v>173.196</v>
      </c>
      <c r="V390" s="201"/>
      <c r="W390" s="166"/>
      <c r="X390" s="166"/>
      <c r="Y390" s="166"/>
      <c r="Z390" s="166"/>
      <c r="AA390" s="166"/>
      <c r="AB390" s="166"/>
      <c r="AC390" s="166"/>
      <c r="AD390" s="166"/>
      <c r="AE390" s="166"/>
      <c r="AF390" s="166"/>
      <c r="AG390" s="166"/>
      <c r="AH390" s="166"/>
      <c r="AI390" s="166"/>
      <c r="AJ390" s="166"/>
      <c r="AK390" s="166"/>
      <c r="AL390" s="166"/>
      <c r="AM390" s="166"/>
      <c r="AN390" s="166"/>
      <c r="AO390" s="166"/>
      <c r="AP390" s="166"/>
      <c r="AQ390" s="166"/>
      <c r="AR390" s="166"/>
    </row>
    <row r="391" customHeight="1" spans="1:44">
      <c r="A391" s="166"/>
      <c r="B391" s="233">
        <v>2470</v>
      </c>
      <c r="C391" s="233" t="str">
        <f>VLOOKUP(B391,ITENS!$B$3:$C$15,2,FALSE)</f>
        <v>CAMISA CHAMPIONS</v>
      </c>
      <c r="D391" s="233" t="s">
        <v>0</v>
      </c>
      <c r="E391" s="233">
        <v>1</v>
      </c>
      <c r="F391" s="233" t="str">
        <f>VLOOKUP(D391,FÓRMULAS!$A$2:$B$5,2,FALSE)</f>
        <v>SAÍDA</v>
      </c>
      <c r="G391" s="234">
        <v>45913</v>
      </c>
      <c r="H391" s="233" t="str">
        <f>TEXT(G391,"dddd")</f>
        <v>sábado</v>
      </c>
      <c r="I391" s="233" t="s">
        <v>54</v>
      </c>
      <c r="J391" s="233">
        <v>1250</v>
      </c>
      <c r="K391" s="253">
        <v>180</v>
      </c>
      <c r="L391" s="253">
        <v>0</v>
      </c>
      <c r="M391" s="253">
        <f>K391-L391</f>
        <v>180</v>
      </c>
      <c r="N391" s="253">
        <f>M391*$C$2</f>
        <v>7.2</v>
      </c>
      <c r="O391" s="254">
        <f>M391*3.78%</f>
        <v>6.804</v>
      </c>
      <c r="P391" s="255" t="s">
        <v>10</v>
      </c>
      <c r="Q391" s="255" t="s">
        <v>62</v>
      </c>
      <c r="R391" s="254">
        <f>M391-N391-O391</f>
        <v>165.996</v>
      </c>
      <c r="S391" s="284">
        <f>R391/E391</f>
        <v>165.996</v>
      </c>
      <c r="T391" s="255" t="s">
        <v>71</v>
      </c>
      <c r="U391" s="254">
        <f>M391/2-O391/2</f>
        <v>86.598</v>
      </c>
      <c r="V391" s="286"/>
      <c r="W391" s="166"/>
      <c r="X391" s="166"/>
      <c r="Y391" s="166"/>
      <c r="Z391" s="166"/>
      <c r="AA391" s="166"/>
      <c r="AB391" s="166"/>
      <c r="AC391" s="166"/>
      <c r="AD391" s="166"/>
      <c r="AE391" s="166"/>
      <c r="AF391" s="166"/>
      <c r="AG391" s="166"/>
      <c r="AH391" s="166"/>
      <c r="AI391" s="166"/>
      <c r="AJ391" s="166"/>
      <c r="AK391" s="166"/>
      <c r="AL391" s="166"/>
      <c r="AM391" s="166"/>
      <c r="AN391" s="166"/>
      <c r="AO391" s="166"/>
      <c r="AP391" s="166"/>
      <c r="AQ391" s="166"/>
      <c r="AR391" s="166"/>
    </row>
    <row r="392" customHeight="1" spans="1:44">
      <c r="A392" s="16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200"/>
      <c r="T392" s="287" t="s">
        <v>72</v>
      </c>
      <c r="U392" s="289">
        <f>U391</f>
        <v>86.598</v>
      </c>
      <c r="V392" s="201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  <c r="AG392" s="166"/>
      <c r="AH392" s="166"/>
      <c r="AI392" s="166"/>
      <c r="AJ392" s="166"/>
      <c r="AK392" s="166"/>
      <c r="AL392" s="166"/>
      <c r="AM392" s="166"/>
      <c r="AN392" s="166"/>
      <c r="AO392" s="166"/>
      <c r="AP392" s="166"/>
      <c r="AQ392" s="166"/>
      <c r="AR392" s="166"/>
    </row>
    <row r="393" customHeight="1" spans="1:44">
      <c r="A393" s="166"/>
      <c r="B393" s="235">
        <v>2470</v>
      </c>
      <c r="C393" s="235" t="str">
        <f>VLOOKUP(B393,ITENS!$B$3:$C$15,2,FALSE)</f>
        <v>CAMISA CHAMPIONS</v>
      </c>
      <c r="D393" s="235" t="s">
        <v>0</v>
      </c>
      <c r="E393" s="235">
        <v>2</v>
      </c>
      <c r="F393" s="235" t="str">
        <f>VLOOKUP(D393,FÓRMULAS!$A$2:$B$5,2,FALSE)</f>
        <v>SAÍDA</v>
      </c>
      <c r="G393" s="236">
        <v>45916</v>
      </c>
      <c r="H393" s="235" t="str">
        <f t="shared" ref="H393:H396" si="210">TEXT(G393,"dddd")</f>
        <v>terça-feira</v>
      </c>
      <c r="I393" s="235" t="s">
        <v>54</v>
      </c>
      <c r="J393" s="235">
        <v>1251</v>
      </c>
      <c r="K393" s="256">
        <v>360</v>
      </c>
      <c r="L393" s="256">
        <v>0</v>
      </c>
      <c r="M393" s="256">
        <f t="shared" ref="M393:M396" si="211">K393-L393</f>
        <v>360</v>
      </c>
      <c r="N393" s="256">
        <f t="shared" ref="N393:N396" si="212">M393*$C$2</f>
        <v>14.4</v>
      </c>
      <c r="O393" s="257">
        <f t="shared" ref="O393:O394" si="213">M393*3.29%</f>
        <v>11.844</v>
      </c>
      <c r="P393" s="258" t="s">
        <v>9</v>
      </c>
      <c r="Q393" s="258" t="s">
        <v>62</v>
      </c>
      <c r="R393" s="257">
        <f t="shared" ref="R393:R394" si="214">M393-N393-O393</f>
        <v>333.756</v>
      </c>
      <c r="S393" s="257">
        <f t="shared" ref="S393:S394" si="215">R393/E393</f>
        <v>166.878</v>
      </c>
      <c r="T393" s="258" t="s">
        <v>71</v>
      </c>
      <c r="U393" s="257">
        <f t="shared" ref="U393:U394" si="216">M393-O393</f>
        <v>348.156</v>
      </c>
      <c r="V393" s="235"/>
      <c r="W393" s="166"/>
      <c r="X393" s="166"/>
      <c r="Y393" s="166"/>
      <c r="Z393" s="166"/>
      <c r="AA393" s="166"/>
      <c r="AB393" s="166"/>
      <c r="AC393" s="166"/>
      <c r="AD393" s="166"/>
      <c r="AE393" s="166"/>
      <c r="AF393" s="166"/>
      <c r="AG393" s="166"/>
      <c r="AH393" s="166"/>
      <c r="AI393" s="166"/>
      <c r="AJ393" s="166"/>
      <c r="AK393" s="166"/>
      <c r="AL393" s="166"/>
      <c r="AM393" s="166"/>
      <c r="AN393" s="166"/>
      <c r="AO393" s="166"/>
      <c r="AP393" s="166"/>
      <c r="AQ393" s="166"/>
      <c r="AR393" s="166"/>
    </row>
    <row r="394" customHeight="1" spans="1:44">
      <c r="A394" s="166"/>
      <c r="B394" s="235">
        <v>2470</v>
      </c>
      <c r="C394" s="235" t="str">
        <f>VLOOKUP(B394,ITENS!$B$3:$C$15,2,FALSE)</f>
        <v>CAMISA CHAMPIONS</v>
      </c>
      <c r="D394" s="235" t="s">
        <v>0</v>
      </c>
      <c r="E394" s="235">
        <v>2</v>
      </c>
      <c r="F394" s="235" t="str">
        <f>VLOOKUP(D394,FÓRMULAS!$A$2:$B$5,2,FALSE)</f>
        <v>SAÍDA</v>
      </c>
      <c r="G394" s="236">
        <v>45919</v>
      </c>
      <c r="H394" s="235" t="str">
        <f t="shared" si="210"/>
        <v>sexta-feira</v>
      </c>
      <c r="I394" s="235" t="s">
        <v>54</v>
      </c>
      <c r="J394" s="235">
        <v>1252</v>
      </c>
      <c r="K394" s="256">
        <v>360</v>
      </c>
      <c r="L394" s="256">
        <v>72</v>
      </c>
      <c r="M394" s="256">
        <f t="shared" si="211"/>
        <v>288</v>
      </c>
      <c r="N394" s="256">
        <f t="shared" si="212"/>
        <v>11.52</v>
      </c>
      <c r="O394" s="257">
        <f t="shared" si="213"/>
        <v>9.4752</v>
      </c>
      <c r="P394" s="258" t="s">
        <v>9</v>
      </c>
      <c r="Q394" s="258" t="s">
        <v>55</v>
      </c>
      <c r="R394" s="257">
        <f t="shared" si="214"/>
        <v>267.0048</v>
      </c>
      <c r="S394" s="257">
        <f t="shared" si="215"/>
        <v>133.5024</v>
      </c>
      <c r="T394" s="258" t="s">
        <v>71</v>
      </c>
      <c r="U394" s="257">
        <f t="shared" si="216"/>
        <v>278.5248</v>
      </c>
      <c r="V394" s="235"/>
      <c r="W394" s="166"/>
      <c r="X394" s="166"/>
      <c r="Y394" s="166"/>
      <c r="Z394" s="166"/>
      <c r="AA394" s="166"/>
      <c r="AB394" s="166"/>
      <c r="AC394" s="166"/>
      <c r="AD394" s="166"/>
      <c r="AE394" s="166"/>
      <c r="AF394" s="166"/>
      <c r="AG394" s="166"/>
      <c r="AH394" s="166"/>
      <c r="AI394" s="166"/>
      <c r="AJ394" s="166"/>
      <c r="AK394" s="166"/>
      <c r="AL394" s="166"/>
      <c r="AM394" s="166"/>
      <c r="AN394" s="166"/>
      <c r="AO394" s="166"/>
      <c r="AP394" s="166"/>
      <c r="AQ394" s="166"/>
      <c r="AR394" s="166"/>
    </row>
    <row r="395" customHeight="1" spans="1:44">
      <c r="A395" s="310"/>
      <c r="B395" s="239">
        <v>3007</v>
      </c>
      <c r="C395" s="239" t="str">
        <f>VLOOKUP(B395,ITENS!$B$3:$C$15,2,FALSE)</f>
        <v>CAMISA POLO</v>
      </c>
      <c r="D395" s="239" t="s">
        <v>0</v>
      </c>
      <c r="E395" s="239">
        <v>1</v>
      </c>
      <c r="F395" s="239" t="str">
        <f>VLOOKUP(D395,FÓRMULAS!$A$2:$B$5,2,FALSE)</f>
        <v>SAÍDA</v>
      </c>
      <c r="G395" s="240">
        <v>45920</v>
      </c>
      <c r="H395" s="239" t="str">
        <f t="shared" si="210"/>
        <v>sábado</v>
      </c>
      <c r="I395" s="239" t="s">
        <v>54</v>
      </c>
      <c r="J395" s="239">
        <v>1255</v>
      </c>
      <c r="K395" s="262">
        <v>200</v>
      </c>
      <c r="L395" s="262">
        <v>0</v>
      </c>
      <c r="M395" s="262">
        <f t="shared" si="211"/>
        <v>200</v>
      </c>
      <c r="N395" s="262">
        <f t="shared" si="212"/>
        <v>8</v>
      </c>
      <c r="O395" s="263" t="s">
        <v>6</v>
      </c>
      <c r="P395" s="265" t="s">
        <v>6</v>
      </c>
      <c r="Q395" s="265" t="s">
        <v>6</v>
      </c>
      <c r="R395" s="265" t="s">
        <v>6</v>
      </c>
      <c r="S395" s="265" t="s">
        <v>6</v>
      </c>
      <c r="T395" s="264" t="s">
        <v>6</v>
      </c>
      <c r="U395" s="264" t="s">
        <v>6</v>
      </c>
      <c r="V395" s="239" t="s">
        <v>179</v>
      </c>
      <c r="W395" s="310"/>
      <c r="X395" s="310"/>
      <c r="Y395" s="310"/>
      <c r="Z395" s="310"/>
      <c r="AA395" s="310"/>
      <c r="AB395" s="310"/>
      <c r="AC395" s="310"/>
      <c r="AD395" s="310"/>
      <c r="AE395" s="310"/>
      <c r="AF395" s="310"/>
      <c r="AG395" s="310"/>
      <c r="AH395" s="310"/>
      <c r="AI395" s="310"/>
      <c r="AJ395" s="310"/>
      <c r="AK395" s="310"/>
      <c r="AL395" s="310"/>
      <c r="AM395" s="310"/>
      <c r="AN395" s="310"/>
      <c r="AO395" s="310"/>
      <c r="AP395" s="310"/>
      <c r="AQ395" s="310"/>
      <c r="AR395" s="310"/>
    </row>
    <row r="396" customHeight="1" spans="1:44">
      <c r="A396" s="166"/>
      <c r="B396" s="233">
        <v>2470</v>
      </c>
      <c r="C396" s="233" t="str">
        <f>VLOOKUP(B396,ITENS!$B$3:$C$15,2,FALSE)</f>
        <v>CAMISA CHAMPIONS</v>
      </c>
      <c r="D396" s="233" t="s">
        <v>0</v>
      </c>
      <c r="E396" s="233">
        <v>1</v>
      </c>
      <c r="F396" s="233" t="str">
        <f>VLOOKUP(D396,FÓRMULAS!$A$2:$B$5,2,FALSE)</f>
        <v>SAÍDA</v>
      </c>
      <c r="G396" s="234">
        <v>45920</v>
      </c>
      <c r="H396" s="233" t="str">
        <f t="shared" si="210"/>
        <v>sábado</v>
      </c>
      <c r="I396" s="233" t="s">
        <v>54</v>
      </c>
      <c r="J396" s="233">
        <v>1256</v>
      </c>
      <c r="K396" s="253">
        <v>180</v>
      </c>
      <c r="L396" s="253">
        <v>0</v>
      </c>
      <c r="M396" s="253">
        <f t="shared" si="211"/>
        <v>180</v>
      </c>
      <c r="N396" s="253">
        <f t="shared" si="212"/>
        <v>7.2</v>
      </c>
      <c r="O396" s="254">
        <f>M396*2.9%</f>
        <v>5.22</v>
      </c>
      <c r="P396" s="255" t="s">
        <v>10</v>
      </c>
      <c r="Q396" s="255" t="s">
        <v>55</v>
      </c>
      <c r="R396" s="254">
        <f>M396-N396-O396</f>
        <v>167.58</v>
      </c>
      <c r="S396" s="284">
        <f>R396/E396</f>
        <v>167.58</v>
      </c>
      <c r="T396" s="255" t="s">
        <v>71</v>
      </c>
      <c r="U396" s="254">
        <f>M396/2-O396/2</f>
        <v>87.39</v>
      </c>
      <c r="V396" s="286" t="s">
        <v>180</v>
      </c>
      <c r="W396" s="166"/>
      <c r="X396" s="166"/>
      <c r="Y396" s="166"/>
      <c r="Z396" s="166"/>
      <c r="AA396" s="166"/>
      <c r="AB396" s="166"/>
      <c r="AC396" s="166"/>
      <c r="AD396" s="166"/>
      <c r="AE396" s="166"/>
      <c r="AF396" s="166"/>
      <c r="AG396" s="166"/>
      <c r="AH396" s="166"/>
      <c r="AI396" s="166"/>
      <c r="AJ396" s="166"/>
      <c r="AK396" s="166"/>
      <c r="AL396" s="166"/>
      <c r="AM396" s="166"/>
      <c r="AN396" s="166"/>
      <c r="AO396" s="166"/>
      <c r="AP396" s="166"/>
      <c r="AQ396" s="166"/>
      <c r="AR396" s="166"/>
    </row>
    <row r="397" customHeight="1" spans="1:44">
      <c r="A397" s="16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200"/>
      <c r="T397" s="287" t="s">
        <v>72</v>
      </c>
      <c r="U397" s="289">
        <f>U396</f>
        <v>87.39</v>
      </c>
      <c r="V397" s="201"/>
      <c r="W397" s="166"/>
      <c r="X397" s="166"/>
      <c r="Y397" s="166"/>
      <c r="Z397" s="166"/>
      <c r="AA397" s="166"/>
      <c r="AB397" s="166"/>
      <c r="AC397" s="166"/>
      <c r="AD397" s="166"/>
      <c r="AE397" s="166"/>
      <c r="AF397" s="166"/>
      <c r="AG397" s="166"/>
      <c r="AH397" s="166"/>
      <c r="AI397" s="166"/>
      <c r="AJ397" s="166"/>
      <c r="AK397" s="166"/>
      <c r="AL397" s="166"/>
      <c r="AM397" s="166"/>
      <c r="AN397" s="166"/>
      <c r="AO397" s="166"/>
      <c r="AP397" s="166"/>
      <c r="AQ397" s="166"/>
      <c r="AR397" s="166"/>
    </row>
    <row r="398" customHeight="1" spans="1:44">
      <c r="A398" s="166"/>
      <c r="B398" s="233">
        <v>2470</v>
      </c>
      <c r="C398" s="233" t="str">
        <f>VLOOKUP(B398,ITENS!$B$3:$C$15,2,FALSE)</f>
        <v>CAMISA CHAMPIONS</v>
      </c>
      <c r="D398" s="233" t="s">
        <v>0</v>
      </c>
      <c r="E398" s="233">
        <v>2</v>
      </c>
      <c r="F398" s="233" t="str">
        <f>VLOOKUP(D398,FÓRMULAS!$A$2:$B$5,2,FALSE)</f>
        <v>SAÍDA</v>
      </c>
      <c r="G398" s="234">
        <v>45920</v>
      </c>
      <c r="H398" s="233" t="str">
        <f>TEXT(G398,"dddd")</f>
        <v>sábado</v>
      </c>
      <c r="I398" s="233" t="s">
        <v>54</v>
      </c>
      <c r="J398" s="233">
        <v>1257</v>
      </c>
      <c r="K398" s="253">
        <v>360</v>
      </c>
      <c r="L398" s="253">
        <v>0</v>
      </c>
      <c r="M398" s="253">
        <f>K398-L398</f>
        <v>360</v>
      </c>
      <c r="N398" s="253">
        <f>M398*$C$2</f>
        <v>14.4</v>
      </c>
      <c r="O398" s="254">
        <f>M398*2.9%</f>
        <v>10.44</v>
      </c>
      <c r="P398" s="255" t="s">
        <v>10</v>
      </c>
      <c r="Q398" s="255" t="s">
        <v>55</v>
      </c>
      <c r="R398" s="254">
        <f>M398-N398-O398</f>
        <v>335.16</v>
      </c>
      <c r="S398" s="284">
        <f>R398/E398</f>
        <v>167.58</v>
      </c>
      <c r="T398" s="255" t="s">
        <v>71</v>
      </c>
      <c r="U398" s="254">
        <f>M398/2-O398/2</f>
        <v>174.78</v>
      </c>
      <c r="V398" s="286" t="s">
        <v>180</v>
      </c>
      <c r="W398" s="166"/>
      <c r="X398" s="166"/>
      <c r="Y398" s="166"/>
      <c r="Z398" s="166"/>
      <c r="AA398" s="166"/>
      <c r="AB398" s="166"/>
      <c r="AC398" s="166"/>
      <c r="AD398" s="166"/>
      <c r="AE398" s="166"/>
      <c r="AF398" s="166"/>
      <c r="AG398" s="166"/>
      <c r="AH398" s="166"/>
      <c r="AI398" s="166"/>
      <c r="AJ398" s="166"/>
      <c r="AK398" s="166"/>
      <c r="AL398" s="166"/>
      <c r="AM398" s="166"/>
      <c r="AN398" s="166"/>
      <c r="AO398" s="166"/>
      <c r="AP398" s="166"/>
      <c r="AQ398" s="166"/>
      <c r="AR398" s="166"/>
    </row>
    <row r="399" customHeight="1" spans="1:44">
      <c r="A399" s="16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200"/>
      <c r="T399" s="287" t="s">
        <v>72</v>
      </c>
      <c r="U399" s="289">
        <f>U398</f>
        <v>174.78</v>
      </c>
      <c r="V399" s="201"/>
      <c r="W399" s="166"/>
      <c r="X399" s="166"/>
      <c r="Y399" s="166"/>
      <c r="Z399" s="166"/>
      <c r="AA399" s="166"/>
      <c r="AB399" s="166"/>
      <c r="AC399" s="166"/>
      <c r="AD399" s="166"/>
      <c r="AE399" s="166"/>
      <c r="AF399" s="166"/>
      <c r="AG399" s="166"/>
      <c r="AH399" s="166"/>
      <c r="AI399" s="166"/>
      <c r="AJ399" s="166"/>
      <c r="AK399" s="166"/>
      <c r="AL399" s="166"/>
      <c r="AM399" s="166"/>
      <c r="AN399" s="166"/>
      <c r="AO399" s="166"/>
      <c r="AP399" s="166"/>
      <c r="AQ399" s="166"/>
      <c r="AR399" s="166"/>
    </row>
    <row r="400" customHeight="1" spans="1:44">
      <c r="A400" s="166"/>
      <c r="B400" s="235">
        <v>2470</v>
      </c>
      <c r="C400" s="235" t="str">
        <f>VLOOKUP(B400,ITENS!$B$3:$C$15,2,FALSE)</f>
        <v>CAMISA CHAMPIONS</v>
      </c>
      <c r="D400" s="235" t="s">
        <v>0</v>
      </c>
      <c r="E400" s="235">
        <v>1</v>
      </c>
      <c r="F400" s="235" t="str">
        <f>VLOOKUP(D400,FÓRMULAS!$A$2:$B$5,2,FALSE)</f>
        <v>SAÍDA</v>
      </c>
      <c r="G400" s="236">
        <v>45925</v>
      </c>
      <c r="H400" s="235" t="str">
        <f t="shared" ref="H400:H407" si="217">TEXT(G400,"dddd")</f>
        <v>quinta-feira</v>
      </c>
      <c r="I400" s="235" t="s">
        <v>181</v>
      </c>
      <c r="J400" s="235">
        <v>1258</v>
      </c>
      <c r="K400" s="256">
        <v>180</v>
      </c>
      <c r="L400" s="256">
        <v>36</v>
      </c>
      <c r="M400" s="256">
        <f t="shared" ref="M400:M407" si="218">K400-L400</f>
        <v>144</v>
      </c>
      <c r="N400" s="256">
        <f t="shared" ref="N400:N407" si="219">M400*$C$2</f>
        <v>5.76</v>
      </c>
      <c r="O400" s="257">
        <f>M400*1.65%</f>
        <v>2.376</v>
      </c>
      <c r="P400" s="258" t="s">
        <v>7</v>
      </c>
      <c r="Q400" s="258" t="s">
        <v>55</v>
      </c>
      <c r="R400" s="257">
        <f t="shared" ref="R400:R407" si="220">M400-N400-O400</f>
        <v>135.864</v>
      </c>
      <c r="S400" s="257">
        <f t="shared" ref="S400:S407" si="221">R400/E400</f>
        <v>135.864</v>
      </c>
      <c r="T400" s="258" t="s">
        <v>70</v>
      </c>
      <c r="U400" s="257">
        <f t="shared" ref="U400:U406" si="222">M400-O400</f>
        <v>141.624</v>
      </c>
      <c r="V400" s="235" t="s">
        <v>180</v>
      </c>
      <c r="W400" s="166"/>
      <c r="X400" s="166"/>
      <c r="Y400" s="166"/>
      <c r="Z400" s="166"/>
      <c r="AA400" s="166"/>
      <c r="AB400" s="166"/>
      <c r="AC400" s="166"/>
      <c r="AD400" s="166"/>
      <c r="AE400" s="166"/>
      <c r="AF400" s="166"/>
      <c r="AG400" s="166"/>
      <c r="AH400" s="166"/>
      <c r="AI400" s="166"/>
      <c r="AJ400" s="166"/>
      <c r="AK400" s="166"/>
      <c r="AL400" s="166"/>
      <c r="AM400" s="166"/>
      <c r="AN400" s="166"/>
      <c r="AO400" s="166"/>
      <c r="AP400" s="166"/>
      <c r="AQ400" s="166"/>
      <c r="AR400" s="166"/>
    </row>
    <row r="401" customHeight="1" spans="1:44">
      <c r="A401" s="166"/>
      <c r="B401" s="235">
        <v>2470</v>
      </c>
      <c r="C401" s="235" t="str">
        <f>VLOOKUP(B401,ITENS!$B$3:$C$15,2,FALSE)</f>
        <v>CAMISA CHAMPIONS</v>
      </c>
      <c r="D401" s="235" t="s">
        <v>0</v>
      </c>
      <c r="E401" s="235">
        <v>1</v>
      </c>
      <c r="F401" s="235" t="str">
        <f>VLOOKUP(D401,FÓRMULAS!$A$2:$B$5,2,FALSE)</f>
        <v>SAÍDA</v>
      </c>
      <c r="G401" s="236">
        <v>45926</v>
      </c>
      <c r="H401" s="235" t="str">
        <f t="shared" si="217"/>
        <v>sexta-feira</v>
      </c>
      <c r="I401" s="235" t="s">
        <v>54</v>
      </c>
      <c r="J401" s="235">
        <v>1259</v>
      </c>
      <c r="K401" s="256">
        <v>180</v>
      </c>
      <c r="L401" s="256">
        <v>0</v>
      </c>
      <c r="M401" s="256">
        <f t="shared" si="218"/>
        <v>180</v>
      </c>
      <c r="N401" s="256">
        <f t="shared" si="219"/>
        <v>7.2</v>
      </c>
      <c r="O401" s="257">
        <f>M401*2.71%</f>
        <v>4.878</v>
      </c>
      <c r="P401" s="258" t="s">
        <v>9</v>
      </c>
      <c r="Q401" s="258" t="s">
        <v>55</v>
      </c>
      <c r="R401" s="257">
        <f t="shared" si="220"/>
        <v>167.922</v>
      </c>
      <c r="S401" s="257">
        <f t="shared" si="221"/>
        <v>167.922</v>
      </c>
      <c r="T401" s="258" t="s">
        <v>71</v>
      </c>
      <c r="U401" s="257">
        <f t="shared" si="222"/>
        <v>175.122</v>
      </c>
      <c r="V401" s="235" t="s">
        <v>180</v>
      </c>
      <c r="W401" s="166"/>
      <c r="X401" s="166"/>
      <c r="Y401" s="166"/>
      <c r="Z401" s="166"/>
      <c r="AA401" s="166"/>
      <c r="AB401" s="166"/>
      <c r="AC401" s="166"/>
      <c r="AD401" s="166"/>
      <c r="AE401" s="166"/>
      <c r="AF401" s="166"/>
      <c r="AG401" s="166"/>
      <c r="AH401" s="166"/>
      <c r="AI401" s="166"/>
      <c r="AJ401" s="166"/>
      <c r="AK401" s="166"/>
      <c r="AL401" s="166"/>
      <c r="AM401" s="166"/>
      <c r="AN401" s="166"/>
      <c r="AO401" s="166"/>
      <c r="AP401" s="166"/>
      <c r="AQ401" s="166"/>
      <c r="AR401" s="166"/>
    </row>
    <row r="402" customHeight="1" spans="1:44">
      <c r="A402" s="166"/>
      <c r="B402" s="235">
        <v>2470</v>
      </c>
      <c r="C402" s="235" t="str">
        <f>VLOOKUP(B402,ITENS!$B$3:$C$15,2,FALSE)</f>
        <v>CAMISA CHAMPIONS</v>
      </c>
      <c r="D402" s="235" t="s">
        <v>0</v>
      </c>
      <c r="E402" s="235">
        <v>1</v>
      </c>
      <c r="F402" s="235" t="str">
        <f>VLOOKUP(D402,FÓRMULAS!$A$2:$B$5,2,FALSE)</f>
        <v>SAÍDA</v>
      </c>
      <c r="G402" s="236">
        <v>45926</v>
      </c>
      <c r="H402" s="235" t="str">
        <f t="shared" si="217"/>
        <v>sexta-feira</v>
      </c>
      <c r="I402" s="235" t="s">
        <v>54</v>
      </c>
      <c r="J402" s="235">
        <v>1260</v>
      </c>
      <c r="K402" s="256">
        <v>180</v>
      </c>
      <c r="L402" s="256">
        <v>0</v>
      </c>
      <c r="M402" s="256">
        <f t="shared" si="218"/>
        <v>180</v>
      </c>
      <c r="N402" s="256">
        <f t="shared" si="219"/>
        <v>7.2</v>
      </c>
      <c r="O402" s="257">
        <f>M402*1.65%</f>
        <v>2.97</v>
      </c>
      <c r="P402" s="258" t="s">
        <v>7</v>
      </c>
      <c r="Q402" s="258" t="s">
        <v>55</v>
      </c>
      <c r="R402" s="257">
        <f t="shared" si="220"/>
        <v>169.83</v>
      </c>
      <c r="S402" s="257">
        <f t="shared" si="221"/>
        <v>169.83</v>
      </c>
      <c r="T402" s="258" t="s">
        <v>70</v>
      </c>
      <c r="U402" s="257">
        <f t="shared" si="222"/>
        <v>177.03</v>
      </c>
      <c r="V402" s="235" t="s">
        <v>180</v>
      </c>
      <c r="W402" s="166"/>
      <c r="X402" s="166"/>
      <c r="Y402" s="166"/>
      <c r="Z402" s="166"/>
      <c r="AA402" s="166"/>
      <c r="AB402" s="166"/>
      <c r="AC402" s="166"/>
      <c r="AD402" s="166"/>
      <c r="AE402" s="166"/>
      <c r="AF402" s="166"/>
      <c r="AG402" s="166"/>
      <c r="AH402" s="166"/>
      <c r="AI402" s="166"/>
      <c r="AJ402" s="166"/>
      <c r="AK402" s="166"/>
      <c r="AL402" s="166"/>
      <c r="AM402" s="166"/>
      <c r="AN402" s="166"/>
      <c r="AO402" s="166"/>
      <c r="AP402" s="166"/>
      <c r="AQ402" s="166"/>
      <c r="AR402" s="166"/>
    </row>
    <row r="403" customHeight="1" spans="1:44">
      <c r="A403" s="166"/>
      <c r="B403" s="235">
        <v>2470</v>
      </c>
      <c r="C403" s="235" t="str">
        <f>VLOOKUP(B403,ITENS!$B$3:$C$15,2,FALSE)</f>
        <v>CAMISA CHAMPIONS</v>
      </c>
      <c r="D403" s="235" t="s">
        <v>0</v>
      </c>
      <c r="E403" s="235">
        <v>2</v>
      </c>
      <c r="F403" s="235" t="str">
        <f>VLOOKUP(D403,FÓRMULAS!$A$2:$B$5,2,FALSE)</f>
        <v>SAÍDA</v>
      </c>
      <c r="G403" s="236">
        <v>45927</v>
      </c>
      <c r="H403" s="235" t="str">
        <f t="shared" si="217"/>
        <v>sábado</v>
      </c>
      <c r="I403" s="235" t="s">
        <v>54</v>
      </c>
      <c r="J403" s="235">
        <v>1261</v>
      </c>
      <c r="K403" s="256">
        <v>360</v>
      </c>
      <c r="L403" s="256">
        <v>0</v>
      </c>
      <c r="M403" s="256">
        <f t="shared" si="218"/>
        <v>360</v>
      </c>
      <c r="N403" s="256">
        <f t="shared" si="219"/>
        <v>14.4</v>
      </c>
      <c r="O403" s="257">
        <f>M403*0.75%</f>
        <v>2.7</v>
      </c>
      <c r="P403" s="258" t="s">
        <v>5</v>
      </c>
      <c r="Q403" s="258" t="s">
        <v>6</v>
      </c>
      <c r="R403" s="257">
        <f t="shared" si="220"/>
        <v>342.9</v>
      </c>
      <c r="S403" s="257">
        <f t="shared" si="221"/>
        <v>171.45</v>
      </c>
      <c r="T403" s="258" t="s">
        <v>70</v>
      </c>
      <c r="U403" s="257">
        <f t="shared" si="222"/>
        <v>357.3</v>
      </c>
      <c r="V403" s="235" t="s">
        <v>180</v>
      </c>
      <c r="W403" s="166"/>
      <c r="X403" s="166"/>
      <c r="Y403" s="166"/>
      <c r="Z403" s="166"/>
      <c r="AA403" s="166"/>
      <c r="AB403" s="166"/>
      <c r="AC403" s="166"/>
      <c r="AD403" s="166"/>
      <c r="AE403" s="166"/>
      <c r="AF403" s="166"/>
      <c r="AG403" s="166"/>
      <c r="AH403" s="166"/>
      <c r="AI403" s="166"/>
      <c r="AJ403" s="166"/>
      <c r="AK403" s="166"/>
      <c r="AL403" s="166"/>
      <c r="AM403" s="166"/>
      <c r="AN403" s="166"/>
      <c r="AO403" s="166"/>
      <c r="AP403" s="166"/>
      <c r="AQ403" s="166"/>
      <c r="AR403" s="166"/>
    </row>
    <row r="404" customHeight="1" spans="1:44">
      <c r="A404" s="166"/>
      <c r="B404" s="235">
        <v>2470</v>
      </c>
      <c r="C404" s="235" t="str">
        <f>VLOOKUP(B404,ITENS!$B$3:$C$15,2,FALSE)</f>
        <v>CAMISA CHAMPIONS</v>
      </c>
      <c r="D404" s="235" t="s">
        <v>0</v>
      </c>
      <c r="E404" s="235">
        <v>1</v>
      </c>
      <c r="F404" s="235" t="str">
        <f>VLOOKUP(D404,FÓRMULAS!$A$2:$B$5,2,FALSE)</f>
        <v>SAÍDA</v>
      </c>
      <c r="G404" s="236">
        <v>45927</v>
      </c>
      <c r="H404" s="235" t="str">
        <f t="shared" si="217"/>
        <v>sábado</v>
      </c>
      <c r="I404" s="235" t="s">
        <v>54</v>
      </c>
      <c r="J404" s="235">
        <v>1262</v>
      </c>
      <c r="K404" s="256">
        <v>180</v>
      </c>
      <c r="L404" s="256">
        <v>80</v>
      </c>
      <c r="M404" s="256">
        <f t="shared" si="218"/>
        <v>100</v>
      </c>
      <c r="N404" s="256">
        <f t="shared" si="219"/>
        <v>4</v>
      </c>
      <c r="O404" s="257">
        <f t="shared" ref="O404:O406" si="223">M404*1.65%</f>
        <v>1.65</v>
      </c>
      <c r="P404" s="258" t="s">
        <v>7</v>
      </c>
      <c r="Q404" s="258" t="s">
        <v>55</v>
      </c>
      <c r="R404" s="257">
        <f t="shared" si="220"/>
        <v>94.35</v>
      </c>
      <c r="S404" s="257">
        <f t="shared" si="221"/>
        <v>94.35</v>
      </c>
      <c r="T404" s="258" t="s">
        <v>70</v>
      </c>
      <c r="U404" s="257">
        <f t="shared" si="222"/>
        <v>98.35</v>
      </c>
      <c r="V404" s="235" t="s">
        <v>180</v>
      </c>
      <c r="W404" s="166"/>
      <c r="X404" s="166"/>
      <c r="Y404" s="166"/>
      <c r="Z404" s="166"/>
      <c r="AA404" s="166"/>
      <c r="AB404" s="166"/>
      <c r="AC404" s="166"/>
      <c r="AD404" s="166"/>
      <c r="AE404" s="166"/>
      <c r="AF404" s="166"/>
      <c r="AG404" s="166"/>
      <c r="AH404" s="166"/>
      <c r="AI404" s="166"/>
      <c r="AJ404" s="166"/>
      <c r="AK404" s="166"/>
      <c r="AL404" s="166"/>
      <c r="AM404" s="166"/>
      <c r="AN404" s="166"/>
      <c r="AO404" s="166"/>
      <c r="AP404" s="166"/>
      <c r="AQ404" s="166"/>
      <c r="AR404" s="166"/>
    </row>
    <row r="405" customHeight="1" spans="1:44">
      <c r="A405" s="166"/>
      <c r="B405" s="235">
        <v>2470</v>
      </c>
      <c r="C405" s="235" t="str">
        <f>VLOOKUP(B405,ITENS!$B$3:$C$15,2,FALSE)</f>
        <v>CAMISA CHAMPIONS</v>
      </c>
      <c r="D405" s="235" t="s">
        <v>0</v>
      </c>
      <c r="E405" s="235">
        <v>1</v>
      </c>
      <c r="F405" s="235" t="str">
        <f>VLOOKUP(D405,FÓRMULAS!$A$2:$B$5,2,FALSE)</f>
        <v>SAÍDA</v>
      </c>
      <c r="G405" s="236">
        <v>45928</v>
      </c>
      <c r="H405" s="235" t="str">
        <f t="shared" si="217"/>
        <v>domingo</v>
      </c>
      <c r="I405" s="235" t="s">
        <v>54</v>
      </c>
      <c r="J405" s="235">
        <v>1263</v>
      </c>
      <c r="K405" s="256">
        <v>180</v>
      </c>
      <c r="L405" s="256">
        <v>0</v>
      </c>
      <c r="M405" s="256">
        <f t="shared" si="218"/>
        <v>180</v>
      </c>
      <c r="N405" s="256">
        <f t="shared" si="219"/>
        <v>7.2</v>
      </c>
      <c r="O405" s="257">
        <f t="shared" si="223"/>
        <v>2.97</v>
      </c>
      <c r="P405" s="258" t="s">
        <v>7</v>
      </c>
      <c r="Q405" s="258" t="s">
        <v>55</v>
      </c>
      <c r="R405" s="257">
        <f t="shared" si="220"/>
        <v>169.83</v>
      </c>
      <c r="S405" s="257">
        <f t="shared" si="221"/>
        <v>169.83</v>
      </c>
      <c r="T405" s="258" t="s">
        <v>70</v>
      </c>
      <c r="U405" s="257">
        <f t="shared" si="222"/>
        <v>177.03</v>
      </c>
      <c r="V405" s="235" t="s">
        <v>180</v>
      </c>
      <c r="W405" s="166"/>
      <c r="X405" s="166"/>
      <c r="Y405" s="166"/>
      <c r="Z405" s="166"/>
      <c r="AA405" s="166"/>
      <c r="AB405" s="166"/>
      <c r="AC405" s="166"/>
      <c r="AD405" s="166"/>
      <c r="AE405" s="166"/>
      <c r="AF405" s="166"/>
      <c r="AG405" s="166"/>
      <c r="AH405" s="166"/>
      <c r="AI405" s="166"/>
      <c r="AJ405" s="166"/>
      <c r="AK405" s="166"/>
      <c r="AL405" s="166"/>
      <c r="AM405" s="166"/>
      <c r="AN405" s="166"/>
      <c r="AO405" s="166"/>
      <c r="AP405" s="166"/>
      <c r="AQ405" s="166"/>
      <c r="AR405" s="166"/>
    </row>
    <row r="406" customHeight="1" spans="1:44">
      <c r="A406" s="166"/>
      <c r="B406" s="235">
        <v>2470</v>
      </c>
      <c r="C406" s="235" t="str">
        <f>VLOOKUP(B406,ITENS!$B$3:$C$15,2,FALSE)</f>
        <v>CAMISA CHAMPIONS</v>
      </c>
      <c r="D406" s="235" t="s">
        <v>0</v>
      </c>
      <c r="E406" s="235">
        <v>1</v>
      </c>
      <c r="F406" s="235" t="str">
        <f>VLOOKUP(D406,FÓRMULAS!$A$2:$B$5,2,FALSE)</f>
        <v>SAÍDA</v>
      </c>
      <c r="G406" s="236">
        <v>45928</v>
      </c>
      <c r="H406" s="235" t="str">
        <f t="shared" si="217"/>
        <v>domingo</v>
      </c>
      <c r="I406" s="235" t="s">
        <v>54</v>
      </c>
      <c r="J406" s="235">
        <v>1264</v>
      </c>
      <c r="K406" s="256">
        <v>180</v>
      </c>
      <c r="L406" s="256">
        <v>0</v>
      </c>
      <c r="M406" s="256">
        <f t="shared" si="218"/>
        <v>180</v>
      </c>
      <c r="N406" s="256">
        <f t="shared" si="219"/>
        <v>7.2</v>
      </c>
      <c r="O406" s="257">
        <f t="shared" si="223"/>
        <v>2.97</v>
      </c>
      <c r="P406" s="258" t="s">
        <v>7</v>
      </c>
      <c r="Q406" s="258" t="s">
        <v>55</v>
      </c>
      <c r="R406" s="257">
        <f t="shared" si="220"/>
        <v>169.83</v>
      </c>
      <c r="S406" s="257">
        <f t="shared" si="221"/>
        <v>169.83</v>
      </c>
      <c r="T406" s="258" t="s">
        <v>70</v>
      </c>
      <c r="U406" s="257">
        <f t="shared" si="222"/>
        <v>177.03</v>
      </c>
      <c r="V406" s="235" t="s">
        <v>180</v>
      </c>
      <c r="W406" s="166"/>
      <c r="X406" s="166"/>
      <c r="Y406" s="166"/>
      <c r="Z406" s="166"/>
      <c r="AA406" s="166"/>
      <c r="AB406" s="166"/>
      <c r="AC406" s="166"/>
      <c r="AD406" s="166"/>
      <c r="AE406" s="166"/>
      <c r="AF406" s="166"/>
      <c r="AG406" s="166"/>
      <c r="AH406" s="166"/>
      <c r="AI406" s="166"/>
      <c r="AJ406" s="166"/>
      <c r="AK406" s="166"/>
      <c r="AL406" s="166"/>
      <c r="AM406" s="166"/>
      <c r="AN406" s="166"/>
      <c r="AO406" s="166"/>
      <c r="AP406" s="166"/>
      <c r="AQ406" s="166"/>
      <c r="AR406" s="166"/>
    </row>
    <row r="407" customHeight="1" spans="1:44">
      <c r="A407" s="166"/>
      <c r="B407" s="233">
        <v>2470</v>
      </c>
      <c r="C407" s="233" t="str">
        <f>VLOOKUP(B407,ITENS!$B$3:$C$15,2,FALSE)</f>
        <v>CAMISA CHAMPIONS</v>
      </c>
      <c r="D407" s="233" t="s">
        <v>0</v>
      </c>
      <c r="E407" s="233">
        <v>1</v>
      </c>
      <c r="F407" s="233" t="str">
        <f>VLOOKUP(D407,FÓRMULAS!$A$2:$B$5,2,FALSE)</f>
        <v>SAÍDA</v>
      </c>
      <c r="G407" s="234">
        <v>45928</v>
      </c>
      <c r="H407" s="233" t="str">
        <f t="shared" si="217"/>
        <v>domingo</v>
      </c>
      <c r="I407" s="233" t="s">
        <v>54</v>
      </c>
      <c r="J407" s="233">
        <v>1265</v>
      </c>
      <c r="K407" s="253">
        <v>180</v>
      </c>
      <c r="L407" s="253">
        <v>0</v>
      </c>
      <c r="M407" s="253">
        <f t="shared" si="218"/>
        <v>180</v>
      </c>
      <c r="N407" s="253">
        <f t="shared" si="219"/>
        <v>7.2</v>
      </c>
      <c r="O407" s="254">
        <f>M407*2.9%</f>
        <v>5.22</v>
      </c>
      <c r="P407" s="255" t="s">
        <v>10</v>
      </c>
      <c r="Q407" s="255" t="s">
        <v>55</v>
      </c>
      <c r="R407" s="254">
        <f t="shared" si="220"/>
        <v>167.58</v>
      </c>
      <c r="S407" s="284">
        <f t="shared" si="221"/>
        <v>167.58</v>
      </c>
      <c r="T407" s="255" t="s">
        <v>71</v>
      </c>
      <c r="U407" s="254">
        <f>M407/2-O407/2</f>
        <v>87.39</v>
      </c>
      <c r="V407" s="233" t="s">
        <v>180</v>
      </c>
      <c r="W407" s="166"/>
      <c r="X407" s="166"/>
      <c r="Y407" s="166"/>
      <c r="Z407" s="166"/>
      <c r="AA407" s="166"/>
      <c r="AB407" s="166"/>
      <c r="AC407" s="166"/>
      <c r="AD407" s="166"/>
      <c r="AE407" s="166"/>
      <c r="AF407" s="166"/>
      <c r="AG407" s="166"/>
      <c r="AH407" s="166"/>
      <c r="AI407" s="166"/>
      <c r="AJ407" s="166"/>
      <c r="AK407" s="166"/>
      <c r="AL407" s="166"/>
      <c r="AM407" s="166"/>
      <c r="AN407" s="166"/>
      <c r="AO407" s="166"/>
      <c r="AP407" s="166"/>
      <c r="AQ407" s="166"/>
      <c r="AR407" s="166"/>
    </row>
    <row r="408" customHeight="1" spans="1:44">
      <c r="A408" s="16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200"/>
      <c r="T408" s="287" t="s">
        <v>72</v>
      </c>
      <c r="U408" s="289">
        <f>U407</f>
        <v>87.39</v>
      </c>
      <c r="V408" s="16"/>
      <c r="W408" s="166"/>
      <c r="X408" s="166"/>
      <c r="Y408" s="166"/>
      <c r="Z408" s="166"/>
      <c r="AA408" s="166"/>
      <c r="AB408" s="166"/>
      <c r="AC408" s="166"/>
      <c r="AD408" s="166"/>
      <c r="AE408" s="166"/>
      <c r="AF408" s="166"/>
      <c r="AG408" s="166"/>
      <c r="AH408" s="166"/>
      <c r="AI408" s="166"/>
      <c r="AJ408" s="166"/>
      <c r="AK408" s="166"/>
      <c r="AL408" s="166"/>
      <c r="AM408" s="166"/>
      <c r="AN408" s="166"/>
      <c r="AO408" s="166"/>
      <c r="AP408" s="166"/>
      <c r="AQ408" s="166"/>
      <c r="AR408" s="166"/>
    </row>
    <row r="409" customHeight="1" spans="1:44">
      <c r="A409" s="166"/>
      <c r="B409" s="233">
        <v>2470</v>
      </c>
      <c r="C409" s="233" t="str">
        <f>VLOOKUP(B409,ITENS!$B$3:$C$15,2,FALSE)</f>
        <v>CAMISA CHAMPIONS</v>
      </c>
      <c r="D409" s="233" t="s">
        <v>0</v>
      </c>
      <c r="E409" s="233">
        <v>1</v>
      </c>
      <c r="F409" s="233" t="str">
        <f>VLOOKUP(D409,FÓRMULAS!$A$2:$B$5,2,FALSE)</f>
        <v>SAÍDA</v>
      </c>
      <c r="G409" s="234">
        <v>45928</v>
      </c>
      <c r="H409" s="233" t="str">
        <f>TEXT(G409,"dddd")</f>
        <v>domingo</v>
      </c>
      <c r="I409" s="233" t="s">
        <v>54</v>
      </c>
      <c r="J409" s="233">
        <v>1266</v>
      </c>
      <c r="K409" s="253">
        <v>180</v>
      </c>
      <c r="L409" s="253">
        <v>0</v>
      </c>
      <c r="M409" s="253">
        <f>K409-L409</f>
        <v>180</v>
      </c>
      <c r="N409" s="253">
        <f>M409*$C$2</f>
        <v>7.2</v>
      </c>
      <c r="O409" s="254">
        <f>M409*2.9%</f>
        <v>5.22</v>
      </c>
      <c r="P409" s="255" t="s">
        <v>10</v>
      </c>
      <c r="Q409" s="255" t="s">
        <v>62</v>
      </c>
      <c r="R409" s="254">
        <f>M409-N409-O409</f>
        <v>167.58</v>
      </c>
      <c r="S409" s="284">
        <f>R409/E409</f>
        <v>167.58</v>
      </c>
      <c r="T409" s="255" t="s">
        <v>71</v>
      </c>
      <c r="U409" s="254">
        <f>M409/2-O409/2</f>
        <v>87.39</v>
      </c>
      <c r="V409" s="233" t="s">
        <v>180</v>
      </c>
      <c r="W409" s="166"/>
      <c r="X409" s="166"/>
      <c r="Y409" s="166"/>
      <c r="Z409" s="166"/>
      <c r="AA409" s="166"/>
      <c r="AB409" s="166"/>
      <c r="AC409" s="166"/>
      <c r="AD409" s="166"/>
      <c r="AE409" s="166"/>
      <c r="AF409" s="166"/>
      <c r="AG409" s="166"/>
      <c r="AH409" s="166"/>
      <c r="AI409" s="166"/>
      <c r="AJ409" s="166"/>
      <c r="AK409" s="166"/>
      <c r="AL409" s="166"/>
      <c r="AM409" s="166"/>
      <c r="AN409" s="166"/>
      <c r="AO409" s="166"/>
      <c r="AP409" s="166"/>
      <c r="AQ409" s="166"/>
      <c r="AR409" s="166"/>
    </row>
    <row r="410" customHeight="1" spans="1:44">
      <c r="A410" s="16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200"/>
      <c r="T410" s="287" t="s">
        <v>72</v>
      </c>
      <c r="U410" s="289">
        <f>U409</f>
        <v>87.39</v>
      </c>
      <c r="V410" s="16"/>
      <c r="W410" s="166"/>
      <c r="X410" s="166"/>
      <c r="Y410" s="166"/>
      <c r="Z410" s="166"/>
      <c r="AA410" s="166"/>
      <c r="AB410" s="166"/>
      <c r="AC410" s="166"/>
      <c r="AD410" s="166"/>
      <c r="AE410" s="166"/>
      <c r="AF410" s="166"/>
      <c r="AG410" s="166"/>
      <c r="AH410" s="166"/>
      <c r="AI410" s="166"/>
      <c r="AJ410" s="166"/>
      <c r="AK410" s="166"/>
      <c r="AL410" s="166"/>
      <c r="AM410" s="166"/>
      <c r="AN410" s="166"/>
      <c r="AO410" s="166"/>
      <c r="AP410" s="166"/>
      <c r="AQ410" s="166"/>
      <c r="AR410" s="166"/>
    </row>
    <row r="411" customHeight="1" spans="1:44">
      <c r="A411" s="166"/>
      <c r="B411" s="235">
        <v>2470</v>
      </c>
      <c r="C411" s="235" t="str">
        <f>VLOOKUP(B411,ITENS!$B$3:$C$15,2,FALSE)</f>
        <v>CAMISA CHAMPIONS</v>
      </c>
      <c r="D411" s="235" t="s">
        <v>0</v>
      </c>
      <c r="E411" s="235">
        <v>1</v>
      </c>
      <c r="F411" s="235" t="str">
        <f>VLOOKUP(D411,FÓRMULAS!$A$2:$B$5,2,FALSE)</f>
        <v>SAÍDA</v>
      </c>
      <c r="G411" s="236">
        <v>45929</v>
      </c>
      <c r="H411" s="235" t="str">
        <f>TEXT(G411,"dddd")</f>
        <v>segunda-feira</v>
      </c>
      <c r="I411" s="235" t="s">
        <v>54</v>
      </c>
      <c r="J411" s="235">
        <v>1267</v>
      </c>
      <c r="K411" s="256">
        <v>180</v>
      </c>
      <c r="L411" s="256">
        <v>80</v>
      </c>
      <c r="M411" s="256">
        <f>K411-L411</f>
        <v>100</v>
      </c>
      <c r="N411" s="256">
        <f>M411*$C$2</f>
        <v>4</v>
      </c>
      <c r="O411" s="257">
        <f>M411*0.75%</f>
        <v>0.75</v>
      </c>
      <c r="P411" s="258" t="s">
        <v>5</v>
      </c>
      <c r="Q411" s="258" t="s">
        <v>6</v>
      </c>
      <c r="R411" s="257">
        <f>M411-N411-O411</f>
        <v>95.25</v>
      </c>
      <c r="S411" s="257">
        <f>R411/E411</f>
        <v>95.25</v>
      </c>
      <c r="T411" s="258" t="s">
        <v>70</v>
      </c>
      <c r="U411" s="257">
        <f>M411-O411</f>
        <v>99.25</v>
      </c>
      <c r="V411" s="235" t="s">
        <v>180</v>
      </c>
      <c r="W411" s="166"/>
      <c r="X411" s="166"/>
      <c r="Y411" s="166"/>
      <c r="Z411" s="166"/>
      <c r="AA411" s="166"/>
      <c r="AB411" s="166"/>
      <c r="AC411" s="166"/>
      <c r="AD411" s="166"/>
      <c r="AE411" s="166"/>
      <c r="AF411" s="166"/>
      <c r="AG411" s="166"/>
      <c r="AH411" s="166"/>
      <c r="AI411" s="166"/>
      <c r="AJ411" s="166"/>
      <c r="AK411" s="166"/>
      <c r="AL411" s="166"/>
      <c r="AM411" s="166"/>
      <c r="AN411" s="166"/>
      <c r="AO411" s="166"/>
      <c r="AP411" s="166"/>
      <c r="AQ411" s="166"/>
      <c r="AR411" s="166"/>
    </row>
    <row r="412" customHeight="1" spans="1:44">
      <c r="A412" s="82"/>
      <c r="B412" s="24"/>
      <c r="C412" s="24"/>
      <c r="D412" s="24"/>
      <c r="E412" s="24"/>
      <c r="F412" s="24"/>
      <c r="G412" s="129"/>
      <c r="H412" s="24"/>
      <c r="I412" s="24"/>
      <c r="J412" s="24"/>
      <c r="K412" s="24"/>
      <c r="L412" s="26"/>
      <c r="M412" s="26"/>
      <c r="N412" s="26"/>
      <c r="O412" s="142"/>
      <c r="P412" s="149"/>
      <c r="Q412" s="149"/>
      <c r="R412" s="149"/>
      <c r="S412" s="149"/>
      <c r="T412" s="149"/>
      <c r="U412" s="149"/>
      <c r="V412" s="24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</row>
    <row r="413" customHeight="1" spans="1:44">
      <c r="A413" s="82"/>
      <c r="B413" s="24"/>
      <c r="C413" s="24"/>
      <c r="D413" s="24"/>
      <c r="E413" s="24"/>
      <c r="F413" s="24"/>
      <c r="G413" s="129"/>
      <c r="H413" s="24"/>
      <c r="I413" s="24"/>
      <c r="J413" s="24"/>
      <c r="K413" s="24"/>
      <c r="L413" s="26"/>
      <c r="M413" s="26"/>
      <c r="N413" s="26"/>
      <c r="O413" s="142"/>
      <c r="P413" s="149"/>
      <c r="Q413" s="149"/>
      <c r="R413" s="149"/>
      <c r="S413" s="149"/>
      <c r="T413" s="149"/>
      <c r="U413" s="149"/>
      <c r="V413" s="24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</row>
    <row r="414" customHeight="1" spans="1:44">
      <c r="A414" s="82"/>
      <c r="B414" s="24"/>
      <c r="C414" s="24"/>
      <c r="D414" s="24"/>
      <c r="E414" s="24"/>
      <c r="F414" s="24"/>
      <c r="G414" s="129"/>
      <c r="H414" s="24"/>
      <c r="I414" s="24"/>
      <c r="J414" s="24"/>
      <c r="K414" s="24"/>
      <c r="L414" s="26"/>
      <c r="M414" s="26"/>
      <c r="N414" s="26"/>
      <c r="O414" s="142"/>
      <c r="P414" s="149"/>
      <c r="Q414" s="149"/>
      <c r="R414" s="149"/>
      <c r="S414" s="149"/>
      <c r="T414" s="149"/>
      <c r="U414" s="149"/>
      <c r="V414" s="24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</row>
    <row r="415" customHeight="1" spans="1:44">
      <c r="A415" s="82"/>
      <c r="B415" s="24"/>
      <c r="C415" s="24"/>
      <c r="D415" s="24"/>
      <c r="E415" s="24"/>
      <c r="F415" s="24"/>
      <c r="G415" s="129"/>
      <c r="H415" s="24"/>
      <c r="I415" s="24"/>
      <c r="J415" s="24"/>
      <c r="K415" s="24"/>
      <c r="L415" s="26"/>
      <c r="M415" s="26"/>
      <c r="N415" s="26"/>
      <c r="O415" s="142"/>
      <c r="P415" s="149"/>
      <c r="Q415" s="149"/>
      <c r="R415" s="149"/>
      <c r="S415" s="149"/>
      <c r="T415" s="149"/>
      <c r="U415" s="149"/>
      <c r="V415" s="24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</row>
    <row r="416" customHeight="1" spans="1:44">
      <c r="A416" s="82"/>
      <c r="B416" s="24"/>
      <c r="C416" s="24"/>
      <c r="D416" s="24"/>
      <c r="E416" s="24"/>
      <c r="F416" s="24"/>
      <c r="G416" s="129"/>
      <c r="H416" s="24"/>
      <c r="I416" s="24"/>
      <c r="J416" s="24"/>
      <c r="K416" s="24"/>
      <c r="L416" s="26"/>
      <c r="M416" s="26"/>
      <c r="N416" s="26"/>
      <c r="O416" s="142"/>
      <c r="P416" s="149"/>
      <c r="Q416" s="149"/>
      <c r="R416" s="149"/>
      <c r="S416" s="149"/>
      <c r="T416" s="149"/>
      <c r="U416" s="149"/>
      <c r="V416" s="24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</row>
    <row r="417" customHeight="1" spans="1:44">
      <c r="A417" s="82"/>
      <c r="B417" s="24"/>
      <c r="C417" s="24"/>
      <c r="D417" s="24"/>
      <c r="E417" s="24"/>
      <c r="F417" s="24"/>
      <c r="G417" s="129"/>
      <c r="H417" s="24"/>
      <c r="I417" s="24"/>
      <c r="J417" s="24"/>
      <c r="K417" s="24"/>
      <c r="L417" s="26"/>
      <c r="M417" s="26"/>
      <c r="N417" s="26"/>
      <c r="O417" s="142"/>
      <c r="P417" s="149"/>
      <c r="Q417" s="149"/>
      <c r="R417" s="149"/>
      <c r="S417" s="149"/>
      <c r="T417" s="149"/>
      <c r="U417" s="149"/>
      <c r="V417" s="24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</row>
    <row r="418" customHeight="1" spans="1:44">
      <c r="A418" s="82"/>
      <c r="B418" s="24"/>
      <c r="C418" s="24"/>
      <c r="D418" s="24"/>
      <c r="E418" s="24"/>
      <c r="F418" s="24"/>
      <c r="G418" s="129"/>
      <c r="H418" s="24"/>
      <c r="I418" s="24"/>
      <c r="J418" s="24"/>
      <c r="K418" s="24"/>
      <c r="L418" s="26"/>
      <c r="M418" s="26"/>
      <c r="N418" s="26"/>
      <c r="O418" s="142"/>
      <c r="P418" s="149"/>
      <c r="Q418" s="149"/>
      <c r="R418" s="149"/>
      <c r="S418" s="149"/>
      <c r="T418" s="149"/>
      <c r="U418" s="149"/>
      <c r="V418" s="24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</row>
    <row r="419" customHeight="1" spans="1:44">
      <c r="A419" s="82"/>
      <c r="B419" s="24"/>
      <c r="C419" s="24"/>
      <c r="D419" s="24"/>
      <c r="E419" s="24"/>
      <c r="F419" s="24"/>
      <c r="G419" s="129"/>
      <c r="H419" s="24"/>
      <c r="I419" s="24"/>
      <c r="J419" s="24"/>
      <c r="K419" s="24"/>
      <c r="L419" s="26"/>
      <c r="M419" s="26"/>
      <c r="N419" s="26"/>
      <c r="O419" s="142"/>
      <c r="P419" s="149"/>
      <c r="Q419" s="149"/>
      <c r="R419" s="149"/>
      <c r="S419" s="149"/>
      <c r="T419" s="149"/>
      <c r="U419" s="149"/>
      <c r="V419" s="24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</row>
    <row r="420" customHeight="1" spans="1:44">
      <c r="A420" s="82"/>
      <c r="B420" s="24"/>
      <c r="C420" s="24"/>
      <c r="D420" s="24"/>
      <c r="E420" s="24"/>
      <c r="F420" s="24"/>
      <c r="G420" s="129"/>
      <c r="H420" s="24"/>
      <c r="I420" s="24"/>
      <c r="J420" s="24"/>
      <c r="K420" s="24"/>
      <c r="L420" s="26"/>
      <c r="M420" s="26"/>
      <c r="N420" s="26"/>
      <c r="O420" s="142"/>
      <c r="P420" s="149"/>
      <c r="Q420" s="149"/>
      <c r="R420" s="149"/>
      <c r="S420" s="149"/>
      <c r="T420" s="149"/>
      <c r="U420" s="149"/>
      <c r="V420" s="24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</row>
    <row r="421" customHeight="1" spans="1:44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  <c r="AB421" s="166"/>
      <c r="AC421" s="166"/>
      <c r="AD421" s="166"/>
      <c r="AE421" s="166"/>
      <c r="AF421" s="166"/>
      <c r="AG421" s="166"/>
      <c r="AH421" s="166"/>
      <c r="AI421" s="166"/>
      <c r="AJ421" s="166"/>
      <c r="AK421" s="166"/>
      <c r="AL421" s="166"/>
      <c r="AM421" s="166"/>
      <c r="AN421" s="166"/>
      <c r="AO421" s="166"/>
      <c r="AP421" s="166"/>
      <c r="AQ421" s="166"/>
      <c r="AR421" s="166"/>
    </row>
    <row r="422" customHeight="1" spans="1:44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  <c r="AB422" s="166"/>
      <c r="AC422" s="166"/>
      <c r="AD422" s="166"/>
      <c r="AE422" s="166"/>
      <c r="AF422" s="166"/>
      <c r="AG422" s="166"/>
      <c r="AH422" s="166"/>
      <c r="AI422" s="166"/>
      <c r="AJ422" s="166"/>
      <c r="AK422" s="166"/>
      <c r="AL422" s="166"/>
      <c r="AM422" s="166"/>
      <c r="AN422" s="166"/>
      <c r="AO422" s="166"/>
      <c r="AP422" s="166"/>
      <c r="AQ422" s="166"/>
      <c r="AR422" s="166"/>
    </row>
    <row r="423" customHeight="1" spans="1:44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  <c r="AB423" s="166"/>
      <c r="AC423" s="166"/>
      <c r="AD423" s="166"/>
      <c r="AE423" s="166"/>
      <c r="AF423" s="166"/>
      <c r="AG423" s="166"/>
      <c r="AH423" s="166"/>
      <c r="AI423" s="166"/>
      <c r="AJ423" s="166"/>
      <c r="AK423" s="166"/>
      <c r="AL423" s="166"/>
      <c r="AM423" s="166"/>
      <c r="AN423" s="166"/>
      <c r="AO423" s="166"/>
      <c r="AP423" s="166"/>
      <c r="AQ423" s="166"/>
      <c r="AR423" s="166"/>
    </row>
    <row r="424" customHeight="1" spans="1:44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  <c r="AB424" s="166"/>
      <c r="AC424" s="166"/>
      <c r="AD424" s="166"/>
      <c r="AE424" s="166"/>
      <c r="AF424" s="166"/>
      <c r="AG424" s="166"/>
      <c r="AH424" s="166"/>
      <c r="AI424" s="166"/>
      <c r="AJ424" s="166"/>
      <c r="AK424" s="166"/>
      <c r="AL424" s="166"/>
      <c r="AM424" s="166"/>
      <c r="AN424" s="166"/>
      <c r="AO424" s="166"/>
      <c r="AP424" s="166"/>
      <c r="AQ424" s="166"/>
      <c r="AR424" s="166"/>
    </row>
    <row r="425" customHeight="1" spans="1:44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  <c r="AB425" s="166"/>
      <c r="AC425" s="166"/>
      <c r="AD425" s="166"/>
      <c r="AE425" s="166"/>
      <c r="AF425" s="166"/>
      <c r="AG425" s="166"/>
      <c r="AH425" s="166"/>
      <c r="AI425" s="166"/>
      <c r="AJ425" s="166"/>
      <c r="AK425" s="166"/>
      <c r="AL425" s="166"/>
      <c r="AM425" s="166"/>
      <c r="AN425" s="166"/>
      <c r="AO425" s="166"/>
      <c r="AP425" s="166"/>
      <c r="AQ425" s="166"/>
      <c r="AR425" s="166"/>
    </row>
    <row r="426" customHeight="1" spans="1:44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  <c r="AB426" s="166"/>
      <c r="AC426" s="166"/>
      <c r="AD426" s="166"/>
      <c r="AE426" s="166"/>
      <c r="AF426" s="166"/>
      <c r="AG426" s="166"/>
      <c r="AH426" s="166"/>
      <c r="AI426" s="166"/>
      <c r="AJ426" s="166"/>
      <c r="AK426" s="166"/>
      <c r="AL426" s="166"/>
      <c r="AM426" s="166"/>
      <c r="AN426" s="166"/>
      <c r="AO426" s="166"/>
      <c r="AP426" s="166"/>
      <c r="AQ426" s="166"/>
      <c r="AR426" s="166"/>
    </row>
    <row r="427" customHeight="1" spans="1:44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  <c r="AB427" s="166"/>
      <c r="AC427" s="166"/>
      <c r="AD427" s="166"/>
      <c r="AE427" s="166"/>
      <c r="AF427" s="166"/>
      <c r="AG427" s="166"/>
      <c r="AH427" s="166"/>
      <c r="AI427" s="166"/>
      <c r="AJ427" s="166"/>
      <c r="AK427" s="166"/>
      <c r="AL427" s="166"/>
      <c r="AM427" s="166"/>
      <c r="AN427" s="166"/>
      <c r="AO427" s="166"/>
      <c r="AP427" s="166"/>
      <c r="AQ427" s="166"/>
      <c r="AR427" s="166"/>
    </row>
    <row r="428" customHeight="1" spans="1:44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  <c r="AB428" s="166"/>
      <c r="AC428" s="166"/>
      <c r="AD428" s="166"/>
      <c r="AE428" s="166"/>
      <c r="AF428" s="166"/>
      <c r="AG428" s="166"/>
      <c r="AH428" s="166"/>
      <c r="AI428" s="166"/>
      <c r="AJ428" s="166"/>
      <c r="AK428" s="166"/>
      <c r="AL428" s="166"/>
      <c r="AM428" s="166"/>
      <c r="AN428" s="166"/>
      <c r="AO428" s="166"/>
      <c r="AP428" s="166"/>
      <c r="AQ428" s="166"/>
      <c r="AR428" s="166"/>
    </row>
    <row r="429" customHeight="1" spans="1:44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  <c r="AB429" s="166"/>
      <c r="AC429" s="166"/>
      <c r="AD429" s="166"/>
      <c r="AE429" s="166"/>
      <c r="AF429" s="166"/>
      <c r="AG429" s="166"/>
      <c r="AH429" s="166"/>
      <c r="AI429" s="166"/>
      <c r="AJ429" s="166"/>
      <c r="AK429" s="166"/>
      <c r="AL429" s="166"/>
      <c r="AM429" s="166"/>
      <c r="AN429" s="166"/>
      <c r="AO429" s="166"/>
      <c r="AP429" s="166"/>
      <c r="AQ429" s="166"/>
      <c r="AR429" s="166"/>
    </row>
    <row r="430" customHeight="1" spans="1:44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  <c r="AB430" s="166"/>
      <c r="AC430" s="166"/>
      <c r="AD430" s="166"/>
      <c r="AE430" s="166"/>
      <c r="AF430" s="166"/>
      <c r="AG430" s="166"/>
      <c r="AH430" s="166"/>
      <c r="AI430" s="166"/>
      <c r="AJ430" s="166"/>
      <c r="AK430" s="166"/>
      <c r="AL430" s="166"/>
      <c r="AM430" s="166"/>
      <c r="AN430" s="166"/>
      <c r="AO430" s="166"/>
      <c r="AP430" s="166"/>
      <c r="AQ430" s="166"/>
      <c r="AR430" s="166"/>
    </row>
    <row r="431" customHeight="1" spans="1:44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  <c r="AB431" s="166"/>
      <c r="AC431" s="166"/>
      <c r="AD431" s="166"/>
      <c r="AE431" s="166"/>
      <c r="AF431" s="166"/>
      <c r="AG431" s="166"/>
      <c r="AH431" s="166"/>
      <c r="AI431" s="166"/>
      <c r="AJ431" s="166"/>
      <c r="AK431" s="166"/>
      <c r="AL431" s="166"/>
      <c r="AM431" s="166"/>
      <c r="AN431" s="166"/>
      <c r="AO431" s="166"/>
      <c r="AP431" s="166"/>
      <c r="AQ431" s="166"/>
      <c r="AR431" s="166"/>
    </row>
    <row r="432" customHeight="1" spans="1:44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  <c r="AB432" s="166"/>
      <c r="AC432" s="166"/>
      <c r="AD432" s="166"/>
      <c r="AE432" s="166"/>
      <c r="AF432" s="166"/>
      <c r="AG432" s="166"/>
      <c r="AH432" s="166"/>
      <c r="AI432" s="166"/>
      <c r="AJ432" s="166"/>
      <c r="AK432" s="166"/>
      <c r="AL432" s="166"/>
      <c r="AM432" s="166"/>
      <c r="AN432" s="166"/>
      <c r="AO432" s="166"/>
      <c r="AP432" s="166"/>
      <c r="AQ432" s="166"/>
      <c r="AR432" s="166"/>
    </row>
    <row r="433" customHeight="1" spans="1:44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  <c r="AB433" s="166"/>
      <c r="AC433" s="166"/>
      <c r="AD433" s="166"/>
      <c r="AE433" s="166"/>
      <c r="AF433" s="166"/>
      <c r="AG433" s="166"/>
      <c r="AH433" s="166"/>
      <c r="AI433" s="166"/>
      <c r="AJ433" s="166"/>
      <c r="AK433" s="166"/>
      <c r="AL433" s="166"/>
      <c r="AM433" s="166"/>
      <c r="AN433" s="166"/>
      <c r="AO433" s="166"/>
      <c r="AP433" s="166"/>
      <c r="AQ433" s="166"/>
      <c r="AR433" s="166"/>
    </row>
    <row r="434" customHeight="1" spans="1:44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  <c r="AB434" s="166"/>
      <c r="AC434" s="166"/>
      <c r="AD434" s="166"/>
      <c r="AE434" s="166"/>
      <c r="AF434" s="166"/>
      <c r="AG434" s="166"/>
      <c r="AH434" s="166"/>
      <c r="AI434" s="166"/>
      <c r="AJ434" s="166"/>
      <c r="AK434" s="166"/>
      <c r="AL434" s="166"/>
      <c r="AM434" s="166"/>
      <c r="AN434" s="166"/>
      <c r="AO434" s="166"/>
      <c r="AP434" s="166"/>
      <c r="AQ434" s="166"/>
      <c r="AR434" s="166"/>
    </row>
    <row r="435" customHeight="1" spans="1:44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  <c r="AB435" s="166"/>
      <c r="AC435" s="166"/>
      <c r="AD435" s="166"/>
      <c r="AE435" s="166"/>
      <c r="AF435" s="166"/>
      <c r="AG435" s="166"/>
      <c r="AH435" s="166"/>
      <c r="AI435" s="166"/>
      <c r="AJ435" s="166"/>
      <c r="AK435" s="166"/>
      <c r="AL435" s="166"/>
      <c r="AM435" s="166"/>
      <c r="AN435" s="166"/>
      <c r="AO435" s="166"/>
      <c r="AP435" s="166"/>
      <c r="AQ435" s="166"/>
      <c r="AR435" s="166"/>
    </row>
    <row r="436" customHeight="1" spans="1:44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  <c r="AB436" s="166"/>
      <c r="AC436" s="166"/>
      <c r="AD436" s="166"/>
      <c r="AE436" s="166"/>
      <c r="AF436" s="166"/>
      <c r="AG436" s="166"/>
      <c r="AH436" s="166"/>
      <c r="AI436" s="166"/>
      <c r="AJ436" s="166"/>
      <c r="AK436" s="166"/>
      <c r="AL436" s="166"/>
      <c r="AM436" s="166"/>
      <c r="AN436" s="166"/>
      <c r="AO436" s="166"/>
      <c r="AP436" s="166"/>
      <c r="AQ436" s="166"/>
      <c r="AR436" s="166"/>
    </row>
    <row r="437" customHeight="1" spans="1:44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  <c r="AB437" s="166"/>
      <c r="AC437" s="166"/>
      <c r="AD437" s="166"/>
      <c r="AE437" s="166"/>
      <c r="AF437" s="166"/>
      <c r="AG437" s="166"/>
      <c r="AH437" s="166"/>
      <c r="AI437" s="166"/>
      <c r="AJ437" s="166"/>
      <c r="AK437" s="166"/>
      <c r="AL437" s="166"/>
      <c r="AM437" s="166"/>
      <c r="AN437" s="166"/>
      <c r="AO437" s="166"/>
      <c r="AP437" s="166"/>
      <c r="AQ437" s="166"/>
      <c r="AR437" s="166"/>
    </row>
    <row r="438" customHeight="1" spans="1:44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  <c r="AB438" s="166"/>
      <c r="AC438" s="166"/>
      <c r="AD438" s="166"/>
      <c r="AE438" s="166"/>
      <c r="AF438" s="166"/>
      <c r="AG438" s="166"/>
      <c r="AH438" s="166"/>
      <c r="AI438" s="166"/>
      <c r="AJ438" s="166"/>
      <c r="AK438" s="166"/>
      <c r="AL438" s="166"/>
      <c r="AM438" s="166"/>
      <c r="AN438" s="166"/>
      <c r="AO438" s="166"/>
      <c r="AP438" s="166"/>
      <c r="AQ438" s="166"/>
      <c r="AR438" s="166"/>
    </row>
    <row r="439" customHeight="1" spans="1:44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  <c r="AB439" s="166"/>
      <c r="AC439" s="166"/>
      <c r="AD439" s="166"/>
      <c r="AE439" s="166"/>
      <c r="AF439" s="166"/>
      <c r="AG439" s="166"/>
      <c r="AH439" s="166"/>
      <c r="AI439" s="166"/>
      <c r="AJ439" s="166"/>
      <c r="AK439" s="166"/>
      <c r="AL439" s="166"/>
      <c r="AM439" s="166"/>
      <c r="AN439" s="166"/>
      <c r="AO439" s="166"/>
      <c r="AP439" s="166"/>
      <c r="AQ439" s="166"/>
      <c r="AR439" s="166"/>
    </row>
    <row r="440" customHeight="1" spans="1:44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  <c r="AB440" s="166"/>
      <c r="AC440" s="166"/>
      <c r="AD440" s="166"/>
      <c r="AE440" s="166"/>
      <c r="AF440" s="166"/>
      <c r="AG440" s="166"/>
      <c r="AH440" s="166"/>
      <c r="AI440" s="166"/>
      <c r="AJ440" s="166"/>
      <c r="AK440" s="166"/>
      <c r="AL440" s="166"/>
      <c r="AM440" s="166"/>
      <c r="AN440" s="166"/>
      <c r="AO440" s="166"/>
      <c r="AP440" s="166"/>
      <c r="AQ440" s="166"/>
      <c r="AR440" s="166"/>
    </row>
    <row r="441" customHeight="1" spans="1:44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  <c r="AB441" s="166"/>
      <c r="AC441" s="166"/>
      <c r="AD441" s="166"/>
      <c r="AE441" s="166"/>
      <c r="AF441" s="166"/>
      <c r="AG441" s="166"/>
      <c r="AH441" s="166"/>
      <c r="AI441" s="166"/>
      <c r="AJ441" s="166"/>
      <c r="AK441" s="166"/>
      <c r="AL441" s="166"/>
      <c r="AM441" s="166"/>
      <c r="AN441" s="166"/>
      <c r="AO441" s="166"/>
      <c r="AP441" s="166"/>
      <c r="AQ441" s="166"/>
      <c r="AR441" s="166"/>
    </row>
    <row r="442" customHeight="1" spans="1:44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  <c r="AB442" s="166"/>
      <c r="AC442" s="166"/>
      <c r="AD442" s="166"/>
      <c r="AE442" s="166"/>
      <c r="AF442" s="166"/>
      <c r="AG442" s="166"/>
      <c r="AH442" s="166"/>
      <c r="AI442" s="166"/>
      <c r="AJ442" s="166"/>
      <c r="AK442" s="166"/>
      <c r="AL442" s="166"/>
      <c r="AM442" s="166"/>
      <c r="AN442" s="166"/>
      <c r="AO442" s="166"/>
      <c r="AP442" s="166"/>
      <c r="AQ442" s="166"/>
      <c r="AR442" s="166"/>
    </row>
    <row r="443" customHeight="1" spans="1:44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  <c r="AB443" s="166"/>
      <c r="AC443" s="166"/>
      <c r="AD443" s="166"/>
      <c r="AE443" s="166"/>
      <c r="AF443" s="166"/>
      <c r="AG443" s="166"/>
      <c r="AH443" s="166"/>
      <c r="AI443" s="166"/>
      <c r="AJ443" s="166"/>
      <c r="AK443" s="166"/>
      <c r="AL443" s="166"/>
      <c r="AM443" s="166"/>
      <c r="AN443" s="166"/>
      <c r="AO443" s="166"/>
      <c r="AP443" s="166"/>
      <c r="AQ443" s="166"/>
      <c r="AR443" s="166"/>
    </row>
    <row r="444" customHeight="1" spans="1:44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  <c r="AB444" s="166"/>
      <c r="AC444" s="166"/>
      <c r="AD444" s="166"/>
      <c r="AE444" s="166"/>
      <c r="AF444" s="166"/>
      <c r="AG444" s="166"/>
      <c r="AH444" s="166"/>
      <c r="AI444" s="166"/>
      <c r="AJ444" s="166"/>
      <c r="AK444" s="166"/>
      <c r="AL444" s="166"/>
      <c r="AM444" s="166"/>
      <c r="AN444" s="166"/>
      <c r="AO444" s="166"/>
      <c r="AP444" s="166"/>
      <c r="AQ444" s="166"/>
      <c r="AR444" s="166"/>
    </row>
    <row r="445" customHeight="1" spans="1:44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6"/>
      <c r="AH445" s="166"/>
      <c r="AI445" s="166"/>
      <c r="AJ445" s="166"/>
      <c r="AK445" s="166"/>
      <c r="AL445" s="166"/>
      <c r="AM445" s="166"/>
      <c r="AN445" s="166"/>
      <c r="AO445" s="166"/>
      <c r="AP445" s="166"/>
      <c r="AQ445" s="166"/>
      <c r="AR445" s="166"/>
    </row>
    <row r="446" customHeight="1" spans="1:44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  <c r="AB446" s="166"/>
      <c r="AC446" s="166"/>
      <c r="AD446" s="166"/>
      <c r="AE446" s="166"/>
      <c r="AF446" s="166"/>
      <c r="AG446" s="166"/>
      <c r="AH446" s="166"/>
      <c r="AI446" s="166"/>
      <c r="AJ446" s="166"/>
      <c r="AK446" s="166"/>
      <c r="AL446" s="166"/>
      <c r="AM446" s="166"/>
      <c r="AN446" s="166"/>
      <c r="AO446" s="166"/>
      <c r="AP446" s="166"/>
      <c r="AQ446" s="166"/>
      <c r="AR446" s="166"/>
    </row>
    <row r="447" customHeight="1" spans="1:44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  <c r="AB447" s="166"/>
      <c r="AC447" s="166"/>
      <c r="AD447" s="166"/>
      <c r="AE447" s="166"/>
      <c r="AF447" s="166"/>
      <c r="AG447" s="166"/>
      <c r="AH447" s="166"/>
      <c r="AI447" s="166"/>
      <c r="AJ447" s="166"/>
      <c r="AK447" s="166"/>
      <c r="AL447" s="166"/>
      <c r="AM447" s="166"/>
      <c r="AN447" s="166"/>
      <c r="AO447" s="166"/>
      <c r="AP447" s="166"/>
      <c r="AQ447" s="166"/>
      <c r="AR447" s="166"/>
    </row>
    <row r="448" customHeight="1" spans="1:44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  <c r="AB448" s="166"/>
      <c r="AC448" s="166"/>
      <c r="AD448" s="166"/>
      <c r="AE448" s="166"/>
      <c r="AF448" s="166"/>
      <c r="AG448" s="166"/>
      <c r="AH448" s="166"/>
      <c r="AI448" s="166"/>
      <c r="AJ448" s="166"/>
      <c r="AK448" s="166"/>
      <c r="AL448" s="166"/>
      <c r="AM448" s="166"/>
      <c r="AN448" s="166"/>
      <c r="AO448" s="166"/>
      <c r="AP448" s="166"/>
      <c r="AQ448" s="166"/>
      <c r="AR448" s="166"/>
    </row>
    <row r="449" customHeight="1" spans="1:44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  <c r="AB449" s="166"/>
      <c r="AC449" s="166"/>
      <c r="AD449" s="166"/>
      <c r="AE449" s="166"/>
      <c r="AF449" s="166"/>
      <c r="AG449" s="166"/>
      <c r="AH449" s="166"/>
      <c r="AI449" s="166"/>
      <c r="AJ449" s="166"/>
      <c r="AK449" s="166"/>
      <c r="AL449" s="166"/>
      <c r="AM449" s="166"/>
      <c r="AN449" s="166"/>
      <c r="AO449" s="166"/>
      <c r="AP449" s="166"/>
      <c r="AQ449" s="166"/>
      <c r="AR449" s="166"/>
    </row>
    <row r="450" customHeight="1" spans="1:44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  <c r="AB450" s="166"/>
      <c r="AC450" s="166"/>
      <c r="AD450" s="166"/>
      <c r="AE450" s="166"/>
      <c r="AF450" s="166"/>
      <c r="AG450" s="166"/>
      <c r="AH450" s="166"/>
      <c r="AI450" s="166"/>
      <c r="AJ450" s="166"/>
      <c r="AK450" s="166"/>
      <c r="AL450" s="166"/>
      <c r="AM450" s="166"/>
      <c r="AN450" s="166"/>
      <c r="AO450" s="166"/>
      <c r="AP450" s="166"/>
      <c r="AQ450" s="166"/>
      <c r="AR450" s="166"/>
    </row>
    <row r="451" customHeight="1" spans="1:44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  <c r="AB451" s="166"/>
      <c r="AC451" s="166"/>
      <c r="AD451" s="166"/>
      <c r="AE451" s="166"/>
      <c r="AF451" s="166"/>
      <c r="AG451" s="166"/>
      <c r="AH451" s="166"/>
      <c r="AI451" s="166"/>
      <c r="AJ451" s="166"/>
      <c r="AK451" s="166"/>
      <c r="AL451" s="166"/>
      <c r="AM451" s="166"/>
      <c r="AN451" s="166"/>
      <c r="AO451" s="166"/>
      <c r="AP451" s="166"/>
      <c r="AQ451" s="166"/>
      <c r="AR451" s="166"/>
    </row>
    <row r="452" customHeight="1" spans="1:44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  <c r="AB452" s="166"/>
      <c r="AC452" s="166"/>
      <c r="AD452" s="166"/>
      <c r="AE452" s="166"/>
      <c r="AF452" s="166"/>
      <c r="AG452" s="166"/>
      <c r="AH452" s="166"/>
      <c r="AI452" s="166"/>
      <c r="AJ452" s="166"/>
      <c r="AK452" s="166"/>
      <c r="AL452" s="166"/>
      <c r="AM452" s="166"/>
      <c r="AN452" s="166"/>
      <c r="AO452" s="166"/>
      <c r="AP452" s="166"/>
      <c r="AQ452" s="166"/>
      <c r="AR452" s="166"/>
    </row>
    <row r="453" customHeight="1" spans="1:44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  <c r="AB453" s="166"/>
      <c r="AC453" s="166"/>
      <c r="AD453" s="166"/>
      <c r="AE453" s="166"/>
      <c r="AF453" s="166"/>
      <c r="AG453" s="166"/>
      <c r="AH453" s="166"/>
      <c r="AI453" s="166"/>
      <c r="AJ453" s="166"/>
      <c r="AK453" s="166"/>
      <c r="AL453" s="166"/>
      <c r="AM453" s="166"/>
      <c r="AN453" s="166"/>
      <c r="AO453" s="166"/>
      <c r="AP453" s="166"/>
      <c r="AQ453" s="166"/>
      <c r="AR453" s="166"/>
    </row>
    <row r="454" customHeight="1" spans="1:44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  <c r="AB454" s="166"/>
      <c r="AC454" s="166"/>
      <c r="AD454" s="166"/>
      <c r="AE454" s="166"/>
      <c r="AF454" s="166"/>
      <c r="AG454" s="166"/>
      <c r="AH454" s="166"/>
      <c r="AI454" s="166"/>
      <c r="AJ454" s="166"/>
      <c r="AK454" s="166"/>
      <c r="AL454" s="166"/>
      <c r="AM454" s="166"/>
      <c r="AN454" s="166"/>
      <c r="AO454" s="166"/>
      <c r="AP454" s="166"/>
      <c r="AQ454" s="166"/>
      <c r="AR454" s="166"/>
    </row>
    <row r="455" customHeight="1" spans="1:44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  <c r="AB455" s="166"/>
      <c r="AC455" s="166"/>
      <c r="AD455" s="166"/>
      <c r="AE455" s="166"/>
      <c r="AF455" s="166"/>
      <c r="AG455" s="166"/>
      <c r="AH455" s="166"/>
      <c r="AI455" s="166"/>
      <c r="AJ455" s="166"/>
      <c r="AK455" s="166"/>
      <c r="AL455" s="166"/>
      <c r="AM455" s="166"/>
      <c r="AN455" s="166"/>
      <c r="AO455" s="166"/>
      <c r="AP455" s="166"/>
      <c r="AQ455" s="166"/>
      <c r="AR455" s="166"/>
    </row>
    <row r="456" customHeight="1" spans="1:44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  <c r="AB456" s="166"/>
      <c r="AC456" s="166"/>
      <c r="AD456" s="166"/>
      <c r="AE456" s="166"/>
      <c r="AF456" s="166"/>
      <c r="AG456" s="166"/>
      <c r="AH456" s="166"/>
      <c r="AI456" s="166"/>
      <c r="AJ456" s="166"/>
      <c r="AK456" s="166"/>
      <c r="AL456" s="166"/>
      <c r="AM456" s="166"/>
      <c r="AN456" s="166"/>
      <c r="AO456" s="166"/>
      <c r="AP456" s="166"/>
      <c r="AQ456" s="166"/>
      <c r="AR456" s="166"/>
    </row>
    <row r="457" customHeight="1" spans="1:44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  <c r="AB457" s="166"/>
      <c r="AC457" s="166"/>
      <c r="AD457" s="166"/>
      <c r="AE457" s="166"/>
      <c r="AF457" s="166"/>
      <c r="AG457" s="166"/>
      <c r="AH457" s="166"/>
      <c r="AI457" s="166"/>
      <c r="AJ457" s="166"/>
      <c r="AK457" s="166"/>
      <c r="AL457" s="166"/>
      <c r="AM457" s="166"/>
      <c r="AN457" s="166"/>
      <c r="AO457" s="166"/>
      <c r="AP457" s="166"/>
      <c r="AQ457" s="166"/>
      <c r="AR457" s="166"/>
    </row>
    <row r="458" customHeight="1" spans="1:44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  <c r="AB458" s="166"/>
      <c r="AC458" s="166"/>
      <c r="AD458" s="166"/>
      <c r="AE458" s="166"/>
      <c r="AF458" s="166"/>
      <c r="AG458" s="166"/>
      <c r="AH458" s="166"/>
      <c r="AI458" s="166"/>
      <c r="AJ458" s="166"/>
      <c r="AK458" s="166"/>
      <c r="AL458" s="166"/>
      <c r="AM458" s="166"/>
      <c r="AN458" s="166"/>
      <c r="AO458" s="166"/>
      <c r="AP458" s="166"/>
      <c r="AQ458" s="166"/>
      <c r="AR458" s="166"/>
    </row>
    <row r="459" customHeight="1" spans="1:44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  <c r="AB459" s="166"/>
      <c r="AC459" s="166"/>
      <c r="AD459" s="166"/>
      <c r="AE459" s="166"/>
      <c r="AF459" s="166"/>
      <c r="AG459" s="166"/>
      <c r="AH459" s="166"/>
      <c r="AI459" s="166"/>
      <c r="AJ459" s="166"/>
      <c r="AK459" s="166"/>
      <c r="AL459" s="166"/>
      <c r="AM459" s="166"/>
      <c r="AN459" s="166"/>
      <c r="AO459" s="166"/>
      <c r="AP459" s="166"/>
      <c r="AQ459" s="166"/>
      <c r="AR459" s="166"/>
    </row>
    <row r="460" customHeight="1" spans="1:44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  <c r="AB460" s="166"/>
      <c r="AC460" s="166"/>
      <c r="AD460" s="166"/>
      <c r="AE460" s="166"/>
      <c r="AF460" s="166"/>
      <c r="AG460" s="166"/>
      <c r="AH460" s="166"/>
      <c r="AI460" s="166"/>
      <c r="AJ460" s="166"/>
      <c r="AK460" s="166"/>
      <c r="AL460" s="166"/>
      <c r="AM460" s="166"/>
      <c r="AN460" s="166"/>
      <c r="AO460" s="166"/>
      <c r="AP460" s="166"/>
      <c r="AQ460" s="166"/>
      <c r="AR460" s="166"/>
    </row>
    <row r="461" customHeight="1" spans="1:44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  <c r="AB461" s="166"/>
      <c r="AC461" s="166"/>
      <c r="AD461" s="166"/>
      <c r="AE461" s="166"/>
      <c r="AF461" s="166"/>
      <c r="AG461" s="166"/>
      <c r="AH461" s="166"/>
      <c r="AI461" s="166"/>
      <c r="AJ461" s="166"/>
      <c r="AK461" s="166"/>
      <c r="AL461" s="166"/>
      <c r="AM461" s="166"/>
      <c r="AN461" s="166"/>
      <c r="AO461" s="166"/>
      <c r="AP461" s="166"/>
      <c r="AQ461" s="166"/>
      <c r="AR461" s="166"/>
    </row>
    <row r="462" customHeight="1" spans="1:44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  <c r="AB462" s="166"/>
      <c r="AC462" s="166"/>
      <c r="AD462" s="166"/>
      <c r="AE462" s="166"/>
      <c r="AF462" s="166"/>
      <c r="AG462" s="166"/>
      <c r="AH462" s="166"/>
      <c r="AI462" s="166"/>
      <c r="AJ462" s="166"/>
      <c r="AK462" s="166"/>
      <c r="AL462" s="166"/>
      <c r="AM462" s="166"/>
      <c r="AN462" s="166"/>
      <c r="AO462" s="166"/>
      <c r="AP462" s="166"/>
      <c r="AQ462" s="166"/>
      <c r="AR462" s="166"/>
    </row>
    <row r="463" customHeight="1" spans="1:44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  <c r="AB463" s="166"/>
      <c r="AC463" s="166"/>
      <c r="AD463" s="166"/>
      <c r="AE463" s="166"/>
      <c r="AF463" s="166"/>
      <c r="AG463" s="166"/>
      <c r="AH463" s="166"/>
      <c r="AI463" s="166"/>
      <c r="AJ463" s="166"/>
      <c r="AK463" s="166"/>
      <c r="AL463" s="166"/>
      <c r="AM463" s="166"/>
      <c r="AN463" s="166"/>
      <c r="AO463" s="166"/>
      <c r="AP463" s="166"/>
      <c r="AQ463" s="166"/>
      <c r="AR463" s="166"/>
    </row>
    <row r="464" customHeight="1" spans="1:44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  <c r="AB464" s="166"/>
      <c r="AC464" s="166"/>
      <c r="AD464" s="166"/>
      <c r="AE464" s="166"/>
      <c r="AF464" s="166"/>
      <c r="AG464" s="166"/>
      <c r="AH464" s="166"/>
      <c r="AI464" s="166"/>
      <c r="AJ464" s="166"/>
      <c r="AK464" s="166"/>
      <c r="AL464" s="166"/>
      <c r="AM464" s="166"/>
      <c r="AN464" s="166"/>
      <c r="AO464" s="166"/>
      <c r="AP464" s="166"/>
      <c r="AQ464" s="166"/>
      <c r="AR464" s="166"/>
    </row>
    <row r="465" customHeight="1" spans="1:44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  <c r="AB465" s="166"/>
      <c r="AC465" s="166"/>
      <c r="AD465" s="166"/>
      <c r="AE465" s="166"/>
      <c r="AF465" s="166"/>
      <c r="AG465" s="166"/>
      <c r="AH465" s="166"/>
      <c r="AI465" s="166"/>
      <c r="AJ465" s="166"/>
      <c r="AK465" s="166"/>
      <c r="AL465" s="166"/>
      <c r="AM465" s="166"/>
      <c r="AN465" s="166"/>
      <c r="AO465" s="166"/>
      <c r="AP465" s="166"/>
      <c r="AQ465" s="166"/>
      <c r="AR465" s="166"/>
    </row>
    <row r="466" customHeight="1" spans="1:44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  <c r="AB466" s="166"/>
      <c r="AC466" s="166"/>
      <c r="AD466" s="166"/>
      <c r="AE466" s="166"/>
      <c r="AF466" s="166"/>
      <c r="AG466" s="166"/>
      <c r="AH466" s="166"/>
      <c r="AI466" s="166"/>
      <c r="AJ466" s="166"/>
      <c r="AK466" s="166"/>
      <c r="AL466" s="166"/>
      <c r="AM466" s="166"/>
      <c r="AN466" s="166"/>
      <c r="AO466" s="166"/>
      <c r="AP466" s="166"/>
      <c r="AQ466" s="166"/>
      <c r="AR466" s="166"/>
    </row>
    <row r="467" customHeight="1" spans="1:44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  <c r="AB467" s="166"/>
      <c r="AC467" s="166"/>
      <c r="AD467" s="166"/>
      <c r="AE467" s="166"/>
      <c r="AF467" s="166"/>
      <c r="AG467" s="166"/>
      <c r="AH467" s="166"/>
      <c r="AI467" s="166"/>
      <c r="AJ467" s="166"/>
      <c r="AK467" s="166"/>
      <c r="AL467" s="166"/>
      <c r="AM467" s="166"/>
      <c r="AN467" s="166"/>
      <c r="AO467" s="166"/>
      <c r="AP467" s="166"/>
      <c r="AQ467" s="166"/>
      <c r="AR467" s="166"/>
    </row>
    <row r="468" customHeight="1" spans="1:44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  <c r="AB468" s="166"/>
      <c r="AC468" s="166"/>
      <c r="AD468" s="166"/>
      <c r="AE468" s="166"/>
      <c r="AF468" s="166"/>
      <c r="AG468" s="166"/>
      <c r="AH468" s="166"/>
      <c r="AI468" s="166"/>
      <c r="AJ468" s="166"/>
      <c r="AK468" s="166"/>
      <c r="AL468" s="166"/>
      <c r="AM468" s="166"/>
      <c r="AN468" s="166"/>
      <c r="AO468" s="166"/>
      <c r="AP468" s="166"/>
      <c r="AQ468" s="166"/>
      <c r="AR468" s="166"/>
    </row>
    <row r="469" customHeight="1" spans="1:44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  <c r="AB469" s="166"/>
      <c r="AC469" s="166"/>
      <c r="AD469" s="166"/>
      <c r="AE469" s="166"/>
      <c r="AF469" s="166"/>
      <c r="AG469" s="166"/>
      <c r="AH469" s="166"/>
      <c r="AI469" s="166"/>
      <c r="AJ469" s="166"/>
      <c r="AK469" s="166"/>
      <c r="AL469" s="166"/>
      <c r="AM469" s="166"/>
      <c r="AN469" s="166"/>
      <c r="AO469" s="166"/>
      <c r="AP469" s="166"/>
      <c r="AQ469" s="166"/>
      <c r="AR469" s="166"/>
    </row>
    <row r="470" customHeight="1" spans="1:44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  <c r="AB470" s="166"/>
      <c r="AC470" s="166"/>
      <c r="AD470" s="166"/>
      <c r="AE470" s="166"/>
      <c r="AF470" s="166"/>
      <c r="AG470" s="166"/>
      <c r="AH470" s="166"/>
      <c r="AI470" s="166"/>
      <c r="AJ470" s="166"/>
      <c r="AK470" s="166"/>
      <c r="AL470" s="166"/>
      <c r="AM470" s="166"/>
      <c r="AN470" s="166"/>
      <c r="AO470" s="166"/>
      <c r="AP470" s="166"/>
      <c r="AQ470" s="166"/>
      <c r="AR470" s="166"/>
    </row>
    <row r="471" customHeight="1" spans="1:44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  <c r="AB471" s="166"/>
      <c r="AC471" s="166"/>
      <c r="AD471" s="166"/>
      <c r="AE471" s="166"/>
      <c r="AF471" s="166"/>
      <c r="AG471" s="166"/>
      <c r="AH471" s="166"/>
      <c r="AI471" s="166"/>
      <c r="AJ471" s="166"/>
      <c r="AK471" s="166"/>
      <c r="AL471" s="166"/>
      <c r="AM471" s="166"/>
      <c r="AN471" s="166"/>
      <c r="AO471" s="166"/>
      <c r="AP471" s="166"/>
      <c r="AQ471" s="166"/>
      <c r="AR471" s="166"/>
    </row>
    <row r="472" customHeight="1" spans="1:44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  <c r="AB472" s="166"/>
      <c r="AC472" s="166"/>
      <c r="AD472" s="166"/>
      <c r="AE472" s="166"/>
      <c r="AF472" s="166"/>
      <c r="AG472" s="166"/>
      <c r="AH472" s="166"/>
      <c r="AI472" s="166"/>
      <c r="AJ472" s="166"/>
      <c r="AK472" s="166"/>
      <c r="AL472" s="166"/>
      <c r="AM472" s="166"/>
      <c r="AN472" s="166"/>
      <c r="AO472" s="166"/>
      <c r="AP472" s="166"/>
      <c r="AQ472" s="166"/>
      <c r="AR472" s="166"/>
    </row>
    <row r="473" customHeight="1" spans="1:44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  <c r="AB473" s="166"/>
      <c r="AC473" s="166"/>
      <c r="AD473" s="166"/>
      <c r="AE473" s="166"/>
      <c r="AF473" s="166"/>
      <c r="AG473" s="166"/>
      <c r="AH473" s="166"/>
      <c r="AI473" s="166"/>
      <c r="AJ473" s="166"/>
      <c r="AK473" s="166"/>
      <c r="AL473" s="166"/>
      <c r="AM473" s="166"/>
      <c r="AN473" s="166"/>
      <c r="AO473" s="166"/>
      <c r="AP473" s="166"/>
      <c r="AQ473" s="166"/>
      <c r="AR473" s="166"/>
    </row>
    <row r="474" customHeight="1" spans="1:44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  <c r="AB474" s="166"/>
      <c r="AC474" s="166"/>
      <c r="AD474" s="166"/>
      <c r="AE474" s="166"/>
      <c r="AF474" s="166"/>
      <c r="AG474" s="166"/>
      <c r="AH474" s="166"/>
      <c r="AI474" s="166"/>
      <c r="AJ474" s="166"/>
      <c r="AK474" s="166"/>
      <c r="AL474" s="166"/>
      <c r="AM474" s="166"/>
      <c r="AN474" s="166"/>
      <c r="AO474" s="166"/>
      <c r="AP474" s="166"/>
      <c r="AQ474" s="166"/>
      <c r="AR474" s="166"/>
    </row>
    <row r="475" customHeight="1" spans="1:44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  <c r="AB475" s="166"/>
      <c r="AC475" s="166"/>
      <c r="AD475" s="166"/>
      <c r="AE475" s="166"/>
      <c r="AF475" s="166"/>
      <c r="AG475" s="166"/>
      <c r="AH475" s="166"/>
      <c r="AI475" s="166"/>
      <c r="AJ475" s="166"/>
      <c r="AK475" s="166"/>
      <c r="AL475" s="166"/>
      <c r="AM475" s="166"/>
      <c r="AN475" s="166"/>
      <c r="AO475" s="166"/>
      <c r="AP475" s="166"/>
      <c r="AQ475" s="166"/>
      <c r="AR475" s="166"/>
    </row>
    <row r="476" customHeight="1" spans="1:44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  <c r="AB476" s="166"/>
      <c r="AC476" s="166"/>
      <c r="AD476" s="166"/>
      <c r="AE476" s="166"/>
      <c r="AF476" s="166"/>
      <c r="AG476" s="166"/>
      <c r="AH476" s="166"/>
      <c r="AI476" s="166"/>
      <c r="AJ476" s="166"/>
      <c r="AK476" s="166"/>
      <c r="AL476" s="166"/>
      <c r="AM476" s="166"/>
      <c r="AN476" s="166"/>
      <c r="AO476" s="166"/>
      <c r="AP476" s="166"/>
      <c r="AQ476" s="166"/>
      <c r="AR476" s="166"/>
    </row>
    <row r="477" customHeight="1" spans="1:44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  <c r="AB477" s="166"/>
      <c r="AC477" s="166"/>
      <c r="AD477" s="166"/>
      <c r="AE477" s="166"/>
      <c r="AF477" s="166"/>
      <c r="AG477" s="166"/>
      <c r="AH477" s="166"/>
      <c r="AI477" s="166"/>
      <c r="AJ477" s="166"/>
      <c r="AK477" s="166"/>
      <c r="AL477" s="166"/>
      <c r="AM477" s="166"/>
      <c r="AN477" s="166"/>
      <c r="AO477" s="166"/>
      <c r="AP477" s="166"/>
      <c r="AQ477" s="166"/>
      <c r="AR477" s="166"/>
    </row>
    <row r="478" customHeight="1" spans="1:44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  <c r="AB478" s="166"/>
      <c r="AC478" s="166"/>
      <c r="AD478" s="166"/>
      <c r="AE478" s="166"/>
      <c r="AF478" s="166"/>
      <c r="AG478" s="166"/>
      <c r="AH478" s="166"/>
      <c r="AI478" s="166"/>
      <c r="AJ478" s="166"/>
      <c r="AK478" s="166"/>
      <c r="AL478" s="166"/>
      <c r="AM478" s="166"/>
      <c r="AN478" s="166"/>
      <c r="AO478" s="166"/>
      <c r="AP478" s="166"/>
      <c r="AQ478" s="166"/>
      <c r="AR478" s="166"/>
    </row>
    <row r="479" customHeight="1" spans="1:44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  <c r="AB479" s="166"/>
      <c r="AC479" s="166"/>
      <c r="AD479" s="166"/>
      <c r="AE479" s="166"/>
      <c r="AF479" s="166"/>
      <c r="AG479" s="166"/>
      <c r="AH479" s="166"/>
      <c r="AI479" s="166"/>
      <c r="AJ479" s="166"/>
      <c r="AK479" s="166"/>
      <c r="AL479" s="166"/>
      <c r="AM479" s="166"/>
      <c r="AN479" s="166"/>
      <c r="AO479" s="166"/>
      <c r="AP479" s="166"/>
      <c r="AQ479" s="166"/>
      <c r="AR479" s="166"/>
    </row>
    <row r="480" customHeight="1" spans="1:44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  <c r="AB480" s="166"/>
      <c r="AC480" s="166"/>
      <c r="AD480" s="166"/>
      <c r="AE480" s="166"/>
      <c r="AF480" s="166"/>
      <c r="AG480" s="166"/>
      <c r="AH480" s="166"/>
      <c r="AI480" s="166"/>
      <c r="AJ480" s="166"/>
      <c r="AK480" s="166"/>
      <c r="AL480" s="166"/>
      <c r="AM480" s="166"/>
      <c r="AN480" s="166"/>
      <c r="AO480" s="166"/>
      <c r="AP480" s="166"/>
      <c r="AQ480" s="166"/>
      <c r="AR480" s="166"/>
    </row>
    <row r="481" customHeight="1" spans="1:44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  <c r="AB481" s="166"/>
      <c r="AC481" s="166"/>
      <c r="AD481" s="166"/>
      <c r="AE481" s="166"/>
      <c r="AF481" s="166"/>
      <c r="AG481" s="166"/>
      <c r="AH481" s="166"/>
      <c r="AI481" s="166"/>
      <c r="AJ481" s="166"/>
      <c r="AK481" s="166"/>
      <c r="AL481" s="166"/>
      <c r="AM481" s="166"/>
      <c r="AN481" s="166"/>
      <c r="AO481" s="166"/>
      <c r="AP481" s="166"/>
      <c r="AQ481" s="166"/>
      <c r="AR481" s="166"/>
    </row>
    <row r="482" customHeight="1" spans="1:44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  <c r="AB482" s="166"/>
      <c r="AC482" s="166"/>
      <c r="AD482" s="166"/>
      <c r="AE482" s="166"/>
      <c r="AF482" s="166"/>
      <c r="AG482" s="166"/>
      <c r="AH482" s="166"/>
      <c r="AI482" s="166"/>
      <c r="AJ482" s="166"/>
      <c r="AK482" s="166"/>
      <c r="AL482" s="166"/>
      <c r="AM482" s="166"/>
      <c r="AN482" s="166"/>
      <c r="AO482" s="166"/>
      <c r="AP482" s="166"/>
      <c r="AQ482" s="166"/>
      <c r="AR482" s="166"/>
    </row>
    <row r="483" customHeight="1" spans="1:44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  <c r="AB483" s="166"/>
      <c r="AC483" s="166"/>
      <c r="AD483" s="166"/>
      <c r="AE483" s="166"/>
      <c r="AF483" s="166"/>
      <c r="AG483" s="166"/>
      <c r="AH483" s="166"/>
      <c r="AI483" s="166"/>
      <c r="AJ483" s="166"/>
      <c r="AK483" s="166"/>
      <c r="AL483" s="166"/>
      <c r="AM483" s="166"/>
      <c r="AN483" s="166"/>
      <c r="AO483" s="166"/>
      <c r="AP483" s="166"/>
      <c r="AQ483" s="166"/>
      <c r="AR483" s="166"/>
    </row>
    <row r="484" customHeight="1" spans="1:44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  <c r="AB484" s="166"/>
      <c r="AC484" s="166"/>
      <c r="AD484" s="166"/>
      <c r="AE484" s="166"/>
      <c r="AF484" s="166"/>
      <c r="AG484" s="166"/>
      <c r="AH484" s="166"/>
      <c r="AI484" s="166"/>
      <c r="AJ484" s="166"/>
      <c r="AK484" s="166"/>
      <c r="AL484" s="166"/>
      <c r="AM484" s="166"/>
      <c r="AN484" s="166"/>
      <c r="AO484" s="166"/>
      <c r="AP484" s="166"/>
      <c r="AQ484" s="166"/>
      <c r="AR484" s="166"/>
    </row>
    <row r="485" customHeight="1" spans="1:44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  <c r="AB485" s="166"/>
      <c r="AC485" s="166"/>
      <c r="AD485" s="166"/>
      <c r="AE485" s="166"/>
      <c r="AF485" s="166"/>
      <c r="AG485" s="166"/>
      <c r="AH485" s="166"/>
      <c r="AI485" s="166"/>
      <c r="AJ485" s="166"/>
      <c r="AK485" s="166"/>
      <c r="AL485" s="166"/>
      <c r="AM485" s="166"/>
      <c r="AN485" s="166"/>
      <c r="AO485" s="166"/>
      <c r="AP485" s="166"/>
      <c r="AQ485" s="166"/>
      <c r="AR485" s="166"/>
    </row>
    <row r="486" customHeight="1" spans="1:44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  <c r="AB486" s="166"/>
      <c r="AC486" s="166"/>
      <c r="AD486" s="166"/>
      <c r="AE486" s="166"/>
      <c r="AF486" s="166"/>
      <c r="AG486" s="166"/>
      <c r="AH486" s="166"/>
      <c r="AI486" s="166"/>
      <c r="AJ486" s="166"/>
      <c r="AK486" s="166"/>
      <c r="AL486" s="166"/>
      <c r="AM486" s="166"/>
      <c r="AN486" s="166"/>
      <c r="AO486" s="166"/>
      <c r="AP486" s="166"/>
      <c r="AQ486" s="166"/>
      <c r="AR486" s="166"/>
    </row>
    <row r="487" customHeight="1" spans="1:44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  <c r="AB487" s="166"/>
      <c r="AC487" s="166"/>
      <c r="AD487" s="166"/>
      <c r="AE487" s="166"/>
      <c r="AF487" s="166"/>
      <c r="AG487" s="166"/>
      <c r="AH487" s="166"/>
      <c r="AI487" s="166"/>
      <c r="AJ487" s="166"/>
      <c r="AK487" s="166"/>
      <c r="AL487" s="166"/>
      <c r="AM487" s="166"/>
      <c r="AN487" s="166"/>
      <c r="AO487" s="166"/>
      <c r="AP487" s="166"/>
      <c r="AQ487" s="166"/>
      <c r="AR487" s="166"/>
    </row>
    <row r="488" customHeight="1" spans="1:44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  <c r="AB488" s="166"/>
      <c r="AC488" s="166"/>
      <c r="AD488" s="166"/>
      <c r="AE488" s="166"/>
      <c r="AF488" s="166"/>
      <c r="AG488" s="166"/>
      <c r="AH488" s="166"/>
      <c r="AI488" s="166"/>
      <c r="AJ488" s="166"/>
      <c r="AK488" s="166"/>
      <c r="AL488" s="166"/>
      <c r="AM488" s="166"/>
      <c r="AN488" s="166"/>
      <c r="AO488" s="166"/>
      <c r="AP488" s="166"/>
      <c r="AQ488" s="166"/>
      <c r="AR488" s="166"/>
    </row>
    <row r="489" customHeight="1" spans="1:44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  <c r="AB489" s="166"/>
      <c r="AC489" s="166"/>
      <c r="AD489" s="166"/>
      <c r="AE489" s="166"/>
      <c r="AF489" s="166"/>
      <c r="AG489" s="166"/>
      <c r="AH489" s="166"/>
      <c r="AI489" s="166"/>
      <c r="AJ489" s="166"/>
      <c r="AK489" s="166"/>
      <c r="AL489" s="166"/>
      <c r="AM489" s="166"/>
      <c r="AN489" s="166"/>
      <c r="AO489" s="166"/>
      <c r="AP489" s="166"/>
      <c r="AQ489" s="166"/>
      <c r="AR489" s="166"/>
    </row>
    <row r="490" customHeight="1" spans="1:44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  <c r="AB490" s="166"/>
      <c r="AC490" s="166"/>
      <c r="AD490" s="166"/>
      <c r="AE490" s="166"/>
      <c r="AF490" s="166"/>
      <c r="AG490" s="166"/>
      <c r="AH490" s="166"/>
      <c r="AI490" s="166"/>
      <c r="AJ490" s="166"/>
      <c r="AK490" s="166"/>
      <c r="AL490" s="166"/>
      <c r="AM490" s="166"/>
      <c r="AN490" s="166"/>
      <c r="AO490" s="166"/>
      <c r="AP490" s="166"/>
      <c r="AQ490" s="166"/>
      <c r="AR490" s="166"/>
    </row>
    <row r="491" customHeight="1" spans="1:44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  <c r="AB491" s="166"/>
      <c r="AC491" s="166"/>
      <c r="AD491" s="166"/>
      <c r="AE491" s="166"/>
      <c r="AF491" s="166"/>
      <c r="AG491" s="166"/>
      <c r="AH491" s="166"/>
      <c r="AI491" s="166"/>
      <c r="AJ491" s="166"/>
      <c r="AK491" s="166"/>
      <c r="AL491" s="166"/>
      <c r="AM491" s="166"/>
      <c r="AN491" s="166"/>
      <c r="AO491" s="166"/>
      <c r="AP491" s="166"/>
      <c r="AQ491" s="166"/>
      <c r="AR491" s="166"/>
    </row>
    <row r="492" customHeight="1" spans="1:44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  <c r="AB492" s="166"/>
      <c r="AC492" s="166"/>
      <c r="AD492" s="166"/>
      <c r="AE492" s="166"/>
      <c r="AF492" s="166"/>
      <c r="AG492" s="166"/>
      <c r="AH492" s="166"/>
      <c r="AI492" s="166"/>
      <c r="AJ492" s="166"/>
      <c r="AK492" s="166"/>
      <c r="AL492" s="166"/>
      <c r="AM492" s="166"/>
      <c r="AN492" s="166"/>
      <c r="AO492" s="166"/>
      <c r="AP492" s="166"/>
      <c r="AQ492" s="166"/>
      <c r="AR492" s="166"/>
    </row>
    <row r="493" customHeight="1" spans="1:44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  <c r="AB493" s="166"/>
      <c r="AC493" s="166"/>
      <c r="AD493" s="166"/>
      <c r="AE493" s="166"/>
      <c r="AF493" s="166"/>
      <c r="AG493" s="166"/>
      <c r="AH493" s="166"/>
      <c r="AI493" s="166"/>
      <c r="AJ493" s="166"/>
      <c r="AK493" s="166"/>
      <c r="AL493" s="166"/>
      <c r="AM493" s="166"/>
      <c r="AN493" s="166"/>
      <c r="AO493" s="166"/>
      <c r="AP493" s="166"/>
      <c r="AQ493" s="166"/>
      <c r="AR493" s="166"/>
    </row>
    <row r="494" customHeight="1" spans="1:44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  <c r="AB494" s="166"/>
      <c r="AC494" s="166"/>
      <c r="AD494" s="166"/>
      <c r="AE494" s="166"/>
      <c r="AF494" s="166"/>
      <c r="AG494" s="166"/>
      <c r="AH494" s="166"/>
      <c r="AI494" s="166"/>
      <c r="AJ494" s="166"/>
      <c r="AK494" s="166"/>
      <c r="AL494" s="166"/>
      <c r="AM494" s="166"/>
      <c r="AN494" s="166"/>
      <c r="AO494" s="166"/>
      <c r="AP494" s="166"/>
      <c r="AQ494" s="166"/>
      <c r="AR494" s="166"/>
    </row>
    <row r="495" customHeight="1" spans="1:44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  <c r="AB495" s="166"/>
      <c r="AC495" s="166"/>
      <c r="AD495" s="166"/>
      <c r="AE495" s="166"/>
      <c r="AF495" s="166"/>
      <c r="AG495" s="166"/>
      <c r="AH495" s="166"/>
      <c r="AI495" s="166"/>
      <c r="AJ495" s="166"/>
      <c r="AK495" s="166"/>
      <c r="AL495" s="166"/>
      <c r="AM495" s="166"/>
      <c r="AN495" s="166"/>
      <c r="AO495" s="166"/>
      <c r="AP495" s="166"/>
      <c r="AQ495" s="166"/>
      <c r="AR495" s="166"/>
    </row>
    <row r="496" customHeight="1" spans="1:44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  <c r="AB496" s="166"/>
      <c r="AC496" s="166"/>
      <c r="AD496" s="166"/>
      <c r="AE496" s="166"/>
      <c r="AF496" s="166"/>
      <c r="AG496" s="166"/>
      <c r="AH496" s="166"/>
      <c r="AI496" s="166"/>
      <c r="AJ496" s="166"/>
      <c r="AK496" s="166"/>
      <c r="AL496" s="166"/>
      <c r="AM496" s="166"/>
      <c r="AN496" s="166"/>
      <c r="AO496" s="166"/>
      <c r="AP496" s="166"/>
      <c r="AQ496" s="166"/>
      <c r="AR496" s="166"/>
    </row>
    <row r="497" customHeight="1" spans="1:44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  <c r="AB497" s="166"/>
      <c r="AC497" s="166"/>
      <c r="AD497" s="166"/>
      <c r="AE497" s="166"/>
      <c r="AF497" s="166"/>
      <c r="AG497" s="166"/>
      <c r="AH497" s="166"/>
      <c r="AI497" s="166"/>
      <c r="AJ497" s="166"/>
      <c r="AK497" s="166"/>
      <c r="AL497" s="166"/>
      <c r="AM497" s="166"/>
      <c r="AN497" s="166"/>
      <c r="AO497" s="166"/>
      <c r="AP497" s="166"/>
      <c r="AQ497" s="166"/>
      <c r="AR497" s="166"/>
    </row>
    <row r="498" customHeight="1" spans="1:44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  <c r="AB498" s="166"/>
      <c r="AC498" s="166"/>
      <c r="AD498" s="166"/>
      <c r="AE498" s="166"/>
      <c r="AF498" s="166"/>
      <c r="AG498" s="166"/>
      <c r="AH498" s="166"/>
      <c r="AI498" s="166"/>
      <c r="AJ498" s="166"/>
      <c r="AK498" s="166"/>
      <c r="AL498" s="166"/>
      <c r="AM498" s="166"/>
      <c r="AN498" s="166"/>
      <c r="AO498" s="166"/>
      <c r="AP498" s="166"/>
      <c r="AQ498" s="166"/>
      <c r="AR498" s="166"/>
    </row>
    <row r="499" customHeight="1" spans="1:44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  <c r="AB499" s="166"/>
      <c r="AC499" s="166"/>
      <c r="AD499" s="166"/>
      <c r="AE499" s="166"/>
      <c r="AF499" s="166"/>
      <c r="AG499" s="166"/>
      <c r="AH499" s="166"/>
      <c r="AI499" s="166"/>
      <c r="AJ499" s="166"/>
      <c r="AK499" s="166"/>
      <c r="AL499" s="166"/>
      <c r="AM499" s="166"/>
      <c r="AN499" s="166"/>
      <c r="AO499" s="166"/>
      <c r="AP499" s="166"/>
      <c r="AQ499" s="166"/>
      <c r="AR499" s="166"/>
    </row>
    <row r="500" customHeight="1" spans="1:44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  <c r="AB500" s="166"/>
      <c r="AC500" s="166"/>
      <c r="AD500" s="166"/>
      <c r="AE500" s="166"/>
      <c r="AF500" s="166"/>
      <c r="AG500" s="166"/>
      <c r="AH500" s="166"/>
      <c r="AI500" s="166"/>
      <c r="AJ500" s="166"/>
      <c r="AK500" s="166"/>
      <c r="AL500" s="166"/>
      <c r="AM500" s="166"/>
      <c r="AN500" s="166"/>
      <c r="AO500" s="166"/>
      <c r="AP500" s="166"/>
      <c r="AQ500" s="166"/>
      <c r="AR500" s="166"/>
    </row>
    <row r="501" customHeight="1" spans="1:44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  <c r="AB501" s="166"/>
      <c r="AC501" s="166"/>
      <c r="AD501" s="166"/>
      <c r="AE501" s="166"/>
      <c r="AF501" s="166"/>
      <c r="AG501" s="166"/>
      <c r="AH501" s="166"/>
      <c r="AI501" s="166"/>
      <c r="AJ501" s="166"/>
      <c r="AK501" s="166"/>
      <c r="AL501" s="166"/>
      <c r="AM501" s="166"/>
      <c r="AN501" s="166"/>
      <c r="AO501" s="166"/>
      <c r="AP501" s="166"/>
      <c r="AQ501" s="166"/>
      <c r="AR501" s="166"/>
    </row>
    <row r="502" customHeight="1" spans="1:44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  <c r="AB502" s="166"/>
      <c r="AC502" s="166"/>
      <c r="AD502" s="166"/>
      <c r="AE502" s="166"/>
      <c r="AF502" s="166"/>
      <c r="AG502" s="166"/>
      <c r="AH502" s="166"/>
      <c r="AI502" s="166"/>
      <c r="AJ502" s="166"/>
      <c r="AK502" s="166"/>
      <c r="AL502" s="166"/>
      <c r="AM502" s="166"/>
      <c r="AN502" s="166"/>
      <c r="AO502" s="166"/>
      <c r="AP502" s="166"/>
      <c r="AQ502" s="166"/>
      <c r="AR502" s="166"/>
    </row>
    <row r="503" customHeight="1" spans="1:44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  <c r="AB503" s="166"/>
      <c r="AC503" s="166"/>
      <c r="AD503" s="166"/>
      <c r="AE503" s="166"/>
      <c r="AF503" s="166"/>
      <c r="AG503" s="166"/>
      <c r="AH503" s="166"/>
      <c r="AI503" s="166"/>
      <c r="AJ503" s="166"/>
      <c r="AK503" s="166"/>
      <c r="AL503" s="166"/>
      <c r="AM503" s="166"/>
      <c r="AN503" s="166"/>
      <c r="AO503" s="166"/>
      <c r="AP503" s="166"/>
      <c r="AQ503" s="166"/>
      <c r="AR503" s="166"/>
    </row>
    <row r="504" customHeight="1" spans="1:44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  <c r="AB504" s="166"/>
      <c r="AC504" s="166"/>
      <c r="AD504" s="166"/>
      <c r="AE504" s="166"/>
      <c r="AF504" s="166"/>
      <c r="AG504" s="166"/>
      <c r="AH504" s="166"/>
      <c r="AI504" s="166"/>
      <c r="AJ504" s="166"/>
      <c r="AK504" s="166"/>
      <c r="AL504" s="166"/>
      <c r="AM504" s="166"/>
      <c r="AN504" s="166"/>
      <c r="AO504" s="166"/>
      <c r="AP504" s="166"/>
      <c r="AQ504" s="166"/>
      <c r="AR504" s="166"/>
    </row>
    <row r="505" customHeight="1" spans="1:44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  <c r="AB505" s="166"/>
      <c r="AC505" s="166"/>
      <c r="AD505" s="166"/>
      <c r="AE505" s="166"/>
      <c r="AF505" s="166"/>
      <c r="AG505" s="166"/>
      <c r="AH505" s="166"/>
      <c r="AI505" s="166"/>
      <c r="AJ505" s="166"/>
      <c r="AK505" s="166"/>
      <c r="AL505" s="166"/>
      <c r="AM505" s="166"/>
      <c r="AN505" s="166"/>
      <c r="AO505" s="166"/>
      <c r="AP505" s="166"/>
      <c r="AQ505" s="166"/>
      <c r="AR505" s="166"/>
    </row>
    <row r="506" customHeight="1" spans="1:44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  <c r="AB506" s="166"/>
      <c r="AC506" s="166"/>
      <c r="AD506" s="166"/>
      <c r="AE506" s="166"/>
      <c r="AF506" s="166"/>
      <c r="AG506" s="166"/>
      <c r="AH506" s="166"/>
      <c r="AI506" s="166"/>
      <c r="AJ506" s="166"/>
      <c r="AK506" s="166"/>
      <c r="AL506" s="166"/>
      <c r="AM506" s="166"/>
      <c r="AN506" s="166"/>
      <c r="AO506" s="166"/>
      <c r="AP506" s="166"/>
      <c r="AQ506" s="166"/>
      <c r="AR506" s="166"/>
    </row>
    <row r="507" customHeight="1" spans="1:44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  <c r="AB507" s="166"/>
      <c r="AC507" s="166"/>
      <c r="AD507" s="166"/>
      <c r="AE507" s="166"/>
      <c r="AF507" s="166"/>
      <c r="AG507" s="166"/>
      <c r="AH507" s="166"/>
      <c r="AI507" s="166"/>
      <c r="AJ507" s="166"/>
      <c r="AK507" s="166"/>
      <c r="AL507" s="166"/>
      <c r="AM507" s="166"/>
      <c r="AN507" s="166"/>
      <c r="AO507" s="166"/>
      <c r="AP507" s="166"/>
      <c r="AQ507" s="166"/>
      <c r="AR507" s="166"/>
    </row>
    <row r="508" customHeight="1" spans="1:44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  <c r="AB508" s="166"/>
      <c r="AC508" s="166"/>
      <c r="AD508" s="166"/>
      <c r="AE508" s="166"/>
      <c r="AF508" s="166"/>
      <c r="AG508" s="166"/>
      <c r="AH508" s="166"/>
      <c r="AI508" s="166"/>
      <c r="AJ508" s="166"/>
      <c r="AK508" s="166"/>
      <c r="AL508" s="166"/>
      <c r="AM508" s="166"/>
      <c r="AN508" s="166"/>
      <c r="AO508" s="166"/>
      <c r="AP508" s="166"/>
      <c r="AQ508" s="166"/>
      <c r="AR508" s="166"/>
    </row>
    <row r="509" customHeight="1" spans="1:44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  <c r="AB509" s="166"/>
      <c r="AC509" s="166"/>
      <c r="AD509" s="166"/>
      <c r="AE509" s="166"/>
      <c r="AF509" s="166"/>
      <c r="AG509" s="166"/>
      <c r="AH509" s="166"/>
      <c r="AI509" s="166"/>
      <c r="AJ509" s="166"/>
      <c r="AK509" s="166"/>
      <c r="AL509" s="166"/>
      <c r="AM509" s="166"/>
      <c r="AN509" s="166"/>
      <c r="AO509" s="166"/>
      <c r="AP509" s="166"/>
      <c r="AQ509" s="166"/>
      <c r="AR509" s="166"/>
    </row>
    <row r="510" customHeight="1" spans="1:44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  <c r="AB510" s="166"/>
      <c r="AC510" s="166"/>
      <c r="AD510" s="166"/>
      <c r="AE510" s="166"/>
      <c r="AF510" s="166"/>
      <c r="AG510" s="166"/>
      <c r="AH510" s="166"/>
      <c r="AI510" s="166"/>
      <c r="AJ510" s="166"/>
      <c r="AK510" s="166"/>
      <c r="AL510" s="166"/>
      <c r="AM510" s="166"/>
      <c r="AN510" s="166"/>
      <c r="AO510" s="166"/>
      <c r="AP510" s="166"/>
      <c r="AQ510" s="166"/>
      <c r="AR510" s="166"/>
    </row>
    <row r="511" customHeight="1" spans="1:44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  <c r="AB511" s="166"/>
      <c r="AC511" s="166"/>
      <c r="AD511" s="166"/>
      <c r="AE511" s="166"/>
      <c r="AF511" s="166"/>
      <c r="AG511" s="166"/>
      <c r="AH511" s="166"/>
      <c r="AI511" s="166"/>
      <c r="AJ511" s="166"/>
      <c r="AK511" s="166"/>
      <c r="AL511" s="166"/>
      <c r="AM511" s="166"/>
      <c r="AN511" s="166"/>
      <c r="AO511" s="166"/>
      <c r="AP511" s="166"/>
      <c r="AQ511" s="166"/>
      <c r="AR511" s="166"/>
    </row>
    <row r="512" customHeight="1" spans="1:44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  <c r="AB512" s="166"/>
      <c r="AC512" s="166"/>
      <c r="AD512" s="166"/>
      <c r="AE512" s="166"/>
      <c r="AF512" s="166"/>
      <c r="AG512" s="166"/>
      <c r="AH512" s="166"/>
      <c r="AI512" s="166"/>
      <c r="AJ512" s="166"/>
      <c r="AK512" s="166"/>
      <c r="AL512" s="166"/>
      <c r="AM512" s="166"/>
      <c r="AN512" s="166"/>
      <c r="AO512" s="166"/>
      <c r="AP512" s="166"/>
      <c r="AQ512" s="166"/>
      <c r="AR512" s="166"/>
    </row>
    <row r="513" customHeight="1" spans="1:44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  <c r="AB513" s="166"/>
      <c r="AC513" s="166"/>
      <c r="AD513" s="166"/>
      <c r="AE513" s="166"/>
      <c r="AF513" s="166"/>
      <c r="AG513" s="166"/>
      <c r="AH513" s="166"/>
      <c r="AI513" s="166"/>
      <c r="AJ513" s="166"/>
      <c r="AK513" s="166"/>
      <c r="AL513" s="166"/>
      <c r="AM513" s="166"/>
      <c r="AN513" s="166"/>
      <c r="AO513" s="166"/>
      <c r="AP513" s="166"/>
      <c r="AQ513" s="166"/>
      <c r="AR513" s="166"/>
    </row>
    <row r="514" customHeight="1" spans="1:44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  <c r="AB514" s="166"/>
      <c r="AC514" s="166"/>
      <c r="AD514" s="166"/>
      <c r="AE514" s="166"/>
      <c r="AF514" s="166"/>
      <c r="AG514" s="166"/>
      <c r="AH514" s="166"/>
      <c r="AI514" s="166"/>
      <c r="AJ514" s="166"/>
      <c r="AK514" s="166"/>
      <c r="AL514" s="166"/>
      <c r="AM514" s="166"/>
      <c r="AN514" s="166"/>
      <c r="AO514" s="166"/>
      <c r="AP514" s="166"/>
      <c r="AQ514" s="166"/>
      <c r="AR514" s="166"/>
    </row>
    <row r="515" customHeight="1" spans="1:44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  <c r="AB515" s="166"/>
      <c r="AC515" s="166"/>
      <c r="AD515" s="166"/>
      <c r="AE515" s="166"/>
      <c r="AF515" s="166"/>
      <c r="AG515" s="166"/>
      <c r="AH515" s="166"/>
      <c r="AI515" s="166"/>
      <c r="AJ515" s="166"/>
      <c r="AK515" s="166"/>
      <c r="AL515" s="166"/>
      <c r="AM515" s="166"/>
      <c r="AN515" s="166"/>
      <c r="AO515" s="166"/>
      <c r="AP515" s="166"/>
      <c r="AQ515" s="166"/>
      <c r="AR515" s="166"/>
    </row>
    <row r="516" customHeight="1" spans="1:44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  <c r="AB516" s="166"/>
      <c r="AC516" s="166"/>
      <c r="AD516" s="166"/>
      <c r="AE516" s="166"/>
      <c r="AF516" s="166"/>
      <c r="AG516" s="166"/>
      <c r="AH516" s="166"/>
      <c r="AI516" s="166"/>
      <c r="AJ516" s="166"/>
      <c r="AK516" s="166"/>
      <c r="AL516" s="166"/>
      <c r="AM516" s="166"/>
      <c r="AN516" s="166"/>
      <c r="AO516" s="166"/>
      <c r="AP516" s="166"/>
      <c r="AQ516" s="166"/>
      <c r="AR516" s="166"/>
    </row>
    <row r="517" customHeight="1" spans="1:44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  <c r="AB517" s="166"/>
      <c r="AC517" s="166"/>
      <c r="AD517" s="166"/>
      <c r="AE517" s="166"/>
      <c r="AF517" s="166"/>
      <c r="AG517" s="166"/>
      <c r="AH517" s="166"/>
      <c r="AI517" s="166"/>
      <c r="AJ517" s="166"/>
      <c r="AK517" s="166"/>
      <c r="AL517" s="166"/>
      <c r="AM517" s="166"/>
      <c r="AN517" s="166"/>
      <c r="AO517" s="166"/>
      <c r="AP517" s="166"/>
      <c r="AQ517" s="166"/>
      <c r="AR517" s="166"/>
    </row>
    <row r="518" customHeight="1" spans="1:44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  <c r="AB518" s="166"/>
      <c r="AC518" s="166"/>
      <c r="AD518" s="166"/>
      <c r="AE518" s="166"/>
      <c r="AF518" s="166"/>
      <c r="AG518" s="166"/>
      <c r="AH518" s="166"/>
      <c r="AI518" s="166"/>
      <c r="AJ518" s="166"/>
      <c r="AK518" s="166"/>
      <c r="AL518" s="166"/>
      <c r="AM518" s="166"/>
      <c r="AN518" s="166"/>
      <c r="AO518" s="166"/>
      <c r="AP518" s="166"/>
      <c r="AQ518" s="166"/>
      <c r="AR518" s="166"/>
    </row>
    <row r="519" customHeight="1" spans="1:44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  <c r="AB519" s="166"/>
      <c r="AC519" s="166"/>
      <c r="AD519" s="166"/>
      <c r="AE519" s="166"/>
      <c r="AF519" s="166"/>
      <c r="AG519" s="166"/>
      <c r="AH519" s="166"/>
      <c r="AI519" s="166"/>
      <c r="AJ519" s="166"/>
      <c r="AK519" s="166"/>
      <c r="AL519" s="166"/>
      <c r="AM519" s="166"/>
      <c r="AN519" s="166"/>
      <c r="AO519" s="166"/>
      <c r="AP519" s="166"/>
      <c r="AQ519" s="166"/>
      <c r="AR519" s="166"/>
    </row>
    <row r="520" customHeight="1" spans="1:44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  <c r="AB520" s="166"/>
      <c r="AC520" s="166"/>
      <c r="AD520" s="166"/>
      <c r="AE520" s="166"/>
      <c r="AF520" s="166"/>
      <c r="AG520" s="166"/>
      <c r="AH520" s="166"/>
      <c r="AI520" s="166"/>
      <c r="AJ520" s="166"/>
      <c r="AK520" s="166"/>
      <c r="AL520" s="166"/>
      <c r="AM520" s="166"/>
      <c r="AN520" s="166"/>
      <c r="AO520" s="166"/>
      <c r="AP520" s="166"/>
      <c r="AQ520" s="166"/>
      <c r="AR520" s="166"/>
    </row>
    <row r="521" customHeight="1" spans="1:44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  <c r="AB521" s="166"/>
      <c r="AC521" s="166"/>
      <c r="AD521" s="166"/>
      <c r="AE521" s="166"/>
      <c r="AF521" s="166"/>
      <c r="AG521" s="166"/>
      <c r="AH521" s="166"/>
      <c r="AI521" s="166"/>
      <c r="AJ521" s="166"/>
      <c r="AK521" s="166"/>
      <c r="AL521" s="166"/>
      <c r="AM521" s="166"/>
      <c r="AN521" s="166"/>
      <c r="AO521" s="166"/>
      <c r="AP521" s="166"/>
      <c r="AQ521" s="166"/>
      <c r="AR521" s="166"/>
    </row>
    <row r="522" customHeight="1" spans="1:44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  <c r="AB522" s="166"/>
      <c r="AC522" s="166"/>
      <c r="AD522" s="166"/>
      <c r="AE522" s="166"/>
      <c r="AF522" s="166"/>
      <c r="AG522" s="166"/>
      <c r="AH522" s="166"/>
      <c r="AI522" s="166"/>
      <c r="AJ522" s="166"/>
      <c r="AK522" s="166"/>
      <c r="AL522" s="166"/>
      <c r="AM522" s="166"/>
      <c r="AN522" s="166"/>
      <c r="AO522" s="166"/>
      <c r="AP522" s="166"/>
      <c r="AQ522" s="166"/>
      <c r="AR522" s="166"/>
    </row>
    <row r="523" customHeight="1" spans="1:44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  <c r="AB523" s="166"/>
      <c r="AC523" s="166"/>
      <c r="AD523" s="166"/>
      <c r="AE523" s="166"/>
      <c r="AF523" s="166"/>
      <c r="AG523" s="166"/>
      <c r="AH523" s="166"/>
      <c r="AI523" s="166"/>
      <c r="AJ523" s="166"/>
      <c r="AK523" s="166"/>
      <c r="AL523" s="166"/>
      <c r="AM523" s="166"/>
      <c r="AN523" s="166"/>
      <c r="AO523" s="166"/>
      <c r="AP523" s="166"/>
      <c r="AQ523" s="166"/>
      <c r="AR523" s="166"/>
    </row>
    <row r="524" customHeight="1" spans="1:44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  <c r="AB524" s="166"/>
      <c r="AC524" s="166"/>
      <c r="AD524" s="166"/>
      <c r="AE524" s="166"/>
      <c r="AF524" s="166"/>
      <c r="AG524" s="166"/>
      <c r="AH524" s="166"/>
      <c r="AI524" s="166"/>
      <c r="AJ524" s="166"/>
      <c r="AK524" s="166"/>
      <c r="AL524" s="166"/>
      <c r="AM524" s="166"/>
      <c r="AN524" s="166"/>
      <c r="AO524" s="166"/>
      <c r="AP524" s="166"/>
      <c r="AQ524" s="166"/>
      <c r="AR524" s="166"/>
    </row>
    <row r="525" customHeight="1" spans="1:44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  <c r="AB525" s="166"/>
      <c r="AC525" s="166"/>
      <c r="AD525" s="166"/>
      <c r="AE525" s="166"/>
      <c r="AF525" s="166"/>
      <c r="AG525" s="166"/>
      <c r="AH525" s="166"/>
      <c r="AI525" s="166"/>
      <c r="AJ525" s="166"/>
      <c r="AK525" s="166"/>
      <c r="AL525" s="166"/>
      <c r="AM525" s="166"/>
      <c r="AN525" s="166"/>
      <c r="AO525" s="166"/>
      <c r="AP525" s="166"/>
      <c r="AQ525" s="166"/>
      <c r="AR525" s="166"/>
    </row>
    <row r="526" customHeight="1" spans="1:44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  <c r="AB526" s="166"/>
      <c r="AC526" s="166"/>
      <c r="AD526" s="166"/>
      <c r="AE526" s="166"/>
      <c r="AF526" s="166"/>
      <c r="AG526" s="166"/>
      <c r="AH526" s="166"/>
      <c r="AI526" s="166"/>
      <c r="AJ526" s="166"/>
      <c r="AK526" s="166"/>
      <c r="AL526" s="166"/>
      <c r="AM526" s="166"/>
      <c r="AN526" s="166"/>
      <c r="AO526" s="166"/>
      <c r="AP526" s="166"/>
      <c r="AQ526" s="166"/>
      <c r="AR526" s="166"/>
    </row>
    <row r="527" customHeight="1" spans="1:44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  <c r="AB527" s="166"/>
      <c r="AC527" s="166"/>
      <c r="AD527" s="166"/>
      <c r="AE527" s="166"/>
      <c r="AF527" s="166"/>
      <c r="AG527" s="166"/>
      <c r="AH527" s="166"/>
      <c r="AI527" s="166"/>
      <c r="AJ527" s="166"/>
      <c r="AK527" s="166"/>
      <c r="AL527" s="166"/>
      <c r="AM527" s="166"/>
      <c r="AN527" s="166"/>
      <c r="AO527" s="166"/>
      <c r="AP527" s="166"/>
      <c r="AQ527" s="166"/>
      <c r="AR527" s="166"/>
    </row>
    <row r="528" customHeight="1" spans="1:44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  <c r="AB528" s="166"/>
      <c r="AC528" s="166"/>
      <c r="AD528" s="166"/>
      <c r="AE528" s="166"/>
      <c r="AF528" s="166"/>
      <c r="AG528" s="166"/>
      <c r="AH528" s="166"/>
      <c r="AI528" s="166"/>
      <c r="AJ528" s="166"/>
      <c r="AK528" s="166"/>
      <c r="AL528" s="166"/>
      <c r="AM528" s="166"/>
      <c r="AN528" s="166"/>
      <c r="AO528" s="166"/>
      <c r="AP528" s="166"/>
      <c r="AQ528" s="166"/>
      <c r="AR528" s="166"/>
    </row>
    <row r="529" customHeight="1" spans="1:44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  <c r="AB529" s="166"/>
      <c r="AC529" s="166"/>
      <c r="AD529" s="166"/>
      <c r="AE529" s="166"/>
      <c r="AF529" s="166"/>
      <c r="AG529" s="166"/>
      <c r="AH529" s="166"/>
      <c r="AI529" s="166"/>
      <c r="AJ529" s="166"/>
      <c r="AK529" s="166"/>
      <c r="AL529" s="166"/>
      <c r="AM529" s="166"/>
      <c r="AN529" s="166"/>
      <c r="AO529" s="166"/>
      <c r="AP529" s="166"/>
      <c r="AQ529" s="166"/>
      <c r="AR529" s="166"/>
    </row>
    <row r="530" customHeight="1" spans="1:44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  <c r="AB530" s="166"/>
      <c r="AC530" s="166"/>
      <c r="AD530" s="166"/>
      <c r="AE530" s="166"/>
      <c r="AF530" s="166"/>
      <c r="AG530" s="166"/>
      <c r="AH530" s="166"/>
      <c r="AI530" s="166"/>
      <c r="AJ530" s="166"/>
      <c r="AK530" s="166"/>
      <c r="AL530" s="166"/>
      <c r="AM530" s="166"/>
      <c r="AN530" s="166"/>
      <c r="AO530" s="166"/>
      <c r="AP530" s="166"/>
      <c r="AQ530" s="166"/>
      <c r="AR530" s="166"/>
    </row>
    <row r="531" customHeight="1" spans="1:44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  <c r="AB531" s="166"/>
      <c r="AC531" s="166"/>
      <c r="AD531" s="166"/>
      <c r="AE531" s="166"/>
      <c r="AF531" s="166"/>
      <c r="AG531" s="166"/>
      <c r="AH531" s="166"/>
      <c r="AI531" s="166"/>
      <c r="AJ531" s="166"/>
      <c r="AK531" s="166"/>
      <c r="AL531" s="166"/>
      <c r="AM531" s="166"/>
      <c r="AN531" s="166"/>
      <c r="AO531" s="166"/>
      <c r="AP531" s="166"/>
      <c r="AQ531" s="166"/>
      <c r="AR531" s="166"/>
    </row>
    <row r="532" customHeight="1" spans="1:44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  <c r="AB532" s="166"/>
      <c r="AC532" s="166"/>
      <c r="AD532" s="166"/>
      <c r="AE532" s="166"/>
      <c r="AF532" s="166"/>
      <c r="AG532" s="166"/>
      <c r="AH532" s="166"/>
      <c r="AI532" s="166"/>
      <c r="AJ532" s="166"/>
      <c r="AK532" s="166"/>
      <c r="AL532" s="166"/>
      <c r="AM532" s="166"/>
      <c r="AN532" s="166"/>
      <c r="AO532" s="166"/>
      <c r="AP532" s="166"/>
      <c r="AQ532" s="166"/>
      <c r="AR532" s="166"/>
    </row>
    <row r="533" customHeight="1" spans="1:44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  <c r="AB533" s="166"/>
      <c r="AC533" s="166"/>
      <c r="AD533" s="166"/>
      <c r="AE533" s="166"/>
      <c r="AF533" s="166"/>
      <c r="AG533" s="166"/>
      <c r="AH533" s="166"/>
      <c r="AI533" s="166"/>
      <c r="AJ533" s="166"/>
      <c r="AK533" s="166"/>
      <c r="AL533" s="166"/>
      <c r="AM533" s="166"/>
      <c r="AN533" s="166"/>
      <c r="AO533" s="166"/>
      <c r="AP533" s="166"/>
      <c r="AQ533" s="166"/>
      <c r="AR533" s="166"/>
    </row>
    <row r="534" customHeight="1" spans="1:44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  <c r="AB534" s="166"/>
      <c r="AC534" s="166"/>
      <c r="AD534" s="166"/>
      <c r="AE534" s="166"/>
      <c r="AF534" s="166"/>
      <c r="AG534" s="166"/>
      <c r="AH534" s="166"/>
      <c r="AI534" s="166"/>
      <c r="AJ534" s="166"/>
      <c r="AK534" s="166"/>
      <c r="AL534" s="166"/>
      <c r="AM534" s="166"/>
      <c r="AN534" s="166"/>
      <c r="AO534" s="166"/>
      <c r="AP534" s="166"/>
      <c r="AQ534" s="166"/>
      <c r="AR534" s="166"/>
    </row>
    <row r="535" customHeight="1" spans="1:44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  <c r="AB535" s="166"/>
      <c r="AC535" s="166"/>
      <c r="AD535" s="166"/>
      <c r="AE535" s="166"/>
      <c r="AF535" s="166"/>
      <c r="AG535" s="166"/>
      <c r="AH535" s="166"/>
      <c r="AI535" s="166"/>
      <c r="AJ535" s="166"/>
      <c r="AK535" s="166"/>
      <c r="AL535" s="166"/>
      <c r="AM535" s="166"/>
      <c r="AN535" s="166"/>
      <c r="AO535" s="166"/>
      <c r="AP535" s="166"/>
      <c r="AQ535" s="166"/>
      <c r="AR535" s="166"/>
    </row>
    <row r="536" customHeight="1" spans="1:44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  <c r="AB536" s="166"/>
      <c r="AC536" s="166"/>
      <c r="AD536" s="166"/>
      <c r="AE536" s="166"/>
      <c r="AF536" s="166"/>
      <c r="AG536" s="166"/>
      <c r="AH536" s="166"/>
      <c r="AI536" s="166"/>
      <c r="AJ536" s="166"/>
      <c r="AK536" s="166"/>
      <c r="AL536" s="166"/>
      <c r="AM536" s="166"/>
      <c r="AN536" s="166"/>
      <c r="AO536" s="166"/>
      <c r="AP536" s="166"/>
      <c r="AQ536" s="166"/>
      <c r="AR536" s="166"/>
    </row>
    <row r="537" customHeight="1" spans="1:44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  <c r="AB537" s="166"/>
      <c r="AC537" s="166"/>
      <c r="AD537" s="166"/>
      <c r="AE537" s="166"/>
      <c r="AF537" s="166"/>
      <c r="AG537" s="166"/>
      <c r="AH537" s="166"/>
      <c r="AI537" s="166"/>
      <c r="AJ537" s="166"/>
      <c r="AK537" s="166"/>
      <c r="AL537" s="166"/>
      <c r="AM537" s="166"/>
      <c r="AN537" s="166"/>
      <c r="AO537" s="166"/>
      <c r="AP537" s="166"/>
      <c r="AQ537" s="166"/>
      <c r="AR537" s="166"/>
    </row>
    <row r="538" customHeight="1" spans="1:44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  <c r="AB538" s="166"/>
      <c r="AC538" s="166"/>
      <c r="AD538" s="166"/>
      <c r="AE538" s="166"/>
      <c r="AF538" s="166"/>
      <c r="AG538" s="166"/>
      <c r="AH538" s="166"/>
      <c r="AI538" s="166"/>
      <c r="AJ538" s="166"/>
      <c r="AK538" s="166"/>
      <c r="AL538" s="166"/>
      <c r="AM538" s="166"/>
      <c r="AN538" s="166"/>
      <c r="AO538" s="166"/>
      <c r="AP538" s="166"/>
      <c r="AQ538" s="166"/>
      <c r="AR538" s="166"/>
    </row>
    <row r="539" customHeight="1" spans="1:44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  <c r="AB539" s="166"/>
      <c r="AC539" s="166"/>
      <c r="AD539" s="166"/>
      <c r="AE539" s="166"/>
      <c r="AF539" s="166"/>
      <c r="AG539" s="166"/>
      <c r="AH539" s="166"/>
      <c r="AI539" s="166"/>
      <c r="AJ539" s="166"/>
      <c r="AK539" s="166"/>
      <c r="AL539" s="166"/>
      <c r="AM539" s="166"/>
      <c r="AN539" s="166"/>
      <c r="AO539" s="166"/>
      <c r="AP539" s="166"/>
      <c r="AQ539" s="166"/>
      <c r="AR539" s="166"/>
    </row>
    <row r="540" customHeight="1" spans="1:44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  <c r="AB540" s="166"/>
      <c r="AC540" s="166"/>
      <c r="AD540" s="166"/>
      <c r="AE540" s="166"/>
      <c r="AF540" s="166"/>
      <c r="AG540" s="166"/>
      <c r="AH540" s="166"/>
      <c r="AI540" s="166"/>
      <c r="AJ540" s="166"/>
      <c r="AK540" s="166"/>
      <c r="AL540" s="166"/>
      <c r="AM540" s="166"/>
      <c r="AN540" s="166"/>
      <c r="AO540" s="166"/>
      <c r="AP540" s="166"/>
      <c r="AQ540" s="166"/>
      <c r="AR540" s="166"/>
    </row>
    <row r="541" customHeight="1" spans="1:44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  <c r="AB541" s="166"/>
      <c r="AC541" s="166"/>
      <c r="AD541" s="166"/>
      <c r="AE541" s="166"/>
      <c r="AF541" s="166"/>
      <c r="AG541" s="166"/>
      <c r="AH541" s="166"/>
      <c r="AI541" s="166"/>
      <c r="AJ541" s="166"/>
      <c r="AK541" s="166"/>
      <c r="AL541" s="166"/>
      <c r="AM541" s="166"/>
      <c r="AN541" s="166"/>
      <c r="AO541" s="166"/>
      <c r="AP541" s="166"/>
      <c r="AQ541" s="166"/>
      <c r="AR541" s="166"/>
    </row>
    <row r="542" customHeight="1" spans="1:44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  <c r="AB542" s="166"/>
      <c r="AC542" s="166"/>
      <c r="AD542" s="166"/>
      <c r="AE542" s="166"/>
      <c r="AF542" s="166"/>
      <c r="AG542" s="166"/>
      <c r="AH542" s="166"/>
      <c r="AI542" s="166"/>
      <c r="AJ542" s="166"/>
      <c r="AK542" s="166"/>
      <c r="AL542" s="166"/>
      <c r="AM542" s="166"/>
      <c r="AN542" s="166"/>
      <c r="AO542" s="166"/>
      <c r="AP542" s="166"/>
      <c r="AQ542" s="166"/>
      <c r="AR542" s="166"/>
    </row>
    <row r="543" customHeight="1" spans="1:44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  <c r="AB543" s="166"/>
      <c r="AC543" s="166"/>
      <c r="AD543" s="166"/>
      <c r="AE543" s="166"/>
      <c r="AF543" s="166"/>
      <c r="AG543" s="166"/>
      <c r="AH543" s="166"/>
      <c r="AI543" s="166"/>
      <c r="AJ543" s="166"/>
      <c r="AK543" s="166"/>
      <c r="AL543" s="166"/>
      <c r="AM543" s="166"/>
      <c r="AN543" s="166"/>
      <c r="AO543" s="166"/>
      <c r="AP543" s="166"/>
      <c r="AQ543" s="166"/>
      <c r="AR543" s="166"/>
    </row>
    <row r="544" customHeight="1" spans="1:44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  <c r="AB544" s="166"/>
      <c r="AC544" s="166"/>
      <c r="AD544" s="166"/>
      <c r="AE544" s="166"/>
      <c r="AF544" s="166"/>
      <c r="AG544" s="166"/>
      <c r="AH544" s="166"/>
      <c r="AI544" s="166"/>
      <c r="AJ544" s="166"/>
      <c r="AK544" s="166"/>
      <c r="AL544" s="166"/>
      <c r="AM544" s="166"/>
      <c r="AN544" s="166"/>
      <c r="AO544" s="166"/>
      <c r="AP544" s="166"/>
      <c r="AQ544" s="166"/>
      <c r="AR544" s="166"/>
    </row>
    <row r="545" customHeight="1" spans="1:44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  <c r="AB545" s="166"/>
      <c r="AC545" s="166"/>
      <c r="AD545" s="166"/>
      <c r="AE545" s="166"/>
      <c r="AF545" s="166"/>
      <c r="AG545" s="166"/>
      <c r="AH545" s="166"/>
      <c r="AI545" s="166"/>
      <c r="AJ545" s="166"/>
      <c r="AK545" s="166"/>
      <c r="AL545" s="166"/>
      <c r="AM545" s="166"/>
      <c r="AN545" s="166"/>
      <c r="AO545" s="166"/>
      <c r="AP545" s="166"/>
      <c r="AQ545" s="166"/>
      <c r="AR545" s="166"/>
    </row>
    <row r="546" customHeight="1" spans="1:44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  <c r="AB546" s="166"/>
      <c r="AC546" s="166"/>
      <c r="AD546" s="166"/>
      <c r="AE546" s="166"/>
      <c r="AF546" s="166"/>
      <c r="AG546" s="166"/>
      <c r="AH546" s="166"/>
      <c r="AI546" s="166"/>
      <c r="AJ546" s="166"/>
      <c r="AK546" s="166"/>
      <c r="AL546" s="166"/>
      <c r="AM546" s="166"/>
      <c r="AN546" s="166"/>
      <c r="AO546" s="166"/>
      <c r="AP546" s="166"/>
      <c r="AQ546" s="166"/>
      <c r="AR546" s="166"/>
    </row>
    <row r="547" customHeight="1" spans="1:44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  <c r="AB547" s="166"/>
      <c r="AC547" s="166"/>
      <c r="AD547" s="166"/>
      <c r="AE547" s="166"/>
      <c r="AF547" s="166"/>
      <c r="AG547" s="166"/>
      <c r="AH547" s="166"/>
      <c r="AI547" s="166"/>
      <c r="AJ547" s="166"/>
      <c r="AK547" s="166"/>
      <c r="AL547" s="166"/>
      <c r="AM547" s="166"/>
      <c r="AN547" s="166"/>
      <c r="AO547" s="166"/>
      <c r="AP547" s="166"/>
      <c r="AQ547" s="166"/>
      <c r="AR547" s="166"/>
    </row>
    <row r="548" customHeight="1" spans="1:44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  <c r="AB548" s="166"/>
      <c r="AC548" s="166"/>
      <c r="AD548" s="166"/>
      <c r="AE548" s="166"/>
      <c r="AF548" s="166"/>
      <c r="AG548" s="166"/>
      <c r="AH548" s="166"/>
      <c r="AI548" s="166"/>
      <c r="AJ548" s="166"/>
      <c r="AK548" s="166"/>
      <c r="AL548" s="166"/>
      <c r="AM548" s="166"/>
      <c r="AN548" s="166"/>
      <c r="AO548" s="166"/>
      <c r="AP548" s="166"/>
      <c r="AQ548" s="166"/>
      <c r="AR548" s="166"/>
    </row>
    <row r="549" customHeight="1" spans="1:44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  <c r="AB549" s="166"/>
      <c r="AC549" s="166"/>
      <c r="AD549" s="166"/>
      <c r="AE549" s="166"/>
      <c r="AF549" s="166"/>
      <c r="AG549" s="166"/>
      <c r="AH549" s="166"/>
      <c r="AI549" s="166"/>
      <c r="AJ549" s="166"/>
      <c r="AK549" s="166"/>
      <c r="AL549" s="166"/>
      <c r="AM549" s="166"/>
      <c r="AN549" s="166"/>
      <c r="AO549" s="166"/>
      <c r="AP549" s="166"/>
      <c r="AQ549" s="166"/>
      <c r="AR549" s="166"/>
    </row>
    <row r="550" customHeight="1" spans="1:44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  <c r="AB550" s="166"/>
      <c r="AC550" s="166"/>
      <c r="AD550" s="166"/>
      <c r="AE550" s="166"/>
      <c r="AF550" s="166"/>
      <c r="AG550" s="166"/>
      <c r="AH550" s="166"/>
      <c r="AI550" s="166"/>
      <c r="AJ550" s="166"/>
      <c r="AK550" s="166"/>
      <c r="AL550" s="166"/>
      <c r="AM550" s="166"/>
      <c r="AN550" s="166"/>
      <c r="AO550" s="166"/>
      <c r="AP550" s="166"/>
      <c r="AQ550" s="166"/>
      <c r="AR550" s="166"/>
    </row>
    <row r="551" customHeight="1" spans="1:44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  <c r="AB551" s="166"/>
      <c r="AC551" s="166"/>
      <c r="AD551" s="166"/>
      <c r="AE551" s="166"/>
      <c r="AF551" s="166"/>
      <c r="AG551" s="166"/>
      <c r="AH551" s="166"/>
      <c r="AI551" s="166"/>
      <c r="AJ551" s="166"/>
      <c r="AK551" s="166"/>
      <c r="AL551" s="166"/>
      <c r="AM551" s="166"/>
      <c r="AN551" s="166"/>
      <c r="AO551" s="166"/>
      <c r="AP551" s="166"/>
      <c r="AQ551" s="166"/>
      <c r="AR551" s="166"/>
    </row>
    <row r="552" customHeight="1" spans="1:44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  <c r="AB552" s="166"/>
      <c r="AC552" s="166"/>
      <c r="AD552" s="166"/>
      <c r="AE552" s="166"/>
      <c r="AF552" s="166"/>
      <c r="AG552" s="166"/>
      <c r="AH552" s="166"/>
      <c r="AI552" s="166"/>
      <c r="AJ552" s="166"/>
      <c r="AK552" s="166"/>
      <c r="AL552" s="166"/>
      <c r="AM552" s="166"/>
      <c r="AN552" s="166"/>
      <c r="AO552" s="166"/>
      <c r="AP552" s="166"/>
      <c r="AQ552" s="166"/>
      <c r="AR552" s="166"/>
    </row>
    <row r="553" customHeight="1" spans="1:44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  <c r="AB553" s="166"/>
      <c r="AC553" s="166"/>
      <c r="AD553" s="166"/>
      <c r="AE553" s="166"/>
      <c r="AF553" s="166"/>
      <c r="AG553" s="166"/>
      <c r="AH553" s="166"/>
      <c r="AI553" s="166"/>
      <c r="AJ553" s="166"/>
      <c r="AK553" s="166"/>
      <c r="AL553" s="166"/>
      <c r="AM553" s="166"/>
      <c r="AN553" s="166"/>
      <c r="AO553" s="166"/>
      <c r="AP553" s="166"/>
      <c r="AQ553" s="166"/>
      <c r="AR553" s="166"/>
    </row>
    <row r="554" customHeight="1" spans="1:44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  <c r="AB554" s="166"/>
      <c r="AC554" s="166"/>
      <c r="AD554" s="166"/>
      <c r="AE554" s="166"/>
      <c r="AF554" s="166"/>
      <c r="AG554" s="166"/>
      <c r="AH554" s="166"/>
      <c r="AI554" s="166"/>
      <c r="AJ554" s="166"/>
      <c r="AK554" s="166"/>
      <c r="AL554" s="166"/>
      <c r="AM554" s="166"/>
      <c r="AN554" s="166"/>
      <c r="AO554" s="166"/>
      <c r="AP554" s="166"/>
      <c r="AQ554" s="166"/>
      <c r="AR554" s="166"/>
    </row>
    <row r="555" customHeight="1" spans="1:44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  <c r="AB555" s="166"/>
      <c r="AC555" s="166"/>
      <c r="AD555" s="166"/>
      <c r="AE555" s="166"/>
      <c r="AF555" s="166"/>
      <c r="AG555" s="166"/>
      <c r="AH555" s="166"/>
      <c r="AI555" s="166"/>
      <c r="AJ555" s="166"/>
      <c r="AK555" s="166"/>
      <c r="AL555" s="166"/>
      <c r="AM555" s="166"/>
      <c r="AN555" s="166"/>
      <c r="AO555" s="166"/>
      <c r="AP555" s="166"/>
      <c r="AQ555" s="166"/>
      <c r="AR555" s="166"/>
    </row>
    <row r="556" customHeight="1" spans="1:44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  <c r="AB556" s="166"/>
      <c r="AC556" s="166"/>
      <c r="AD556" s="166"/>
      <c r="AE556" s="166"/>
      <c r="AF556" s="166"/>
      <c r="AG556" s="166"/>
      <c r="AH556" s="166"/>
      <c r="AI556" s="166"/>
      <c r="AJ556" s="166"/>
      <c r="AK556" s="166"/>
      <c r="AL556" s="166"/>
      <c r="AM556" s="166"/>
      <c r="AN556" s="166"/>
      <c r="AO556" s="166"/>
      <c r="AP556" s="166"/>
      <c r="AQ556" s="166"/>
      <c r="AR556" s="166"/>
    </row>
    <row r="557" customHeight="1" spans="1:44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  <c r="AB557" s="166"/>
      <c r="AC557" s="166"/>
      <c r="AD557" s="166"/>
      <c r="AE557" s="166"/>
      <c r="AF557" s="166"/>
      <c r="AG557" s="166"/>
      <c r="AH557" s="166"/>
      <c r="AI557" s="166"/>
      <c r="AJ557" s="166"/>
      <c r="AK557" s="166"/>
      <c r="AL557" s="166"/>
      <c r="AM557" s="166"/>
      <c r="AN557" s="166"/>
      <c r="AO557" s="166"/>
      <c r="AP557" s="166"/>
      <c r="AQ557" s="166"/>
      <c r="AR557" s="166"/>
    </row>
    <row r="558" customHeight="1" spans="1:44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  <c r="AB558" s="166"/>
      <c r="AC558" s="166"/>
      <c r="AD558" s="166"/>
      <c r="AE558" s="166"/>
      <c r="AF558" s="166"/>
      <c r="AG558" s="166"/>
      <c r="AH558" s="166"/>
      <c r="AI558" s="166"/>
      <c r="AJ558" s="166"/>
      <c r="AK558" s="166"/>
      <c r="AL558" s="166"/>
      <c r="AM558" s="166"/>
      <c r="AN558" s="166"/>
      <c r="AO558" s="166"/>
      <c r="AP558" s="166"/>
      <c r="AQ558" s="166"/>
      <c r="AR558" s="166"/>
    </row>
    <row r="559" customHeight="1" spans="1:44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  <c r="AB559" s="166"/>
      <c r="AC559" s="166"/>
      <c r="AD559" s="166"/>
      <c r="AE559" s="166"/>
      <c r="AF559" s="166"/>
      <c r="AG559" s="166"/>
      <c r="AH559" s="166"/>
      <c r="AI559" s="166"/>
      <c r="AJ559" s="166"/>
      <c r="AK559" s="166"/>
      <c r="AL559" s="166"/>
      <c r="AM559" s="166"/>
      <c r="AN559" s="166"/>
      <c r="AO559" s="166"/>
      <c r="AP559" s="166"/>
      <c r="AQ559" s="166"/>
      <c r="AR559" s="166"/>
    </row>
    <row r="560" customHeight="1" spans="1:44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  <c r="AB560" s="166"/>
      <c r="AC560" s="166"/>
      <c r="AD560" s="166"/>
      <c r="AE560" s="166"/>
      <c r="AF560" s="166"/>
      <c r="AG560" s="166"/>
      <c r="AH560" s="166"/>
      <c r="AI560" s="166"/>
      <c r="AJ560" s="166"/>
      <c r="AK560" s="166"/>
      <c r="AL560" s="166"/>
      <c r="AM560" s="166"/>
      <c r="AN560" s="166"/>
      <c r="AO560" s="166"/>
      <c r="AP560" s="166"/>
      <c r="AQ560" s="166"/>
      <c r="AR560" s="166"/>
    </row>
    <row r="561" customHeight="1" spans="1:44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  <c r="AB561" s="166"/>
      <c r="AC561" s="166"/>
      <c r="AD561" s="166"/>
      <c r="AE561" s="166"/>
      <c r="AF561" s="166"/>
      <c r="AG561" s="166"/>
      <c r="AH561" s="166"/>
      <c r="AI561" s="166"/>
      <c r="AJ561" s="166"/>
      <c r="AK561" s="166"/>
      <c r="AL561" s="166"/>
      <c r="AM561" s="166"/>
      <c r="AN561" s="166"/>
      <c r="AO561" s="166"/>
      <c r="AP561" s="166"/>
      <c r="AQ561" s="166"/>
      <c r="AR561" s="166"/>
    </row>
    <row r="562" customHeight="1" spans="1:44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  <c r="AB562" s="166"/>
      <c r="AC562" s="166"/>
      <c r="AD562" s="166"/>
      <c r="AE562" s="166"/>
      <c r="AF562" s="166"/>
      <c r="AG562" s="166"/>
      <c r="AH562" s="166"/>
      <c r="AI562" s="166"/>
      <c r="AJ562" s="166"/>
      <c r="AK562" s="166"/>
      <c r="AL562" s="166"/>
      <c r="AM562" s="166"/>
      <c r="AN562" s="166"/>
      <c r="AO562" s="166"/>
      <c r="AP562" s="166"/>
      <c r="AQ562" s="166"/>
      <c r="AR562" s="166"/>
    </row>
    <row r="563" customHeight="1" spans="1:44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  <c r="AB563" s="166"/>
      <c r="AC563" s="166"/>
      <c r="AD563" s="166"/>
      <c r="AE563" s="166"/>
      <c r="AF563" s="166"/>
      <c r="AG563" s="166"/>
      <c r="AH563" s="166"/>
      <c r="AI563" s="166"/>
      <c r="AJ563" s="166"/>
      <c r="AK563" s="166"/>
      <c r="AL563" s="166"/>
      <c r="AM563" s="166"/>
      <c r="AN563" s="166"/>
      <c r="AO563" s="166"/>
      <c r="AP563" s="166"/>
      <c r="AQ563" s="166"/>
      <c r="AR563" s="166"/>
    </row>
    <row r="564" customHeight="1" spans="1:44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  <c r="AB564" s="166"/>
      <c r="AC564" s="166"/>
      <c r="AD564" s="166"/>
      <c r="AE564" s="166"/>
      <c r="AF564" s="166"/>
      <c r="AG564" s="166"/>
      <c r="AH564" s="166"/>
      <c r="AI564" s="166"/>
      <c r="AJ564" s="166"/>
      <c r="AK564" s="166"/>
      <c r="AL564" s="166"/>
      <c r="AM564" s="166"/>
      <c r="AN564" s="166"/>
      <c r="AO564" s="166"/>
      <c r="AP564" s="166"/>
      <c r="AQ564" s="166"/>
      <c r="AR564" s="166"/>
    </row>
    <row r="565" customHeight="1" spans="1:44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  <c r="AB565" s="166"/>
      <c r="AC565" s="166"/>
      <c r="AD565" s="166"/>
      <c r="AE565" s="166"/>
      <c r="AF565" s="166"/>
      <c r="AG565" s="166"/>
      <c r="AH565" s="166"/>
      <c r="AI565" s="166"/>
      <c r="AJ565" s="166"/>
      <c r="AK565" s="166"/>
      <c r="AL565" s="166"/>
      <c r="AM565" s="166"/>
      <c r="AN565" s="166"/>
      <c r="AO565" s="166"/>
      <c r="AP565" s="166"/>
      <c r="AQ565" s="166"/>
      <c r="AR565" s="166"/>
    </row>
    <row r="566" customHeight="1" spans="1:44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  <c r="AB566" s="166"/>
      <c r="AC566" s="166"/>
      <c r="AD566" s="166"/>
      <c r="AE566" s="166"/>
      <c r="AF566" s="166"/>
      <c r="AG566" s="166"/>
      <c r="AH566" s="166"/>
      <c r="AI566" s="166"/>
      <c r="AJ566" s="166"/>
      <c r="AK566" s="166"/>
      <c r="AL566" s="166"/>
      <c r="AM566" s="166"/>
      <c r="AN566" s="166"/>
      <c r="AO566" s="166"/>
      <c r="AP566" s="166"/>
      <c r="AQ566" s="166"/>
      <c r="AR566" s="166"/>
    </row>
    <row r="567" customHeight="1" spans="1:44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  <c r="AB567" s="166"/>
      <c r="AC567" s="166"/>
      <c r="AD567" s="166"/>
      <c r="AE567" s="166"/>
      <c r="AF567" s="166"/>
      <c r="AG567" s="166"/>
      <c r="AH567" s="166"/>
      <c r="AI567" s="166"/>
      <c r="AJ567" s="166"/>
      <c r="AK567" s="166"/>
      <c r="AL567" s="166"/>
      <c r="AM567" s="166"/>
      <c r="AN567" s="166"/>
      <c r="AO567" s="166"/>
      <c r="AP567" s="166"/>
      <c r="AQ567" s="166"/>
      <c r="AR567" s="166"/>
    </row>
    <row r="568" customHeight="1" spans="1:44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  <c r="AB568" s="166"/>
      <c r="AC568" s="166"/>
      <c r="AD568" s="166"/>
      <c r="AE568" s="166"/>
      <c r="AF568" s="166"/>
      <c r="AG568" s="166"/>
      <c r="AH568" s="166"/>
      <c r="AI568" s="166"/>
      <c r="AJ568" s="166"/>
      <c r="AK568" s="166"/>
      <c r="AL568" s="166"/>
      <c r="AM568" s="166"/>
      <c r="AN568" s="166"/>
      <c r="AO568" s="166"/>
      <c r="AP568" s="166"/>
      <c r="AQ568" s="166"/>
      <c r="AR568" s="166"/>
    </row>
    <row r="569" customHeight="1" spans="1:44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  <c r="AB569" s="166"/>
      <c r="AC569" s="166"/>
      <c r="AD569" s="166"/>
      <c r="AE569" s="166"/>
      <c r="AF569" s="166"/>
      <c r="AG569" s="166"/>
      <c r="AH569" s="166"/>
      <c r="AI569" s="166"/>
      <c r="AJ569" s="166"/>
      <c r="AK569" s="166"/>
      <c r="AL569" s="166"/>
      <c r="AM569" s="166"/>
      <c r="AN569" s="166"/>
      <c r="AO569" s="166"/>
      <c r="AP569" s="166"/>
      <c r="AQ569" s="166"/>
      <c r="AR569" s="166"/>
    </row>
    <row r="570" customHeight="1" spans="1:44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  <c r="AB570" s="166"/>
      <c r="AC570" s="166"/>
      <c r="AD570" s="166"/>
      <c r="AE570" s="166"/>
      <c r="AF570" s="166"/>
      <c r="AG570" s="166"/>
      <c r="AH570" s="166"/>
      <c r="AI570" s="166"/>
      <c r="AJ570" s="166"/>
      <c r="AK570" s="166"/>
      <c r="AL570" s="166"/>
      <c r="AM570" s="166"/>
      <c r="AN570" s="166"/>
      <c r="AO570" s="166"/>
      <c r="AP570" s="166"/>
      <c r="AQ570" s="166"/>
      <c r="AR570" s="166"/>
    </row>
    <row r="571" customHeight="1" spans="1:44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  <c r="AB571" s="166"/>
      <c r="AC571" s="166"/>
      <c r="AD571" s="166"/>
      <c r="AE571" s="166"/>
      <c r="AF571" s="166"/>
      <c r="AG571" s="166"/>
      <c r="AH571" s="166"/>
      <c r="AI571" s="166"/>
      <c r="AJ571" s="166"/>
      <c r="AK571" s="166"/>
      <c r="AL571" s="166"/>
      <c r="AM571" s="166"/>
      <c r="AN571" s="166"/>
      <c r="AO571" s="166"/>
      <c r="AP571" s="166"/>
      <c r="AQ571" s="166"/>
      <c r="AR571" s="166"/>
    </row>
    <row r="572" customHeight="1" spans="1:44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  <c r="AB572" s="166"/>
      <c r="AC572" s="166"/>
      <c r="AD572" s="166"/>
      <c r="AE572" s="166"/>
      <c r="AF572" s="166"/>
      <c r="AG572" s="166"/>
      <c r="AH572" s="166"/>
      <c r="AI572" s="166"/>
      <c r="AJ572" s="166"/>
      <c r="AK572" s="166"/>
      <c r="AL572" s="166"/>
      <c r="AM572" s="166"/>
      <c r="AN572" s="166"/>
      <c r="AO572" s="166"/>
      <c r="AP572" s="166"/>
      <c r="AQ572" s="166"/>
      <c r="AR572" s="166"/>
    </row>
    <row r="573" customHeight="1" spans="1:44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  <c r="AB573" s="166"/>
      <c r="AC573" s="166"/>
      <c r="AD573" s="166"/>
      <c r="AE573" s="166"/>
      <c r="AF573" s="166"/>
      <c r="AG573" s="166"/>
      <c r="AH573" s="166"/>
      <c r="AI573" s="166"/>
      <c r="AJ573" s="166"/>
      <c r="AK573" s="166"/>
      <c r="AL573" s="166"/>
      <c r="AM573" s="166"/>
      <c r="AN573" s="166"/>
      <c r="AO573" s="166"/>
      <c r="AP573" s="166"/>
      <c r="AQ573" s="166"/>
      <c r="AR573" s="166"/>
    </row>
    <row r="574" customHeight="1" spans="1:44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  <c r="AB574" s="166"/>
      <c r="AC574" s="166"/>
      <c r="AD574" s="166"/>
      <c r="AE574" s="166"/>
      <c r="AF574" s="166"/>
      <c r="AG574" s="166"/>
      <c r="AH574" s="166"/>
      <c r="AI574" s="166"/>
      <c r="AJ574" s="166"/>
      <c r="AK574" s="166"/>
      <c r="AL574" s="166"/>
      <c r="AM574" s="166"/>
      <c r="AN574" s="166"/>
      <c r="AO574" s="166"/>
      <c r="AP574" s="166"/>
      <c r="AQ574" s="166"/>
      <c r="AR574" s="166"/>
    </row>
    <row r="575" customHeight="1" spans="1:44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  <c r="AB575" s="166"/>
      <c r="AC575" s="166"/>
      <c r="AD575" s="166"/>
      <c r="AE575" s="166"/>
      <c r="AF575" s="166"/>
      <c r="AG575" s="166"/>
      <c r="AH575" s="166"/>
      <c r="AI575" s="166"/>
      <c r="AJ575" s="166"/>
      <c r="AK575" s="166"/>
      <c r="AL575" s="166"/>
      <c r="AM575" s="166"/>
      <c r="AN575" s="166"/>
      <c r="AO575" s="166"/>
      <c r="AP575" s="166"/>
      <c r="AQ575" s="166"/>
      <c r="AR575" s="166"/>
    </row>
    <row r="576" customHeight="1" spans="1:44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  <c r="AB576" s="166"/>
      <c r="AC576" s="166"/>
      <c r="AD576" s="166"/>
      <c r="AE576" s="166"/>
      <c r="AF576" s="166"/>
      <c r="AG576" s="166"/>
      <c r="AH576" s="166"/>
      <c r="AI576" s="166"/>
      <c r="AJ576" s="166"/>
      <c r="AK576" s="166"/>
      <c r="AL576" s="166"/>
      <c r="AM576" s="166"/>
      <c r="AN576" s="166"/>
      <c r="AO576" s="166"/>
      <c r="AP576" s="166"/>
      <c r="AQ576" s="166"/>
      <c r="AR576" s="166"/>
    </row>
    <row r="577" customHeight="1" spans="1:44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  <c r="AB577" s="166"/>
      <c r="AC577" s="166"/>
      <c r="AD577" s="166"/>
      <c r="AE577" s="166"/>
      <c r="AF577" s="166"/>
      <c r="AG577" s="166"/>
      <c r="AH577" s="166"/>
      <c r="AI577" s="166"/>
      <c r="AJ577" s="166"/>
      <c r="AK577" s="166"/>
      <c r="AL577" s="166"/>
      <c r="AM577" s="166"/>
      <c r="AN577" s="166"/>
      <c r="AO577" s="166"/>
      <c r="AP577" s="166"/>
      <c r="AQ577" s="166"/>
      <c r="AR577" s="166"/>
    </row>
    <row r="578" customHeight="1" spans="1:44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  <c r="AB578" s="166"/>
      <c r="AC578" s="166"/>
      <c r="AD578" s="166"/>
      <c r="AE578" s="166"/>
      <c r="AF578" s="166"/>
      <c r="AG578" s="166"/>
      <c r="AH578" s="166"/>
      <c r="AI578" s="166"/>
      <c r="AJ578" s="166"/>
      <c r="AK578" s="166"/>
      <c r="AL578" s="166"/>
      <c r="AM578" s="166"/>
      <c r="AN578" s="166"/>
      <c r="AO578" s="166"/>
      <c r="AP578" s="166"/>
      <c r="AQ578" s="166"/>
      <c r="AR578" s="166"/>
    </row>
    <row r="579" customHeight="1" spans="1:44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  <c r="AB579" s="166"/>
      <c r="AC579" s="166"/>
      <c r="AD579" s="166"/>
      <c r="AE579" s="166"/>
      <c r="AF579" s="166"/>
      <c r="AG579" s="166"/>
      <c r="AH579" s="166"/>
      <c r="AI579" s="166"/>
      <c r="AJ579" s="166"/>
      <c r="AK579" s="166"/>
      <c r="AL579" s="166"/>
      <c r="AM579" s="166"/>
      <c r="AN579" s="166"/>
      <c r="AO579" s="166"/>
      <c r="AP579" s="166"/>
      <c r="AQ579" s="166"/>
      <c r="AR579" s="166"/>
    </row>
    <row r="580" customHeight="1" spans="1:44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  <c r="AB580" s="166"/>
      <c r="AC580" s="166"/>
      <c r="AD580" s="166"/>
      <c r="AE580" s="166"/>
      <c r="AF580" s="166"/>
      <c r="AG580" s="166"/>
      <c r="AH580" s="166"/>
      <c r="AI580" s="166"/>
      <c r="AJ580" s="166"/>
      <c r="AK580" s="166"/>
      <c r="AL580" s="166"/>
      <c r="AM580" s="166"/>
      <c r="AN580" s="166"/>
      <c r="AO580" s="166"/>
      <c r="AP580" s="166"/>
      <c r="AQ580" s="166"/>
      <c r="AR580" s="166"/>
    </row>
    <row r="581" customHeight="1" spans="1:44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  <c r="AB581" s="166"/>
      <c r="AC581" s="166"/>
      <c r="AD581" s="166"/>
      <c r="AE581" s="166"/>
      <c r="AF581" s="166"/>
      <c r="AG581" s="166"/>
      <c r="AH581" s="166"/>
      <c r="AI581" s="166"/>
      <c r="AJ581" s="166"/>
      <c r="AK581" s="166"/>
      <c r="AL581" s="166"/>
      <c r="AM581" s="166"/>
      <c r="AN581" s="166"/>
      <c r="AO581" s="166"/>
      <c r="AP581" s="166"/>
      <c r="AQ581" s="166"/>
      <c r="AR581" s="166"/>
    </row>
    <row r="582" customHeight="1" spans="1:44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  <c r="AB582" s="166"/>
      <c r="AC582" s="166"/>
      <c r="AD582" s="166"/>
      <c r="AE582" s="166"/>
      <c r="AF582" s="166"/>
      <c r="AG582" s="166"/>
      <c r="AH582" s="166"/>
      <c r="AI582" s="166"/>
      <c r="AJ582" s="166"/>
      <c r="AK582" s="166"/>
      <c r="AL582" s="166"/>
      <c r="AM582" s="166"/>
      <c r="AN582" s="166"/>
      <c r="AO582" s="166"/>
      <c r="AP582" s="166"/>
      <c r="AQ582" s="166"/>
      <c r="AR582" s="166"/>
    </row>
    <row r="583" customHeight="1" spans="1:44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  <c r="AB583" s="166"/>
      <c r="AC583" s="166"/>
      <c r="AD583" s="166"/>
      <c r="AE583" s="166"/>
      <c r="AF583" s="166"/>
      <c r="AG583" s="166"/>
      <c r="AH583" s="166"/>
      <c r="AI583" s="166"/>
      <c r="AJ583" s="166"/>
      <c r="AK583" s="166"/>
      <c r="AL583" s="166"/>
      <c r="AM583" s="166"/>
      <c r="AN583" s="166"/>
      <c r="AO583" s="166"/>
      <c r="AP583" s="166"/>
      <c r="AQ583" s="166"/>
      <c r="AR583" s="166"/>
    </row>
    <row r="584" customHeight="1" spans="1:44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  <c r="AB584" s="166"/>
      <c r="AC584" s="166"/>
      <c r="AD584" s="166"/>
      <c r="AE584" s="166"/>
      <c r="AF584" s="166"/>
      <c r="AG584" s="166"/>
      <c r="AH584" s="166"/>
      <c r="AI584" s="166"/>
      <c r="AJ584" s="166"/>
      <c r="AK584" s="166"/>
      <c r="AL584" s="166"/>
      <c r="AM584" s="166"/>
      <c r="AN584" s="166"/>
      <c r="AO584" s="166"/>
      <c r="AP584" s="166"/>
      <c r="AQ584" s="166"/>
      <c r="AR584" s="166"/>
    </row>
    <row r="585" customHeight="1" spans="1:44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  <c r="AB585" s="166"/>
      <c r="AC585" s="166"/>
      <c r="AD585" s="166"/>
      <c r="AE585" s="166"/>
      <c r="AF585" s="166"/>
      <c r="AG585" s="166"/>
      <c r="AH585" s="166"/>
      <c r="AI585" s="166"/>
      <c r="AJ585" s="166"/>
      <c r="AK585" s="166"/>
      <c r="AL585" s="166"/>
      <c r="AM585" s="166"/>
      <c r="AN585" s="166"/>
      <c r="AO585" s="166"/>
      <c r="AP585" s="166"/>
      <c r="AQ585" s="166"/>
      <c r="AR585" s="166"/>
    </row>
    <row r="586" customHeight="1" spans="1:44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  <c r="AB586" s="166"/>
      <c r="AC586" s="166"/>
      <c r="AD586" s="166"/>
      <c r="AE586" s="166"/>
      <c r="AF586" s="166"/>
      <c r="AG586" s="166"/>
      <c r="AH586" s="166"/>
      <c r="AI586" s="166"/>
      <c r="AJ586" s="166"/>
      <c r="AK586" s="166"/>
      <c r="AL586" s="166"/>
      <c r="AM586" s="166"/>
      <c r="AN586" s="166"/>
      <c r="AO586" s="166"/>
      <c r="AP586" s="166"/>
      <c r="AQ586" s="166"/>
      <c r="AR586" s="166"/>
    </row>
    <row r="587" customHeight="1" spans="1:44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  <c r="AB587" s="166"/>
      <c r="AC587" s="166"/>
      <c r="AD587" s="166"/>
      <c r="AE587" s="166"/>
      <c r="AF587" s="166"/>
      <c r="AG587" s="166"/>
      <c r="AH587" s="166"/>
      <c r="AI587" s="166"/>
      <c r="AJ587" s="166"/>
      <c r="AK587" s="166"/>
      <c r="AL587" s="166"/>
      <c r="AM587" s="166"/>
      <c r="AN587" s="166"/>
      <c r="AO587" s="166"/>
      <c r="AP587" s="166"/>
      <c r="AQ587" s="166"/>
      <c r="AR587" s="166"/>
    </row>
    <row r="588" customHeight="1" spans="1:44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  <c r="AB588" s="166"/>
      <c r="AC588" s="166"/>
      <c r="AD588" s="166"/>
      <c r="AE588" s="166"/>
      <c r="AF588" s="166"/>
      <c r="AG588" s="166"/>
      <c r="AH588" s="166"/>
      <c r="AI588" s="166"/>
      <c r="AJ588" s="166"/>
      <c r="AK588" s="166"/>
      <c r="AL588" s="166"/>
      <c r="AM588" s="166"/>
      <c r="AN588" s="166"/>
      <c r="AO588" s="166"/>
      <c r="AP588" s="166"/>
      <c r="AQ588" s="166"/>
      <c r="AR588" s="166"/>
    </row>
    <row r="589" customHeight="1" spans="1:44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  <c r="AB589" s="166"/>
      <c r="AC589" s="166"/>
      <c r="AD589" s="166"/>
      <c r="AE589" s="166"/>
      <c r="AF589" s="166"/>
      <c r="AG589" s="166"/>
      <c r="AH589" s="166"/>
      <c r="AI589" s="166"/>
      <c r="AJ589" s="166"/>
      <c r="AK589" s="166"/>
      <c r="AL589" s="166"/>
      <c r="AM589" s="166"/>
      <c r="AN589" s="166"/>
      <c r="AO589" s="166"/>
      <c r="AP589" s="166"/>
      <c r="AQ589" s="166"/>
      <c r="AR589" s="166"/>
    </row>
    <row r="590" customHeight="1" spans="1:44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  <c r="AB590" s="166"/>
      <c r="AC590" s="166"/>
      <c r="AD590" s="166"/>
      <c r="AE590" s="166"/>
      <c r="AF590" s="166"/>
      <c r="AG590" s="166"/>
      <c r="AH590" s="166"/>
      <c r="AI590" s="166"/>
      <c r="AJ590" s="166"/>
      <c r="AK590" s="166"/>
      <c r="AL590" s="166"/>
      <c r="AM590" s="166"/>
      <c r="AN590" s="166"/>
      <c r="AO590" s="166"/>
      <c r="AP590" s="166"/>
      <c r="AQ590" s="166"/>
      <c r="AR590" s="166"/>
    </row>
    <row r="591" customHeight="1" spans="1:44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  <c r="AB591" s="166"/>
      <c r="AC591" s="166"/>
      <c r="AD591" s="166"/>
      <c r="AE591" s="166"/>
      <c r="AF591" s="166"/>
      <c r="AG591" s="166"/>
      <c r="AH591" s="166"/>
      <c r="AI591" s="166"/>
      <c r="AJ591" s="166"/>
      <c r="AK591" s="166"/>
      <c r="AL591" s="166"/>
      <c r="AM591" s="166"/>
      <c r="AN591" s="166"/>
      <c r="AO591" s="166"/>
      <c r="AP591" s="166"/>
      <c r="AQ591" s="166"/>
      <c r="AR591" s="166"/>
    </row>
    <row r="592" customHeight="1" spans="1:44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  <c r="AB592" s="166"/>
      <c r="AC592" s="166"/>
      <c r="AD592" s="166"/>
      <c r="AE592" s="166"/>
      <c r="AF592" s="166"/>
      <c r="AG592" s="166"/>
      <c r="AH592" s="166"/>
      <c r="AI592" s="166"/>
      <c r="AJ592" s="166"/>
      <c r="AK592" s="166"/>
      <c r="AL592" s="166"/>
      <c r="AM592" s="166"/>
      <c r="AN592" s="166"/>
      <c r="AO592" s="166"/>
      <c r="AP592" s="166"/>
      <c r="AQ592" s="166"/>
      <c r="AR592" s="166"/>
    </row>
    <row r="593" customHeight="1" spans="1:44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  <c r="AB593" s="166"/>
      <c r="AC593" s="166"/>
      <c r="AD593" s="166"/>
      <c r="AE593" s="166"/>
      <c r="AF593" s="166"/>
      <c r="AG593" s="166"/>
      <c r="AH593" s="166"/>
      <c r="AI593" s="166"/>
      <c r="AJ593" s="166"/>
      <c r="AK593" s="166"/>
      <c r="AL593" s="166"/>
      <c r="AM593" s="166"/>
      <c r="AN593" s="166"/>
      <c r="AO593" s="166"/>
      <c r="AP593" s="166"/>
      <c r="AQ593" s="166"/>
      <c r="AR593" s="166"/>
    </row>
    <row r="594" customHeight="1" spans="1:44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  <c r="AB594" s="166"/>
      <c r="AC594" s="166"/>
      <c r="AD594" s="166"/>
      <c r="AE594" s="166"/>
      <c r="AF594" s="166"/>
      <c r="AG594" s="166"/>
      <c r="AH594" s="166"/>
      <c r="AI594" s="166"/>
      <c r="AJ594" s="166"/>
      <c r="AK594" s="166"/>
      <c r="AL594" s="166"/>
      <c r="AM594" s="166"/>
      <c r="AN594" s="166"/>
      <c r="AO594" s="166"/>
      <c r="AP594" s="166"/>
      <c r="AQ594" s="166"/>
      <c r="AR594" s="166"/>
    </row>
    <row r="595" customHeight="1" spans="1:44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  <c r="AB595" s="166"/>
      <c r="AC595" s="166"/>
      <c r="AD595" s="166"/>
      <c r="AE595" s="166"/>
      <c r="AF595" s="166"/>
      <c r="AG595" s="166"/>
      <c r="AH595" s="166"/>
      <c r="AI595" s="166"/>
      <c r="AJ595" s="166"/>
      <c r="AK595" s="166"/>
      <c r="AL595" s="166"/>
      <c r="AM595" s="166"/>
      <c r="AN595" s="166"/>
      <c r="AO595" s="166"/>
      <c r="AP595" s="166"/>
      <c r="AQ595" s="166"/>
      <c r="AR595" s="166"/>
    </row>
    <row r="596" customHeight="1" spans="1:44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  <c r="AB596" s="166"/>
      <c r="AC596" s="166"/>
      <c r="AD596" s="166"/>
      <c r="AE596" s="166"/>
      <c r="AF596" s="166"/>
      <c r="AG596" s="166"/>
      <c r="AH596" s="166"/>
      <c r="AI596" s="166"/>
      <c r="AJ596" s="166"/>
      <c r="AK596" s="166"/>
      <c r="AL596" s="166"/>
      <c r="AM596" s="166"/>
      <c r="AN596" s="166"/>
      <c r="AO596" s="166"/>
      <c r="AP596" s="166"/>
      <c r="AQ596" s="166"/>
      <c r="AR596" s="166"/>
    </row>
    <row r="597" customHeight="1" spans="1:44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  <c r="AB597" s="166"/>
      <c r="AC597" s="166"/>
      <c r="AD597" s="166"/>
      <c r="AE597" s="166"/>
      <c r="AF597" s="166"/>
      <c r="AG597" s="166"/>
      <c r="AH597" s="166"/>
      <c r="AI597" s="166"/>
      <c r="AJ597" s="166"/>
      <c r="AK597" s="166"/>
      <c r="AL597" s="166"/>
      <c r="AM597" s="166"/>
      <c r="AN597" s="166"/>
      <c r="AO597" s="166"/>
      <c r="AP597" s="166"/>
      <c r="AQ597" s="166"/>
      <c r="AR597" s="166"/>
    </row>
    <row r="598" customHeight="1" spans="1:44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  <c r="AB598" s="166"/>
      <c r="AC598" s="166"/>
      <c r="AD598" s="166"/>
      <c r="AE598" s="166"/>
      <c r="AF598" s="166"/>
      <c r="AG598" s="166"/>
      <c r="AH598" s="166"/>
      <c r="AI598" s="166"/>
      <c r="AJ598" s="166"/>
      <c r="AK598" s="166"/>
      <c r="AL598" s="166"/>
      <c r="AM598" s="166"/>
      <c r="AN598" s="166"/>
      <c r="AO598" s="166"/>
      <c r="AP598" s="166"/>
      <c r="AQ598" s="166"/>
      <c r="AR598" s="166"/>
    </row>
    <row r="599" customHeight="1" spans="1:44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  <c r="AB599" s="166"/>
      <c r="AC599" s="166"/>
      <c r="AD599" s="166"/>
      <c r="AE599" s="166"/>
      <c r="AF599" s="166"/>
      <c r="AG599" s="166"/>
      <c r="AH599" s="166"/>
      <c r="AI599" s="166"/>
      <c r="AJ599" s="166"/>
      <c r="AK599" s="166"/>
      <c r="AL599" s="166"/>
      <c r="AM599" s="166"/>
      <c r="AN599" s="166"/>
      <c r="AO599" s="166"/>
      <c r="AP599" s="166"/>
      <c r="AQ599" s="166"/>
      <c r="AR599" s="166"/>
    </row>
    <row r="600" customHeight="1" spans="1:44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  <c r="AB600" s="166"/>
      <c r="AC600" s="166"/>
      <c r="AD600" s="166"/>
      <c r="AE600" s="166"/>
      <c r="AF600" s="166"/>
      <c r="AG600" s="166"/>
      <c r="AH600" s="166"/>
      <c r="AI600" s="166"/>
      <c r="AJ600" s="166"/>
      <c r="AK600" s="166"/>
      <c r="AL600" s="166"/>
      <c r="AM600" s="166"/>
      <c r="AN600" s="166"/>
      <c r="AO600" s="166"/>
      <c r="AP600" s="166"/>
      <c r="AQ600" s="166"/>
      <c r="AR600" s="166"/>
    </row>
    <row r="601" customHeight="1" spans="1:44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  <c r="AB601" s="166"/>
      <c r="AC601" s="166"/>
      <c r="AD601" s="166"/>
      <c r="AE601" s="166"/>
      <c r="AF601" s="166"/>
      <c r="AG601" s="166"/>
      <c r="AH601" s="166"/>
      <c r="AI601" s="166"/>
      <c r="AJ601" s="166"/>
      <c r="AK601" s="166"/>
      <c r="AL601" s="166"/>
      <c r="AM601" s="166"/>
      <c r="AN601" s="166"/>
      <c r="AO601" s="166"/>
      <c r="AP601" s="166"/>
      <c r="AQ601" s="166"/>
      <c r="AR601" s="166"/>
    </row>
    <row r="602" customHeight="1" spans="1:44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  <c r="AB602" s="166"/>
      <c r="AC602" s="166"/>
      <c r="AD602" s="166"/>
      <c r="AE602" s="166"/>
      <c r="AF602" s="166"/>
      <c r="AG602" s="166"/>
      <c r="AH602" s="166"/>
      <c r="AI602" s="166"/>
      <c r="AJ602" s="166"/>
      <c r="AK602" s="166"/>
      <c r="AL602" s="166"/>
      <c r="AM602" s="166"/>
      <c r="AN602" s="166"/>
      <c r="AO602" s="166"/>
      <c r="AP602" s="166"/>
      <c r="AQ602" s="166"/>
      <c r="AR602" s="166"/>
    </row>
    <row r="603" customHeight="1" spans="1:44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  <c r="AB603" s="166"/>
      <c r="AC603" s="166"/>
      <c r="AD603" s="166"/>
      <c r="AE603" s="166"/>
      <c r="AF603" s="166"/>
      <c r="AG603" s="166"/>
      <c r="AH603" s="166"/>
      <c r="AI603" s="166"/>
      <c r="AJ603" s="166"/>
      <c r="AK603" s="166"/>
      <c r="AL603" s="166"/>
      <c r="AM603" s="166"/>
      <c r="AN603" s="166"/>
      <c r="AO603" s="166"/>
      <c r="AP603" s="166"/>
      <c r="AQ603" s="166"/>
      <c r="AR603" s="166"/>
    </row>
    <row r="604" customHeight="1" spans="1:44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6"/>
      <c r="AH604" s="166"/>
      <c r="AI604" s="166"/>
      <c r="AJ604" s="166"/>
      <c r="AK604" s="166"/>
      <c r="AL604" s="166"/>
      <c r="AM604" s="166"/>
      <c r="AN604" s="166"/>
      <c r="AO604" s="166"/>
      <c r="AP604" s="166"/>
      <c r="AQ604" s="166"/>
      <c r="AR604" s="166"/>
    </row>
    <row r="605" customHeight="1" spans="1:44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  <c r="AB605" s="166"/>
      <c r="AC605" s="166"/>
      <c r="AD605" s="166"/>
      <c r="AE605" s="166"/>
      <c r="AF605" s="166"/>
      <c r="AG605" s="166"/>
      <c r="AH605" s="166"/>
      <c r="AI605" s="166"/>
      <c r="AJ605" s="166"/>
      <c r="AK605" s="166"/>
      <c r="AL605" s="166"/>
      <c r="AM605" s="166"/>
      <c r="AN605" s="166"/>
      <c r="AO605" s="166"/>
      <c r="AP605" s="166"/>
      <c r="AQ605" s="166"/>
      <c r="AR605" s="166"/>
    </row>
    <row r="606" customHeight="1" spans="1:44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  <c r="AB606" s="166"/>
      <c r="AC606" s="166"/>
      <c r="AD606" s="166"/>
      <c r="AE606" s="166"/>
      <c r="AF606" s="166"/>
      <c r="AG606" s="166"/>
      <c r="AH606" s="166"/>
      <c r="AI606" s="166"/>
      <c r="AJ606" s="166"/>
      <c r="AK606" s="166"/>
      <c r="AL606" s="166"/>
      <c r="AM606" s="166"/>
      <c r="AN606" s="166"/>
      <c r="AO606" s="166"/>
      <c r="AP606" s="166"/>
      <c r="AQ606" s="166"/>
      <c r="AR606" s="166"/>
    </row>
    <row r="607" customHeight="1" spans="1:44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  <c r="AB607" s="166"/>
      <c r="AC607" s="166"/>
      <c r="AD607" s="166"/>
      <c r="AE607" s="166"/>
      <c r="AF607" s="166"/>
      <c r="AG607" s="166"/>
      <c r="AH607" s="166"/>
      <c r="AI607" s="166"/>
      <c r="AJ607" s="166"/>
      <c r="AK607" s="166"/>
      <c r="AL607" s="166"/>
      <c r="AM607" s="166"/>
      <c r="AN607" s="166"/>
      <c r="AO607" s="166"/>
      <c r="AP607" s="166"/>
      <c r="AQ607" s="166"/>
      <c r="AR607" s="166"/>
    </row>
    <row r="608" customHeight="1" spans="1:44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  <c r="AB608" s="166"/>
      <c r="AC608" s="166"/>
      <c r="AD608" s="166"/>
      <c r="AE608" s="166"/>
      <c r="AF608" s="166"/>
      <c r="AG608" s="166"/>
      <c r="AH608" s="166"/>
      <c r="AI608" s="166"/>
      <c r="AJ608" s="166"/>
      <c r="AK608" s="166"/>
      <c r="AL608" s="166"/>
      <c r="AM608" s="166"/>
      <c r="AN608" s="166"/>
      <c r="AO608" s="166"/>
      <c r="AP608" s="166"/>
      <c r="AQ608" s="166"/>
      <c r="AR608" s="166"/>
    </row>
    <row r="609" customHeight="1" spans="1:44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  <c r="AB609" s="166"/>
      <c r="AC609" s="166"/>
      <c r="AD609" s="166"/>
      <c r="AE609" s="166"/>
      <c r="AF609" s="166"/>
      <c r="AG609" s="166"/>
      <c r="AH609" s="166"/>
      <c r="AI609" s="166"/>
      <c r="AJ609" s="166"/>
      <c r="AK609" s="166"/>
      <c r="AL609" s="166"/>
      <c r="AM609" s="166"/>
      <c r="AN609" s="166"/>
      <c r="AO609" s="166"/>
      <c r="AP609" s="166"/>
      <c r="AQ609" s="166"/>
      <c r="AR609" s="166"/>
    </row>
    <row r="610" customHeight="1" spans="1:44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  <c r="AB610" s="166"/>
      <c r="AC610" s="166"/>
      <c r="AD610" s="166"/>
      <c r="AE610" s="166"/>
      <c r="AF610" s="166"/>
      <c r="AG610" s="166"/>
      <c r="AH610" s="166"/>
      <c r="AI610" s="166"/>
      <c r="AJ610" s="166"/>
      <c r="AK610" s="166"/>
      <c r="AL610" s="166"/>
      <c r="AM610" s="166"/>
      <c r="AN610" s="166"/>
      <c r="AO610" s="166"/>
      <c r="AP610" s="166"/>
      <c r="AQ610" s="166"/>
      <c r="AR610" s="166"/>
    </row>
    <row r="611" customHeight="1" spans="1:44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  <c r="AB611" s="166"/>
      <c r="AC611" s="166"/>
      <c r="AD611" s="166"/>
      <c r="AE611" s="166"/>
      <c r="AF611" s="166"/>
      <c r="AG611" s="166"/>
      <c r="AH611" s="166"/>
      <c r="AI611" s="166"/>
      <c r="AJ611" s="166"/>
      <c r="AK611" s="166"/>
      <c r="AL611" s="166"/>
      <c r="AM611" s="166"/>
      <c r="AN611" s="166"/>
      <c r="AO611" s="166"/>
      <c r="AP611" s="166"/>
      <c r="AQ611" s="166"/>
      <c r="AR611" s="166"/>
    </row>
    <row r="612" customHeight="1" spans="1:44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  <c r="AB612" s="166"/>
      <c r="AC612" s="166"/>
      <c r="AD612" s="166"/>
      <c r="AE612" s="166"/>
      <c r="AF612" s="166"/>
      <c r="AG612" s="166"/>
      <c r="AH612" s="166"/>
      <c r="AI612" s="166"/>
      <c r="AJ612" s="166"/>
      <c r="AK612" s="166"/>
      <c r="AL612" s="166"/>
      <c r="AM612" s="166"/>
      <c r="AN612" s="166"/>
      <c r="AO612" s="166"/>
      <c r="AP612" s="166"/>
      <c r="AQ612" s="166"/>
      <c r="AR612" s="166"/>
    </row>
    <row r="613" customHeight="1" spans="1:44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  <c r="AB613" s="166"/>
      <c r="AC613" s="166"/>
      <c r="AD613" s="166"/>
      <c r="AE613" s="166"/>
      <c r="AF613" s="166"/>
      <c r="AG613" s="166"/>
      <c r="AH613" s="166"/>
      <c r="AI613" s="166"/>
      <c r="AJ613" s="166"/>
      <c r="AK613" s="166"/>
      <c r="AL613" s="166"/>
      <c r="AM613" s="166"/>
      <c r="AN613" s="166"/>
      <c r="AO613" s="166"/>
      <c r="AP613" s="166"/>
      <c r="AQ613" s="166"/>
      <c r="AR613" s="166"/>
    </row>
    <row r="614" customHeight="1" spans="1:44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  <c r="AB614" s="166"/>
      <c r="AC614" s="166"/>
      <c r="AD614" s="166"/>
      <c r="AE614" s="166"/>
      <c r="AF614" s="166"/>
      <c r="AG614" s="166"/>
      <c r="AH614" s="166"/>
      <c r="AI614" s="166"/>
      <c r="AJ614" s="166"/>
      <c r="AK614" s="166"/>
      <c r="AL614" s="166"/>
      <c r="AM614" s="166"/>
      <c r="AN614" s="166"/>
      <c r="AO614" s="166"/>
      <c r="AP614" s="166"/>
      <c r="AQ614" s="166"/>
      <c r="AR614" s="166"/>
    </row>
    <row r="615" customHeight="1" spans="1:44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  <c r="AB615" s="166"/>
      <c r="AC615" s="166"/>
      <c r="AD615" s="166"/>
      <c r="AE615" s="166"/>
      <c r="AF615" s="166"/>
      <c r="AG615" s="166"/>
      <c r="AH615" s="166"/>
      <c r="AI615" s="166"/>
      <c r="AJ615" s="166"/>
      <c r="AK615" s="166"/>
      <c r="AL615" s="166"/>
      <c r="AM615" s="166"/>
      <c r="AN615" s="166"/>
      <c r="AO615" s="166"/>
      <c r="AP615" s="166"/>
      <c r="AQ615" s="166"/>
      <c r="AR615" s="166"/>
    </row>
    <row r="616" customHeight="1" spans="1:44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  <c r="AB616" s="166"/>
      <c r="AC616" s="166"/>
      <c r="AD616" s="166"/>
      <c r="AE616" s="166"/>
      <c r="AF616" s="166"/>
      <c r="AG616" s="166"/>
      <c r="AH616" s="166"/>
      <c r="AI616" s="166"/>
      <c r="AJ616" s="166"/>
      <c r="AK616" s="166"/>
      <c r="AL616" s="166"/>
      <c r="AM616" s="166"/>
      <c r="AN616" s="166"/>
      <c r="AO616" s="166"/>
      <c r="AP616" s="166"/>
      <c r="AQ616" s="166"/>
      <c r="AR616" s="166"/>
    </row>
    <row r="617" customHeight="1" spans="1:44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  <c r="AB617" s="166"/>
      <c r="AC617" s="166"/>
      <c r="AD617" s="166"/>
      <c r="AE617" s="166"/>
      <c r="AF617" s="166"/>
      <c r="AG617" s="166"/>
      <c r="AH617" s="166"/>
      <c r="AI617" s="166"/>
      <c r="AJ617" s="166"/>
      <c r="AK617" s="166"/>
      <c r="AL617" s="166"/>
      <c r="AM617" s="166"/>
      <c r="AN617" s="166"/>
      <c r="AO617" s="166"/>
      <c r="AP617" s="166"/>
      <c r="AQ617" s="166"/>
      <c r="AR617" s="166"/>
    </row>
    <row r="618" customHeight="1" spans="1:44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  <c r="AB618" s="166"/>
      <c r="AC618" s="166"/>
      <c r="AD618" s="166"/>
      <c r="AE618" s="166"/>
      <c r="AF618" s="166"/>
      <c r="AG618" s="166"/>
      <c r="AH618" s="166"/>
      <c r="AI618" s="166"/>
      <c r="AJ618" s="166"/>
      <c r="AK618" s="166"/>
      <c r="AL618" s="166"/>
      <c r="AM618" s="166"/>
      <c r="AN618" s="166"/>
      <c r="AO618" s="166"/>
      <c r="AP618" s="166"/>
      <c r="AQ618" s="166"/>
      <c r="AR618" s="166"/>
    </row>
    <row r="619" customHeight="1" spans="1:44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  <c r="AB619" s="166"/>
      <c r="AC619" s="166"/>
      <c r="AD619" s="166"/>
      <c r="AE619" s="166"/>
      <c r="AF619" s="166"/>
      <c r="AG619" s="166"/>
      <c r="AH619" s="166"/>
      <c r="AI619" s="166"/>
      <c r="AJ619" s="166"/>
      <c r="AK619" s="166"/>
      <c r="AL619" s="166"/>
      <c r="AM619" s="166"/>
      <c r="AN619" s="166"/>
      <c r="AO619" s="166"/>
      <c r="AP619" s="166"/>
      <c r="AQ619" s="166"/>
      <c r="AR619" s="166"/>
    </row>
    <row r="620" customHeight="1" spans="1:44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  <c r="AB620" s="166"/>
      <c r="AC620" s="166"/>
      <c r="AD620" s="166"/>
      <c r="AE620" s="166"/>
      <c r="AF620" s="166"/>
      <c r="AG620" s="166"/>
      <c r="AH620" s="166"/>
      <c r="AI620" s="166"/>
      <c r="AJ620" s="166"/>
      <c r="AK620" s="166"/>
      <c r="AL620" s="166"/>
      <c r="AM620" s="166"/>
      <c r="AN620" s="166"/>
      <c r="AO620" s="166"/>
      <c r="AP620" s="166"/>
      <c r="AQ620" s="166"/>
      <c r="AR620" s="166"/>
    </row>
    <row r="621" customHeight="1" spans="1:44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  <c r="AB621" s="166"/>
      <c r="AC621" s="166"/>
      <c r="AD621" s="166"/>
      <c r="AE621" s="166"/>
      <c r="AF621" s="166"/>
      <c r="AG621" s="166"/>
      <c r="AH621" s="166"/>
      <c r="AI621" s="166"/>
      <c r="AJ621" s="166"/>
      <c r="AK621" s="166"/>
      <c r="AL621" s="166"/>
      <c r="AM621" s="166"/>
      <c r="AN621" s="166"/>
      <c r="AO621" s="166"/>
      <c r="AP621" s="166"/>
      <c r="AQ621" s="166"/>
      <c r="AR621" s="166"/>
    </row>
    <row r="622" customHeight="1" spans="1:44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  <c r="AB622" s="166"/>
      <c r="AC622" s="166"/>
      <c r="AD622" s="166"/>
      <c r="AE622" s="166"/>
      <c r="AF622" s="166"/>
      <c r="AG622" s="166"/>
      <c r="AH622" s="166"/>
      <c r="AI622" s="166"/>
      <c r="AJ622" s="166"/>
      <c r="AK622" s="166"/>
      <c r="AL622" s="166"/>
      <c r="AM622" s="166"/>
      <c r="AN622" s="166"/>
      <c r="AO622" s="166"/>
      <c r="AP622" s="166"/>
      <c r="AQ622" s="166"/>
      <c r="AR622" s="166"/>
    </row>
    <row r="623" customHeight="1" spans="1:44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  <c r="AB623" s="166"/>
      <c r="AC623" s="166"/>
      <c r="AD623" s="166"/>
      <c r="AE623" s="166"/>
      <c r="AF623" s="166"/>
      <c r="AG623" s="166"/>
      <c r="AH623" s="166"/>
      <c r="AI623" s="166"/>
      <c r="AJ623" s="166"/>
      <c r="AK623" s="166"/>
      <c r="AL623" s="166"/>
      <c r="AM623" s="166"/>
      <c r="AN623" s="166"/>
      <c r="AO623" s="166"/>
      <c r="AP623" s="166"/>
      <c r="AQ623" s="166"/>
      <c r="AR623" s="166"/>
    </row>
    <row r="624" customHeight="1" spans="1:44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  <c r="AB624" s="166"/>
      <c r="AC624" s="166"/>
      <c r="AD624" s="166"/>
      <c r="AE624" s="166"/>
      <c r="AF624" s="166"/>
      <c r="AG624" s="166"/>
      <c r="AH624" s="166"/>
      <c r="AI624" s="166"/>
      <c r="AJ624" s="166"/>
      <c r="AK624" s="166"/>
      <c r="AL624" s="166"/>
      <c r="AM624" s="166"/>
      <c r="AN624" s="166"/>
      <c r="AO624" s="166"/>
      <c r="AP624" s="166"/>
      <c r="AQ624" s="166"/>
      <c r="AR624" s="166"/>
    </row>
    <row r="625" customHeight="1" spans="1:44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  <c r="AB625" s="166"/>
      <c r="AC625" s="166"/>
      <c r="AD625" s="166"/>
      <c r="AE625" s="166"/>
      <c r="AF625" s="166"/>
      <c r="AG625" s="166"/>
      <c r="AH625" s="166"/>
      <c r="AI625" s="166"/>
      <c r="AJ625" s="166"/>
      <c r="AK625" s="166"/>
      <c r="AL625" s="166"/>
      <c r="AM625" s="166"/>
      <c r="AN625" s="166"/>
      <c r="AO625" s="166"/>
      <c r="AP625" s="166"/>
      <c r="AQ625" s="166"/>
      <c r="AR625" s="166"/>
    </row>
    <row r="626" customHeight="1" spans="1:44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  <c r="AB626" s="166"/>
      <c r="AC626" s="166"/>
      <c r="AD626" s="166"/>
      <c r="AE626" s="166"/>
      <c r="AF626" s="166"/>
      <c r="AG626" s="166"/>
      <c r="AH626" s="166"/>
      <c r="AI626" s="166"/>
      <c r="AJ626" s="166"/>
      <c r="AK626" s="166"/>
      <c r="AL626" s="166"/>
      <c r="AM626" s="166"/>
      <c r="AN626" s="166"/>
      <c r="AO626" s="166"/>
      <c r="AP626" s="166"/>
      <c r="AQ626" s="166"/>
      <c r="AR626" s="166"/>
    </row>
    <row r="627" customHeight="1" spans="1:44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  <c r="AB627" s="166"/>
      <c r="AC627" s="166"/>
      <c r="AD627" s="166"/>
      <c r="AE627" s="166"/>
      <c r="AF627" s="166"/>
      <c r="AG627" s="166"/>
      <c r="AH627" s="166"/>
      <c r="AI627" s="166"/>
      <c r="AJ627" s="166"/>
      <c r="AK627" s="166"/>
      <c r="AL627" s="166"/>
      <c r="AM627" s="166"/>
      <c r="AN627" s="166"/>
      <c r="AO627" s="166"/>
      <c r="AP627" s="166"/>
      <c r="AQ627" s="166"/>
      <c r="AR627" s="166"/>
    </row>
    <row r="628" customHeight="1" spans="1:44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  <c r="AB628" s="166"/>
      <c r="AC628" s="166"/>
      <c r="AD628" s="166"/>
      <c r="AE628" s="166"/>
      <c r="AF628" s="166"/>
      <c r="AG628" s="166"/>
      <c r="AH628" s="166"/>
      <c r="AI628" s="166"/>
      <c r="AJ628" s="166"/>
      <c r="AK628" s="166"/>
      <c r="AL628" s="166"/>
      <c r="AM628" s="166"/>
      <c r="AN628" s="166"/>
      <c r="AO628" s="166"/>
      <c r="AP628" s="166"/>
      <c r="AQ628" s="166"/>
      <c r="AR628" s="166"/>
    </row>
    <row r="629" customHeight="1" spans="1:44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  <c r="AB629" s="166"/>
      <c r="AC629" s="166"/>
      <c r="AD629" s="166"/>
      <c r="AE629" s="166"/>
      <c r="AF629" s="166"/>
      <c r="AG629" s="166"/>
      <c r="AH629" s="166"/>
      <c r="AI629" s="166"/>
      <c r="AJ629" s="166"/>
      <c r="AK629" s="166"/>
      <c r="AL629" s="166"/>
      <c r="AM629" s="166"/>
      <c r="AN629" s="166"/>
      <c r="AO629" s="166"/>
      <c r="AP629" s="166"/>
      <c r="AQ629" s="166"/>
      <c r="AR629" s="166"/>
    </row>
    <row r="630" customHeight="1" spans="1:44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  <c r="AB630" s="166"/>
      <c r="AC630" s="166"/>
      <c r="AD630" s="166"/>
      <c r="AE630" s="166"/>
      <c r="AF630" s="166"/>
      <c r="AG630" s="166"/>
      <c r="AH630" s="166"/>
      <c r="AI630" s="166"/>
      <c r="AJ630" s="166"/>
      <c r="AK630" s="166"/>
      <c r="AL630" s="166"/>
      <c r="AM630" s="166"/>
      <c r="AN630" s="166"/>
      <c r="AO630" s="166"/>
      <c r="AP630" s="166"/>
      <c r="AQ630" s="166"/>
      <c r="AR630" s="166"/>
    </row>
    <row r="631" customHeight="1" spans="1:44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  <c r="AB631" s="166"/>
      <c r="AC631" s="166"/>
      <c r="AD631" s="166"/>
      <c r="AE631" s="166"/>
      <c r="AF631" s="166"/>
      <c r="AG631" s="166"/>
      <c r="AH631" s="166"/>
      <c r="AI631" s="166"/>
      <c r="AJ631" s="166"/>
      <c r="AK631" s="166"/>
      <c r="AL631" s="166"/>
      <c r="AM631" s="166"/>
      <c r="AN631" s="166"/>
      <c r="AO631" s="166"/>
      <c r="AP631" s="166"/>
      <c r="AQ631" s="166"/>
      <c r="AR631" s="166"/>
    </row>
    <row r="632" customHeight="1" spans="1:44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  <c r="AB632" s="166"/>
      <c r="AC632" s="166"/>
      <c r="AD632" s="166"/>
      <c r="AE632" s="166"/>
      <c r="AF632" s="166"/>
      <c r="AG632" s="166"/>
      <c r="AH632" s="166"/>
      <c r="AI632" s="166"/>
      <c r="AJ632" s="166"/>
      <c r="AK632" s="166"/>
      <c r="AL632" s="166"/>
      <c r="AM632" s="166"/>
      <c r="AN632" s="166"/>
      <c r="AO632" s="166"/>
      <c r="AP632" s="166"/>
      <c r="AQ632" s="166"/>
      <c r="AR632" s="166"/>
    </row>
    <row r="633" customHeight="1" spans="1:44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  <c r="AB633" s="166"/>
      <c r="AC633" s="166"/>
      <c r="AD633" s="166"/>
      <c r="AE633" s="166"/>
      <c r="AF633" s="166"/>
      <c r="AG633" s="166"/>
      <c r="AH633" s="166"/>
      <c r="AI633" s="166"/>
      <c r="AJ633" s="166"/>
      <c r="AK633" s="166"/>
      <c r="AL633" s="166"/>
      <c r="AM633" s="166"/>
      <c r="AN633" s="166"/>
      <c r="AO633" s="166"/>
      <c r="AP633" s="166"/>
      <c r="AQ633" s="166"/>
      <c r="AR633" s="166"/>
    </row>
    <row r="634" customHeight="1" spans="1:44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  <c r="AB634" s="166"/>
      <c r="AC634" s="166"/>
      <c r="AD634" s="166"/>
      <c r="AE634" s="166"/>
      <c r="AF634" s="166"/>
      <c r="AG634" s="166"/>
      <c r="AH634" s="166"/>
      <c r="AI634" s="166"/>
      <c r="AJ634" s="166"/>
      <c r="AK634" s="166"/>
      <c r="AL634" s="166"/>
      <c r="AM634" s="166"/>
      <c r="AN634" s="166"/>
      <c r="AO634" s="166"/>
      <c r="AP634" s="166"/>
      <c r="AQ634" s="166"/>
      <c r="AR634" s="166"/>
    </row>
    <row r="635" customHeight="1" spans="1:44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  <c r="AB635" s="166"/>
      <c r="AC635" s="166"/>
      <c r="AD635" s="166"/>
      <c r="AE635" s="166"/>
      <c r="AF635" s="166"/>
      <c r="AG635" s="166"/>
      <c r="AH635" s="166"/>
      <c r="AI635" s="166"/>
      <c r="AJ635" s="166"/>
      <c r="AK635" s="166"/>
      <c r="AL635" s="166"/>
      <c r="AM635" s="166"/>
      <c r="AN635" s="166"/>
      <c r="AO635" s="166"/>
      <c r="AP635" s="166"/>
      <c r="AQ635" s="166"/>
      <c r="AR635" s="166"/>
    </row>
    <row r="636" customHeight="1" spans="1:44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  <c r="AB636" s="166"/>
      <c r="AC636" s="166"/>
      <c r="AD636" s="166"/>
      <c r="AE636" s="166"/>
      <c r="AF636" s="166"/>
      <c r="AG636" s="166"/>
      <c r="AH636" s="166"/>
      <c r="AI636" s="166"/>
      <c r="AJ636" s="166"/>
      <c r="AK636" s="166"/>
      <c r="AL636" s="166"/>
      <c r="AM636" s="166"/>
      <c r="AN636" s="166"/>
      <c r="AO636" s="166"/>
      <c r="AP636" s="166"/>
      <c r="AQ636" s="166"/>
      <c r="AR636" s="166"/>
    </row>
    <row r="637" customHeight="1" spans="1:44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  <c r="AB637" s="166"/>
      <c r="AC637" s="166"/>
      <c r="AD637" s="166"/>
      <c r="AE637" s="166"/>
      <c r="AF637" s="166"/>
      <c r="AG637" s="166"/>
      <c r="AH637" s="166"/>
      <c r="AI637" s="166"/>
      <c r="AJ637" s="166"/>
      <c r="AK637" s="166"/>
      <c r="AL637" s="166"/>
      <c r="AM637" s="166"/>
      <c r="AN637" s="166"/>
      <c r="AO637" s="166"/>
      <c r="AP637" s="166"/>
      <c r="AQ637" s="166"/>
      <c r="AR637" s="166"/>
    </row>
    <row r="638" customHeight="1" spans="1:44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  <c r="AB638" s="166"/>
      <c r="AC638" s="166"/>
      <c r="AD638" s="166"/>
      <c r="AE638" s="166"/>
      <c r="AF638" s="166"/>
      <c r="AG638" s="166"/>
      <c r="AH638" s="166"/>
      <c r="AI638" s="166"/>
      <c r="AJ638" s="166"/>
      <c r="AK638" s="166"/>
      <c r="AL638" s="166"/>
      <c r="AM638" s="166"/>
      <c r="AN638" s="166"/>
      <c r="AO638" s="166"/>
      <c r="AP638" s="166"/>
      <c r="AQ638" s="166"/>
      <c r="AR638" s="166"/>
    </row>
    <row r="639" customHeight="1" spans="1:44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  <c r="AB639" s="166"/>
      <c r="AC639" s="166"/>
      <c r="AD639" s="166"/>
      <c r="AE639" s="166"/>
      <c r="AF639" s="166"/>
      <c r="AG639" s="166"/>
      <c r="AH639" s="166"/>
      <c r="AI639" s="166"/>
      <c r="AJ639" s="166"/>
      <c r="AK639" s="166"/>
      <c r="AL639" s="166"/>
      <c r="AM639" s="166"/>
      <c r="AN639" s="166"/>
      <c r="AO639" s="166"/>
      <c r="AP639" s="166"/>
      <c r="AQ639" s="166"/>
      <c r="AR639" s="166"/>
    </row>
    <row r="640" customHeight="1" spans="1:44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  <c r="AB640" s="166"/>
      <c r="AC640" s="166"/>
      <c r="AD640" s="166"/>
      <c r="AE640" s="166"/>
      <c r="AF640" s="166"/>
      <c r="AG640" s="166"/>
      <c r="AH640" s="166"/>
      <c r="AI640" s="166"/>
      <c r="AJ640" s="166"/>
      <c r="AK640" s="166"/>
      <c r="AL640" s="166"/>
      <c r="AM640" s="166"/>
      <c r="AN640" s="166"/>
      <c r="AO640" s="166"/>
      <c r="AP640" s="166"/>
      <c r="AQ640" s="166"/>
      <c r="AR640" s="166"/>
    </row>
    <row r="641" customHeight="1" spans="1:44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  <c r="AB641" s="166"/>
      <c r="AC641" s="166"/>
      <c r="AD641" s="166"/>
      <c r="AE641" s="166"/>
      <c r="AF641" s="166"/>
      <c r="AG641" s="166"/>
      <c r="AH641" s="166"/>
      <c r="AI641" s="166"/>
      <c r="AJ641" s="166"/>
      <c r="AK641" s="166"/>
      <c r="AL641" s="166"/>
      <c r="AM641" s="166"/>
      <c r="AN641" s="166"/>
      <c r="AO641" s="166"/>
      <c r="AP641" s="166"/>
      <c r="AQ641" s="166"/>
      <c r="AR641" s="166"/>
    </row>
    <row r="642" customHeight="1" spans="1:44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  <c r="AB642" s="166"/>
      <c r="AC642" s="166"/>
      <c r="AD642" s="166"/>
      <c r="AE642" s="166"/>
      <c r="AF642" s="166"/>
      <c r="AG642" s="166"/>
      <c r="AH642" s="166"/>
      <c r="AI642" s="166"/>
      <c r="AJ642" s="166"/>
      <c r="AK642" s="166"/>
      <c r="AL642" s="166"/>
      <c r="AM642" s="166"/>
      <c r="AN642" s="166"/>
      <c r="AO642" s="166"/>
      <c r="AP642" s="166"/>
      <c r="AQ642" s="166"/>
      <c r="AR642" s="166"/>
    </row>
    <row r="643" customHeight="1" spans="1:44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  <c r="AB643" s="166"/>
      <c r="AC643" s="166"/>
      <c r="AD643" s="166"/>
      <c r="AE643" s="166"/>
      <c r="AF643" s="166"/>
      <c r="AG643" s="166"/>
      <c r="AH643" s="166"/>
      <c r="AI643" s="166"/>
      <c r="AJ643" s="166"/>
      <c r="AK643" s="166"/>
      <c r="AL643" s="166"/>
      <c r="AM643" s="166"/>
      <c r="AN643" s="166"/>
      <c r="AO643" s="166"/>
      <c r="AP643" s="166"/>
      <c r="AQ643" s="166"/>
      <c r="AR643" s="166"/>
    </row>
    <row r="644" customHeight="1" spans="1:44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  <c r="AB644" s="166"/>
      <c r="AC644" s="166"/>
      <c r="AD644" s="166"/>
      <c r="AE644" s="166"/>
      <c r="AF644" s="166"/>
      <c r="AG644" s="166"/>
      <c r="AH644" s="166"/>
      <c r="AI644" s="166"/>
      <c r="AJ644" s="166"/>
      <c r="AK644" s="166"/>
      <c r="AL644" s="166"/>
      <c r="AM644" s="166"/>
      <c r="AN644" s="166"/>
      <c r="AO644" s="166"/>
      <c r="AP644" s="166"/>
      <c r="AQ644" s="166"/>
      <c r="AR644" s="166"/>
    </row>
    <row r="645" customHeight="1" spans="1:44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  <c r="AB645" s="166"/>
      <c r="AC645" s="166"/>
      <c r="AD645" s="166"/>
      <c r="AE645" s="166"/>
      <c r="AF645" s="166"/>
      <c r="AG645" s="166"/>
      <c r="AH645" s="166"/>
      <c r="AI645" s="166"/>
      <c r="AJ645" s="166"/>
      <c r="AK645" s="166"/>
      <c r="AL645" s="166"/>
      <c r="AM645" s="166"/>
      <c r="AN645" s="166"/>
      <c r="AO645" s="166"/>
      <c r="AP645" s="166"/>
      <c r="AQ645" s="166"/>
      <c r="AR645" s="166"/>
    </row>
    <row r="646" customHeight="1" spans="1:44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  <c r="AB646" s="166"/>
      <c r="AC646" s="166"/>
      <c r="AD646" s="166"/>
      <c r="AE646" s="166"/>
      <c r="AF646" s="166"/>
      <c r="AG646" s="166"/>
      <c r="AH646" s="166"/>
      <c r="AI646" s="166"/>
      <c r="AJ646" s="166"/>
      <c r="AK646" s="166"/>
      <c r="AL646" s="166"/>
      <c r="AM646" s="166"/>
      <c r="AN646" s="166"/>
      <c r="AO646" s="166"/>
      <c r="AP646" s="166"/>
      <c r="AQ646" s="166"/>
      <c r="AR646" s="166"/>
    </row>
    <row r="647" customHeight="1" spans="1:44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  <c r="AB647" s="166"/>
      <c r="AC647" s="166"/>
      <c r="AD647" s="166"/>
      <c r="AE647" s="166"/>
      <c r="AF647" s="166"/>
      <c r="AG647" s="166"/>
      <c r="AH647" s="166"/>
      <c r="AI647" s="166"/>
      <c r="AJ647" s="166"/>
      <c r="AK647" s="166"/>
      <c r="AL647" s="166"/>
      <c r="AM647" s="166"/>
      <c r="AN647" s="166"/>
      <c r="AO647" s="166"/>
      <c r="AP647" s="166"/>
      <c r="AQ647" s="166"/>
      <c r="AR647" s="166"/>
    </row>
    <row r="648" customHeight="1" spans="1:44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  <c r="AB648" s="166"/>
      <c r="AC648" s="166"/>
      <c r="AD648" s="166"/>
      <c r="AE648" s="166"/>
      <c r="AF648" s="166"/>
      <c r="AG648" s="166"/>
      <c r="AH648" s="166"/>
      <c r="AI648" s="166"/>
      <c r="AJ648" s="166"/>
      <c r="AK648" s="166"/>
      <c r="AL648" s="166"/>
      <c r="AM648" s="166"/>
      <c r="AN648" s="166"/>
      <c r="AO648" s="166"/>
      <c r="AP648" s="166"/>
      <c r="AQ648" s="166"/>
      <c r="AR648" s="166"/>
    </row>
    <row r="649" customHeight="1" spans="1:44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  <c r="AB649" s="166"/>
      <c r="AC649" s="166"/>
      <c r="AD649" s="166"/>
      <c r="AE649" s="166"/>
      <c r="AF649" s="166"/>
      <c r="AG649" s="166"/>
      <c r="AH649" s="166"/>
      <c r="AI649" s="166"/>
      <c r="AJ649" s="166"/>
      <c r="AK649" s="166"/>
      <c r="AL649" s="166"/>
      <c r="AM649" s="166"/>
      <c r="AN649" s="166"/>
      <c r="AO649" s="166"/>
      <c r="AP649" s="166"/>
      <c r="AQ649" s="166"/>
      <c r="AR649" s="166"/>
    </row>
    <row r="650" customHeight="1" spans="1:44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  <c r="AB650" s="166"/>
      <c r="AC650" s="166"/>
      <c r="AD650" s="166"/>
      <c r="AE650" s="166"/>
      <c r="AF650" s="166"/>
      <c r="AG650" s="166"/>
      <c r="AH650" s="166"/>
      <c r="AI650" s="166"/>
      <c r="AJ650" s="166"/>
      <c r="AK650" s="166"/>
      <c r="AL650" s="166"/>
      <c r="AM650" s="166"/>
      <c r="AN650" s="166"/>
      <c r="AO650" s="166"/>
      <c r="AP650" s="166"/>
      <c r="AQ650" s="166"/>
      <c r="AR650" s="166"/>
    </row>
    <row r="651" customHeight="1" spans="1:44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  <c r="AB651" s="166"/>
      <c r="AC651" s="166"/>
      <c r="AD651" s="166"/>
      <c r="AE651" s="166"/>
      <c r="AF651" s="166"/>
      <c r="AG651" s="166"/>
      <c r="AH651" s="166"/>
      <c r="AI651" s="166"/>
      <c r="AJ651" s="166"/>
      <c r="AK651" s="166"/>
      <c r="AL651" s="166"/>
      <c r="AM651" s="166"/>
      <c r="AN651" s="166"/>
      <c r="AO651" s="166"/>
      <c r="AP651" s="166"/>
      <c r="AQ651" s="166"/>
      <c r="AR651" s="166"/>
    </row>
    <row r="652" customHeight="1" spans="1:44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  <c r="AB652" s="166"/>
      <c r="AC652" s="166"/>
      <c r="AD652" s="166"/>
      <c r="AE652" s="166"/>
      <c r="AF652" s="166"/>
      <c r="AG652" s="166"/>
      <c r="AH652" s="166"/>
      <c r="AI652" s="166"/>
      <c r="AJ652" s="166"/>
      <c r="AK652" s="166"/>
      <c r="AL652" s="166"/>
      <c r="AM652" s="166"/>
      <c r="AN652" s="166"/>
      <c r="AO652" s="166"/>
      <c r="AP652" s="166"/>
      <c r="AQ652" s="166"/>
      <c r="AR652" s="166"/>
    </row>
    <row r="653" customHeight="1" spans="1:44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  <c r="AB653" s="166"/>
      <c r="AC653" s="166"/>
      <c r="AD653" s="166"/>
      <c r="AE653" s="166"/>
      <c r="AF653" s="166"/>
      <c r="AG653" s="166"/>
      <c r="AH653" s="166"/>
      <c r="AI653" s="166"/>
      <c r="AJ653" s="166"/>
      <c r="AK653" s="166"/>
      <c r="AL653" s="166"/>
      <c r="AM653" s="166"/>
      <c r="AN653" s="166"/>
      <c r="AO653" s="166"/>
      <c r="AP653" s="166"/>
      <c r="AQ653" s="166"/>
      <c r="AR653" s="166"/>
    </row>
    <row r="654" customHeight="1" spans="1:44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  <c r="AB654" s="166"/>
      <c r="AC654" s="166"/>
      <c r="AD654" s="166"/>
      <c r="AE654" s="166"/>
      <c r="AF654" s="166"/>
      <c r="AG654" s="166"/>
      <c r="AH654" s="166"/>
      <c r="AI654" s="166"/>
      <c r="AJ654" s="166"/>
      <c r="AK654" s="166"/>
      <c r="AL654" s="166"/>
      <c r="AM654" s="166"/>
      <c r="AN654" s="166"/>
      <c r="AO654" s="166"/>
      <c r="AP654" s="166"/>
      <c r="AQ654" s="166"/>
      <c r="AR654" s="166"/>
    </row>
    <row r="655" customHeight="1" spans="1:44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  <c r="AB655" s="166"/>
      <c r="AC655" s="166"/>
      <c r="AD655" s="166"/>
      <c r="AE655" s="166"/>
      <c r="AF655" s="166"/>
      <c r="AG655" s="166"/>
      <c r="AH655" s="166"/>
      <c r="AI655" s="166"/>
      <c r="AJ655" s="166"/>
      <c r="AK655" s="166"/>
      <c r="AL655" s="166"/>
      <c r="AM655" s="166"/>
      <c r="AN655" s="166"/>
      <c r="AO655" s="166"/>
      <c r="AP655" s="166"/>
      <c r="AQ655" s="166"/>
      <c r="AR655" s="166"/>
    </row>
    <row r="656" customHeight="1" spans="1:44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  <c r="AB656" s="166"/>
      <c r="AC656" s="166"/>
      <c r="AD656" s="166"/>
      <c r="AE656" s="166"/>
      <c r="AF656" s="166"/>
      <c r="AG656" s="166"/>
      <c r="AH656" s="166"/>
      <c r="AI656" s="166"/>
      <c r="AJ656" s="166"/>
      <c r="AK656" s="166"/>
      <c r="AL656" s="166"/>
      <c r="AM656" s="166"/>
      <c r="AN656" s="166"/>
      <c r="AO656" s="166"/>
      <c r="AP656" s="166"/>
      <c r="AQ656" s="166"/>
      <c r="AR656" s="166"/>
    </row>
    <row r="657" customHeight="1" spans="1:44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  <c r="AB657" s="166"/>
      <c r="AC657" s="166"/>
      <c r="AD657" s="166"/>
      <c r="AE657" s="166"/>
      <c r="AF657" s="166"/>
      <c r="AG657" s="166"/>
      <c r="AH657" s="166"/>
      <c r="AI657" s="166"/>
      <c r="AJ657" s="166"/>
      <c r="AK657" s="166"/>
      <c r="AL657" s="166"/>
      <c r="AM657" s="166"/>
      <c r="AN657" s="166"/>
      <c r="AO657" s="166"/>
      <c r="AP657" s="166"/>
      <c r="AQ657" s="166"/>
      <c r="AR657" s="166"/>
    </row>
    <row r="658" customHeight="1" spans="1:44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  <c r="AB658" s="166"/>
      <c r="AC658" s="166"/>
      <c r="AD658" s="166"/>
      <c r="AE658" s="166"/>
      <c r="AF658" s="166"/>
      <c r="AG658" s="166"/>
      <c r="AH658" s="166"/>
      <c r="AI658" s="166"/>
      <c r="AJ658" s="166"/>
      <c r="AK658" s="166"/>
      <c r="AL658" s="166"/>
      <c r="AM658" s="166"/>
      <c r="AN658" s="166"/>
      <c r="AO658" s="166"/>
      <c r="AP658" s="166"/>
      <c r="AQ658" s="166"/>
      <c r="AR658" s="166"/>
    </row>
    <row r="659" customHeight="1" spans="1:44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  <c r="AB659" s="166"/>
      <c r="AC659" s="166"/>
      <c r="AD659" s="166"/>
      <c r="AE659" s="166"/>
      <c r="AF659" s="166"/>
      <c r="AG659" s="166"/>
      <c r="AH659" s="166"/>
      <c r="AI659" s="166"/>
      <c r="AJ659" s="166"/>
      <c r="AK659" s="166"/>
      <c r="AL659" s="166"/>
      <c r="AM659" s="166"/>
      <c r="AN659" s="166"/>
      <c r="AO659" s="166"/>
      <c r="AP659" s="166"/>
      <c r="AQ659" s="166"/>
      <c r="AR659" s="166"/>
    </row>
    <row r="660" customHeight="1" spans="1:44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  <c r="AB660" s="166"/>
      <c r="AC660" s="166"/>
      <c r="AD660" s="166"/>
      <c r="AE660" s="166"/>
      <c r="AF660" s="166"/>
      <c r="AG660" s="166"/>
      <c r="AH660" s="166"/>
      <c r="AI660" s="166"/>
      <c r="AJ660" s="166"/>
      <c r="AK660" s="166"/>
      <c r="AL660" s="166"/>
      <c r="AM660" s="166"/>
      <c r="AN660" s="166"/>
      <c r="AO660" s="166"/>
      <c r="AP660" s="166"/>
      <c r="AQ660" s="166"/>
      <c r="AR660" s="166"/>
    </row>
    <row r="661" customHeight="1" spans="1:44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  <c r="AB661" s="166"/>
      <c r="AC661" s="166"/>
      <c r="AD661" s="166"/>
      <c r="AE661" s="166"/>
      <c r="AF661" s="166"/>
      <c r="AG661" s="166"/>
      <c r="AH661" s="166"/>
      <c r="AI661" s="166"/>
      <c r="AJ661" s="166"/>
      <c r="AK661" s="166"/>
      <c r="AL661" s="166"/>
      <c r="AM661" s="166"/>
      <c r="AN661" s="166"/>
      <c r="AO661" s="166"/>
      <c r="AP661" s="166"/>
      <c r="AQ661" s="166"/>
      <c r="AR661" s="166"/>
    </row>
    <row r="662" customHeight="1" spans="1:44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  <c r="AB662" s="166"/>
      <c r="AC662" s="166"/>
      <c r="AD662" s="166"/>
      <c r="AE662" s="166"/>
      <c r="AF662" s="166"/>
      <c r="AG662" s="166"/>
      <c r="AH662" s="166"/>
      <c r="AI662" s="166"/>
      <c r="AJ662" s="166"/>
      <c r="AK662" s="166"/>
      <c r="AL662" s="166"/>
      <c r="AM662" s="166"/>
      <c r="AN662" s="166"/>
      <c r="AO662" s="166"/>
      <c r="AP662" s="166"/>
      <c r="AQ662" s="166"/>
      <c r="AR662" s="166"/>
    </row>
    <row r="663" customHeight="1" spans="1:44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  <c r="AB663" s="166"/>
      <c r="AC663" s="166"/>
      <c r="AD663" s="166"/>
      <c r="AE663" s="166"/>
      <c r="AF663" s="166"/>
      <c r="AG663" s="166"/>
      <c r="AH663" s="166"/>
      <c r="AI663" s="166"/>
      <c r="AJ663" s="166"/>
      <c r="AK663" s="166"/>
      <c r="AL663" s="166"/>
      <c r="AM663" s="166"/>
      <c r="AN663" s="166"/>
      <c r="AO663" s="166"/>
      <c r="AP663" s="166"/>
      <c r="AQ663" s="166"/>
      <c r="AR663" s="166"/>
    </row>
    <row r="664" customHeight="1" spans="1:44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  <c r="AB664" s="166"/>
      <c r="AC664" s="166"/>
      <c r="AD664" s="166"/>
      <c r="AE664" s="166"/>
      <c r="AF664" s="166"/>
      <c r="AG664" s="166"/>
      <c r="AH664" s="166"/>
      <c r="AI664" s="166"/>
      <c r="AJ664" s="166"/>
      <c r="AK664" s="166"/>
      <c r="AL664" s="166"/>
      <c r="AM664" s="166"/>
      <c r="AN664" s="166"/>
      <c r="AO664" s="166"/>
      <c r="AP664" s="166"/>
      <c r="AQ664" s="166"/>
      <c r="AR664" s="166"/>
    </row>
    <row r="665" customHeight="1" spans="1:44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  <c r="AB665" s="166"/>
      <c r="AC665" s="166"/>
      <c r="AD665" s="166"/>
      <c r="AE665" s="166"/>
      <c r="AF665" s="166"/>
      <c r="AG665" s="166"/>
      <c r="AH665" s="166"/>
      <c r="AI665" s="166"/>
      <c r="AJ665" s="166"/>
      <c r="AK665" s="166"/>
      <c r="AL665" s="166"/>
      <c r="AM665" s="166"/>
      <c r="AN665" s="166"/>
      <c r="AO665" s="166"/>
      <c r="AP665" s="166"/>
      <c r="AQ665" s="166"/>
      <c r="AR665" s="166"/>
    </row>
    <row r="666" customHeight="1" spans="1:44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  <c r="AB666" s="166"/>
      <c r="AC666" s="166"/>
      <c r="AD666" s="166"/>
      <c r="AE666" s="166"/>
      <c r="AF666" s="166"/>
      <c r="AG666" s="166"/>
      <c r="AH666" s="166"/>
      <c r="AI666" s="166"/>
      <c r="AJ666" s="166"/>
      <c r="AK666" s="166"/>
      <c r="AL666" s="166"/>
      <c r="AM666" s="166"/>
      <c r="AN666" s="166"/>
      <c r="AO666" s="166"/>
      <c r="AP666" s="166"/>
      <c r="AQ666" s="166"/>
      <c r="AR666" s="166"/>
    </row>
    <row r="667" customHeight="1" spans="1:44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  <c r="AB667" s="166"/>
      <c r="AC667" s="166"/>
      <c r="AD667" s="166"/>
      <c r="AE667" s="166"/>
      <c r="AF667" s="166"/>
      <c r="AG667" s="166"/>
      <c r="AH667" s="166"/>
      <c r="AI667" s="166"/>
      <c r="AJ667" s="166"/>
      <c r="AK667" s="166"/>
      <c r="AL667" s="166"/>
      <c r="AM667" s="166"/>
      <c r="AN667" s="166"/>
      <c r="AO667" s="166"/>
      <c r="AP667" s="166"/>
      <c r="AQ667" s="166"/>
      <c r="AR667" s="166"/>
    </row>
    <row r="668" customHeight="1" spans="1:44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  <c r="AB668" s="166"/>
      <c r="AC668" s="166"/>
      <c r="AD668" s="166"/>
      <c r="AE668" s="166"/>
      <c r="AF668" s="166"/>
      <c r="AG668" s="166"/>
      <c r="AH668" s="166"/>
      <c r="AI668" s="166"/>
      <c r="AJ668" s="166"/>
      <c r="AK668" s="166"/>
      <c r="AL668" s="166"/>
      <c r="AM668" s="166"/>
      <c r="AN668" s="166"/>
      <c r="AO668" s="166"/>
      <c r="AP668" s="166"/>
      <c r="AQ668" s="166"/>
      <c r="AR668" s="166"/>
    </row>
    <row r="669" customHeight="1" spans="1:44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  <c r="AB669" s="166"/>
      <c r="AC669" s="166"/>
      <c r="AD669" s="166"/>
      <c r="AE669" s="166"/>
      <c r="AF669" s="166"/>
      <c r="AG669" s="166"/>
      <c r="AH669" s="166"/>
      <c r="AI669" s="166"/>
      <c r="AJ669" s="166"/>
      <c r="AK669" s="166"/>
      <c r="AL669" s="166"/>
      <c r="AM669" s="166"/>
      <c r="AN669" s="166"/>
      <c r="AO669" s="166"/>
      <c r="AP669" s="166"/>
      <c r="AQ669" s="166"/>
      <c r="AR669" s="166"/>
    </row>
    <row r="670" customHeight="1" spans="1:44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  <c r="AB670" s="166"/>
      <c r="AC670" s="166"/>
      <c r="AD670" s="166"/>
      <c r="AE670" s="166"/>
      <c r="AF670" s="166"/>
      <c r="AG670" s="166"/>
      <c r="AH670" s="166"/>
      <c r="AI670" s="166"/>
      <c r="AJ670" s="166"/>
      <c r="AK670" s="166"/>
      <c r="AL670" s="166"/>
      <c r="AM670" s="166"/>
      <c r="AN670" s="166"/>
      <c r="AO670" s="166"/>
      <c r="AP670" s="166"/>
      <c r="AQ670" s="166"/>
      <c r="AR670" s="166"/>
    </row>
    <row r="671" customHeight="1" spans="1:44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  <c r="AB671" s="166"/>
      <c r="AC671" s="166"/>
      <c r="AD671" s="166"/>
      <c r="AE671" s="166"/>
      <c r="AF671" s="166"/>
      <c r="AG671" s="166"/>
      <c r="AH671" s="166"/>
      <c r="AI671" s="166"/>
      <c r="AJ671" s="166"/>
      <c r="AK671" s="166"/>
      <c r="AL671" s="166"/>
      <c r="AM671" s="166"/>
      <c r="AN671" s="166"/>
      <c r="AO671" s="166"/>
      <c r="AP671" s="166"/>
      <c r="AQ671" s="166"/>
      <c r="AR671" s="166"/>
    </row>
    <row r="672" customHeight="1" spans="1:44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  <c r="AB672" s="166"/>
      <c r="AC672" s="166"/>
      <c r="AD672" s="166"/>
      <c r="AE672" s="166"/>
      <c r="AF672" s="166"/>
      <c r="AG672" s="166"/>
      <c r="AH672" s="166"/>
      <c r="AI672" s="166"/>
      <c r="AJ672" s="166"/>
      <c r="AK672" s="166"/>
      <c r="AL672" s="166"/>
      <c r="AM672" s="166"/>
      <c r="AN672" s="166"/>
      <c r="AO672" s="166"/>
      <c r="AP672" s="166"/>
      <c r="AQ672" s="166"/>
      <c r="AR672" s="166"/>
    </row>
    <row r="673" customHeight="1" spans="1:44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  <c r="AB673" s="166"/>
      <c r="AC673" s="166"/>
      <c r="AD673" s="166"/>
      <c r="AE673" s="166"/>
      <c r="AF673" s="166"/>
      <c r="AG673" s="166"/>
      <c r="AH673" s="166"/>
      <c r="AI673" s="166"/>
      <c r="AJ673" s="166"/>
      <c r="AK673" s="166"/>
      <c r="AL673" s="166"/>
      <c r="AM673" s="166"/>
      <c r="AN673" s="166"/>
      <c r="AO673" s="166"/>
      <c r="AP673" s="166"/>
      <c r="AQ673" s="166"/>
      <c r="AR673" s="166"/>
    </row>
    <row r="674" customHeight="1" spans="1:44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  <c r="AB674" s="166"/>
      <c r="AC674" s="166"/>
      <c r="AD674" s="166"/>
      <c r="AE674" s="166"/>
      <c r="AF674" s="166"/>
      <c r="AG674" s="166"/>
      <c r="AH674" s="166"/>
      <c r="AI674" s="166"/>
      <c r="AJ674" s="166"/>
      <c r="AK674" s="166"/>
      <c r="AL674" s="166"/>
      <c r="AM674" s="166"/>
      <c r="AN674" s="166"/>
      <c r="AO674" s="166"/>
      <c r="AP674" s="166"/>
      <c r="AQ674" s="166"/>
      <c r="AR674" s="166"/>
    </row>
    <row r="675" customHeight="1" spans="1:44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  <c r="AB675" s="166"/>
      <c r="AC675" s="166"/>
      <c r="AD675" s="166"/>
      <c r="AE675" s="166"/>
      <c r="AF675" s="166"/>
      <c r="AG675" s="166"/>
      <c r="AH675" s="166"/>
      <c r="AI675" s="166"/>
      <c r="AJ675" s="166"/>
      <c r="AK675" s="166"/>
      <c r="AL675" s="166"/>
      <c r="AM675" s="166"/>
      <c r="AN675" s="166"/>
      <c r="AO675" s="166"/>
      <c r="AP675" s="166"/>
      <c r="AQ675" s="166"/>
      <c r="AR675" s="166"/>
    </row>
    <row r="676" customHeight="1" spans="1:44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  <c r="AB676" s="166"/>
      <c r="AC676" s="166"/>
      <c r="AD676" s="166"/>
      <c r="AE676" s="166"/>
      <c r="AF676" s="166"/>
      <c r="AG676" s="166"/>
      <c r="AH676" s="166"/>
      <c r="AI676" s="166"/>
      <c r="AJ676" s="166"/>
      <c r="AK676" s="166"/>
      <c r="AL676" s="166"/>
      <c r="AM676" s="166"/>
      <c r="AN676" s="166"/>
      <c r="AO676" s="166"/>
      <c r="AP676" s="166"/>
      <c r="AQ676" s="166"/>
      <c r="AR676" s="166"/>
    </row>
    <row r="677" customHeight="1" spans="1:44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  <c r="AB677" s="166"/>
      <c r="AC677" s="166"/>
      <c r="AD677" s="166"/>
      <c r="AE677" s="166"/>
      <c r="AF677" s="166"/>
      <c r="AG677" s="166"/>
      <c r="AH677" s="166"/>
      <c r="AI677" s="166"/>
      <c r="AJ677" s="166"/>
      <c r="AK677" s="166"/>
      <c r="AL677" s="166"/>
      <c r="AM677" s="166"/>
      <c r="AN677" s="166"/>
      <c r="AO677" s="166"/>
      <c r="AP677" s="166"/>
      <c r="AQ677" s="166"/>
      <c r="AR677" s="166"/>
    </row>
    <row r="678" customHeight="1" spans="1:44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  <c r="AB678" s="166"/>
      <c r="AC678" s="166"/>
      <c r="AD678" s="166"/>
      <c r="AE678" s="166"/>
      <c r="AF678" s="166"/>
      <c r="AG678" s="166"/>
      <c r="AH678" s="166"/>
      <c r="AI678" s="166"/>
      <c r="AJ678" s="166"/>
      <c r="AK678" s="166"/>
      <c r="AL678" s="166"/>
      <c r="AM678" s="166"/>
      <c r="AN678" s="166"/>
      <c r="AO678" s="166"/>
      <c r="AP678" s="166"/>
      <c r="AQ678" s="166"/>
      <c r="AR678" s="166"/>
    </row>
    <row r="679" customHeight="1" spans="1:44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  <c r="AB679" s="166"/>
      <c r="AC679" s="166"/>
      <c r="AD679" s="166"/>
      <c r="AE679" s="166"/>
      <c r="AF679" s="166"/>
      <c r="AG679" s="166"/>
      <c r="AH679" s="166"/>
      <c r="AI679" s="166"/>
      <c r="AJ679" s="166"/>
      <c r="AK679" s="166"/>
      <c r="AL679" s="166"/>
      <c r="AM679" s="166"/>
      <c r="AN679" s="166"/>
      <c r="AO679" s="166"/>
      <c r="AP679" s="166"/>
      <c r="AQ679" s="166"/>
      <c r="AR679" s="166"/>
    </row>
    <row r="680" customHeight="1" spans="1:44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  <c r="AB680" s="166"/>
      <c r="AC680" s="166"/>
      <c r="AD680" s="166"/>
      <c r="AE680" s="166"/>
      <c r="AF680" s="166"/>
      <c r="AG680" s="166"/>
      <c r="AH680" s="166"/>
      <c r="AI680" s="166"/>
      <c r="AJ680" s="166"/>
      <c r="AK680" s="166"/>
      <c r="AL680" s="166"/>
      <c r="AM680" s="166"/>
      <c r="AN680" s="166"/>
      <c r="AO680" s="166"/>
      <c r="AP680" s="166"/>
      <c r="AQ680" s="166"/>
      <c r="AR680" s="166"/>
    </row>
    <row r="681" customHeight="1" spans="1:44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  <c r="AB681" s="166"/>
      <c r="AC681" s="166"/>
      <c r="AD681" s="166"/>
      <c r="AE681" s="166"/>
      <c r="AF681" s="166"/>
      <c r="AG681" s="166"/>
      <c r="AH681" s="166"/>
      <c r="AI681" s="166"/>
      <c r="AJ681" s="166"/>
      <c r="AK681" s="166"/>
      <c r="AL681" s="166"/>
      <c r="AM681" s="166"/>
      <c r="AN681" s="166"/>
      <c r="AO681" s="166"/>
      <c r="AP681" s="166"/>
      <c r="AQ681" s="166"/>
      <c r="AR681" s="166"/>
    </row>
    <row r="682" customHeight="1" spans="1:44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  <c r="AB682" s="166"/>
      <c r="AC682" s="166"/>
      <c r="AD682" s="166"/>
      <c r="AE682" s="166"/>
      <c r="AF682" s="166"/>
      <c r="AG682" s="166"/>
      <c r="AH682" s="166"/>
      <c r="AI682" s="166"/>
      <c r="AJ682" s="166"/>
      <c r="AK682" s="166"/>
      <c r="AL682" s="166"/>
      <c r="AM682" s="166"/>
      <c r="AN682" s="166"/>
      <c r="AO682" s="166"/>
      <c r="AP682" s="166"/>
      <c r="AQ682" s="166"/>
      <c r="AR682" s="166"/>
    </row>
    <row r="683" customHeight="1" spans="1:44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  <c r="AB683" s="166"/>
      <c r="AC683" s="166"/>
      <c r="AD683" s="166"/>
      <c r="AE683" s="166"/>
      <c r="AF683" s="166"/>
      <c r="AG683" s="166"/>
      <c r="AH683" s="166"/>
      <c r="AI683" s="166"/>
      <c r="AJ683" s="166"/>
      <c r="AK683" s="166"/>
      <c r="AL683" s="166"/>
      <c r="AM683" s="166"/>
      <c r="AN683" s="166"/>
      <c r="AO683" s="166"/>
      <c r="AP683" s="166"/>
      <c r="AQ683" s="166"/>
      <c r="AR683" s="166"/>
    </row>
    <row r="684" customHeight="1" spans="1:44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  <c r="AB684" s="166"/>
      <c r="AC684" s="166"/>
      <c r="AD684" s="166"/>
      <c r="AE684" s="166"/>
      <c r="AF684" s="166"/>
      <c r="AG684" s="166"/>
      <c r="AH684" s="166"/>
      <c r="AI684" s="166"/>
      <c r="AJ684" s="166"/>
      <c r="AK684" s="166"/>
      <c r="AL684" s="166"/>
      <c r="AM684" s="166"/>
      <c r="AN684" s="166"/>
      <c r="AO684" s="166"/>
      <c r="AP684" s="166"/>
      <c r="AQ684" s="166"/>
      <c r="AR684" s="166"/>
    </row>
    <row r="685" customHeight="1" spans="1:44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  <c r="AB685" s="166"/>
      <c r="AC685" s="166"/>
      <c r="AD685" s="166"/>
      <c r="AE685" s="166"/>
      <c r="AF685" s="166"/>
      <c r="AG685" s="166"/>
      <c r="AH685" s="166"/>
      <c r="AI685" s="166"/>
      <c r="AJ685" s="166"/>
      <c r="AK685" s="166"/>
      <c r="AL685" s="166"/>
      <c r="AM685" s="166"/>
      <c r="AN685" s="166"/>
      <c r="AO685" s="166"/>
      <c r="AP685" s="166"/>
      <c r="AQ685" s="166"/>
      <c r="AR685" s="166"/>
    </row>
    <row r="686" customHeight="1" spans="1:44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  <c r="AB686" s="166"/>
      <c r="AC686" s="166"/>
      <c r="AD686" s="166"/>
      <c r="AE686" s="166"/>
      <c r="AF686" s="166"/>
      <c r="AG686" s="166"/>
      <c r="AH686" s="166"/>
      <c r="AI686" s="166"/>
      <c r="AJ686" s="166"/>
      <c r="AK686" s="166"/>
      <c r="AL686" s="166"/>
      <c r="AM686" s="166"/>
      <c r="AN686" s="166"/>
      <c r="AO686" s="166"/>
      <c r="AP686" s="166"/>
      <c r="AQ686" s="166"/>
      <c r="AR686" s="166"/>
    </row>
    <row r="687" customHeight="1" spans="1:44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  <c r="AB687" s="166"/>
      <c r="AC687" s="166"/>
      <c r="AD687" s="166"/>
      <c r="AE687" s="166"/>
      <c r="AF687" s="166"/>
      <c r="AG687" s="166"/>
      <c r="AH687" s="166"/>
      <c r="AI687" s="166"/>
      <c r="AJ687" s="166"/>
      <c r="AK687" s="166"/>
      <c r="AL687" s="166"/>
      <c r="AM687" s="166"/>
      <c r="AN687" s="166"/>
      <c r="AO687" s="166"/>
      <c r="AP687" s="166"/>
      <c r="AQ687" s="166"/>
      <c r="AR687" s="166"/>
    </row>
    <row r="688" customHeight="1" spans="1:44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  <c r="AB688" s="166"/>
      <c r="AC688" s="166"/>
      <c r="AD688" s="166"/>
      <c r="AE688" s="166"/>
      <c r="AF688" s="166"/>
      <c r="AG688" s="166"/>
      <c r="AH688" s="166"/>
      <c r="AI688" s="166"/>
      <c r="AJ688" s="166"/>
      <c r="AK688" s="166"/>
      <c r="AL688" s="166"/>
      <c r="AM688" s="166"/>
      <c r="AN688" s="166"/>
      <c r="AO688" s="166"/>
      <c r="AP688" s="166"/>
      <c r="AQ688" s="166"/>
      <c r="AR688" s="166"/>
    </row>
    <row r="689" customHeight="1" spans="1:44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  <c r="AB689" s="166"/>
      <c r="AC689" s="166"/>
      <c r="AD689" s="166"/>
      <c r="AE689" s="166"/>
      <c r="AF689" s="166"/>
      <c r="AG689" s="166"/>
      <c r="AH689" s="166"/>
      <c r="AI689" s="166"/>
      <c r="AJ689" s="166"/>
      <c r="AK689" s="166"/>
      <c r="AL689" s="166"/>
      <c r="AM689" s="166"/>
      <c r="AN689" s="166"/>
      <c r="AO689" s="166"/>
      <c r="AP689" s="166"/>
      <c r="AQ689" s="166"/>
      <c r="AR689" s="166"/>
    </row>
    <row r="690" customHeight="1" spans="1:44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  <c r="AB690" s="166"/>
      <c r="AC690" s="166"/>
      <c r="AD690" s="166"/>
      <c r="AE690" s="166"/>
      <c r="AF690" s="166"/>
      <c r="AG690" s="166"/>
      <c r="AH690" s="166"/>
      <c r="AI690" s="166"/>
      <c r="AJ690" s="166"/>
      <c r="AK690" s="166"/>
      <c r="AL690" s="166"/>
      <c r="AM690" s="166"/>
      <c r="AN690" s="166"/>
      <c r="AO690" s="166"/>
      <c r="AP690" s="166"/>
      <c r="AQ690" s="166"/>
      <c r="AR690" s="166"/>
    </row>
    <row r="691" customHeight="1" spans="1:44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  <c r="AB691" s="166"/>
      <c r="AC691" s="166"/>
      <c r="AD691" s="166"/>
      <c r="AE691" s="166"/>
      <c r="AF691" s="166"/>
      <c r="AG691" s="166"/>
      <c r="AH691" s="166"/>
      <c r="AI691" s="166"/>
      <c r="AJ691" s="166"/>
      <c r="AK691" s="166"/>
      <c r="AL691" s="166"/>
      <c r="AM691" s="166"/>
      <c r="AN691" s="166"/>
      <c r="AO691" s="166"/>
      <c r="AP691" s="166"/>
      <c r="AQ691" s="166"/>
      <c r="AR691" s="166"/>
    </row>
    <row r="692" customHeight="1" spans="1:44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  <c r="AB692" s="166"/>
      <c r="AC692" s="166"/>
      <c r="AD692" s="166"/>
      <c r="AE692" s="166"/>
      <c r="AF692" s="166"/>
      <c r="AG692" s="166"/>
      <c r="AH692" s="166"/>
      <c r="AI692" s="166"/>
      <c r="AJ692" s="166"/>
      <c r="AK692" s="166"/>
      <c r="AL692" s="166"/>
      <c r="AM692" s="166"/>
      <c r="AN692" s="166"/>
      <c r="AO692" s="166"/>
      <c r="AP692" s="166"/>
      <c r="AQ692" s="166"/>
      <c r="AR692" s="166"/>
    </row>
    <row r="693" customHeight="1" spans="1:44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  <c r="AB693" s="166"/>
      <c r="AC693" s="166"/>
      <c r="AD693" s="166"/>
      <c r="AE693" s="166"/>
      <c r="AF693" s="166"/>
      <c r="AG693" s="166"/>
      <c r="AH693" s="166"/>
      <c r="AI693" s="166"/>
      <c r="AJ693" s="166"/>
      <c r="AK693" s="166"/>
      <c r="AL693" s="166"/>
      <c r="AM693" s="166"/>
      <c r="AN693" s="166"/>
      <c r="AO693" s="166"/>
      <c r="AP693" s="166"/>
      <c r="AQ693" s="166"/>
      <c r="AR693" s="166"/>
    </row>
    <row r="694" customHeight="1" spans="1:44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  <c r="AB694" s="166"/>
      <c r="AC694" s="166"/>
      <c r="AD694" s="166"/>
      <c r="AE694" s="166"/>
      <c r="AF694" s="166"/>
      <c r="AG694" s="166"/>
      <c r="AH694" s="166"/>
      <c r="AI694" s="166"/>
      <c r="AJ694" s="166"/>
      <c r="AK694" s="166"/>
      <c r="AL694" s="166"/>
      <c r="AM694" s="166"/>
      <c r="AN694" s="166"/>
      <c r="AO694" s="166"/>
      <c r="AP694" s="166"/>
      <c r="AQ694" s="166"/>
      <c r="AR694" s="166"/>
    </row>
    <row r="695" customHeight="1" spans="1:44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  <c r="AB695" s="166"/>
      <c r="AC695" s="166"/>
      <c r="AD695" s="166"/>
      <c r="AE695" s="166"/>
      <c r="AF695" s="166"/>
      <c r="AG695" s="166"/>
      <c r="AH695" s="166"/>
      <c r="AI695" s="166"/>
      <c r="AJ695" s="166"/>
      <c r="AK695" s="166"/>
      <c r="AL695" s="166"/>
      <c r="AM695" s="166"/>
      <c r="AN695" s="166"/>
      <c r="AO695" s="166"/>
      <c r="AP695" s="166"/>
      <c r="AQ695" s="166"/>
      <c r="AR695" s="166"/>
    </row>
    <row r="696" customHeight="1" spans="1:44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  <c r="AB696" s="166"/>
      <c r="AC696" s="166"/>
      <c r="AD696" s="166"/>
      <c r="AE696" s="166"/>
      <c r="AF696" s="166"/>
      <c r="AG696" s="166"/>
      <c r="AH696" s="166"/>
      <c r="AI696" s="166"/>
      <c r="AJ696" s="166"/>
      <c r="AK696" s="166"/>
      <c r="AL696" s="166"/>
      <c r="AM696" s="166"/>
      <c r="AN696" s="166"/>
      <c r="AO696" s="166"/>
      <c r="AP696" s="166"/>
      <c r="AQ696" s="166"/>
      <c r="AR696" s="166"/>
    </row>
    <row r="697" customHeight="1" spans="1:44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  <c r="AB697" s="166"/>
      <c r="AC697" s="166"/>
      <c r="AD697" s="166"/>
      <c r="AE697" s="166"/>
      <c r="AF697" s="166"/>
      <c r="AG697" s="166"/>
      <c r="AH697" s="166"/>
      <c r="AI697" s="166"/>
      <c r="AJ697" s="166"/>
      <c r="AK697" s="166"/>
      <c r="AL697" s="166"/>
      <c r="AM697" s="166"/>
      <c r="AN697" s="166"/>
      <c r="AO697" s="166"/>
      <c r="AP697" s="166"/>
      <c r="AQ697" s="166"/>
      <c r="AR697" s="166"/>
    </row>
    <row r="698" customHeight="1" spans="1:44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  <c r="AB698" s="166"/>
      <c r="AC698" s="166"/>
      <c r="AD698" s="166"/>
      <c r="AE698" s="166"/>
      <c r="AF698" s="166"/>
      <c r="AG698" s="166"/>
      <c r="AH698" s="166"/>
      <c r="AI698" s="166"/>
      <c r="AJ698" s="166"/>
      <c r="AK698" s="166"/>
      <c r="AL698" s="166"/>
      <c r="AM698" s="166"/>
      <c r="AN698" s="166"/>
      <c r="AO698" s="166"/>
      <c r="AP698" s="166"/>
      <c r="AQ698" s="166"/>
      <c r="AR698" s="166"/>
    </row>
    <row r="699" customHeight="1" spans="1:44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  <c r="AB699" s="166"/>
      <c r="AC699" s="166"/>
      <c r="AD699" s="166"/>
      <c r="AE699" s="166"/>
      <c r="AF699" s="166"/>
      <c r="AG699" s="166"/>
      <c r="AH699" s="166"/>
      <c r="AI699" s="166"/>
      <c r="AJ699" s="166"/>
      <c r="AK699" s="166"/>
      <c r="AL699" s="166"/>
      <c r="AM699" s="166"/>
      <c r="AN699" s="166"/>
      <c r="AO699" s="166"/>
      <c r="AP699" s="166"/>
      <c r="AQ699" s="166"/>
      <c r="AR699" s="166"/>
    </row>
    <row r="700" customHeight="1" spans="1:44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  <c r="AB700" s="166"/>
      <c r="AC700" s="166"/>
      <c r="AD700" s="166"/>
      <c r="AE700" s="166"/>
      <c r="AF700" s="166"/>
      <c r="AG700" s="166"/>
      <c r="AH700" s="166"/>
      <c r="AI700" s="166"/>
      <c r="AJ700" s="166"/>
      <c r="AK700" s="166"/>
      <c r="AL700" s="166"/>
      <c r="AM700" s="166"/>
      <c r="AN700" s="166"/>
      <c r="AO700" s="166"/>
      <c r="AP700" s="166"/>
      <c r="AQ700" s="166"/>
      <c r="AR700" s="166"/>
    </row>
    <row r="701" customHeight="1" spans="1:44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  <c r="AB701" s="166"/>
      <c r="AC701" s="166"/>
      <c r="AD701" s="166"/>
      <c r="AE701" s="166"/>
      <c r="AF701" s="166"/>
      <c r="AG701" s="166"/>
      <c r="AH701" s="166"/>
      <c r="AI701" s="166"/>
      <c r="AJ701" s="166"/>
      <c r="AK701" s="166"/>
      <c r="AL701" s="166"/>
      <c r="AM701" s="166"/>
      <c r="AN701" s="166"/>
      <c r="AO701" s="166"/>
      <c r="AP701" s="166"/>
      <c r="AQ701" s="166"/>
      <c r="AR701" s="166"/>
    </row>
    <row r="702" customHeight="1" spans="1:44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  <c r="AB702" s="166"/>
      <c r="AC702" s="166"/>
      <c r="AD702" s="166"/>
      <c r="AE702" s="166"/>
      <c r="AF702" s="166"/>
      <c r="AG702" s="166"/>
      <c r="AH702" s="166"/>
      <c r="AI702" s="166"/>
      <c r="AJ702" s="166"/>
      <c r="AK702" s="166"/>
      <c r="AL702" s="166"/>
      <c r="AM702" s="166"/>
      <c r="AN702" s="166"/>
      <c r="AO702" s="166"/>
      <c r="AP702" s="166"/>
      <c r="AQ702" s="166"/>
      <c r="AR702" s="166"/>
    </row>
    <row r="703" customHeight="1" spans="1:44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  <c r="AB703" s="166"/>
      <c r="AC703" s="166"/>
      <c r="AD703" s="166"/>
      <c r="AE703" s="166"/>
      <c r="AF703" s="166"/>
      <c r="AG703" s="166"/>
      <c r="AH703" s="166"/>
      <c r="AI703" s="166"/>
      <c r="AJ703" s="166"/>
      <c r="AK703" s="166"/>
      <c r="AL703" s="166"/>
      <c r="AM703" s="166"/>
      <c r="AN703" s="166"/>
      <c r="AO703" s="166"/>
      <c r="AP703" s="166"/>
      <c r="AQ703" s="166"/>
      <c r="AR703" s="166"/>
    </row>
    <row r="704" customHeight="1" spans="1:44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  <c r="AB704" s="166"/>
      <c r="AC704" s="166"/>
      <c r="AD704" s="166"/>
      <c r="AE704" s="166"/>
      <c r="AF704" s="166"/>
      <c r="AG704" s="166"/>
      <c r="AH704" s="166"/>
      <c r="AI704" s="166"/>
      <c r="AJ704" s="166"/>
      <c r="AK704" s="166"/>
      <c r="AL704" s="166"/>
      <c r="AM704" s="166"/>
      <c r="AN704" s="166"/>
      <c r="AO704" s="166"/>
      <c r="AP704" s="166"/>
      <c r="AQ704" s="166"/>
      <c r="AR704" s="166"/>
    </row>
    <row r="705" customHeight="1" spans="1:44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  <c r="AB705" s="166"/>
      <c r="AC705" s="166"/>
      <c r="AD705" s="166"/>
      <c r="AE705" s="166"/>
      <c r="AF705" s="166"/>
      <c r="AG705" s="166"/>
      <c r="AH705" s="166"/>
      <c r="AI705" s="166"/>
      <c r="AJ705" s="166"/>
      <c r="AK705" s="166"/>
      <c r="AL705" s="166"/>
      <c r="AM705" s="166"/>
      <c r="AN705" s="166"/>
      <c r="AO705" s="166"/>
      <c r="AP705" s="166"/>
      <c r="AQ705" s="166"/>
      <c r="AR705" s="166"/>
    </row>
    <row r="706" customHeight="1" spans="1:44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  <c r="AB706" s="166"/>
      <c r="AC706" s="166"/>
      <c r="AD706" s="166"/>
      <c r="AE706" s="166"/>
      <c r="AF706" s="166"/>
      <c r="AG706" s="166"/>
      <c r="AH706" s="166"/>
      <c r="AI706" s="166"/>
      <c r="AJ706" s="166"/>
      <c r="AK706" s="166"/>
      <c r="AL706" s="166"/>
      <c r="AM706" s="166"/>
      <c r="AN706" s="166"/>
      <c r="AO706" s="166"/>
      <c r="AP706" s="166"/>
      <c r="AQ706" s="166"/>
      <c r="AR706" s="166"/>
    </row>
    <row r="707" customHeight="1" spans="1:44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  <c r="AB707" s="166"/>
      <c r="AC707" s="166"/>
      <c r="AD707" s="166"/>
      <c r="AE707" s="166"/>
      <c r="AF707" s="166"/>
      <c r="AG707" s="166"/>
      <c r="AH707" s="166"/>
      <c r="AI707" s="166"/>
      <c r="AJ707" s="166"/>
      <c r="AK707" s="166"/>
      <c r="AL707" s="166"/>
      <c r="AM707" s="166"/>
      <c r="AN707" s="166"/>
      <c r="AO707" s="166"/>
      <c r="AP707" s="166"/>
      <c r="AQ707" s="166"/>
      <c r="AR707" s="166"/>
    </row>
    <row r="708" customHeight="1" spans="1:44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  <c r="AB708" s="166"/>
      <c r="AC708" s="166"/>
      <c r="AD708" s="166"/>
      <c r="AE708" s="166"/>
      <c r="AF708" s="166"/>
      <c r="AG708" s="166"/>
      <c r="AH708" s="166"/>
      <c r="AI708" s="166"/>
      <c r="AJ708" s="166"/>
      <c r="AK708" s="166"/>
      <c r="AL708" s="166"/>
      <c r="AM708" s="166"/>
      <c r="AN708" s="166"/>
      <c r="AO708" s="166"/>
      <c r="AP708" s="166"/>
      <c r="AQ708" s="166"/>
      <c r="AR708" s="166"/>
    </row>
    <row r="709" customHeight="1" spans="1:44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  <c r="AB709" s="166"/>
      <c r="AC709" s="166"/>
      <c r="AD709" s="166"/>
      <c r="AE709" s="166"/>
      <c r="AF709" s="166"/>
      <c r="AG709" s="166"/>
      <c r="AH709" s="166"/>
      <c r="AI709" s="166"/>
      <c r="AJ709" s="166"/>
      <c r="AK709" s="166"/>
      <c r="AL709" s="166"/>
      <c r="AM709" s="166"/>
      <c r="AN709" s="166"/>
      <c r="AO709" s="166"/>
      <c r="AP709" s="166"/>
      <c r="AQ709" s="166"/>
      <c r="AR709" s="166"/>
    </row>
    <row r="710" customHeight="1" spans="1:44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  <c r="AB710" s="166"/>
      <c r="AC710" s="166"/>
      <c r="AD710" s="166"/>
      <c r="AE710" s="166"/>
      <c r="AF710" s="166"/>
      <c r="AG710" s="166"/>
      <c r="AH710" s="166"/>
      <c r="AI710" s="166"/>
      <c r="AJ710" s="166"/>
      <c r="AK710" s="166"/>
      <c r="AL710" s="166"/>
      <c r="AM710" s="166"/>
      <c r="AN710" s="166"/>
      <c r="AO710" s="166"/>
      <c r="AP710" s="166"/>
      <c r="AQ710" s="166"/>
      <c r="AR710" s="166"/>
    </row>
    <row r="711" customHeight="1" spans="1:44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  <c r="AB711" s="166"/>
      <c r="AC711" s="166"/>
      <c r="AD711" s="166"/>
      <c r="AE711" s="166"/>
      <c r="AF711" s="166"/>
      <c r="AG711" s="166"/>
      <c r="AH711" s="166"/>
      <c r="AI711" s="166"/>
      <c r="AJ711" s="166"/>
      <c r="AK711" s="166"/>
      <c r="AL711" s="166"/>
      <c r="AM711" s="166"/>
      <c r="AN711" s="166"/>
      <c r="AO711" s="166"/>
      <c r="AP711" s="166"/>
      <c r="AQ711" s="166"/>
      <c r="AR711" s="166"/>
    </row>
    <row r="712" customHeight="1" spans="1:44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  <c r="AB712" s="166"/>
      <c r="AC712" s="166"/>
      <c r="AD712" s="166"/>
      <c r="AE712" s="166"/>
      <c r="AF712" s="166"/>
      <c r="AG712" s="166"/>
      <c r="AH712" s="166"/>
      <c r="AI712" s="166"/>
      <c r="AJ712" s="166"/>
      <c r="AK712" s="166"/>
      <c r="AL712" s="166"/>
      <c r="AM712" s="166"/>
      <c r="AN712" s="166"/>
      <c r="AO712" s="166"/>
      <c r="AP712" s="166"/>
      <c r="AQ712" s="166"/>
      <c r="AR712" s="166"/>
    </row>
    <row r="713" customHeight="1" spans="1:44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  <c r="AB713" s="166"/>
      <c r="AC713" s="166"/>
      <c r="AD713" s="166"/>
      <c r="AE713" s="166"/>
      <c r="AF713" s="166"/>
      <c r="AG713" s="166"/>
      <c r="AH713" s="166"/>
      <c r="AI713" s="166"/>
      <c r="AJ713" s="166"/>
      <c r="AK713" s="166"/>
      <c r="AL713" s="166"/>
      <c r="AM713" s="166"/>
      <c r="AN713" s="166"/>
      <c r="AO713" s="166"/>
      <c r="AP713" s="166"/>
      <c r="AQ713" s="166"/>
      <c r="AR713" s="166"/>
    </row>
    <row r="714" customHeight="1" spans="1:44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  <c r="AB714" s="166"/>
      <c r="AC714" s="166"/>
      <c r="AD714" s="166"/>
      <c r="AE714" s="166"/>
      <c r="AF714" s="166"/>
      <c r="AG714" s="166"/>
      <c r="AH714" s="166"/>
      <c r="AI714" s="166"/>
      <c r="AJ714" s="166"/>
      <c r="AK714" s="166"/>
      <c r="AL714" s="166"/>
      <c r="AM714" s="166"/>
      <c r="AN714" s="166"/>
      <c r="AO714" s="166"/>
      <c r="AP714" s="166"/>
      <c r="AQ714" s="166"/>
      <c r="AR714" s="166"/>
    </row>
    <row r="715" customHeight="1" spans="1:44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  <c r="AB715" s="166"/>
      <c r="AC715" s="166"/>
      <c r="AD715" s="166"/>
      <c r="AE715" s="166"/>
      <c r="AF715" s="166"/>
      <c r="AG715" s="166"/>
      <c r="AH715" s="166"/>
      <c r="AI715" s="166"/>
      <c r="AJ715" s="166"/>
      <c r="AK715" s="166"/>
      <c r="AL715" s="166"/>
      <c r="AM715" s="166"/>
      <c r="AN715" s="166"/>
      <c r="AO715" s="166"/>
      <c r="AP715" s="166"/>
      <c r="AQ715" s="166"/>
      <c r="AR715" s="166"/>
    </row>
    <row r="716" customHeight="1" spans="1:44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  <c r="AB716" s="166"/>
      <c r="AC716" s="166"/>
      <c r="AD716" s="166"/>
      <c r="AE716" s="166"/>
      <c r="AF716" s="166"/>
      <c r="AG716" s="166"/>
      <c r="AH716" s="166"/>
      <c r="AI716" s="166"/>
      <c r="AJ716" s="166"/>
      <c r="AK716" s="166"/>
      <c r="AL716" s="166"/>
      <c r="AM716" s="166"/>
      <c r="AN716" s="166"/>
      <c r="AO716" s="166"/>
      <c r="AP716" s="166"/>
      <c r="AQ716" s="166"/>
      <c r="AR716" s="166"/>
    </row>
    <row r="717" customHeight="1" spans="1:44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  <c r="AB717" s="166"/>
      <c r="AC717" s="166"/>
      <c r="AD717" s="166"/>
      <c r="AE717" s="166"/>
      <c r="AF717" s="166"/>
      <c r="AG717" s="166"/>
      <c r="AH717" s="166"/>
      <c r="AI717" s="166"/>
      <c r="AJ717" s="166"/>
      <c r="AK717" s="166"/>
      <c r="AL717" s="166"/>
      <c r="AM717" s="166"/>
      <c r="AN717" s="166"/>
      <c r="AO717" s="166"/>
      <c r="AP717" s="166"/>
      <c r="AQ717" s="166"/>
      <c r="AR717" s="166"/>
    </row>
    <row r="718" customHeight="1" spans="1:44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  <c r="AB718" s="166"/>
      <c r="AC718" s="166"/>
      <c r="AD718" s="166"/>
      <c r="AE718" s="166"/>
      <c r="AF718" s="166"/>
      <c r="AG718" s="166"/>
      <c r="AH718" s="166"/>
      <c r="AI718" s="166"/>
      <c r="AJ718" s="166"/>
      <c r="AK718" s="166"/>
      <c r="AL718" s="166"/>
      <c r="AM718" s="166"/>
      <c r="AN718" s="166"/>
      <c r="AO718" s="166"/>
      <c r="AP718" s="166"/>
      <c r="AQ718" s="166"/>
      <c r="AR718" s="166"/>
    </row>
    <row r="719" customHeight="1" spans="1:44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  <c r="AB719" s="166"/>
      <c r="AC719" s="166"/>
      <c r="AD719" s="166"/>
      <c r="AE719" s="166"/>
      <c r="AF719" s="166"/>
      <c r="AG719" s="166"/>
      <c r="AH719" s="166"/>
      <c r="AI719" s="166"/>
      <c r="AJ719" s="166"/>
      <c r="AK719" s="166"/>
      <c r="AL719" s="166"/>
      <c r="AM719" s="166"/>
      <c r="AN719" s="166"/>
      <c r="AO719" s="166"/>
      <c r="AP719" s="166"/>
      <c r="AQ719" s="166"/>
      <c r="AR719" s="166"/>
    </row>
    <row r="720" customHeight="1" spans="1:44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  <c r="AB720" s="166"/>
      <c r="AC720" s="166"/>
      <c r="AD720" s="166"/>
      <c r="AE720" s="166"/>
      <c r="AF720" s="166"/>
      <c r="AG720" s="166"/>
      <c r="AH720" s="166"/>
      <c r="AI720" s="166"/>
      <c r="AJ720" s="166"/>
      <c r="AK720" s="166"/>
      <c r="AL720" s="166"/>
      <c r="AM720" s="166"/>
      <c r="AN720" s="166"/>
      <c r="AO720" s="166"/>
      <c r="AP720" s="166"/>
      <c r="AQ720" s="166"/>
      <c r="AR720" s="166"/>
    </row>
    <row r="721" customHeight="1" spans="1:44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  <c r="AB721" s="166"/>
      <c r="AC721" s="166"/>
      <c r="AD721" s="166"/>
      <c r="AE721" s="166"/>
      <c r="AF721" s="166"/>
      <c r="AG721" s="166"/>
      <c r="AH721" s="166"/>
      <c r="AI721" s="166"/>
      <c r="AJ721" s="166"/>
      <c r="AK721" s="166"/>
      <c r="AL721" s="166"/>
      <c r="AM721" s="166"/>
      <c r="AN721" s="166"/>
      <c r="AO721" s="166"/>
      <c r="AP721" s="166"/>
      <c r="AQ721" s="166"/>
      <c r="AR721" s="166"/>
    </row>
    <row r="722" customHeight="1" spans="1:44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  <c r="AB722" s="166"/>
      <c r="AC722" s="166"/>
      <c r="AD722" s="166"/>
      <c r="AE722" s="166"/>
      <c r="AF722" s="166"/>
      <c r="AG722" s="166"/>
      <c r="AH722" s="166"/>
      <c r="AI722" s="166"/>
      <c r="AJ722" s="166"/>
      <c r="AK722" s="166"/>
      <c r="AL722" s="166"/>
      <c r="AM722" s="166"/>
      <c r="AN722" s="166"/>
      <c r="AO722" s="166"/>
      <c r="AP722" s="166"/>
      <c r="AQ722" s="166"/>
      <c r="AR722" s="166"/>
    </row>
    <row r="723" customHeight="1" spans="1:44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  <c r="AB723" s="166"/>
      <c r="AC723" s="166"/>
      <c r="AD723" s="166"/>
      <c r="AE723" s="166"/>
      <c r="AF723" s="166"/>
      <c r="AG723" s="166"/>
      <c r="AH723" s="166"/>
      <c r="AI723" s="166"/>
      <c r="AJ723" s="166"/>
      <c r="AK723" s="166"/>
      <c r="AL723" s="166"/>
      <c r="AM723" s="166"/>
      <c r="AN723" s="166"/>
      <c r="AO723" s="166"/>
      <c r="AP723" s="166"/>
      <c r="AQ723" s="166"/>
      <c r="AR723" s="166"/>
    </row>
    <row r="724" customHeight="1" spans="1:44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  <c r="AB724" s="166"/>
      <c r="AC724" s="166"/>
      <c r="AD724" s="166"/>
      <c r="AE724" s="166"/>
      <c r="AF724" s="166"/>
      <c r="AG724" s="166"/>
      <c r="AH724" s="166"/>
      <c r="AI724" s="166"/>
      <c r="AJ724" s="166"/>
      <c r="AK724" s="166"/>
      <c r="AL724" s="166"/>
      <c r="AM724" s="166"/>
      <c r="AN724" s="166"/>
      <c r="AO724" s="166"/>
      <c r="AP724" s="166"/>
      <c r="AQ724" s="166"/>
      <c r="AR724" s="166"/>
    </row>
    <row r="725" customHeight="1" spans="1:44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  <c r="AB725" s="166"/>
      <c r="AC725" s="166"/>
      <c r="AD725" s="166"/>
      <c r="AE725" s="166"/>
      <c r="AF725" s="166"/>
      <c r="AG725" s="166"/>
      <c r="AH725" s="166"/>
      <c r="AI725" s="166"/>
      <c r="AJ725" s="166"/>
      <c r="AK725" s="166"/>
      <c r="AL725" s="166"/>
      <c r="AM725" s="166"/>
      <c r="AN725" s="166"/>
      <c r="AO725" s="166"/>
      <c r="AP725" s="166"/>
      <c r="AQ725" s="166"/>
      <c r="AR725" s="166"/>
    </row>
    <row r="726" customHeight="1" spans="1:44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  <c r="AB726" s="166"/>
      <c r="AC726" s="166"/>
      <c r="AD726" s="166"/>
      <c r="AE726" s="166"/>
      <c r="AF726" s="166"/>
      <c r="AG726" s="166"/>
      <c r="AH726" s="166"/>
      <c r="AI726" s="166"/>
      <c r="AJ726" s="166"/>
      <c r="AK726" s="166"/>
      <c r="AL726" s="166"/>
      <c r="AM726" s="166"/>
      <c r="AN726" s="166"/>
      <c r="AO726" s="166"/>
      <c r="AP726" s="166"/>
      <c r="AQ726" s="166"/>
      <c r="AR726" s="166"/>
    </row>
    <row r="727" customHeight="1" spans="1:44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  <c r="AB727" s="166"/>
      <c r="AC727" s="166"/>
      <c r="AD727" s="166"/>
      <c r="AE727" s="166"/>
      <c r="AF727" s="166"/>
      <c r="AG727" s="166"/>
      <c r="AH727" s="166"/>
      <c r="AI727" s="166"/>
      <c r="AJ727" s="166"/>
      <c r="AK727" s="166"/>
      <c r="AL727" s="166"/>
      <c r="AM727" s="166"/>
      <c r="AN727" s="166"/>
      <c r="AO727" s="166"/>
      <c r="AP727" s="166"/>
      <c r="AQ727" s="166"/>
      <c r="AR727" s="166"/>
    </row>
    <row r="728" customHeight="1" spans="1:44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  <c r="AB728" s="166"/>
      <c r="AC728" s="166"/>
      <c r="AD728" s="166"/>
      <c r="AE728" s="166"/>
      <c r="AF728" s="166"/>
      <c r="AG728" s="166"/>
      <c r="AH728" s="166"/>
      <c r="AI728" s="166"/>
      <c r="AJ728" s="166"/>
      <c r="AK728" s="166"/>
      <c r="AL728" s="166"/>
      <c r="AM728" s="166"/>
      <c r="AN728" s="166"/>
      <c r="AO728" s="166"/>
      <c r="AP728" s="166"/>
      <c r="AQ728" s="166"/>
      <c r="AR728" s="166"/>
    </row>
    <row r="729" customHeight="1" spans="1:44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  <c r="AB729" s="166"/>
      <c r="AC729" s="166"/>
      <c r="AD729" s="166"/>
      <c r="AE729" s="166"/>
      <c r="AF729" s="166"/>
      <c r="AG729" s="166"/>
      <c r="AH729" s="166"/>
      <c r="AI729" s="166"/>
      <c r="AJ729" s="166"/>
      <c r="AK729" s="166"/>
      <c r="AL729" s="166"/>
      <c r="AM729" s="166"/>
      <c r="AN729" s="166"/>
      <c r="AO729" s="166"/>
      <c r="AP729" s="166"/>
      <c r="AQ729" s="166"/>
      <c r="AR729" s="166"/>
    </row>
    <row r="730" customHeight="1" spans="1:44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  <c r="AB730" s="166"/>
      <c r="AC730" s="166"/>
      <c r="AD730" s="166"/>
      <c r="AE730" s="166"/>
      <c r="AF730" s="166"/>
      <c r="AG730" s="166"/>
      <c r="AH730" s="166"/>
      <c r="AI730" s="166"/>
      <c r="AJ730" s="166"/>
      <c r="AK730" s="166"/>
      <c r="AL730" s="166"/>
      <c r="AM730" s="166"/>
      <c r="AN730" s="166"/>
      <c r="AO730" s="166"/>
      <c r="AP730" s="166"/>
      <c r="AQ730" s="166"/>
      <c r="AR730" s="166"/>
    </row>
    <row r="731" customHeight="1" spans="1:44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  <c r="AB731" s="166"/>
      <c r="AC731" s="166"/>
      <c r="AD731" s="166"/>
      <c r="AE731" s="166"/>
      <c r="AF731" s="166"/>
      <c r="AG731" s="166"/>
      <c r="AH731" s="166"/>
      <c r="AI731" s="166"/>
      <c r="AJ731" s="166"/>
      <c r="AK731" s="166"/>
      <c r="AL731" s="166"/>
      <c r="AM731" s="166"/>
      <c r="AN731" s="166"/>
      <c r="AO731" s="166"/>
      <c r="AP731" s="166"/>
      <c r="AQ731" s="166"/>
      <c r="AR731" s="166"/>
    </row>
    <row r="732" customHeight="1" spans="1:44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  <c r="AB732" s="166"/>
      <c r="AC732" s="166"/>
      <c r="AD732" s="166"/>
      <c r="AE732" s="166"/>
      <c r="AF732" s="166"/>
      <c r="AG732" s="166"/>
      <c r="AH732" s="166"/>
      <c r="AI732" s="166"/>
      <c r="AJ732" s="166"/>
      <c r="AK732" s="166"/>
      <c r="AL732" s="166"/>
      <c r="AM732" s="166"/>
      <c r="AN732" s="166"/>
      <c r="AO732" s="166"/>
      <c r="AP732" s="166"/>
      <c r="AQ732" s="166"/>
      <c r="AR732" s="166"/>
    </row>
    <row r="733" customHeight="1" spans="1:44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  <c r="AB733" s="166"/>
      <c r="AC733" s="166"/>
      <c r="AD733" s="166"/>
      <c r="AE733" s="166"/>
      <c r="AF733" s="166"/>
      <c r="AG733" s="166"/>
      <c r="AH733" s="166"/>
      <c r="AI733" s="166"/>
      <c r="AJ733" s="166"/>
      <c r="AK733" s="166"/>
      <c r="AL733" s="166"/>
      <c r="AM733" s="166"/>
      <c r="AN733" s="166"/>
      <c r="AO733" s="166"/>
      <c r="AP733" s="166"/>
      <c r="AQ733" s="166"/>
      <c r="AR733" s="166"/>
    </row>
    <row r="734" customHeight="1" spans="1:44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  <c r="AB734" s="166"/>
      <c r="AC734" s="166"/>
      <c r="AD734" s="166"/>
      <c r="AE734" s="166"/>
      <c r="AF734" s="166"/>
      <c r="AG734" s="166"/>
      <c r="AH734" s="166"/>
      <c r="AI734" s="166"/>
      <c r="AJ734" s="166"/>
      <c r="AK734" s="166"/>
      <c r="AL734" s="166"/>
      <c r="AM734" s="166"/>
      <c r="AN734" s="166"/>
      <c r="AO734" s="166"/>
      <c r="AP734" s="166"/>
      <c r="AQ734" s="166"/>
      <c r="AR734" s="166"/>
    </row>
    <row r="735" customHeight="1" spans="1:44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  <c r="AB735" s="166"/>
      <c r="AC735" s="166"/>
      <c r="AD735" s="166"/>
      <c r="AE735" s="166"/>
      <c r="AF735" s="166"/>
      <c r="AG735" s="166"/>
      <c r="AH735" s="166"/>
      <c r="AI735" s="166"/>
      <c r="AJ735" s="166"/>
      <c r="AK735" s="166"/>
      <c r="AL735" s="166"/>
      <c r="AM735" s="166"/>
      <c r="AN735" s="166"/>
      <c r="AO735" s="166"/>
      <c r="AP735" s="166"/>
      <c r="AQ735" s="166"/>
      <c r="AR735" s="166"/>
    </row>
    <row r="736" customHeight="1" spans="1:44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  <c r="AB736" s="166"/>
      <c r="AC736" s="166"/>
      <c r="AD736" s="166"/>
      <c r="AE736" s="166"/>
      <c r="AF736" s="166"/>
      <c r="AG736" s="166"/>
      <c r="AH736" s="166"/>
      <c r="AI736" s="166"/>
      <c r="AJ736" s="166"/>
      <c r="AK736" s="166"/>
      <c r="AL736" s="166"/>
      <c r="AM736" s="166"/>
      <c r="AN736" s="166"/>
      <c r="AO736" s="166"/>
      <c r="AP736" s="166"/>
      <c r="AQ736" s="166"/>
      <c r="AR736" s="166"/>
    </row>
    <row r="737" customHeight="1" spans="1:44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  <c r="AB737" s="166"/>
      <c r="AC737" s="166"/>
      <c r="AD737" s="166"/>
      <c r="AE737" s="166"/>
      <c r="AF737" s="166"/>
      <c r="AG737" s="166"/>
      <c r="AH737" s="166"/>
      <c r="AI737" s="166"/>
      <c r="AJ737" s="166"/>
      <c r="AK737" s="166"/>
      <c r="AL737" s="166"/>
      <c r="AM737" s="166"/>
      <c r="AN737" s="166"/>
      <c r="AO737" s="166"/>
      <c r="AP737" s="166"/>
      <c r="AQ737" s="166"/>
      <c r="AR737" s="166"/>
    </row>
    <row r="738" customHeight="1" spans="1:44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  <c r="AB738" s="166"/>
      <c r="AC738" s="166"/>
      <c r="AD738" s="166"/>
      <c r="AE738" s="166"/>
      <c r="AF738" s="166"/>
      <c r="AG738" s="166"/>
      <c r="AH738" s="166"/>
      <c r="AI738" s="166"/>
      <c r="AJ738" s="166"/>
      <c r="AK738" s="166"/>
      <c r="AL738" s="166"/>
      <c r="AM738" s="166"/>
      <c r="AN738" s="166"/>
      <c r="AO738" s="166"/>
      <c r="AP738" s="166"/>
      <c r="AQ738" s="166"/>
      <c r="AR738" s="166"/>
    </row>
    <row r="739" customHeight="1" spans="1:44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  <c r="AB739" s="166"/>
      <c r="AC739" s="166"/>
      <c r="AD739" s="166"/>
      <c r="AE739" s="166"/>
      <c r="AF739" s="166"/>
      <c r="AG739" s="166"/>
      <c r="AH739" s="166"/>
      <c r="AI739" s="166"/>
      <c r="AJ739" s="166"/>
      <c r="AK739" s="166"/>
      <c r="AL739" s="166"/>
      <c r="AM739" s="166"/>
      <c r="AN739" s="166"/>
      <c r="AO739" s="166"/>
      <c r="AP739" s="166"/>
      <c r="AQ739" s="166"/>
      <c r="AR739" s="166"/>
    </row>
    <row r="740" customHeight="1" spans="1:44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  <c r="AB740" s="166"/>
      <c r="AC740" s="166"/>
      <c r="AD740" s="166"/>
      <c r="AE740" s="166"/>
      <c r="AF740" s="166"/>
      <c r="AG740" s="166"/>
      <c r="AH740" s="166"/>
      <c r="AI740" s="166"/>
      <c r="AJ740" s="166"/>
      <c r="AK740" s="166"/>
      <c r="AL740" s="166"/>
      <c r="AM740" s="166"/>
      <c r="AN740" s="166"/>
      <c r="AO740" s="166"/>
      <c r="AP740" s="166"/>
      <c r="AQ740" s="166"/>
      <c r="AR740" s="166"/>
    </row>
    <row r="741" customHeight="1" spans="1:44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  <c r="AB741" s="166"/>
      <c r="AC741" s="166"/>
      <c r="AD741" s="166"/>
      <c r="AE741" s="166"/>
      <c r="AF741" s="166"/>
      <c r="AG741" s="166"/>
      <c r="AH741" s="166"/>
      <c r="AI741" s="166"/>
      <c r="AJ741" s="166"/>
      <c r="AK741" s="166"/>
      <c r="AL741" s="166"/>
      <c r="AM741" s="166"/>
      <c r="AN741" s="166"/>
      <c r="AO741" s="166"/>
      <c r="AP741" s="166"/>
      <c r="AQ741" s="166"/>
      <c r="AR741" s="166"/>
    </row>
    <row r="742" customHeight="1" spans="1:44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  <c r="AB742" s="166"/>
      <c r="AC742" s="166"/>
      <c r="AD742" s="166"/>
      <c r="AE742" s="166"/>
      <c r="AF742" s="166"/>
      <c r="AG742" s="166"/>
      <c r="AH742" s="166"/>
      <c r="AI742" s="166"/>
      <c r="AJ742" s="166"/>
      <c r="AK742" s="166"/>
      <c r="AL742" s="166"/>
      <c r="AM742" s="166"/>
      <c r="AN742" s="166"/>
      <c r="AO742" s="166"/>
      <c r="AP742" s="166"/>
      <c r="AQ742" s="166"/>
      <c r="AR742" s="166"/>
    </row>
    <row r="743" customHeight="1" spans="1:44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  <c r="AB743" s="166"/>
      <c r="AC743" s="166"/>
      <c r="AD743" s="166"/>
      <c r="AE743" s="166"/>
      <c r="AF743" s="166"/>
      <c r="AG743" s="166"/>
      <c r="AH743" s="166"/>
      <c r="AI743" s="166"/>
      <c r="AJ743" s="166"/>
      <c r="AK743" s="166"/>
      <c r="AL743" s="166"/>
      <c r="AM743" s="166"/>
      <c r="AN743" s="166"/>
      <c r="AO743" s="166"/>
      <c r="AP743" s="166"/>
      <c r="AQ743" s="166"/>
      <c r="AR743" s="166"/>
    </row>
    <row r="744" customHeight="1" spans="1:44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  <c r="AB744" s="166"/>
      <c r="AC744" s="166"/>
      <c r="AD744" s="166"/>
      <c r="AE744" s="166"/>
      <c r="AF744" s="166"/>
      <c r="AG744" s="166"/>
      <c r="AH744" s="166"/>
      <c r="AI744" s="166"/>
      <c r="AJ744" s="166"/>
      <c r="AK744" s="166"/>
      <c r="AL744" s="166"/>
      <c r="AM744" s="166"/>
      <c r="AN744" s="166"/>
      <c r="AO744" s="166"/>
      <c r="AP744" s="166"/>
      <c r="AQ744" s="166"/>
      <c r="AR744" s="166"/>
    </row>
    <row r="745" customHeight="1" spans="1:44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  <c r="AB745" s="166"/>
      <c r="AC745" s="166"/>
      <c r="AD745" s="166"/>
      <c r="AE745" s="166"/>
      <c r="AF745" s="166"/>
      <c r="AG745" s="166"/>
      <c r="AH745" s="166"/>
      <c r="AI745" s="166"/>
      <c r="AJ745" s="166"/>
      <c r="AK745" s="166"/>
      <c r="AL745" s="166"/>
      <c r="AM745" s="166"/>
      <c r="AN745" s="166"/>
      <c r="AO745" s="166"/>
      <c r="AP745" s="166"/>
      <c r="AQ745" s="166"/>
      <c r="AR745" s="166"/>
    </row>
    <row r="746" customHeight="1" spans="1:44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  <c r="AB746" s="166"/>
      <c r="AC746" s="166"/>
      <c r="AD746" s="166"/>
      <c r="AE746" s="166"/>
      <c r="AF746" s="166"/>
      <c r="AG746" s="166"/>
      <c r="AH746" s="166"/>
      <c r="AI746" s="166"/>
      <c r="AJ746" s="166"/>
      <c r="AK746" s="166"/>
      <c r="AL746" s="166"/>
      <c r="AM746" s="166"/>
      <c r="AN746" s="166"/>
      <c r="AO746" s="166"/>
      <c r="AP746" s="166"/>
      <c r="AQ746" s="166"/>
      <c r="AR746" s="166"/>
    </row>
    <row r="747" customHeight="1" spans="1:44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  <c r="AB747" s="166"/>
      <c r="AC747" s="166"/>
      <c r="AD747" s="166"/>
      <c r="AE747" s="166"/>
      <c r="AF747" s="166"/>
      <c r="AG747" s="166"/>
      <c r="AH747" s="166"/>
      <c r="AI747" s="166"/>
      <c r="AJ747" s="166"/>
      <c r="AK747" s="166"/>
      <c r="AL747" s="166"/>
      <c r="AM747" s="166"/>
      <c r="AN747" s="166"/>
      <c r="AO747" s="166"/>
      <c r="AP747" s="166"/>
      <c r="AQ747" s="166"/>
      <c r="AR747" s="166"/>
    </row>
    <row r="748" customHeight="1" spans="1:44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  <c r="AB748" s="166"/>
      <c r="AC748" s="166"/>
      <c r="AD748" s="166"/>
      <c r="AE748" s="166"/>
      <c r="AF748" s="166"/>
      <c r="AG748" s="166"/>
      <c r="AH748" s="166"/>
      <c r="AI748" s="166"/>
      <c r="AJ748" s="166"/>
      <c r="AK748" s="166"/>
      <c r="AL748" s="166"/>
      <c r="AM748" s="166"/>
      <c r="AN748" s="166"/>
      <c r="AO748" s="166"/>
      <c r="AP748" s="166"/>
      <c r="AQ748" s="166"/>
      <c r="AR748" s="166"/>
    </row>
    <row r="749" customHeight="1" spans="1:44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  <c r="AB749" s="166"/>
      <c r="AC749" s="166"/>
      <c r="AD749" s="166"/>
      <c r="AE749" s="166"/>
      <c r="AF749" s="166"/>
      <c r="AG749" s="166"/>
      <c r="AH749" s="166"/>
      <c r="AI749" s="166"/>
      <c r="AJ749" s="166"/>
      <c r="AK749" s="166"/>
      <c r="AL749" s="166"/>
      <c r="AM749" s="166"/>
      <c r="AN749" s="166"/>
      <c r="AO749" s="166"/>
      <c r="AP749" s="166"/>
      <c r="AQ749" s="166"/>
      <c r="AR749" s="166"/>
    </row>
    <row r="750" customHeight="1" spans="1:44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  <c r="AB750" s="166"/>
      <c r="AC750" s="166"/>
      <c r="AD750" s="166"/>
      <c r="AE750" s="166"/>
      <c r="AF750" s="166"/>
      <c r="AG750" s="166"/>
      <c r="AH750" s="166"/>
      <c r="AI750" s="166"/>
      <c r="AJ750" s="166"/>
      <c r="AK750" s="166"/>
      <c r="AL750" s="166"/>
      <c r="AM750" s="166"/>
      <c r="AN750" s="166"/>
      <c r="AO750" s="166"/>
      <c r="AP750" s="166"/>
      <c r="AQ750" s="166"/>
      <c r="AR750" s="166"/>
    </row>
    <row r="751" customHeight="1" spans="1:44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  <c r="AB751" s="166"/>
      <c r="AC751" s="166"/>
      <c r="AD751" s="166"/>
      <c r="AE751" s="166"/>
      <c r="AF751" s="166"/>
      <c r="AG751" s="166"/>
      <c r="AH751" s="166"/>
      <c r="AI751" s="166"/>
      <c r="AJ751" s="166"/>
      <c r="AK751" s="166"/>
      <c r="AL751" s="166"/>
      <c r="AM751" s="166"/>
      <c r="AN751" s="166"/>
      <c r="AO751" s="166"/>
      <c r="AP751" s="166"/>
      <c r="AQ751" s="166"/>
      <c r="AR751" s="166"/>
    </row>
    <row r="752" customHeight="1" spans="1:44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  <c r="AB752" s="166"/>
      <c r="AC752" s="166"/>
      <c r="AD752" s="166"/>
      <c r="AE752" s="166"/>
      <c r="AF752" s="166"/>
      <c r="AG752" s="166"/>
      <c r="AH752" s="166"/>
      <c r="AI752" s="166"/>
      <c r="AJ752" s="166"/>
      <c r="AK752" s="166"/>
      <c r="AL752" s="166"/>
      <c r="AM752" s="166"/>
      <c r="AN752" s="166"/>
      <c r="AO752" s="166"/>
      <c r="AP752" s="166"/>
      <c r="AQ752" s="166"/>
      <c r="AR752" s="166"/>
    </row>
    <row r="753" customHeight="1" spans="1:44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  <c r="AB753" s="166"/>
      <c r="AC753" s="166"/>
      <c r="AD753" s="166"/>
      <c r="AE753" s="166"/>
      <c r="AF753" s="166"/>
      <c r="AG753" s="166"/>
      <c r="AH753" s="166"/>
      <c r="AI753" s="166"/>
      <c r="AJ753" s="166"/>
      <c r="AK753" s="166"/>
      <c r="AL753" s="166"/>
      <c r="AM753" s="166"/>
      <c r="AN753" s="166"/>
      <c r="AO753" s="166"/>
      <c r="AP753" s="166"/>
      <c r="AQ753" s="166"/>
      <c r="AR753" s="166"/>
    </row>
    <row r="754" customHeight="1" spans="1:44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  <c r="AB754" s="166"/>
      <c r="AC754" s="166"/>
      <c r="AD754" s="166"/>
      <c r="AE754" s="166"/>
      <c r="AF754" s="166"/>
      <c r="AG754" s="166"/>
      <c r="AH754" s="166"/>
      <c r="AI754" s="166"/>
      <c r="AJ754" s="166"/>
      <c r="AK754" s="166"/>
      <c r="AL754" s="166"/>
      <c r="AM754" s="166"/>
      <c r="AN754" s="166"/>
      <c r="AO754" s="166"/>
      <c r="AP754" s="166"/>
      <c r="AQ754" s="166"/>
      <c r="AR754" s="166"/>
    </row>
    <row r="755" customHeight="1" spans="1:44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  <c r="AB755" s="166"/>
      <c r="AC755" s="166"/>
      <c r="AD755" s="166"/>
      <c r="AE755" s="166"/>
      <c r="AF755" s="166"/>
      <c r="AG755" s="166"/>
      <c r="AH755" s="166"/>
      <c r="AI755" s="166"/>
      <c r="AJ755" s="166"/>
      <c r="AK755" s="166"/>
      <c r="AL755" s="166"/>
      <c r="AM755" s="166"/>
      <c r="AN755" s="166"/>
      <c r="AO755" s="166"/>
      <c r="AP755" s="166"/>
      <c r="AQ755" s="166"/>
      <c r="AR755" s="166"/>
    </row>
    <row r="756" customHeight="1" spans="1:44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  <c r="AB756" s="166"/>
      <c r="AC756" s="166"/>
      <c r="AD756" s="166"/>
      <c r="AE756" s="166"/>
      <c r="AF756" s="166"/>
      <c r="AG756" s="166"/>
      <c r="AH756" s="166"/>
      <c r="AI756" s="166"/>
      <c r="AJ756" s="166"/>
      <c r="AK756" s="166"/>
      <c r="AL756" s="166"/>
      <c r="AM756" s="166"/>
      <c r="AN756" s="166"/>
      <c r="AO756" s="166"/>
      <c r="AP756" s="166"/>
      <c r="AQ756" s="166"/>
      <c r="AR756" s="166"/>
    </row>
    <row r="757" customHeight="1" spans="1:44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  <c r="AB757" s="166"/>
      <c r="AC757" s="166"/>
      <c r="AD757" s="166"/>
      <c r="AE757" s="166"/>
      <c r="AF757" s="166"/>
      <c r="AG757" s="166"/>
      <c r="AH757" s="166"/>
      <c r="AI757" s="166"/>
      <c r="AJ757" s="166"/>
      <c r="AK757" s="166"/>
      <c r="AL757" s="166"/>
      <c r="AM757" s="166"/>
      <c r="AN757" s="166"/>
      <c r="AO757" s="166"/>
      <c r="AP757" s="166"/>
      <c r="AQ757" s="166"/>
      <c r="AR757" s="166"/>
    </row>
    <row r="758" customHeight="1" spans="1:44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  <c r="AB758" s="166"/>
      <c r="AC758" s="166"/>
      <c r="AD758" s="166"/>
      <c r="AE758" s="166"/>
      <c r="AF758" s="166"/>
      <c r="AG758" s="166"/>
      <c r="AH758" s="166"/>
      <c r="AI758" s="166"/>
      <c r="AJ758" s="166"/>
      <c r="AK758" s="166"/>
      <c r="AL758" s="166"/>
      <c r="AM758" s="166"/>
      <c r="AN758" s="166"/>
      <c r="AO758" s="166"/>
      <c r="AP758" s="166"/>
      <c r="AQ758" s="166"/>
      <c r="AR758" s="166"/>
    </row>
    <row r="759" customHeight="1" spans="1:44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  <c r="AB759" s="166"/>
      <c r="AC759" s="166"/>
      <c r="AD759" s="166"/>
      <c r="AE759" s="166"/>
      <c r="AF759" s="166"/>
      <c r="AG759" s="166"/>
      <c r="AH759" s="166"/>
      <c r="AI759" s="166"/>
      <c r="AJ759" s="166"/>
      <c r="AK759" s="166"/>
      <c r="AL759" s="166"/>
      <c r="AM759" s="166"/>
      <c r="AN759" s="166"/>
      <c r="AO759" s="166"/>
      <c r="AP759" s="166"/>
      <c r="AQ759" s="166"/>
      <c r="AR759" s="166"/>
    </row>
    <row r="760" customHeight="1" spans="1:44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  <c r="AB760" s="166"/>
      <c r="AC760" s="166"/>
      <c r="AD760" s="166"/>
      <c r="AE760" s="166"/>
      <c r="AF760" s="166"/>
      <c r="AG760" s="166"/>
      <c r="AH760" s="166"/>
      <c r="AI760" s="166"/>
      <c r="AJ760" s="166"/>
      <c r="AK760" s="166"/>
      <c r="AL760" s="166"/>
      <c r="AM760" s="166"/>
      <c r="AN760" s="166"/>
      <c r="AO760" s="166"/>
      <c r="AP760" s="166"/>
      <c r="AQ760" s="166"/>
      <c r="AR760" s="166"/>
    </row>
    <row r="761" customHeight="1" spans="1:44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  <c r="AB761" s="166"/>
      <c r="AC761" s="166"/>
      <c r="AD761" s="166"/>
      <c r="AE761" s="166"/>
      <c r="AF761" s="166"/>
      <c r="AG761" s="166"/>
      <c r="AH761" s="166"/>
      <c r="AI761" s="166"/>
      <c r="AJ761" s="166"/>
      <c r="AK761" s="166"/>
      <c r="AL761" s="166"/>
      <c r="AM761" s="166"/>
      <c r="AN761" s="166"/>
      <c r="AO761" s="166"/>
      <c r="AP761" s="166"/>
      <c r="AQ761" s="166"/>
      <c r="AR761" s="166"/>
    </row>
    <row r="762" customHeight="1" spans="1:44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  <c r="AB762" s="166"/>
      <c r="AC762" s="166"/>
      <c r="AD762" s="166"/>
      <c r="AE762" s="166"/>
      <c r="AF762" s="166"/>
      <c r="AG762" s="166"/>
      <c r="AH762" s="166"/>
      <c r="AI762" s="166"/>
      <c r="AJ762" s="166"/>
      <c r="AK762" s="166"/>
      <c r="AL762" s="166"/>
      <c r="AM762" s="166"/>
      <c r="AN762" s="166"/>
      <c r="AO762" s="166"/>
      <c r="AP762" s="166"/>
      <c r="AQ762" s="166"/>
      <c r="AR762" s="166"/>
    </row>
    <row r="763" customHeight="1" spans="1:44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  <c r="AB763" s="166"/>
      <c r="AC763" s="166"/>
      <c r="AD763" s="166"/>
      <c r="AE763" s="166"/>
      <c r="AF763" s="166"/>
      <c r="AG763" s="166"/>
      <c r="AH763" s="166"/>
      <c r="AI763" s="166"/>
      <c r="AJ763" s="166"/>
      <c r="AK763" s="166"/>
      <c r="AL763" s="166"/>
      <c r="AM763" s="166"/>
      <c r="AN763" s="166"/>
      <c r="AO763" s="166"/>
      <c r="AP763" s="166"/>
      <c r="AQ763" s="166"/>
      <c r="AR763" s="166"/>
    </row>
    <row r="764" customHeight="1" spans="1:44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  <c r="AB764" s="166"/>
      <c r="AC764" s="166"/>
      <c r="AD764" s="166"/>
      <c r="AE764" s="166"/>
      <c r="AF764" s="166"/>
      <c r="AG764" s="166"/>
      <c r="AH764" s="166"/>
      <c r="AI764" s="166"/>
      <c r="AJ764" s="166"/>
      <c r="AK764" s="166"/>
      <c r="AL764" s="166"/>
      <c r="AM764" s="166"/>
      <c r="AN764" s="166"/>
      <c r="AO764" s="166"/>
      <c r="AP764" s="166"/>
      <c r="AQ764" s="166"/>
      <c r="AR764" s="166"/>
    </row>
    <row r="765" customHeight="1" spans="1:44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  <c r="AB765" s="166"/>
      <c r="AC765" s="166"/>
      <c r="AD765" s="166"/>
      <c r="AE765" s="166"/>
      <c r="AF765" s="166"/>
      <c r="AG765" s="166"/>
      <c r="AH765" s="166"/>
      <c r="AI765" s="166"/>
      <c r="AJ765" s="166"/>
      <c r="AK765" s="166"/>
      <c r="AL765" s="166"/>
      <c r="AM765" s="166"/>
      <c r="AN765" s="166"/>
      <c r="AO765" s="166"/>
      <c r="AP765" s="166"/>
      <c r="AQ765" s="166"/>
      <c r="AR765" s="166"/>
    </row>
    <row r="766" customHeight="1" spans="1:44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  <c r="AB766" s="166"/>
      <c r="AC766" s="166"/>
      <c r="AD766" s="166"/>
      <c r="AE766" s="166"/>
      <c r="AF766" s="166"/>
      <c r="AG766" s="166"/>
      <c r="AH766" s="166"/>
      <c r="AI766" s="166"/>
      <c r="AJ766" s="166"/>
      <c r="AK766" s="166"/>
      <c r="AL766" s="166"/>
      <c r="AM766" s="166"/>
      <c r="AN766" s="166"/>
      <c r="AO766" s="166"/>
      <c r="AP766" s="166"/>
      <c r="AQ766" s="166"/>
      <c r="AR766" s="166"/>
    </row>
    <row r="767" customHeight="1" spans="1:44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  <c r="AB767" s="166"/>
      <c r="AC767" s="166"/>
      <c r="AD767" s="166"/>
      <c r="AE767" s="166"/>
      <c r="AF767" s="166"/>
      <c r="AG767" s="166"/>
      <c r="AH767" s="166"/>
      <c r="AI767" s="166"/>
      <c r="AJ767" s="166"/>
      <c r="AK767" s="166"/>
      <c r="AL767" s="166"/>
      <c r="AM767" s="166"/>
      <c r="AN767" s="166"/>
      <c r="AO767" s="166"/>
      <c r="AP767" s="166"/>
      <c r="AQ767" s="166"/>
      <c r="AR767" s="166"/>
    </row>
    <row r="768" customHeight="1" spans="1:44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  <c r="AB768" s="166"/>
      <c r="AC768" s="166"/>
      <c r="AD768" s="166"/>
      <c r="AE768" s="166"/>
      <c r="AF768" s="166"/>
      <c r="AG768" s="166"/>
      <c r="AH768" s="166"/>
      <c r="AI768" s="166"/>
      <c r="AJ768" s="166"/>
      <c r="AK768" s="166"/>
      <c r="AL768" s="166"/>
      <c r="AM768" s="166"/>
      <c r="AN768" s="166"/>
      <c r="AO768" s="166"/>
      <c r="AP768" s="166"/>
      <c r="AQ768" s="166"/>
      <c r="AR768" s="166"/>
    </row>
    <row r="769" customHeight="1" spans="1:44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  <c r="AB769" s="166"/>
      <c r="AC769" s="166"/>
      <c r="AD769" s="166"/>
      <c r="AE769" s="166"/>
      <c r="AF769" s="166"/>
      <c r="AG769" s="166"/>
      <c r="AH769" s="166"/>
      <c r="AI769" s="166"/>
      <c r="AJ769" s="166"/>
      <c r="AK769" s="166"/>
      <c r="AL769" s="166"/>
      <c r="AM769" s="166"/>
      <c r="AN769" s="166"/>
      <c r="AO769" s="166"/>
      <c r="AP769" s="166"/>
      <c r="AQ769" s="166"/>
      <c r="AR769" s="166"/>
    </row>
    <row r="770" customHeight="1" spans="1:44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  <c r="AB770" s="166"/>
      <c r="AC770" s="166"/>
      <c r="AD770" s="166"/>
      <c r="AE770" s="166"/>
      <c r="AF770" s="166"/>
      <c r="AG770" s="166"/>
      <c r="AH770" s="166"/>
      <c r="AI770" s="166"/>
      <c r="AJ770" s="166"/>
      <c r="AK770" s="166"/>
      <c r="AL770" s="166"/>
      <c r="AM770" s="166"/>
      <c r="AN770" s="166"/>
      <c r="AO770" s="166"/>
      <c r="AP770" s="166"/>
      <c r="AQ770" s="166"/>
      <c r="AR770" s="166"/>
    </row>
    <row r="771" customHeight="1" spans="1:44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  <c r="AB771" s="166"/>
      <c r="AC771" s="166"/>
      <c r="AD771" s="166"/>
      <c r="AE771" s="166"/>
      <c r="AF771" s="166"/>
      <c r="AG771" s="166"/>
      <c r="AH771" s="166"/>
      <c r="AI771" s="166"/>
      <c r="AJ771" s="166"/>
      <c r="AK771" s="166"/>
      <c r="AL771" s="166"/>
      <c r="AM771" s="166"/>
      <c r="AN771" s="166"/>
      <c r="AO771" s="166"/>
      <c r="AP771" s="166"/>
      <c r="AQ771" s="166"/>
      <c r="AR771" s="166"/>
    </row>
    <row r="772" customHeight="1" spans="1:44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  <c r="AB772" s="166"/>
      <c r="AC772" s="166"/>
      <c r="AD772" s="166"/>
      <c r="AE772" s="166"/>
      <c r="AF772" s="166"/>
      <c r="AG772" s="166"/>
      <c r="AH772" s="166"/>
      <c r="AI772" s="166"/>
      <c r="AJ772" s="166"/>
      <c r="AK772" s="166"/>
      <c r="AL772" s="166"/>
      <c r="AM772" s="166"/>
      <c r="AN772" s="166"/>
      <c r="AO772" s="166"/>
      <c r="AP772" s="166"/>
      <c r="AQ772" s="166"/>
      <c r="AR772" s="166"/>
    </row>
    <row r="773" customHeight="1" spans="1:44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  <c r="AB773" s="166"/>
      <c r="AC773" s="166"/>
      <c r="AD773" s="166"/>
      <c r="AE773" s="166"/>
      <c r="AF773" s="166"/>
      <c r="AG773" s="166"/>
      <c r="AH773" s="166"/>
      <c r="AI773" s="166"/>
      <c r="AJ773" s="166"/>
      <c r="AK773" s="166"/>
      <c r="AL773" s="166"/>
      <c r="AM773" s="166"/>
      <c r="AN773" s="166"/>
      <c r="AO773" s="166"/>
      <c r="AP773" s="166"/>
      <c r="AQ773" s="166"/>
      <c r="AR773" s="166"/>
    </row>
    <row r="774" customHeight="1" spans="1:44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  <c r="AB774" s="166"/>
      <c r="AC774" s="166"/>
      <c r="AD774" s="166"/>
      <c r="AE774" s="166"/>
      <c r="AF774" s="166"/>
      <c r="AG774" s="166"/>
      <c r="AH774" s="166"/>
      <c r="AI774" s="166"/>
      <c r="AJ774" s="166"/>
      <c r="AK774" s="166"/>
      <c r="AL774" s="166"/>
      <c r="AM774" s="166"/>
      <c r="AN774" s="166"/>
      <c r="AO774" s="166"/>
      <c r="AP774" s="166"/>
      <c r="AQ774" s="166"/>
      <c r="AR774" s="166"/>
    </row>
    <row r="775" customHeight="1" spans="1:44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  <c r="AB775" s="166"/>
      <c r="AC775" s="166"/>
      <c r="AD775" s="166"/>
      <c r="AE775" s="166"/>
      <c r="AF775" s="166"/>
      <c r="AG775" s="166"/>
      <c r="AH775" s="166"/>
      <c r="AI775" s="166"/>
      <c r="AJ775" s="166"/>
      <c r="AK775" s="166"/>
      <c r="AL775" s="166"/>
      <c r="AM775" s="166"/>
      <c r="AN775" s="166"/>
      <c r="AO775" s="166"/>
      <c r="AP775" s="166"/>
      <c r="AQ775" s="166"/>
      <c r="AR775" s="166"/>
    </row>
    <row r="776" customHeight="1" spans="1:44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  <c r="AB776" s="166"/>
      <c r="AC776" s="166"/>
      <c r="AD776" s="166"/>
      <c r="AE776" s="166"/>
      <c r="AF776" s="166"/>
      <c r="AG776" s="166"/>
      <c r="AH776" s="166"/>
      <c r="AI776" s="166"/>
      <c r="AJ776" s="166"/>
      <c r="AK776" s="166"/>
      <c r="AL776" s="166"/>
      <c r="AM776" s="166"/>
      <c r="AN776" s="166"/>
      <c r="AO776" s="166"/>
      <c r="AP776" s="166"/>
      <c r="AQ776" s="166"/>
      <c r="AR776" s="166"/>
    </row>
    <row r="777" customHeight="1" spans="1:44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  <c r="AB777" s="166"/>
      <c r="AC777" s="166"/>
      <c r="AD777" s="166"/>
      <c r="AE777" s="166"/>
      <c r="AF777" s="166"/>
      <c r="AG777" s="166"/>
      <c r="AH777" s="166"/>
      <c r="AI777" s="166"/>
      <c r="AJ777" s="166"/>
      <c r="AK777" s="166"/>
      <c r="AL777" s="166"/>
      <c r="AM777" s="166"/>
      <c r="AN777" s="166"/>
      <c r="AO777" s="166"/>
      <c r="AP777" s="166"/>
      <c r="AQ777" s="166"/>
      <c r="AR777" s="166"/>
    </row>
    <row r="778" customHeight="1" spans="1:44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  <c r="AB778" s="166"/>
      <c r="AC778" s="166"/>
      <c r="AD778" s="166"/>
      <c r="AE778" s="166"/>
      <c r="AF778" s="166"/>
      <c r="AG778" s="166"/>
      <c r="AH778" s="166"/>
      <c r="AI778" s="166"/>
      <c r="AJ778" s="166"/>
      <c r="AK778" s="166"/>
      <c r="AL778" s="166"/>
      <c r="AM778" s="166"/>
      <c r="AN778" s="166"/>
      <c r="AO778" s="166"/>
      <c r="AP778" s="166"/>
      <c r="AQ778" s="166"/>
      <c r="AR778" s="166"/>
    </row>
    <row r="779" customHeight="1" spans="1:44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  <c r="AB779" s="166"/>
      <c r="AC779" s="166"/>
      <c r="AD779" s="166"/>
      <c r="AE779" s="166"/>
      <c r="AF779" s="166"/>
      <c r="AG779" s="166"/>
      <c r="AH779" s="166"/>
      <c r="AI779" s="166"/>
      <c r="AJ779" s="166"/>
      <c r="AK779" s="166"/>
      <c r="AL779" s="166"/>
      <c r="AM779" s="166"/>
      <c r="AN779" s="166"/>
      <c r="AO779" s="166"/>
      <c r="AP779" s="166"/>
      <c r="AQ779" s="166"/>
      <c r="AR779" s="166"/>
    </row>
    <row r="780" customHeight="1" spans="1:44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  <c r="AB780" s="166"/>
      <c r="AC780" s="166"/>
      <c r="AD780" s="166"/>
      <c r="AE780" s="166"/>
      <c r="AF780" s="166"/>
      <c r="AG780" s="166"/>
      <c r="AH780" s="166"/>
      <c r="AI780" s="166"/>
      <c r="AJ780" s="166"/>
      <c r="AK780" s="166"/>
      <c r="AL780" s="166"/>
      <c r="AM780" s="166"/>
      <c r="AN780" s="166"/>
      <c r="AO780" s="166"/>
      <c r="AP780" s="166"/>
      <c r="AQ780" s="166"/>
      <c r="AR780" s="166"/>
    </row>
    <row r="781" customHeight="1" spans="1:44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  <c r="AB781" s="166"/>
      <c r="AC781" s="166"/>
      <c r="AD781" s="166"/>
      <c r="AE781" s="166"/>
      <c r="AF781" s="166"/>
      <c r="AG781" s="166"/>
      <c r="AH781" s="166"/>
      <c r="AI781" s="166"/>
      <c r="AJ781" s="166"/>
      <c r="AK781" s="166"/>
      <c r="AL781" s="166"/>
      <c r="AM781" s="166"/>
      <c r="AN781" s="166"/>
      <c r="AO781" s="166"/>
      <c r="AP781" s="166"/>
      <c r="AQ781" s="166"/>
      <c r="AR781" s="166"/>
    </row>
    <row r="782" customHeight="1" spans="1:44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  <c r="AB782" s="166"/>
      <c r="AC782" s="166"/>
      <c r="AD782" s="166"/>
      <c r="AE782" s="166"/>
      <c r="AF782" s="166"/>
      <c r="AG782" s="166"/>
      <c r="AH782" s="166"/>
      <c r="AI782" s="166"/>
      <c r="AJ782" s="166"/>
      <c r="AK782" s="166"/>
      <c r="AL782" s="166"/>
      <c r="AM782" s="166"/>
      <c r="AN782" s="166"/>
      <c r="AO782" s="166"/>
      <c r="AP782" s="166"/>
      <c r="AQ782" s="166"/>
      <c r="AR782" s="166"/>
    </row>
    <row r="783" customHeight="1" spans="1:44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  <c r="AB783" s="166"/>
      <c r="AC783" s="166"/>
      <c r="AD783" s="166"/>
      <c r="AE783" s="166"/>
      <c r="AF783" s="166"/>
      <c r="AG783" s="166"/>
      <c r="AH783" s="166"/>
      <c r="AI783" s="166"/>
      <c r="AJ783" s="166"/>
      <c r="AK783" s="166"/>
      <c r="AL783" s="166"/>
      <c r="AM783" s="166"/>
      <c r="AN783" s="166"/>
      <c r="AO783" s="166"/>
      <c r="AP783" s="166"/>
      <c r="AQ783" s="166"/>
      <c r="AR783" s="166"/>
    </row>
    <row r="784" customHeight="1" spans="1:44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  <c r="AB784" s="166"/>
      <c r="AC784" s="166"/>
      <c r="AD784" s="166"/>
      <c r="AE784" s="166"/>
      <c r="AF784" s="166"/>
      <c r="AG784" s="166"/>
      <c r="AH784" s="166"/>
      <c r="AI784" s="166"/>
      <c r="AJ784" s="166"/>
      <c r="AK784" s="166"/>
      <c r="AL784" s="166"/>
      <c r="AM784" s="166"/>
      <c r="AN784" s="166"/>
      <c r="AO784" s="166"/>
      <c r="AP784" s="166"/>
      <c r="AQ784" s="166"/>
      <c r="AR784" s="166"/>
    </row>
    <row r="785" customHeight="1" spans="1:44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  <c r="AB785" s="166"/>
      <c r="AC785" s="166"/>
      <c r="AD785" s="166"/>
      <c r="AE785" s="166"/>
      <c r="AF785" s="166"/>
      <c r="AG785" s="166"/>
      <c r="AH785" s="166"/>
      <c r="AI785" s="166"/>
      <c r="AJ785" s="166"/>
      <c r="AK785" s="166"/>
      <c r="AL785" s="166"/>
      <c r="AM785" s="166"/>
      <c r="AN785" s="166"/>
      <c r="AO785" s="166"/>
      <c r="AP785" s="166"/>
      <c r="AQ785" s="166"/>
      <c r="AR785" s="166"/>
    </row>
    <row r="786" customHeight="1" spans="1:44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  <c r="AB786" s="166"/>
      <c r="AC786" s="166"/>
      <c r="AD786" s="166"/>
      <c r="AE786" s="166"/>
      <c r="AF786" s="166"/>
      <c r="AG786" s="166"/>
      <c r="AH786" s="166"/>
      <c r="AI786" s="166"/>
      <c r="AJ786" s="166"/>
      <c r="AK786" s="166"/>
      <c r="AL786" s="166"/>
      <c r="AM786" s="166"/>
      <c r="AN786" s="166"/>
      <c r="AO786" s="166"/>
      <c r="AP786" s="166"/>
      <c r="AQ786" s="166"/>
      <c r="AR786" s="166"/>
    </row>
    <row r="787" customHeight="1" spans="1:44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  <c r="AB787" s="166"/>
      <c r="AC787" s="166"/>
      <c r="AD787" s="166"/>
      <c r="AE787" s="166"/>
      <c r="AF787" s="166"/>
      <c r="AG787" s="166"/>
      <c r="AH787" s="166"/>
      <c r="AI787" s="166"/>
      <c r="AJ787" s="166"/>
      <c r="AK787" s="166"/>
      <c r="AL787" s="166"/>
      <c r="AM787" s="166"/>
      <c r="AN787" s="166"/>
      <c r="AO787" s="166"/>
      <c r="AP787" s="166"/>
      <c r="AQ787" s="166"/>
      <c r="AR787" s="166"/>
    </row>
    <row r="788" customHeight="1" spans="1:44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  <c r="AB788" s="166"/>
      <c r="AC788" s="166"/>
      <c r="AD788" s="166"/>
      <c r="AE788" s="166"/>
      <c r="AF788" s="166"/>
      <c r="AG788" s="166"/>
      <c r="AH788" s="166"/>
      <c r="AI788" s="166"/>
      <c r="AJ788" s="166"/>
      <c r="AK788" s="166"/>
      <c r="AL788" s="166"/>
      <c r="AM788" s="166"/>
      <c r="AN788" s="166"/>
      <c r="AO788" s="166"/>
      <c r="AP788" s="166"/>
      <c r="AQ788" s="166"/>
      <c r="AR788" s="166"/>
    </row>
    <row r="789" customHeight="1" spans="1:44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  <c r="AB789" s="166"/>
      <c r="AC789" s="166"/>
      <c r="AD789" s="166"/>
      <c r="AE789" s="166"/>
      <c r="AF789" s="166"/>
      <c r="AG789" s="166"/>
      <c r="AH789" s="166"/>
      <c r="AI789" s="166"/>
      <c r="AJ789" s="166"/>
      <c r="AK789" s="166"/>
      <c r="AL789" s="166"/>
      <c r="AM789" s="166"/>
      <c r="AN789" s="166"/>
      <c r="AO789" s="166"/>
      <c r="AP789" s="166"/>
      <c r="AQ789" s="166"/>
      <c r="AR789" s="166"/>
    </row>
    <row r="790" customHeight="1" spans="1:44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  <c r="AB790" s="166"/>
      <c r="AC790" s="166"/>
      <c r="AD790" s="166"/>
      <c r="AE790" s="166"/>
      <c r="AF790" s="166"/>
      <c r="AG790" s="166"/>
      <c r="AH790" s="166"/>
      <c r="AI790" s="166"/>
      <c r="AJ790" s="166"/>
      <c r="AK790" s="166"/>
      <c r="AL790" s="166"/>
      <c r="AM790" s="166"/>
      <c r="AN790" s="166"/>
      <c r="AO790" s="166"/>
      <c r="AP790" s="166"/>
      <c r="AQ790" s="166"/>
      <c r="AR790" s="166"/>
    </row>
    <row r="791" customHeight="1" spans="1:44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  <c r="AB791" s="166"/>
      <c r="AC791" s="166"/>
      <c r="AD791" s="166"/>
      <c r="AE791" s="166"/>
      <c r="AF791" s="166"/>
      <c r="AG791" s="166"/>
      <c r="AH791" s="166"/>
      <c r="AI791" s="166"/>
      <c r="AJ791" s="166"/>
      <c r="AK791" s="166"/>
      <c r="AL791" s="166"/>
      <c r="AM791" s="166"/>
      <c r="AN791" s="166"/>
      <c r="AO791" s="166"/>
      <c r="AP791" s="166"/>
      <c r="AQ791" s="166"/>
      <c r="AR791" s="166"/>
    </row>
    <row r="792" customHeight="1" spans="1:44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  <c r="AB792" s="166"/>
      <c r="AC792" s="166"/>
      <c r="AD792" s="166"/>
      <c r="AE792" s="166"/>
      <c r="AF792" s="166"/>
      <c r="AG792" s="166"/>
      <c r="AH792" s="166"/>
      <c r="AI792" s="166"/>
      <c r="AJ792" s="166"/>
      <c r="AK792" s="166"/>
      <c r="AL792" s="166"/>
      <c r="AM792" s="166"/>
      <c r="AN792" s="166"/>
      <c r="AO792" s="166"/>
      <c r="AP792" s="166"/>
      <c r="AQ792" s="166"/>
      <c r="AR792" s="166"/>
    </row>
    <row r="793" customHeight="1" spans="1:44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  <c r="AB793" s="166"/>
      <c r="AC793" s="166"/>
      <c r="AD793" s="166"/>
      <c r="AE793" s="166"/>
      <c r="AF793" s="166"/>
      <c r="AG793" s="166"/>
      <c r="AH793" s="166"/>
      <c r="AI793" s="166"/>
      <c r="AJ793" s="166"/>
      <c r="AK793" s="166"/>
      <c r="AL793" s="166"/>
      <c r="AM793" s="166"/>
      <c r="AN793" s="166"/>
      <c r="AO793" s="166"/>
      <c r="AP793" s="166"/>
      <c r="AQ793" s="166"/>
      <c r="AR793" s="166"/>
    </row>
    <row r="794" customHeight="1" spans="1:44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  <c r="AB794" s="166"/>
      <c r="AC794" s="166"/>
      <c r="AD794" s="166"/>
      <c r="AE794" s="166"/>
      <c r="AF794" s="166"/>
      <c r="AG794" s="166"/>
      <c r="AH794" s="166"/>
      <c r="AI794" s="166"/>
      <c r="AJ794" s="166"/>
      <c r="AK794" s="166"/>
      <c r="AL794" s="166"/>
      <c r="AM794" s="166"/>
      <c r="AN794" s="166"/>
      <c r="AO794" s="166"/>
      <c r="AP794" s="166"/>
      <c r="AQ794" s="166"/>
      <c r="AR794" s="166"/>
    </row>
    <row r="795" customHeight="1" spans="1:44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  <c r="AB795" s="166"/>
      <c r="AC795" s="166"/>
      <c r="AD795" s="166"/>
      <c r="AE795" s="166"/>
      <c r="AF795" s="166"/>
      <c r="AG795" s="166"/>
      <c r="AH795" s="166"/>
      <c r="AI795" s="166"/>
      <c r="AJ795" s="166"/>
      <c r="AK795" s="166"/>
      <c r="AL795" s="166"/>
      <c r="AM795" s="166"/>
      <c r="AN795" s="166"/>
      <c r="AO795" s="166"/>
      <c r="AP795" s="166"/>
      <c r="AQ795" s="166"/>
      <c r="AR795" s="166"/>
    </row>
    <row r="796" customHeight="1" spans="1:44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  <c r="AB796" s="166"/>
      <c r="AC796" s="166"/>
      <c r="AD796" s="166"/>
      <c r="AE796" s="166"/>
      <c r="AF796" s="166"/>
      <c r="AG796" s="166"/>
      <c r="AH796" s="166"/>
      <c r="AI796" s="166"/>
      <c r="AJ796" s="166"/>
      <c r="AK796" s="166"/>
      <c r="AL796" s="166"/>
      <c r="AM796" s="166"/>
      <c r="AN796" s="166"/>
      <c r="AO796" s="166"/>
      <c r="AP796" s="166"/>
      <c r="AQ796" s="166"/>
      <c r="AR796" s="166"/>
    </row>
    <row r="797" customHeight="1" spans="1:44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  <c r="AB797" s="166"/>
      <c r="AC797" s="166"/>
      <c r="AD797" s="166"/>
      <c r="AE797" s="166"/>
      <c r="AF797" s="166"/>
      <c r="AG797" s="166"/>
      <c r="AH797" s="166"/>
      <c r="AI797" s="166"/>
      <c r="AJ797" s="166"/>
      <c r="AK797" s="166"/>
      <c r="AL797" s="166"/>
      <c r="AM797" s="166"/>
      <c r="AN797" s="166"/>
      <c r="AO797" s="166"/>
      <c r="AP797" s="166"/>
      <c r="AQ797" s="166"/>
      <c r="AR797" s="166"/>
    </row>
    <row r="798" customHeight="1" spans="1:44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  <c r="AB798" s="166"/>
      <c r="AC798" s="166"/>
      <c r="AD798" s="166"/>
      <c r="AE798" s="166"/>
      <c r="AF798" s="166"/>
      <c r="AG798" s="166"/>
      <c r="AH798" s="166"/>
      <c r="AI798" s="166"/>
      <c r="AJ798" s="166"/>
      <c r="AK798" s="166"/>
      <c r="AL798" s="166"/>
      <c r="AM798" s="166"/>
      <c r="AN798" s="166"/>
      <c r="AO798" s="166"/>
      <c r="AP798" s="166"/>
      <c r="AQ798" s="166"/>
      <c r="AR798" s="166"/>
    </row>
    <row r="799" customHeight="1" spans="1:44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  <c r="AB799" s="166"/>
      <c r="AC799" s="166"/>
      <c r="AD799" s="166"/>
      <c r="AE799" s="166"/>
      <c r="AF799" s="166"/>
      <c r="AG799" s="166"/>
      <c r="AH799" s="166"/>
      <c r="AI799" s="166"/>
      <c r="AJ799" s="166"/>
      <c r="AK799" s="166"/>
      <c r="AL799" s="166"/>
      <c r="AM799" s="166"/>
      <c r="AN799" s="166"/>
      <c r="AO799" s="166"/>
      <c r="AP799" s="166"/>
      <c r="AQ799" s="166"/>
      <c r="AR799" s="166"/>
    </row>
    <row r="800" customHeight="1" spans="1:44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  <c r="AB800" s="166"/>
      <c r="AC800" s="166"/>
      <c r="AD800" s="166"/>
      <c r="AE800" s="166"/>
      <c r="AF800" s="166"/>
      <c r="AG800" s="166"/>
      <c r="AH800" s="166"/>
      <c r="AI800" s="166"/>
      <c r="AJ800" s="166"/>
      <c r="AK800" s="166"/>
      <c r="AL800" s="166"/>
      <c r="AM800" s="166"/>
      <c r="AN800" s="166"/>
      <c r="AO800" s="166"/>
      <c r="AP800" s="166"/>
      <c r="AQ800" s="166"/>
      <c r="AR800" s="166"/>
    </row>
    <row r="801" customHeight="1" spans="1:44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  <c r="AB801" s="166"/>
      <c r="AC801" s="166"/>
      <c r="AD801" s="166"/>
      <c r="AE801" s="166"/>
      <c r="AF801" s="166"/>
      <c r="AG801" s="166"/>
      <c r="AH801" s="166"/>
      <c r="AI801" s="166"/>
      <c r="AJ801" s="166"/>
      <c r="AK801" s="166"/>
      <c r="AL801" s="166"/>
      <c r="AM801" s="166"/>
      <c r="AN801" s="166"/>
      <c r="AO801" s="166"/>
      <c r="AP801" s="166"/>
      <c r="AQ801" s="166"/>
      <c r="AR801" s="166"/>
    </row>
    <row r="802" customHeight="1" spans="1:44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  <c r="AB802" s="166"/>
      <c r="AC802" s="166"/>
      <c r="AD802" s="166"/>
      <c r="AE802" s="166"/>
      <c r="AF802" s="166"/>
      <c r="AG802" s="166"/>
      <c r="AH802" s="166"/>
      <c r="AI802" s="166"/>
      <c r="AJ802" s="166"/>
      <c r="AK802" s="166"/>
      <c r="AL802" s="166"/>
      <c r="AM802" s="166"/>
      <c r="AN802" s="166"/>
      <c r="AO802" s="166"/>
      <c r="AP802" s="166"/>
      <c r="AQ802" s="166"/>
      <c r="AR802" s="166"/>
    </row>
    <row r="803" customHeight="1" spans="1:44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  <c r="AB803" s="166"/>
      <c r="AC803" s="166"/>
      <c r="AD803" s="166"/>
      <c r="AE803" s="166"/>
      <c r="AF803" s="166"/>
      <c r="AG803" s="166"/>
      <c r="AH803" s="166"/>
      <c r="AI803" s="166"/>
      <c r="AJ803" s="166"/>
      <c r="AK803" s="166"/>
      <c r="AL803" s="166"/>
      <c r="AM803" s="166"/>
      <c r="AN803" s="166"/>
      <c r="AO803" s="166"/>
      <c r="AP803" s="166"/>
      <c r="AQ803" s="166"/>
      <c r="AR803" s="166"/>
    </row>
    <row r="804" customHeight="1" spans="1:44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  <c r="AB804" s="166"/>
      <c r="AC804" s="166"/>
      <c r="AD804" s="166"/>
      <c r="AE804" s="166"/>
      <c r="AF804" s="166"/>
      <c r="AG804" s="166"/>
      <c r="AH804" s="166"/>
      <c r="AI804" s="166"/>
      <c r="AJ804" s="166"/>
      <c r="AK804" s="166"/>
      <c r="AL804" s="166"/>
      <c r="AM804" s="166"/>
      <c r="AN804" s="166"/>
      <c r="AO804" s="166"/>
      <c r="AP804" s="166"/>
      <c r="AQ804" s="166"/>
      <c r="AR804" s="166"/>
    </row>
    <row r="805" customHeight="1" spans="1:44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  <c r="AB805" s="166"/>
      <c r="AC805" s="166"/>
      <c r="AD805" s="166"/>
      <c r="AE805" s="166"/>
      <c r="AF805" s="166"/>
      <c r="AG805" s="166"/>
      <c r="AH805" s="166"/>
      <c r="AI805" s="166"/>
      <c r="AJ805" s="166"/>
      <c r="AK805" s="166"/>
      <c r="AL805" s="166"/>
      <c r="AM805" s="166"/>
      <c r="AN805" s="166"/>
      <c r="AO805" s="166"/>
      <c r="AP805" s="166"/>
      <c r="AQ805" s="166"/>
      <c r="AR805" s="166"/>
    </row>
    <row r="806" customHeight="1" spans="1:44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  <c r="AB806" s="166"/>
      <c r="AC806" s="166"/>
      <c r="AD806" s="166"/>
      <c r="AE806" s="166"/>
      <c r="AF806" s="166"/>
      <c r="AG806" s="166"/>
      <c r="AH806" s="166"/>
      <c r="AI806" s="166"/>
      <c r="AJ806" s="166"/>
      <c r="AK806" s="166"/>
      <c r="AL806" s="166"/>
      <c r="AM806" s="166"/>
      <c r="AN806" s="166"/>
      <c r="AO806" s="166"/>
      <c r="AP806" s="166"/>
      <c r="AQ806" s="166"/>
      <c r="AR806" s="166"/>
    </row>
    <row r="807" customHeight="1" spans="1:44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  <c r="AA807" s="166"/>
      <c r="AB807" s="166"/>
      <c r="AC807" s="166"/>
      <c r="AD807" s="166"/>
      <c r="AE807" s="166"/>
      <c r="AF807" s="166"/>
      <c r="AG807" s="166"/>
      <c r="AH807" s="166"/>
      <c r="AI807" s="166"/>
      <c r="AJ807" s="166"/>
      <c r="AK807" s="166"/>
      <c r="AL807" s="166"/>
      <c r="AM807" s="166"/>
      <c r="AN807" s="166"/>
      <c r="AO807" s="166"/>
      <c r="AP807" s="166"/>
      <c r="AQ807" s="166"/>
      <c r="AR807" s="166"/>
    </row>
    <row r="808" customHeight="1" spans="1:44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  <c r="AB808" s="166"/>
      <c r="AC808" s="166"/>
      <c r="AD808" s="166"/>
      <c r="AE808" s="166"/>
      <c r="AF808" s="166"/>
      <c r="AG808" s="166"/>
      <c r="AH808" s="166"/>
      <c r="AI808" s="166"/>
      <c r="AJ808" s="166"/>
      <c r="AK808" s="166"/>
      <c r="AL808" s="166"/>
      <c r="AM808" s="166"/>
      <c r="AN808" s="166"/>
      <c r="AO808" s="166"/>
      <c r="AP808" s="166"/>
      <c r="AQ808" s="166"/>
      <c r="AR808" s="166"/>
    </row>
    <row r="809" customHeight="1" spans="1:44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  <c r="AB809" s="166"/>
      <c r="AC809" s="166"/>
      <c r="AD809" s="166"/>
      <c r="AE809" s="166"/>
      <c r="AF809" s="166"/>
      <c r="AG809" s="166"/>
      <c r="AH809" s="166"/>
      <c r="AI809" s="166"/>
      <c r="AJ809" s="166"/>
      <c r="AK809" s="166"/>
      <c r="AL809" s="166"/>
      <c r="AM809" s="166"/>
      <c r="AN809" s="166"/>
      <c r="AO809" s="166"/>
      <c r="AP809" s="166"/>
      <c r="AQ809" s="166"/>
      <c r="AR809" s="166"/>
    </row>
    <row r="810" customHeight="1" spans="1:44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  <c r="AB810" s="166"/>
      <c r="AC810" s="166"/>
      <c r="AD810" s="166"/>
      <c r="AE810" s="166"/>
      <c r="AF810" s="166"/>
      <c r="AG810" s="166"/>
      <c r="AH810" s="166"/>
      <c r="AI810" s="166"/>
      <c r="AJ810" s="166"/>
      <c r="AK810" s="166"/>
      <c r="AL810" s="166"/>
      <c r="AM810" s="166"/>
      <c r="AN810" s="166"/>
      <c r="AO810" s="166"/>
      <c r="AP810" s="166"/>
      <c r="AQ810" s="166"/>
      <c r="AR810" s="166"/>
    </row>
    <row r="811" customHeight="1" spans="1:44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  <c r="AB811" s="166"/>
      <c r="AC811" s="166"/>
      <c r="AD811" s="166"/>
      <c r="AE811" s="166"/>
      <c r="AF811" s="166"/>
      <c r="AG811" s="166"/>
      <c r="AH811" s="166"/>
      <c r="AI811" s="166"/>
      <c r="AJ811" s="166"/>
      <c r="AK811" s="166"/>
      <c r="AL811" s="166"/>
      <c r="AM811" s="166"/>
      <c r="AN811" s="166"/>
      <c r="AO811" s="166"/>
      <c r="AP811" s="166"/>
      <c r="AQ811" s="166"/>
      <c r="AR811" s="166"/>
    </row>
    <row r="812" customHeight="1" spans="1:44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  <c r="AB812" s="166"/>
      <c r="AC812" s="166"/>
      <c r="AD812" s="166"/>
      <c r="AE812" s="166"/>
      <c r="AF812" s="166"/>
      <c r="AG812" s="166"/>
      <c r="AH812" s="166"/>
      <c r="AI812" s="166"/>
      <c r="AJ812" s="166"/>
      <c r="AK812" s="166"/>
      <c r="AL812" s="166"/>
      <c r="AM812" s="166"/>
      <c r="AN812" s="166"/>
      <c r="AO812" s="166"/>
      <c r="AP812" s="166"/>
      <c r="AQ812" s="166"/>
      <c r="AR812" s="166"/>
    </row>
    <row r="813" customHeight="1" spans="1:44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  <c r="AB813" s="166"/>
      <c r="AC813" s="166"/>
      <c r="AD813" s="166"/>
      <c r="AE813" s="166"/>
      <c r="AF813" s="166"/>
      <c r="AG813" s="166"/>
      <c r="AH813" s="166"/>
      <c r="AI813" s="166"/>
      <c r="AJ813" s="166"/>
      <c r="AK813" s="166"/>
      <c r="AL813" s="166"/>
      <c r="AM813" s="166"/>
      <c r="AN813" s="166"/>
      <c r="AO813" s="166"/>
      <c r="AP813" s="166"/>
      <c r="AQ813" s="166"/>
      <c r="AR813" s="166"/>
    </row>
    <row r="814" customHeight="1" spans="1:44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  <c r="AB814" s="166"/>
      <c r="AC814" s="166"/>
      <c r="AD814" s="166"/>
      <c r="AE814" s="166"/>
      <c r="AF814" s="166"/>
      <c r="AG814" s="166"/>
      <c r="AH814" s="166"/>
      <c r="AI814" s="166"/>
      <c r="AJ814" s="166"/>
      <c r="AK814" s="166"/>
      <c r="AL814" s="166"/>
      <c r="AM814" s="166"/>
      <c r="AN814" s="166"/>
      <c r="AO814" s="166"/>
      <c r="AP814" s="166"/>
      <c r="AQ814" s="166"/>
      <c r="AR814" s="166"/>
    </row>
    <row r="815" customHeight="1" spans="1:44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  <c r="AB815" s="166"/>
      <c r="AC815" s="166"/>
      <c r="AD815" s="166"/>
      <c r="AE815" s="166"/>
      <c r="AF815" s="166"/>
      <c r="AG815" s="166"/>
      <c r="AH815" s="166"/>
      <c r="AI815" s="166"/>
      <c r="AJ815" s="166"/>
      <c r="AK815" s="166"/>
      <c r="AL815" s="166"/>
      <c r="AM815" s="166"/>
      <c r="AN815" s="166"/>
      <c r="AO815" s="166"/>
      <c r="AP815" s="166"/>
      <c r="AQ815" s="166"/>
      <c r="AR815" s="166"/>
    </row>
    <row r="816" customHeight="1" spans="1:44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  <c r="AB816" s="166"/>
      <c r="AC816" s="166"/>
      <c r="AD816" s="166"/>
      <c r="AE816" s="166"/>
      <c r="AF816" s="166"/>
      <c r="AG816" s="166"/>
      <c r="AH816" s="166"/>
      <c r="AI816" s="166"/>
      <c r="AJ816" s="166"/>
      <c r="AK816" s="166"/>
      <c r="AL816" s="166"/>
      <c r="AM816" s="166"/>
      <c r="AN816" s="166"/>
      <c r="AO816" s="166"/>
      <c r="AP816" s="166"/>
      <c r="AQ816" s="166"/>
      <c r="AR816" s="166"/>
    </row>
    <row r="817" customHeight="1" spans="1:44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  <c r="AB817" s="166"/>
      <c r="AC817" s="166"/>
      <c r="AD817" s="166"/>
      <c r="AE817" s="166"/>
      <c r="AF817" s="166"/>
      <c r="AG817" s="166"/>
      <c r="AH817" s="166"/>
      <c r="AI817" s="166"/>
      <c r="AJ817" s="166"/>
      <c r="AK817" s="166"/>
      <c r="AL817" s="166"/>
      <c r="AM817" s="166"/>
      <c r="AN817" s="166"/>
      <c r="AO817" s="166"/>
      <c r="AP817" s="166"/>
      <c r="AQ817" s="166"/>
      <c r="AR817" s="166"/>
    </row>
    <row r="818" customHeight="1" spans="1:44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  <c r="AB818" s="166"/>
      <c r="AC818" s="166"/>
      <c r="AD818" s="166"/>
      <c r="AE818" s="166"/>
      <c r="AF818" s="166"/>
      <c r="AG818" s="166"/>
      <c r="AH818" s="166"/>
      <c r="AI818" s="166"/>
      <c r="AJ818" s="166"/>
      <c r="AK818" s="166"/>
      <c r="AL818" s="166"/>
      <c r="AM818" s="166"/>
      <c r="AN818" s="166"/>
      <c r="AO818" s="166"/>
      <c r="AP818" s="166"/>
      <c r="AQ818" s="166"/>
      <c r="AR818" s="166"/>
    </row>
    <row r="819" customHeight="1" spans="1:44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  <c r="AB819" s="166"/>
      <c r="AC819" s="166"/>
      <c r="AD819" s="166"/>
      <c r="AE819" s="166"/>
      <c r="AF819" s="166"/>
      <c r="AG819" s="166"/>
      <c r="AH819" s="166"/>
      <c r="AI819" s="166"/>
      <c r="AJ819" s="166"/>
      <c r="AK819" s="166"/>
      <c r="AL819" s="166"/>
      <c r="AM819" s="166"/>
      <c r="AN819" s="166"/>
      <c r="AO819" s="166"/>
      <c r="AP819" s="166"/>
      <c r="AQ819" s="166"/>
      <c r="AR819" s="166"/>
    </row>
    <row r="820" customHeight="1" spans="1:44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  <c r="AB820" s="166"/>
      <c r="AC820" s="166"/>
      <c r="AD820" s="166"/>
      <c r="AE820" s="166"/>
      <c r="AF820" s="166"/>
      <c r="AG820" s="166"/>
      <c r="AH820" s="166"/>
      <c r="AI820" s="166"/>
      <c r="AJ820" s="166"/>
      <c r="AK820" s="166"/>
      <c r="AL820" s="166"/>
      <c r="AM820" s="166"/>
      <c r="AN820" s="166"/>
      <c r="AO820" s="166"/>
      <c r="AP820" s="166"/>
      <c r="AQ820" s="166"/>
      <c r="AR820" s="166"/>
    </row>
    <row r="821" customHeight="1" spans="1:44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  <c r="AB821" s="166"/>
      <c r="AC821" s="166"/>
      <c r="AD821" s="166"/>
      <c r="AE821" s="166"/>
      <c r="AF821" s="166"/>
      <c r="AG821" s="166"/>
      <c r="AH821" s="166"/>
      <c r="AI821" s="166"/>
      <c r="AJ821" s="166"/>
      <c r="AK821" s="166"/>
      <c r="AL821" s="166"/>
      <c r="AM821" s="166"/>
      <c r="AN821" s="166"/>
      <c r="AO821" s="166"/>
      <c r="AP821" s="166"/>
      <c r="AQ821" s="166"/>
      <c r="AR821" s="166"/>
    </row>
    <row r="822" customHeight="1" spans="1:44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  <c r="AB822" s="166"/>
      <c r="AC822" s="166"/>
      <c r="AD822" s="166"/>
      <c r="AE822" s="166"/>
      <c r="AF822" s="166"/>
      <c r="AG822" s="166"/>
      <c r="AH822" s="166"/>
      <c r="AI822" s="166"/>
      <c r="AJ822" s="166"/>
      <c r="AK822" s="166"/>
      <c r="AL822" s="166"/>
      <c r="AM822" s="166"/>
      <c r="AN822" s="166"/>
      <c r="AO822" s="166"/>
      <c r="AP822" s="166"/>
      <c r="AQ822" s="166"/>
      <c r="AR822" s="166"/>
    </row>
    <row r="823" customHeight="1" spans="1:44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  <c r="AB823" s="166"/>
      <c r="AC823" s="166"/>
      <c r="AD823" s="166"/>
      <c r="AE823" s="166"/>
      <c r="AF823" s="166"/>
      <c r="AG823" s="166"/>
      <c r="AH823" s="166"/>
      <c r="AI823" s="166"/>
      <c r="AJ823" s="166"/>
      <c r="AK823" s="166"/>
      <c r="AL823" s="166"/>
      <c r="AM823" s="166"/>
      <c r="AN823" s="166"/>
      <c r="AO823" s="166"/>
      <c r="AP823" s="166"/>
      <c r="AQ823" s="166"/>
      <c r="AR823" s="166"/>
    </row>
    <row r="824" customHeight="1" spans="1:44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  <c r="AB824" s="166"/>
      <c r="AC824" s="166"/>
      <c r="AD824" s="166"/>
      <c r="AE824" s="166"/>
      <c r="AF824" s="166"/>
      <c r="AG824" s="166"/>
      <c r="AH824" s="166"/>
      <c r="AI824" s="166"/>
      <c r="AJ824" s="166"/>
      <c r="AK824" s="166"/>
      <c r="AL824" s="166"/>
      <c r="AM824" s="166"/>
      <c r="AN824" s="166"/>
      <c r="AO824" s="166"/>
      <c r="AP824" s="166"/>
      <c r="AQ824" s="166"/>
      <c r="AR824" s="166"/>
    </row>
    <row r="825" customHeight="1" spans="1:44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  <c r="AB825" s="166"/>
      <c r="AC825" s="166"/>
      <c r="AD825" s="166"/>
      <c r="AE825" s="166"/>
      <c r="AF825" s="166"/>
      <c r="AG825" s="166"/>
      <c r="AH825" s="166"/>
      <c r="AI825" s="166"/>
      <c r="AJ825" s="166"/>
      <c r="AK825" s="166"/>
      <c r="AL825" s="166"/>
      <c r="AM825" s="166"/>
      <c r="AN825" s="166"/>
      <c r="AO825" s="166"/>
      <c r="AP825" s="166"/>
      <c r="AQ825" s="166"/>
      <c r="AR825" s="166"/>
    </row>
    <row r="826" customHeight="1" spans="1:44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  <c r="AB826" s="166"/>
      <c r="AC826" s="166"/>
      <c r="AD826" s="166"/>
      <c r="AE826" s="166"/>
      <c r="AF826" s="166"/>
      <c r="AG826" s="166"/>
      <c r="AH826" s="166"/>
      <c r="AI826" s="166"/>
      <c r="AJ826" s="166"/>
      <c r="AK826" s="166"/>
      <c r="AL826" s="166"/>
      <c r="AM826" s="166"/>
      <c r="AN826" s="166"/>
      <c r="AO826" s="166"/>
      <c r="AP826" s="166"/>
      <c r="AQ826" s="166"/>
      <c r="AR826" s="166"/>
    </row>
    <row r="827" customHeight="1" spans="1:44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  <c r="AB827" s="166"/>
      <c r="AC827" s="166"/>
      <c r="AD827" s="166"/>
      <c r="AE827" s="166"/>
      <c r="AF827" s="166"/>
      <c r="AG827" s="166"/>
      <c r="AH827" s="166"/>
      <c r="AI827" s="166"/>
      <c r="AJ827" s="166"/>
      <c r="AK827" s="166"/>
      <c r="AL827" s="166"/>
      <c r="AM827" s="166"/>
      <c r="AN827" s="166"/>
      <c r="AO827" s="166"/>
      <c r="AP827" s="166"/>
      <c r="AQ827" s="166"/>
      <c r="AR827" s="166"/>
    </row>
    <row r="828" customHeight="1" spans="1:44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  <c r="AB828" s="166"/>
      <c r="AC828" s="166"/>
      <c r="AD828" s="166"/>
      <c r="AE828" s="166"/>
      <c r="AF828" s="166"/>
      <c r="AG828" s="166"/>
      <c r="AH828" s="166"/>
      <c r="AI828" s="166"/>
      <c r="AJ828" s="166"/>
      <c r="AK828" s="166"/>
      <c r="AL828" s="166"/>
      <c r="AM828" s="166"/>
      <c r="AN828" s="166"/>
      <c r="AO828" s="166"/>
      <c r="AP828" s="166"/>
      <c r="AQ828" s="166"/>
      <c r="AR828" s="166"/>
    </row>
    <row r="829" customHeight="1" spans="1:44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  <c r="AB829" s="166"/>
      <c r="AC829" s="166"/>
      <c r="AD829" s="166"/>
      <c r="AE829" s="166"/>
      <c r="AF829" s="166"/>
      <c r="AG829" s="166"/>
      <c r="AH829" s="166"/>
      <c r="AI829" s="166"/>
      <c r="AJ829" s="166"/>
      <c r="AK829" s="166"/>
      <c r="AL829" s="166"/>
      <c r="AM829" s="166"/>
      <c r="AN829" s="166"/>
      <c r="AO829" s="166"/>
      <c r="AP829" s="166"/>
      <c r="AQ829" s="166"/>
      <c r="AR829" s="166"/>
    </row>
    <row r="830" customHeight="1" spans="1:44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  <c r="AB830" s="166"/>
      <c r="AC830" s="166"/>
      <c r="AD830" s="166"/>
      <c r="AE830" s="166"/>
      <c r="AF830" s="166"/>
      <c r="AG830" s="166"/>
      <c r="AH830" s="166"/>
      <c r="AI830" s="166"/>
      <c r="AJ830" s="166"/>
      <c r="AK830" s="166"/>
      <c r="AL830" s="166"/>
      <c r="AM830" s="166"/>
      <c r="AN830" s="166"/>
      <c r="AO830" s="166"/>
      <c r="AP830" s="166"/>
      <c r="AQ830" s="166"/>
      <c r="AR830" s="166"/>
    </row>
    <row r="831" customHeight="1" spans="1:44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  <c r="AB831" s="166"/>
      <c r="AC831" s="166"/>
      <c r="AD831" s="166"/>
      <c r="AE831" s="166"/>
      <c r="AF831" s="166"/>
      <c r="AG831" s="166"/>
      <c r="AH831" s="166"/>
      <c r="AI831" s="166"/>
      <c r="AJ831" s="166"/>
      <c r="AK831" s="166"/>
      <c r="AL831" s="166"/>
      <c r="AM831" s="166"/>
      <c r="AN831" s="166"/>
      <c r="AO831" s="166"/>
      <c r="AP831" s="166"/>
      <c r="AQ831" s="166"/>
      <c r="AR831" s="166"/>
    </row>
    <row r="832" customHeight="1" spans="1:44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  <c r="AB832" s="166"/>
      <c r="AC832" s="166"/>
      <c r="AD832" s="166"/>
      <c r="AE832" s="166"/>
      <c r="AF832" s="166"/>
      <c r="AG832" s="166"/>
      <c r="AH832" s="166"/>
      <c r="AI832" s="166"/>
      <c r="AJ832" s="166"/>
      <c r="AK832" s="166"/>
      <c r="AL832" s="166"/>
      <c r="AM832" s="166"/>
      <c r="AN832" s="166"/>
      <c r="AO832" s="166"/>
      <c r="AP832" s="166"/>
      <c r="AQ832" s="166"/>
      <c r="AR832" s="166"/>
    </row>
    <row r="833" customHeight="1" spans="1:44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  <c r="AB833" s="166"/>
      <c r="AC833" s="166"/>
      <c r="AD833" s="166"/>
      <c r="AE833" s="166"/>
      <c r="AF833" s="166"/>
      <c r="AG833" s="166"/>
      <c r="AH833" s="166"/>
      <c r="AI833" s="166"/>
      <c r="AJ833" s="166"/>
      <c r="AK833" s="166"/>
      <c r="AL833" s="166"/>
      <c r="AM833" s="166"/>
      <c r="AN833" s="166"/>
      <c r="AO833" s="166"/>
      <c r="AP833" s="166"/>
      <c r="AQ833" s="166"/>
      <c r="AR833" s="166"/>
    </row>
    <row r="834" customHeight="1" spans="1:44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  <c r="AB834" s="166"/>
      <c r="AC834" s="166"/>
      <c r="AD834" s="166"/>
      <c r="AE834" s="166"/>
      <c r="AF834" s="166"/>
      <c r="AG834" s="166"/>
      <c r="AH834" s="166"/>
      <c r="AI834" s="166"/>
      <c r="AJ834" s="166"/>
      <c r="AK834" s="166"/>
      <c r="AL834" s="166"/>
      <c r="AM834" s="166"/>
      <c r="AN834" s="166"/>
      <c r="AO834" s="166"/>
      <c r="AP834" s="166"/>
      <c r="AQ834" s="166"/>
      <c r="AR834" s="166"/>
    </row>
    <row r="835" customHeight="1" spans="1:44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  <c r="AB835" s="166"/>
      <c r="AC835" s="166"/>
      <c r="AD835" s="166"/>
      <c r="AE835" s="166"/>
      <c r="AF835" s="166"/>
      <c r="AG835" s="166"/>
      <c r="AH835" s="166"/>
      <c r="AI835" s="166"/>
      <c r="AJ835" s="166"/>
      <c r="AK835" s="166"/>
      <c r="AL835" s="166"/>
      <c r="AM835" s="166"/>
      <c r="AN835" s="166"/>
      <c r="AO835" s="166"/>
      <c r="AP835" s="166"/>
      <c r="AQ835" s="166"/>
      <c r="AR835" s="166"/>
    </row>
    <row r="836" customHeight="1" spans="1:44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  <c r="AB836" s="166"/>
      <c r="AC836" s="166"/>
      <c r="AD836" s="166"/>
      <c r="AE836" s="166"/>
      <c r="AF836" s="166"/>
      <c r="AG836" s="166"/>
      <c r="AH836" s="166"/>
      <c r="AI836" s="166"/>
      <c r="AJ836" s="166"/>
      <c r="AK836" s="166"/>
      <c r="AL836" s="166"/>
      <c r="AM836" s="166"/>
      <c r="AN836" s="166"/>
      <c r="AO836" s="166"/>
      <c r="AP836" s="166"/>
      <c r="AQ836" s="166"/>
      <c r="AR836" s="166"/>
    </row>
    <row r="837" customHeight="1" spans="1:44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  <c r="AB837" s="166"/>
      <c r="AC837" s="166"/>
      <c r="AD837" s="166"/>
      <c r="AE837" s="166"/>
      <c r="AF837" s="166"/>
      <c r="AG837" s="166"/>
      <c r="AH837" s="166"/>
      <c r="AI837" s="166"/>
      <c r="AJ837" s="166"/>
      <c r="AK837" s="166"/>
      <c r="AL837" s="166"/>
      <c r="AM837" s="166"/>
      <c r="AN837" s="166"/>
      <c r="AO837" s="166"/>
      <c r="AP837" s="166"/>
      <c r="AQ837" s="166"/>
      <c r="AR837" s="166"/>
    </row>
    <row r="838" customHeight="1" spans="1:44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  <c r="AB838" s="166"/>
      <c r="AC838" s="166"/>
      <c r="AD838" s="166"/>
      <c r="AE838" s="166"/>
      <c r="AF838" s="166"/>
      <c r="AG838" s="166"/>
      <c r="AH838" s="166"/>
      <c r="AI838" s="166"/>
      <c r="AJ838" s="166"/>
      <c r="AK838" s="166"/>
      <c r="AL838" s="166"/>
      <c r="AM838" s="166"/>
      <c r="AN838" s="166"/>
      <c r="AO838" s="166"/>
      <c r="AP838" s="166"/>
      <c r="AQ838" s="166"/>
      <c r="AR838" s="166"/>
    </row>
    <row r="839" customHeight="1" spans="1:44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  <c r="AB839" s="166"/>
      <c r="AC839" s="166"/>
      <c r="AD839" s="166"/>
      <c r="AE839" s="166"/>
      <c r="AF839" s="166"/>
      <c r="AG839" s="166"/>
      <c r="AH839" s="166"/>
      <c r="AI839" s="166"/>
      <c r="AJ839" s="166"/>
      <c r="AK839" s="166"/>
      <c r="AL839" s="166"/>
      <c r="AM839" s="166"/>
      <c r="AN839" s="166"/>
      <c r="AO839" s="166"/>
      <c r="AP839" s="166"/>
      <c r="AQ839" s="166"/>
      <c r="AR839" s="166"/>
    </row>
    <row r="840" customHeight="1" spans="1:44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  <c r="AB840" s="166"/>
      <c r="AC840" s="166"/>
      <c r="AD840" s="166"/>
      <c r="AE840" s="166"/>
      <c r="AF840" s="166"/>
      <c r="AG840" s="166"/>
      <c r="AH840" s="166"/>
      <c r="AI840" s="166"/>
      <c r="AJ840" s="166"/>
      <c r="AK840" s="166"/>
      <c r="AL840" s="166"/>
      <c r="AM840" s="166"/>
      <c r="AN840" s="166"/>
      <c r="AO840" s="166"/>
      <c r="AP840" s="166"/>
      <c r="AQ840" s="166"/>
      <c r="AR840" s="166"/>
    </row>
    <row r="841" customHeight="1" spans="1:44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  <c r="AB841" s="166"/>
      <c r="AC841" s="166"/>
      <c r="AD841" s="166"/>
      <c r="AE841" s="166"/>
      <c r="AF841" s="166"/>
      <c r="AG841" s="166"/>
      <c r="AH841" s="166"/>
      <c r="AI841" s="166"/>
      <c r="AJ841" s="166"/>
      <c r="AK841" s="166"/>
      <c r="AL841" s="166"/>
      <c r="AM841" s="166"/>
      <c r="AN841" s="166"/>
      <c r="AO841" s="166"/>
      <c r="AP841" s="166"/>
      <c r="AQ841" s="166"/>
      <c r="AR841" s="166"/>
    </row>
    <row r="842" customHeight="1" spans="1:44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  <c r="AB842" s="166"/>
      <c r="AC842" s="166"/>
      <c r="AD842" s="166"/>
      <c r="AE842" s="166"/>
      <c r="AF842" s="166"/>
      <c r="AG842" s="166"/>
      <c r="AH842" s="166"/>
      <c r="AI842" s="166"/>
      <c r="AJ842" s="166"/>
      <c r="AK842" s="166"/>
      <c r="AL842" s="166"/>
      <c r="AM842" s="166"/>
      <c r="AN842" s="166"/>
      <c r="AO842" s="166"/>
      <c r="AP842" s="166"/>
      <c r="AQ842" s="166"/>
      <c r="AR842" s="166"/>
    </row>
    <row r="843" customHeight="1" spans="1:44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  <c r="AB843" s="166"/>
      <c r="AC843" s="166"/>
      <c r="AD843" s="166"/>
      <c r="AE843" s="166"/>
      <c r="AF843" s="166"/>
      <c r="AG843" s="166"/>
      <c r="AH843" s="166"/>
      <c r="AI843" s="166"/>
      <c r="AJ843" s="166"/>
      <c r="AK843" s="166"/>
      <c r="AL843" s="166"/>
      <c r="AM843" s="166"/>
      <c r="AN843" s="166"/>
      <c r="AO843" s="166"/>
      <c r="AP843" s="166"/>
      <c r="AQ843" s="166"/>
      <c r="AR843" s="166"/>
    </row>
    <row r="844" customHeight="1" spans="1:44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  <c r="AB844" s="166"/>
      <c r="AC844" s="166"/>
      <c r="AD844" s="166"/>
      <c r="AE844" s="166"/>
      <c r="AF844" s="166"/>
      <c r="AG844" s="166"/>
      <c r="AH844" s="166"/>
      <c r="AI844" s="166"/>
      <c r="AJ844" s="166"/>
      <c r="AK844" s="166"/>
      <c r="AL844" s="166"/>
      <c r="AM844" s="166"/>
      <c r="AN844" s="166"/>
      <c r="AO844" s="166"/>
      <c r="AP844" s="166"/>
      <c r="AQ844" s="166"/>
      <c r="AR844" s="166"/>
    </row>
    <row r="845" customHeight="1" spans="1:44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  <c r="AB845" s="166"/>
      <c r="AC845" s="166"/>
      <c r="AD845" s="166"/>
      <c r="AE845" s="166"/>
      <c r="AF845" s="166"/>
      <c r="AG845" s="166"/>
      <c r="AH845" s="166"/>
      <c r="AI845" s="166"/>
      <c r="AJ845" s="166"/>
      <c r="AK845" s="166"/>
      <c r="AL845" s="166"/>
      <c r="AM845" s="166"/>
      <c r="AN845" s="166"/>
      <c r="AO845" s="166"/>
      <c r="AP845" s="166"/>
      <c r="AQ845" s="166"/>
      <c r="AR845" s="166"/>
    </row>
    <row r="846" customHeight="1" spans="1:44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  <c r="AB846" s="166"/>
      <c r="AC846" s="166"/>
      <c r="AD846" s="166"/>
      <c r="AE846" s="166"/>
      <c r="AF846" s="166"/>
      <c r="AG846" s="166"/>
      <c r="AH846" s="166"/>
      <c r="AI846" s="166"/>
      <c r="AJ846" s="166"/>
      <c r="AK846" s="166"/>
      <c r="AL846" s="166"/>
      <c r="AM846" s="166"/>
      <c r="AN846" s="166"/>
      <c r="AO846" s="166"/>
      <c r="AP846" s="166"/>
      <c r="AQ846" s="166"/>
      <c r="AR846" s="166"/>
    </row>
    <row r="847" customHeight="1" spans="1:44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  <c r="AB847" s="166"/>
      <c r="AC847" s="166"/>
      <c r="AD847" s="166"/>
      <c r="AE847" s="166"/>
      <c r="AF847" s="166"/>
      <c r="AG847" s="166"/>
      <c r="AH847" s="166"/>
      <c r="AI847" s="166"/>
      <c r="AJ847" s="166"/>
      <c r="AK847" s="166"/>
      <c r="AL847" s="166"/>
      <c r="AM847" s="166"/>
      <c r="AN847" s="166"/>
      <c r="AO847" s="166"/>
      <c r="AP847" s="166"/>
      <c r="AQ847" s="166"/>
      <c r="AR847" s="166"/>
    </row>
    <row r="848" customHeight="1" spans="1:44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  <c r="AB848" s="166"/>
      <c r="AC848" s="166"/>
      <c r="AD848" s="166"/>
      <c r="AE848" s="166"/>
      <c r="AF848" s="166"/>
      <c r="AG848" s="166"/>
      <c r="AH848" s="166"/>
      <c r="AI848" s="166"/>
      <c r="AJ848" s="166"/>
      <c r="AK848" s="166"/>
      <c r="AL848" s="166"/>
      <c r="AM848" s="166"/>
      <c r="AN848" s="166"/>
      <c r="AO848" s="166"/>
      <c r="AP848" s="166"/>
      <c r="AQ848" s="166"/>
      <c r="AR848" s="166"/>
    </row>
    <row r="849" customHeight="1" spans="1:44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  <c r="AB849" s="166"/>
      <c r="AC849" s="166"/>
      <c r="AD849" s="166"/>
      <c r="AE849" s="166"/>
      <c r="AF849" s="166"/>
      <c r="AG849" s="166"/>
      <c r="AH849" s="166"/>
      <c r="AI849" s="166"/>
      <c r="AJ849" s="166"/>
      <c r="AK849" s="166"/>
      <c r="AL849" s="166"/>
      <c r="AM849" s="166"/>
      <c r="AN849" s="166"/>
      <c r="AO849" s="166"/>
      <c r="AP849" s="166"/>
      <c r="AQ849" s="166"/>
      <c r="AR849" s="166"/>
    </row>
    <row r="850" customHeight="1" spans="1:44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  <c r="AB850" s="166"/>
      <c r="AC850" s="166"/>
      <c r="AD850" s="166"/>
      <c r="AE850" s="166"/>
      <c r="AF850" s="166"/>
      <c r="AG850" s="166"/>
      <c r="AH850" s="166"/>
      <c r="AI850" s="166"/>
      <c r="AJ850" s="166"/>
      <c r="AK850" s="166"/>
      <c r="AL850" s="166"/>
      <c r="AM850" s="166"/>
      <c r="AN850" s="166"/>
      <c r="AO850" s="166"/>
      <c r="AP850" s="166"/>
      <c r="AQ850" s="166"/>
      <c r="AR850" s="166"/>
    </row>
    <row r="851" customHeight="1" spans="1:44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  <c r="AB851" s="166"/>
      <c r="AC851" s="166"/>
      <c r="AD851" s="166"/>
      <c r="AE851" s="166"/>
      <c r="AF851" s="166"/>
      <c r="AG851" s="166"/>
      <c r="AH851" s="166"/>
      <c r="AI851" s="166"/>
      <c r="AJ851" s="166"/>
      <c r="AK851" s="166"/>
      <c r="AL851" s="166"/>
      <c r="AM851" s="166"/>
      <c r="AN851" s="166"/>
      <c r="AO851" s="166"/>
      <c r="AP851" s="166"/>
      <c r="AQ851" s="166"/>
      <c r="AR851" s="166"/>
    </row>
    <row r="852" customHeight="1" spans="1:44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  <c r="AB852" s="166"/>
      <c r="AC852" s="166"/>
      <c r="AD852" s="166"/>
      <c r="AE852" s="166"/>
      <c r="AF852" s="166"/>
      <c r="AG852" s="166"/>
      <c r="AH852" s="166"/>
      <c r="AI852" s="166"/>
      <c r="AJ852" s="166"/>
      <c r="AK852" s="166"/>
      <c r="AL852" s="166"/>
      <c r="AM852" s="166"/>
      <c r="AN852" s="166"/>
      <c r="AO852" s="166"/>
      <c r="AP852" s="166"/>
      <c r="AQ852" s="166"/>
      <c r="AR852" s="166"/>
    </row>
    <row r="853" customHeight="1" spans="1:44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  <c r="AB853" s="166"/>
      <c r="AC853" s="166"/>
      <c r="AD853" s="166"/>
      <c r="AE853" s="166"/>
      <c r="AF853" s="166"/>
      <c r="AG853" s="166"/>
      <c r="AH853" s="166"/>
      <c r="AI853" s="166"/>
      <c r="AJ853" s="166"/>
      <c r="AK853" s="166"/>
      <c r="AL853" s="166"/>
      <c r="AM853" s="166"/>
      <c r="AN853" s="166"/>
      <c r="AO853" s="166"/>
      <c r="AP853" s="166"/>
      <c r="AQ853" s="166"/>
      <c r="AR853" s="166"/>
    </row>
    <row r="854" customHeight="1" spans="1:44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  <c r="AB854" s="166"/>
      <c r="AC854" s="166"/>
      <c r="AD854" s="166"/>
      <c r="AE854" s="166"/>
      <c r="AF854" s="166"/>
      <c r="AG854" s="166"/>
      <c r="AH854" s="166"/>
      <c r="AI854" s="166"/>
      <c r="AJ854" s="166"/>
      <c r="AK854" s="166"/>
      <c r="AL854" s="166"/>
      <c r="AM854" s="166"/>
      <c r="AN854" s="166"/>
      <c r="AO854" s="166"/>
      <c r="AP854" s="166"/>
      <c r="AQ854" s="166"/>
      <c r="AR854" s="166"/>
    </row>
    <row r="855" customHeight="1" spans="1:44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  <c r="AB855" s="166"/>
      <c r="AC855" s="166"/>
      <c r="AD855" s="166"/>
      <c r="AE855" s="166"/>
      <c r="AF855" s="166"/>
      <c r="AG855" s="166"/>
      <c r="AH855" s="166"/>
      <c r="AI855" s="166"/>
      <c r="AJ855" s="166"/>
      <c r="AK855" s="166"/>
      <c r="AL855" s="166"/>
      <c r="AM855" s="166"/>
      <c r="AN855" s="166"/>
      <c r="AO855" s="166"/>
      <c r="AP855" s="166"/>
      <c r="AQ855" s="166"/>
      <c r="AR855" s="166"/>
    </row>
    <row r="856" customHeight="1" spans="1:44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  <c r="AB856" s="166"/>
      <c r="AC856" s="166"/>
      <c r="AD856" s="166"/>
      <c r="AE856" s="166"/>
      <c r="AF856" s="166"/>
      <c r="AG856" s="166"/>
      <c r="AH856" s="166"/>
      <c r="AI856" s="166"/>
      <c r="AJ856" s="166"/>
      <c r="AK856" s="166"/>
      <c r="AL856" s="166"/>
      <c r="AM856" s="166"/>
      <c r="AN856" s="166"/>
      <c r="AO856" s="166"/>
      <c r="AP856" s="166"/>
      <c r="AQ856" s="166"/>
      <c r="AR856" s="166"/>
    </row>
    <row r="857" customHeight="1" spans="1:44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  <c r="AB857" s="166"/>
      <c r="AC857" s="166"/>
      <c r="AD857" s="166"/>
      <c r="AE857" s="166"/>
      <c r="AF857" s="166"/>
      <c r="AG857" s="166"/>
      <c r="AH857" s="166"/>
      <c r="AI857" s="166"/>
      <c r="AJ857" s="166"/>
      <c r="AK857" s="166"/>
      <c r="AL857" s="166"/>
      <c r="AM857" s="166"/>
      <c r="AN857" s="166"/>
      <c r="AO857" s="166"/>
      <c r="AP857" s="166"/>
      <c r="AQ857" s="166"/>
      <c r="AR857" s="166"/>
    </row>
    <row r="858" customHeight="1" spans="1:44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  <c r="AB858" s="166"/>
      <c r="AC858" s="166"/>
      <c r="AD858" s="166"/>
      <c r="AE858" s="166"/>
      <c r="AF858" s="166"/>
      <c r="AG858" s="166"/>
      <c r="AH858" s="166"/>
      <c r="AI858" s="166"/>
      <c r="AJ858" s="166"/>
      <c r="AK858" s="166"/>
      <c r="AL858" s="166"/>
      <c r="AM858" s="166"/>
      <c r="AN858" s="166"/>
      <c r="AO858" s="166"/>
      <c r="AP858" s="166"/>
      <c r="AQ858" s="166"/>
      <c r="AR858" s="166"/>
    </row>
    <row r="859" customHeight="1" spans="1:44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  <c r="AB859" s="166"/>
      <c r="AC859" s="166"/>
      <c r="AD859" s="166"/>
      <c r="AE859" s="166"/>
      <c r="AF859" s="166"/>
      <c r="AG859" s="166"/>
      <c r="AH859" s="166"/>
      <c r="AI859" s="166"/>
      <c r="AJ859" s="166"/>
      <c r="AK859" s="166"/>
      <c r="AL859" s="166"/>
      <c r="AM859" s="166"/>
      <c r="AN859" s="166"/>
      <c r="AO859" s="166"/>
      <c r="AP859" s="166"/>
      <c r="AQ859" s="166"/>
      <c r="AR859" s="166"/>
    </row>
    <row r="860" customHeight="1" spans="1:44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  <c r="AB860" s="166"/>
      <c r="AC860" s="166"/>
      <c r="AD860" s="166"/>
      <c r="AE860" s="166"/>
      <c r="AF860" s="166"/>
      <c r="AG860" s="166"/>
      <c r="AH860" s="166"/>
      <c r="AI860" s="166"/>
      <c r="AJ860" s="166"/>
      <c r="AK860" s="166"/>
      <c r="AL860" s="166"/>
      <c r="AM860" s="166"/>
      <c r="AN860" s="166"/>
      <c r="AO860" s="166"/>
      <c r="AP860" s="166"/>
      <c r="AQ860" s="166"/>
      <c r="AR860" s="166"/>
    </row>
    <row r="861" customHeight="1" spans="1:44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  <c r="AB861" s="166"/>
      <c r="AC861" s="166"/>
      <c r="AD861" s="166"/>
      <c r="AE861" s="166"/>
      <c r="AF861" s="166"/>
      <c r="AG861" s="166"/>
      <c r="AH861" s="166"/>
      <c r="AI861" s="166"/>
      <c r="AJ861" s="166"/>
      <c r="AK861" s="166"/>
      <c r="AL861" s="166"/>
      <c r="AM861" s="166"/>
      <c r="AN861" s="166"/>
      <c r="AO861" s="166"/>
      <c r="AP861" s="166"/>
      <c r="AQ861" s="166"/>
      <c r="AR861" s="166"/>
    </row>
    <row r="862" customHeight="1" spans="1:44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  <c r="AB862" s="166"/>
      <c r="AC862" s="166"/>
      <c r="AD862" s="166"/>
      <c r="AE862" s="166"/>
      <c r="AF862" s="166"/>
      <c r="AG862" s="166"/>
      <c r="AH862" s="166"/>
      <c r="AI862" s="166"/>
      <c r="AJ862" s="166"/>
      <c r="AK862" s="166"/>
      <c r="AL862" s="166"/>
      <c r="AM862" s="166"/>
      <c r="AN862" s="166"/>
      <c r="AO862" s="166"/>
      <c r="AP862" s="166"/>
      <c r="AQ862" s="166"/>
      <c r="AR862" s="166"/>
    </row>
    <row r="863" customHeight="1" spans="1:44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  <c r="AB863" s="166"/>
      <c r="AC863" s="166"/>
      <c r="AD863" s="166"/>
      <c r="AE863" s="166"/>
      <c r="AF863" s="166"/>
      <c r="AG863" s="166"/>
      <c r="AH863" s="166"/>
      <c r="AI863" s="166"/>
      <c r="AJ863" s="166"/>
      <c r="AK863" s="166"/>
      <c r="AL863" s="166"/>
      <c r="AM863" s="166"/>
      <c r="AN863" s="166"/>
      <c r="AO863" s="166"/>
      <c r="AP863" s="166"/>
      <c r="AQ863" s="166"/>
      <c r="AR863" s="166"/>
    </row>
    <row r="864" customHeight="1" spans="1:44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  <c r="AB864" s="166"/>
      <c r="AC864" s="166"/>
      <c r="AD864" s="166"/>
      <c r="AE864" s="166"/>
      <c r="AF864" s="166"/>
      <c r="AG864" s="166"/>
      <c r="AH864" s="166"/>
      <c r="AI864" s="166"/>
      <c r="AJ864" s="166"/>
      <c r="AK864" s="166"/>
      <c r="AL864" s="166"/>
      <c r="AM864" s="166"/>
      <c r="AN864" s="166"/>
      <c r="AO864" s="166"/>
      <c r="AP864" s="166"/>
      <c r="AQ864" s="166"/>
      <c r="AR864" s="166"/>
    </row>
    <row r="865" customHeight="1" spans="1:44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  <c r="AB865" s="166"/>
      <c r="AC865" s="166"/>
      <c r="AD865" s="166"/>
      <c r="AE865" s="166"/>
      <c r="AF865" s="166"/>
      <c r="AG865" s="166"/>
      <c r="AH865" s="166"/>
      <c r="AI865" s="166"/>
      <c r="AJ865" s="166"/>
      <c r="AK865" s="166"/>
      <c r="AL865" s="166"/>
      <c r="AM865" s="166"/>
      <c r="AN865" s="166"/>
      <c r="AO865" s="166"/>
      <c r="AP865" s="166"/>
      <c r="AQ865" s="166"/>
      <c r="AR865" s="166"/>
    </row>
    <row r="866" customHeight="1" spans="1:44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  <c r="AB866" s="166"/>
      <c r="AC866" s="166"/>
      <c r="AD866" s="166"/>
      <c r="AE866" s="166"/>
      <c r="AF866" s="166"/>
      <c r="AG866" s="166"/>
      <c r="AH866" s="166"/>
      <c r="AI866" s="166"/>
      <c r="AJ866" s="166"/>
      <c r="AK866" s="166"/>
      <c r="AL866" s="166"/>
      <c r="AM866" s="166"/>
      <c r="AN866" s="166"/>
      <c r="AO866" s="166"/>
      <c r="AP866" s="166"/>
      <c r="AQ866" s="166"/>
      <c r="AR866" s="166"/>
    </row>
    <row r="867" customHeight="1" spans="1:44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  <c r="AB867" s="166"/>
      <c r="AC867" s="166"/>
      <c r="AD867" s="166"/>
      <c r="AE867" s="166"/>
      <c r="AF867" s="166"/>
      <c r="AG867" s="166"/>
      <c r="AH867" s="166"/>
      <c r="AI867" s="166"/>
      <c r="AJ867" s="166"/>
      <c r="AK867" s="166"/>
      <c r="AL867" s="166"/>
      <c r="AM867" s="166"/>
      <c r="AN867" s="166"/>
      <c r="AO867" s="166"/>
      <c r="AP867" s="166"/>
      <c r="AQ867" s="166"/>
      <c r="AR867" s="166"/>
    </row>
    <row r="868" customHeight="1" spans="1:44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  <c r="AB868" s="166"/>
      <c r="AC868" s="166"/>
      <c r="AD868" s="166"/>
      <c r="AE868" s="166"/>
      <c r="AF868" s="166"/>
      <c r="AG868" s="166"/>
      <c r="AH868" s="166"/>
      <c r="AI868" s="166"/>
      <c r="AJ868" s="166"/>
      <c r="AK868" s="166"/>
      <c r="AL868" s="166"/>
      <c r="AM868" s="166"/>
      <c r="AN868" s="166"/>
      <c r="AO868" s="166"/>
      <c r="AP868" s="166"/>
      <c r="AQ868" s="166"/>
      <c r="AR868" s="166"/>
    </row>
    <row r="869" customHeight="1" spans="1:44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  <c r="AB869" s="166"/>
      <c r="AC869" s="166"/>
      <c r="AD869" s="166"/>
      <c r="AE869" s="166"/>
      <c r="AF869" s="166"/>
      <c r="AG869" s="166"/>
      <c r="AH869" s="166"/>
      <c r="AI869" s="166"/>
      <c r="AJ869" s="166"/>
      <c r="AK869" s="166"/>
      <c r="AL869" s="166"/>
      <c r="AM869" s="166"/>
      <c r="AN869" s="166"/>
      <c r="AO869" s="166"/>
      <c r="AP869" s="166"/>
      <c r="AQ869" s="166"/>
      <c r="AR869" s="166"/>
    </row>
    <row r="870" customHeight="1" spans="1:44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  <c r="AB870" s="166"/>
      <c r="AC870" s="166"/>
      <c r="AD870" s="166"/>
      <c r="AE870" s="166"/>
      <c r="AF870" s="166"/>
      <c r="AG870" s="166"/>
      <c r="AH870" s="166"/>
      <c r="AI870" s="166"/>
      <c r="AJ870" s="166"/>
      <c r="AK870" s="166"/>
      <c r="AL870" s="166"/>
      <c r="AM870" s="166"/>
      <c r="AN870" s="166"/>
      <c r="AO870" s="166"/>
      <c r="AP870" s="166"/>
      <c r="AQ870" s="166"/>
      <c r="AR870" s="166"/>
    </row>
    <row r="871" customHeight="1" spans="1:44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  <c r="AB871" s="166"/>
      <c r="AC871" s="166"/>
      <c r="AD871" s="166"/>
      <c r="AE871" s="166"/>
      <c r="AF871" s="166"/>
      <c r="AG871" s="166"/>
      <c r="AH871" s="166"/>
      <c r="AI871" s="166"/>
      <c r="AJ871" s="166"/>
      <c r="AK871" s="166"/>
      <c r="AL871" s="166"/>
      <c r="AM871" s="166"/>
      <c r="AN871" s="166"/>
      <c r="AO871" s="166"/>
      <c r="AP871" s="166"/>
      <c r="AQ871" s="166"/>
      <c r="AR871" s="166"/>
    </row>
    <row r="872" customHeight="1" spans="1:44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  <c r="AB872" s="166"/>
      <c r="AC872" s="166"/>
      <c r="AD872" s="166"/>
      <c r="AE872" s="166"/>
      <c r="AF872" s="166"/>
      <c r="AG872" s="166"/>
      <c r="AH872" s="166"/>
      <c r="AI872" s="166"/>
      <c r="AJ872" s="166"/>
      <c r="AK872" s="166"/>
      <c r="AL872" s="166"/>
      <c r="AM872" s="166"/>
      <c r="AN872" s="166"/>
      <c r="AO872" s="166"/>
      <c r="AP872" s="166"/>
      <c r="AQ872" s="166"/>
      <c r="AR872" s="166"/>
    </row>
    <row r="873" customHeight="1" spans="1:44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  <c r="AB873" s="166"/>
      <c r="AC873" s="166"/>
      <c r="AD873" s="166"/>
      <c r="AE873" s="166"/>
      <c r="AF873" s="166"/>
      <c r="AG873" s="166"/>
      <c r="AH873" s="166"/>
      <c r="AI873" s="166"/>
      <c r="AJ873" s="166"/>
      <c r="AK873" s="166"/>
      <c r="AL873" s="166"/>
      <c r="AM873" s="166"/>
      <c r="AN873" s="166"/>
      <c r="AO873" s="166"/>
      <c r="AP873" s="166"/>
      <c r="AQ873" s="166"/>
      <c r="AR873" s="166"/>
    </row>
    <row r="874" customHeight="1" spans="1:44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  <c r="AB874" s="166"/>
      <c r="AC874" s="166"/>
      <c r="AD874" s="166"/>
      <c r="AE874" s="166"/>
      <c r="AF874" s="166"/>
      <c r="AG874" s="166"/>
      <c r="AH874" s="166"/>
      <c r="AI874" s="166"/>
      <c r="AJ874" s="166"/>
      <c r="AK874" s="166"/>
      <c r="AL874" s="166"/>
      <c r="AM874" s="166"/>
      <c r="AN874" s="166"/>
      <c r="AO874" s="166"/>
      <c r="AP874" s="166"/>
      <c r="AQ874" s="166"/>
      <c r="AR874" s="166"/>
    </row>
    <row r="875" customHeight="1" spans="1:44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  <c r="AB875" s="166"/>
      <c r="AC875" s="166"/>
      <c r="AD875" s="166"/>
      <c r="AE875" s="166"/>
      <c r="AF875" s="166"/>
      <c r="AG875" s="166"/>
      <c r="AH875" s="166"/>
      <c r="AI875" s="166"/>
      <c r="AJ875" s="166"/>
      <c r="AK875" s="166"/>
      <c r="AL875" s="166"/>
      <c r="AM875" s="166"/>
      <c r="AN875" s="166"/>
      <c r="AO875" s="166"/>
      <c r="AP875" s="166"/>
      <c r="AQ875" s="166"/>
      <c r="AR875" s="166"/>
    </row>
    <row r="876" customHeight="1" spans="1:44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  <c r="AB876" s="166"/>
      <c r="AC876" s="166"/>
      <c r="AD876" s="166"/>
      <c r="AE876" s="166"/>
      <c r="AF876" s="166"/>
      <c r="AG876" s="166"/>
      <c r="AH876" s="166"/>
      <c r="AI876" s="166"/>
      <c r="AJ876" s="166"/>
      <c r="AK876" s="166"/>
      <c r="AL876" s="166"/>
      <c r="AM876" s="166"/>
      <c r="AN876" s="166"/>
      <c r="AO876" s="166"/>
      <c r="AP876" s="166"/>
      <c r="AQ876" s="166"/>
      <c r="AR876" s="166"/>
    </row>
    <row r="877" customHeight="1" spans="1:44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  <c r="AB877" s="166"/>
      <c r="AC877" s="166"/>
      <c r="AD877" s="166"/>
      <c r="AE877" s="166"/>
      <c r="AF877" s="166"/>
      <c r="AG877" s="166"/>
      <c r="AH877" s="166"/>
      <c r="AI877" s="166"/>
      <c r="AJ877" s="166"/>
      <c r="AK877" s="166"/>
      <c r="AL877" s="166"/>
      <c r="AM877" s="166"/>
      <c r="AN877" s="166"/>
      <c r="AO877" s="166"/>
      <c r="AP877" s="166"/>
      <c r="AQ877" s="166"/>
      <c r="AR877" s="166"/>
    </row>
    <row r="878" customHeight="1" spans="1:44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  <c r="AB878" s="166"/>
      <c r="AC878" s="166"/>
      <c r="AD878" s="166"/>
      <c r="AE878" s="166"/>
      <c r="AF878" s="166"/>
      <c r="AG878" s="166"/>
      <c r="AH878" s="166"/>
      <c r="AI878" s="166"/>
      <c r="AJ878" s="166"/>
      <c r="AK878" s="166"/>
      <c r="AL878" s="166"/>
      <c r="AM878" s="166"/>
      <c r="AN878" s="166"/>
      <c r="AO878" s="166"/>
      <c r="AP878" s="166"/>
      <c r="AQ878" s="166"/>
      <c r="AR878" s="166"/>
    </row>
    <row r="879" customHeight="1" spans="1:44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  <c r="AB879" s="166"/>
      <c r="AC879" s="166"/>
      <c r="AD879" s="166"/>
      <c r="AE879" s="166"/>
      <c r="AF879" s="166"/>
      <c r="AG879" s="166"/>
      <c r="AH879" s="166"/>
      <c r="AI879" s="166"/>
      <c r="AJ879" s="166"/>
      <c r="AK879" s="166"/>
      <c r="AL879" s="166"/>
      <c r="AM879" s="166"/>
      <c r="AN879" s="166"/>
      <c r="AO879" s="166"/>
      <c r="AP879" s="166"/>
      <c r="AQ879" s="166"/>
      <c r="AR879" s="166"/>
    </row>
    <row r="880" customHeight="1" spans="1:44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  <c r="AB880" s="166"/>
      <c r="AC880" s="166"/>
      <c r="AD880" s="166"/>
      <c r="AE880" s="166"/>
      <c r="AF880" s="166"/>
      <c r="AG880" s="166"/>
      <c r="AH880" s="166"/>
      <c r="AI880" s="166"/>
      <c r="AJ880" s="166"/>
      <c r="AK880" s="166"/>
      <c r="AL880" s="166"/>
      <c r="AM880" s="166"/>
      <c r="AN880" s="166"/>
      <c r="AO880" s="166"/>
      <c r="AP880" s="166"/>
      <c r="AQ880" s="166"/>
      <c r="AR880" s="166"/>
    </row>
    <row r="881" customHeight="1" spans="1:44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  <c r="AB881" s="166"/>
      <c r="AC881" s="166"/>
      <c r="AD881" s="166"/>
      <c r="AE881" s="166"/>
      <c r="AF881" s="166"/>
      <c r="AG881" s="166"/>
      <c r="AH881" s="166"/>
      <c r="AI881" s="166"/>
      <c r="AJ881" s="166"/>
      <c r="AK881" s="166"/>
      <c r="AL881" s="166"/>
      <c r="AM881" s="166"/>
      <c r="AN881" s="166"/>
      <c r="AO881" s="166"/>
      <c r="AP881" s="166"/>
      <c r="AQ881" s="166"/>
      <c r="AR881" s="166"/>
    </row>
    <row r="882" customHeight="1" spans="1:44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  <c r="AB882" s="166"/>
      <c r="AC882" s="166"/>
      <c r="AD882" s="166"/>
      <c r="AE882" s="166"/>
      <c r="AF882" s="166"/>
      <c r="AG882" s="166"/>
      <c r="AH882" s="166"/>
      <c r="AI882" s="166"/>
      <c r="AJ882" s="166"/>
      <c r="AK882" s="166"/>
      <c r="AL882" s="166"/>
      <c r="AM882" s="166"/>
      <c r="AN882" s="166"/>
      <c r="AO882" s="166"/>
      <c r="AP882" s="166"/>
      <c r="AQ882" s="166"/>
      <c r="AR882" s="166"/>
    </row>
    <row r="883" customHeight="1" spans="1:44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  <c r="AB883" s="166"/>
      <c r="AC883" s="166"/>
      <c r="AD883" s="166"/>
      <c r="AE883" s="166"/>
      <c r="AF883" s="166"/>
      <c r="AG883" s="166"/>
      <c r="AH883" s="166"/>
      <c r="AI883" s="166"/>
      <c r="AJ883" s="166"/>
      <c r="AK883" s="166"/>
      <c r="AL883" s="166"/>
      <c r="AM883" s="166"/>
      <c r="AN883" s="166"/>
      <c r="AO883" s="166"/>
      <c r="AP883" s="166"/>
      <c r="AQ883" s="166"/>
      <c r="AR883" s="166"/>
    </row>
    <row r="884" customHeight="1" spans="1:44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  <c r="AB884" s="166"/>
      <c r="AC884" s="166"/>
      <c r="AD884" s="166"/>
      <c r="AE884" s="166"/>
      <c r="AF884" s="166"/>
      <c r="AG884" s="166"/>
      <c r="AH884" s="166"/>
      <c r="AI884" s="166"/>
      <c r="AJ884" s="166"/>
      <c r="AK884" s="166"/>
      <c r="AL884" s="166"/>
      <c r="AM884" s="166"/>
      <c r="AN884" s="166"/>
      <c r="AO884" s="166"/>
      <c r="AP884" s="166"/>
      <c r="AQ884" s="166"/>
      <c r="AR884" s="166"/>
    </row>
    <row r="885" customHeight="1" spans="1:44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  <c r="AB885" s="166"/>
      <c r="AC885" s="166"/>
      <c r="AD885" s="166"/>
      <c r="AE885" s="166"/>
      <c r="AF885" s="166"/>
      <c r="AG885" s="166"/>
      <c r="AH885" s="166"/>
      <c r="AI885" s="166"/>
      <c r="AJ885" s="166"/>
      <c r="AK885" s="166"/>
      <c r="AL885" s="166"/>
      <c r="AM885" s="166"/>
      <c r="AN885" s="166"/>
      <c r="AO885" s="166"/>
      <c r="AP885" s="166"/>
      <c r="AQ885" s="166"/>
      <c r="AR885" s="166"/>
    </row>
    <row r="886" customHeight="1" spans="1:44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  <c r="AB886" s="166"/>
      <c r="AC886" s="166"/>
      <c r="AD886" s="166"/>
      <c r="AE886" s="166"/>
      <c r="AF886" s="166"/>
      <c r="AG886" s="166"/>
      <c r="AH886" s="166"/>
      <c r="AI886" s="166"/>
      <c r="AJ886" s="166"/>
      <c r="AK886" s="166"/>
      <c r="AL886" s="166"/>
      <c r="AM886" s="166"/>
      <c r="AN886" s="166"/>
      <c r="AO886" s="166"/>
      <c r="AP886" s="166"/>
      <c r="AQ886" s="166"/>
      <c r="AR886" s="166"/>
    </row>
    <row r="887" customHeight="1" spans="1:44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  <c r="AB887" s="166"/>
      <c r="AC887" s="166"/>
      <c r="AD887" s="166"/>
      <c r="AE887" s="166"/>
      <c r="AF887" s="166"/>
      <c r="AG887" s="166"/>
      <c r="AH887" s="166"/>
      <c r="AI887" s="166"/>
      <c r="AJ887" s="166"/>
      <c r="AK887" s="166"/>
      <c r="AL887" s="166"/>
      <c r="AM887" s="166"/>
      <c r="AN887" s="166"/>
      <c r="AO887" s="166"/>
      <c r="AP887" s="166"/>
      <c r="AQ887" s="166"/>
      <c r="AR887" s="166"/>
    </row>
    <row r="888" customHeight="1" spans="1:44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  <c r="AB888" s="166"/>
      <c r="AC888" s="166"/>
      <c r="AD888" s="166"/>
      <c r="AE888" s="166"/>
      <c r="AF888" s="166"/>
      <c r="AG888" s="166"/>
      <c r="AH888" s="166"/>
      <c r="AI888" s="166"/>
      <c r="AJ888" s="166"/>
      <c r="AK888" s="166"/>
      <c r="AL888" s="166"/>
      <c r="AM888" s="166"/>
      <c r="AN888" s="166"/>
      <c r="AO888" s="166"/>
      <c r="AP888" s="166"/>
      <c r="AQ888" s="166"/>
      <c r="AR888" s="166"/>
    </row>
    <row r="889" customHeight="1" spans="1:44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  <c r="AB889" s="166"/>
      <c r="AC889" s="166"/>
      <c r="AD889" s="166"/>
      <c r="AE889" s="166"/>
      <c r="AF889" s="166"/>
      <c r="AG889" s="166"/>
      <c r="AH889" s="166"/>
      <c r="AI889" s="166"/>
      <c r="AJ889" s="166"/>
      <c r="AK889" s="166"/>
      <c r="AL889" s="166"/>
      <c r="AM889" s="166"/>
      <c r="AN889" s="166"/>
      <c r="AO889" s="166"/>
      <c r="AP889" s="166"/>
      <c r="AQ889" s="166"/>
      <c r="AR889" s="166"/>
    </row>
    <row r="890" customHeight="1" spans="1:44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  <c r="AB890" s="166"/>
      <c r="AC890" s="166"/>
      <c r="AD890" s="166"/>
      <c r="AE890" s="166"/>
      <c r="AF890" s="166"/>
      <c r="AG890" s="166"/>
      <c r="AH890" s="166"/>
      <c r="AI890" s="166"/>
      <c r="AJ890" s="166"/>
      <c r="AK890" s="166"/>
      <c r="AL890" s="166"/>
      <c r="AM890" s="166"/>
      <c r="AN890" s="166"/>
      <c r="AO890" s="166"/>
      <c r="AP890" s="166"/>
      <c r="AQ890" s="166"/>
      <c r="AR890" s="166"/>
    </row>
    <row r="891" customHeight="1" spans="1:44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  <c r="AB891" s="166"/>
      <c r="AC891" s="166"/>
      <c r="AD891" s="166"/>
      <c r="AE891" s="166"/>
      <c r="AF891" s="166"/>
      <c r="AG891" s="166"/>
      <c r="AH891" s="166"/>
      <c r="AI891" s="166"/>
      <c r="AJ891" s="166"/>
      <c r="AK891" s="166"/>
      <c r="AL891" s="166"/>
      <c r="AM891" s="166"/>
      <c r="AN891" s="166"/>
      <c r="AO891" s="166"/>
      <c r="AP891" s="166"/>
      <c r="AQ891" s="166"/>
      <c r="AR891" s="166"/>
    </row>
    <row r="892" customHeight="1" spans="1:44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  <c r="AB892" s="166"/>
      <c r="AC892" s="166"/>
      <c r="AD892" s="166"/>
      <c r="AE892" s="166"/>
      <c r="AF892" s="166"/>
      <c r="AG892" s="166"/>
      <c r="AH892" s="166"/>
      <c r="AI892" s="166"/>
      <c r="AJ892" s="166"/>
      <c r="AK892" s="166"/>
      <c r="AL892" s="166"/>
      <c r="AM892" s="166"/>
      <c r="AN892" s="166"/>
      <c r="AO892" s="166"/>
      <c r="AP892" s="166"/>
      <c r="AQ892" s="166"/>
      <c r="AR892" s="166"/>
    </row>
    <row r="893" customHeight="1" spans="1:44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  <c r="AB893" s="166"/>
      <c r="AC893" s="166"/>
      <c r="AD893" s="166"/>
      <c r="AE893" s="166"/>
      <c r="AF893" s="166"/>
      <c r="AG893" s="166"/>
      <c r="AH893" s="166"/>
      <c r="AI893" s="166"/>
      <c r="AJ893" s="166"/>
      <c r="AK893" s="166"/>
      <c r="AL893" s="166"/>
      <c r="AM893" s="166"/>
      <c r="AN893" s="166"/>
      <c r="AO893" s="166"/>
      <c r="AP893" s="166"/>
      <c r="AQ893" s="166"/>
      <c r="AR893" s="166"/>
    </row>
    <row r="894" customHeight="1" spans="1:44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  <c r="AB894" s="166"/>
      <c r="AC894" s="166"/>
      <c r="AD894" s="166"/>
      <c r="AE894" s="166"/>
      <c r="AF894" s="166"/>
      <c r="AG894" s="166"/>
      <c r="AH894" s="166"/>
      <c r="AI894" s="166"/>
      <c r="AJ894" s="166"/>
      <c r="AK894" s="166"/>
      <c r="AL894" s="166"/>
      <c r="AM894" s="166"/>
      <c r="AN894" s="166"/>
      <c r="AO894" s="166"/>
      <c r="AP894" s="166"/>
      <c r="AQ894" s="166"/>
      <c r="AR894" s="166"/>
    </row>
    <row r="895" customHeight="1" spans="1:44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  <c r="AB895" s="166"/>
      <c r="AC895" s="166"/>
      <c r="AD895" s="166"/>
      <c r="AE895" s="166"/>
      <c r="AF895" s="166"/>
      <c r="AG895" s="166"/>
      <c r="AH895" s="166"/>
      <c r="AI895" s="166"/>
      <c r="AJ895" s="166"/>
      <c r="AK895" s="166"/>
      <c r="AL895" s="166"/>
      <c r="AM895" s="166"/>
      <c r="AN895" s="166"/>
      <c r="AO895" s="166"/>
      <c r="AP895" s="166"/>
      <c r="AQ895" s="166"/>
      <c r="AR895" s="166"/>
    </row>
    <row r="896" customHeight="1" spans="1:44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  <c r="AB896" s="166"/>
      <c r="AC896" s="166"/>
      <c r="AD896" s="166"/>
      <c r="AE896" s="166"/>
      <c r="AF896" s="166"/>
      <c r="AG896" s="166"/>
      <c r="AH896" s="166"/>
      <c r="AI896" s="166"/>
      <c r="AJ896" s="166"/>
      <c r="AK896" s="166"/>
      <c r="AL896" s="166"/>
      <c r="AM896" s="166"/>
      <c r="AN896" s="166"/>
      <c r="AO896" s="166"/>
      <c r="AP896" s="166"/>
      <c r="AQ896" s="166"/>
      <c r="AR896" s="166"/>
    </row>
    <row r="897" customHeight="1" spans="1:44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  <c r="AB897" s="166"/>
      <c r="AC897" s="166"/>
      <c r="AD897" s="166"/>
      <c r="AE897" s="166"/>
      <c r="AF897" s="166"/>
      <c r="AG897" s="166"/>
      <c r="AH897" s="166"/>
      <c r="AI897" s="166"/>
      <c r="AJ897" s="166"/>
      <c r="AK897" s="166"/>
      <c r="AL897" s="166"/>
      <c r="AM897" s="166"/>
      <c r="AN897" s="166"/>
      <c r="AO897" s="166"/>
      <c r="AP897" s="166"/>
      <c r="AQ897" s="166"/>
      <c r="AR897" s="166"/>
    </row>
    <row r="898" customHeight="1" spans="1:44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  <c r="AB898" s="166"/>
      <c r="AC898" s="166"/>
      <c r="AD898" s="166"/>
      <c r="AE898" s="166"/>
      <c r="AF898" s="166"/>
      <c r="AG898" s="166"/>
      <c r="AH898" s="166"/>
      <c r="AI898" s="166"/>
      <c r="AJ898" s="166"/>
      <c r="AK898" s="166"/>
      <c r="AL898" s="166"/>
      <c r="AM898" s="166"/>
      <c r="AN898" s="166"/>
      <c r="AO898" s="166"/>
      <c r="AP898" s="166"/>
      <c r="AQ898" s="166"/>
      <c r="AR898" s="166"/>
    </row>
    <row r="899" customHeight="1" spans="1:44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  <c r="AB899" s="166"/>
      <c r="AC899" s="166"/>
      <c r="AD899" s="166"/>
      <c r="AE899" s="166"/>
      <c r="AF899" s="166"/>
      <c r="AG899" s="166"/>
      <c r="AH899" s="166"/>
      <c r="AI899" s="166"/>
      <c r="AJ899" s="166"/>
      <c r="AK899" s="166"/>
      <c r="AL899" s="166"/>
      <c r="AM899" s="166"/>
      <c r="AN899" s="166"/>
      <c r="AO899" s="166"/>
      <c r="AP899" s="166"/>
      <c r="AQ899" s="166"/>
      <c r="AR899" s="166"/>
    </row>
    <row r="900" customHeight="1" spans="1:44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  <c r="AB900" s="166"/>
      <c r="AC900" s="166"/>
      <c r="AD900" s="166"/>
      <c r="AE900" s="166"/>
      <c r="AF900" s="166"/>
      <c r="AG900" s="166"/>
      <c r="AH900" s="166"/>
      <c r="AI900" s="166"/>
      <c r="AJ900" s="166"/>
      <c r="AK900" s="166"/>
      <c r="AL900" s="166"/>
      <c r="AM900" s="166"/>
      <c r="AN900" s="166"/>
      <c r="AO900" s="166"/>
      <c r="AP900" s="166"/>
      <c r="AQ900" s="166"/>
      <c r="AR900" s="166"/>
    </row>
    <row r="901" customHeight="1" spans="1:44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  <c r="AB901" s="166"/>
      <c r="AC901" s="166"/>
      <c r="AD901" s="166"/>
      <c r="AE901" s="166"/>
      <c r="AF901" s="166"/>
      <c r="AG901" s="166"/>
      <c r="AH901" s="166"/>
      <c r="AI901" s="166"/>
      <c r="AJ901" s="166"/>
      <c r="AK901" s="166"/>
      <c r="AL901" s="166"/>
      <c r="AM901" s="166"/>
      <c r="AN901" s="166"/>
      <c r="AO901" s="166"/>
      <c r="AP901" s="166"/>
      <c r="AQ901" s="166"/>
      <c r="AR901" s="166"/>
    </row>
    <row r="902" customHeight="1" spans="1:44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  <c r="AB902" s="166"/>
      <c r="AC902" s="166"/>
      <c r="AD902" s="166"/>
      <c r="AE902" s="166"/>
      <c r="AF902" s="166"/>
      <c r="AG902" s="166"/>
      <c r="AH902" s="166"/>
      <c r="AI902" s="166"/>
      <c r="AJ902" s="166"/>
      <c r="AK902" s="166"/>
      <c r="AL902" s="166"/>
      <c r="AM902" s="166"/>
      <c r="AN902" s="166"/>
      <c r="AO902" s="166"/>
      <c r="AP902" s="166"/>
      <c r="AQ902" s="166"/>
      <c r="AR902" s="166"/>
    </row>
    <row r="903" customHeight="1" spans="1:44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  <c r="AB903" s="166"/>
      <c r="AC903" s="166"/>
      <c r="AD903" s="166"/>
      <c r="AE903" s="166"/>
      <c r="AF903" s="166"/>
      <c r="AG903" s="166"/>
      <c r="AH903" s="166"/>
      <c r="AI903" s="166"/>
      <c r="AJ903" s="166"/>
      <c r="AK903" s="166"/>
      <c r="AL903" s="166"/>
      <c r="AM903" s="166"/>
      <c r="AN903" s="166"/>
      <c r="AO903" s="166"/>
      <c r="AP903" s="166"/>
      <c r="AQ903" s="166"/>
      <c r="AR903" s="166"/>
    </row>
    <row r="904" customHeight="1" spans="1:44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  <c r="AB904" s="166"/>
      <c r="AC904" s="166"/>
      <c r="AD904" s="166"/>
      <c r="AE904" s="166"/>
      <c r="AF904" s="166"/>
      <c r="AG904" s="166"/>
      <c r="AH904" s="166"/>
      <c r="AI904" s="166"/>
      <c r="AJ904" s="166"/>
      <c r="AK904" s="166"/>
      <c r="AL904" s="166"/>
      <c r="AM904" s="166"/>
      <c r="AN904" s="166"/>
      <c r="AO904" s="166"/>
      <c r="AP904" s="166"/>
      <c r="AQ904" s="166"/>
      <c r="AR904" s="166"/>
    </row>
    <row r="905" customHeight="1" spans="1:44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  <c r="AB905" s="166"/>
      <c r="AC905" s="166"/>
      <c r="AD905" s="166"/>
      <c r="AE905" s="166"/>
      <c r="AF905" s="166"/>
      <c r="AG905" s="166"/>
      <c r="AH905" s="166"/>
      <c r="AI905" s="166"/>
      <c r="AJ905" s="166"/>
      <c r="AK905" s="166"/>
      <c r="AL905" s="166"/>
      <c r="AM905" s="166"/>
      <c r="AN905" s="166"/>
      <c r="AO905" s="166"/>
      <c r="AP905" s="166"/>
      <c r="AQ905" s="166"/>
      <c r="AR905" s="166"/>
    </row>
    <row r="906" customHeight="1" spans="1:44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  <c r="AB906" s="166"/>
      <c r="AC906" s="166"/>
      <c r="AD906" s="166"/>
      <c r="AE906" s="166"/>
      <c r="AF906" s="166"/>
      <c r="AG906" s="166"/>
      <c r="AH906" s="166"/>
      <c r="AI906" s="166"/>
      <c r="AJ906" s="166"/>
      <c r="AK906" s="166"/>
      <c r="AL906" s="166"/>
      <c r="AM906" s="166"/>
      <c r="AN906" s="166"/>
      <c r="AO906" s="166"/>
      <c r="AP906" s="166"/>
      <c r="AQ906" s="166"/>
      <c r="AR906" s="166"/>
    </row>
    <row r="907" customHeight="1" spans="1:44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  <c r="AB907" s="166"/>
      <c r="AC907" s="166"/>
      <c r="AD907" s="166"/>
      <c r="AE907" s="166"/>
      <c r="AF907" s="166"/>
      <c r="AG907" s="166"/>
      <c r="AH907" s="166"/>
      <c r="AI907" s="166"/>
      <c r="AJ907" s="166"/>
      <c r="AK907" s="166"/>
      <c r="AL907" s="166"/>
      <c r="AM907" s="166"/>
      <c r="AN907" s="166"/>
      <c r="AO907" s="166"/>
      <c r="AP907" s="166"/>
      <c r="AQ907" s="166"/>
      <c r="AR907" s="166"/>
    </row>
    <row r="908" customHeight="1" spans="1:44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  <c r="AB908" s="166"/>
      <c r="AC908" s="166"/>
      <c r="AD908" s="166"/>
      <c r="AE908" s="166"/>
      <c r="AF908" s="166"/>
      <c r="AG908" s="166"/>
      <c r="AH908" s="166"/>
      <c r="AI908" s="166"/>
      <c r="AJ908" s="166"/>
      <c r="AK908" s="166"/>
      <c r="AL908" s="166"/>
      <c r="AM908" s="166"/>
      <c r="AN908" s="166"/>
      <c r="AO908" s="166"/>
      <c r="AP908" s="166"/>
      <c r="AQ908" s="166"/>
      <c r="AR908" s="166"/>
    </row>
    <row r="909" customHeight="1" spans="1:44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  <c r="AB909" s="166"/>
      <c r="AC909" s="166"/>
      <c r="AD909" s="166"/>
      <c r="AE909" s="166"/>
      <c r="AF909" s="166"/>
      <c r="AG909" s="166"/>
      <c r="AH909" s="166"/>
      <c r="AI909" s="166"/>
      <c r="AJ909" s="166"/>
      <c r="AK909" s="166"/>
      <c r="AL909" s="166"/>
      <c r="AM909" s="166"/>
      <c r="AN909" s="166"/>
      <c r="AO909" s="166"/>
      <c r="AP909" s="166"/>
      <c r="AQ909" s="166"/>
      <c r="AR909" s="166"/>
    </row>
    <row r="910" customHeight="1" spans="1:44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  <c r="AB910" s="166"/>
      <c r="AC910" s="166"/>
      <c r="AD910" s="166"/>
      <c r="AE910" s="166"/>
      <c r="AF910" s="166"/>
      <c r="AG910" s="166"/>
      <c r="AH910" s="166"/>
      <c r="AI910" s="166"/>
      <c r="AJ910" s="166"/>
      <c r="AK910" s="166"/>
      <c r="AL910" s="166"/>
      <c r="AM910" s="166"/>
      <c r="AN910" s="166"/>
      <c r="AO910" s="166"/>
      <c r="AP910" s="166"/>
      <c r="AQ910" s="166"/>
      <c r="AR910" s="166"/>
    </row>
    <row r="911" customHeight="1" spans="1:44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  <c r="AB911" s="166"/>
      <c r="AC911" s="166"/>
      <c r="AD911" s="166"/>
      <c r="AE911" s="166"/>
      <c r="AF911" s="166"/>
      <c r="AG911" s="166"/>
      <c r="AH911" s="166"/>
      <c r="AI911" s="166"/>
      <c r="AJ911" s="166"/>
      <c r="AK911" s="166"/>
      <c r="AL911" s="166"/>
      <c r="AM911" s="166"/>
      <c r="AN911" s="166"/>
      <c r="AO911" s="166"/>
      <c r="AP911" s="166"/>
      <c r="AQ911" s="166"/>
      <c r="AR911" s="166"/>
    </row>
    <row r="912" customHeight="1" spans="1:44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  <c r="AB912" s="166"/>
      <c r="AC912" s="166"/>
      <c r="AD912" s="166"/>
      <c r="AE912" s="166"/>
      <c r="AF912" s="166"/>
      <c r="AG912" s="166"/>
      <c r="AH912" s="166"/>
      <c r="AI912" s="166"/>
      <c r="AJ912" s="166"/>
      <c r="AK912" s="166"/>
      <c r="AL912" s="166"/>
      <c r="AM912" s="166"/>
      <c r="AN912" s="166"/>
      <c r="AO912" s="166"/>
      <c r="AP912" s="166"/>
      <c r="AQ912" s="166"/>
      <c r="AR912" s="166"/>
    </row>
    <row r="913" customHeight="1" spans="1:44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  <c r="AB913" s="166"/>
      <c r="AC913" s="166"/>
      <c r="AD913" s="166"/>
      <c r="AE913" s="166"/>
      <c r="AF913" s="166"/>
      <c r="AG913" s="166"/>
      <c r="AH913" s="166"/>
      <c r="AI913" s="166"/>
      <c r="AJ913" s="166"/>
      <c r="AK913" s="166"/>
      <c r="AL913" s="166"/>
      <c r="AM913" s="166"/>
      <c r="AN913" s="166"/>
      <c r="AO913" s="166"/>
      <c r="AP913" s="166"/>
      <c r="AQ913" s="166"/>
      <c r="AR913" s="166"/>
    </row>
    <row r="914" customHeight="1" spans="1:44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  <c r="AB914" s="166"/>
      <c r="AC914" s="166"/>
      <c r="AD914" s="166"/>
      <c r="AE914" s="166"/>
      <c r="AF914" s="166"/>
      <c r="AG914" s="166"/>
      <c r="AH914" s="166"/>
      <c r="AI914" s="166"/>
      <c r="AJ914" s="166"/>
      <c r="AK914" s="166"/>
      <c r="AL914" s="166"/>
      <c r="AM914" s="166"/>
      <c r="AN914" s="166"/>
      <c r="AO914" s="166"/>
      <c r="AP914" s="166"/>
      <c r="AQ914" s="166"/>
      <c r="AR914" s="166"/>
    </row>
    <row r="915" customHeight="1" spans="1:44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  <c r="AB915" s="166"/>
      <c r="AC915" s="166"/>
      <c r="AD915" s="166"/>
      <c r="AE915" s="166"/>
      <c r="AF915" s="166"/>
      <c r="AG915" s="166"/>
      <c r="AH915" s="166"/>
      <c r="AI915" s="166"/>
      <c r="AJ915" s="166"/>
      <c r="AK915" s="166"/>
      <c r="AL915" s="166"/>
      <c r="AM915" s="166"/>
      <c r="AN915" s="166"/>
      <c r="AO915" s="166"/>
      <c r="AP915" s="166"/>
      <c r="AQ915" s="166"/>
      <c r="AR915" s="166"/>
    </row>
    <row r="916" customHeight="1" spans="1:44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  <c r="AB916" s="166"/>
      <c r="AC916" s="166"/>
      <c r="AD916" s="166"/>
      <c r="AE916" s="166"/>
      <c r="AF916" s="166"/>
      <c r="AG916" s="166"/>
      <c r="AH916" s="166"/>
      <c r="AI916" s="166"/>
      <c r="AJ916" s="166"/>
      <c r="AK916" s="166"/>
      <c r="AL916" s="166"/>
      <c r="AM916" s="166"/>
      <c r="AN916" s="166"/>
      <c r="AO916" s="166"/>
      <c r="AP916" s="166"/>
      <c r="AQ916" s="166"/>
      <c r="AR916" s="166"/>
    </row>
    <row r="917" customHeight="1" spans="1:44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  <c r="AB917" s="166"/>
      <c r="AC917" s="166"/>
      <c r="AD917" s="166"/>
      <c r="AE917" s="166"/>
      <c r="AF917" s="166"/>
      <c r="AG917" s="166"/>
      <c r="AH917" s="166"/>
      <c r="AI917" s="166"/>
      <c r="AJ917" s="166"/>
      <c r="AK917" s="166"/>
      <c r="AL917" s="166"/>
      <c r="AM917" s="166"/>
      <c r="AN917" s="166"/>
      <c r="AO917" s="166"/>
      <c r="AP917" s="166"/>
      <c r="AQ917" s="166"/>
      <c r="AR917" s="166"/>
    </row>
    <row r="918" customHeight="1" spans="1:44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  <c r="AA918" s="166"/>
      <c r="AB918" s="166"/>
      <c r="AC918" s="166"/>
      <c r="AD918" s="166"/>
      <c r="AE918" s="166"/>
      <c r="AF918" s="166"/>
      <c r="AG918" s="166"/>
      <c r="AH918" s="166"/>
      <c r="AI918" s="166"/>
      <c r="AJ918" s="166"/>
      <c r="AK918" s="166"/>
      <c r="AL918" s="166"/>
      <c r="AM918" s="166"/>
      <c r="AN918" s="166"/>
      <c r="AO918" s="166"/>
      <c r="AP918" s="166"/>
      <c r="AQ918" s="166"/>
      <c r="AR918" s="166"/>
    </row>
    <row r="919" customHeight="1" spans="1:44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  <c r="AA919" s="166"/>
      <c r="AB919" s="166"/>
      <c r="AC919" s="166"/>
      <c r="AD919" s="166"/>
      <c r="AE919" s="166"/>
      <c r="AF919" s="166"/>
      <c r="AG919" s="166"/>
      <c r="AH919" s="166"/>
      <c r="AI919" s="166"/>
      <c r="AJ919" s="166"/>
      <c r="AK919" s="166"/>
      <c r="AL919" s="166"/>
      <c r="AM919" s="166"/>
      <c r="AN919" s="166"/>
      <c r="AO919" s="166"/>
      <c r="AP919" s="166"/>
      <c r="AQ919" s="166"/>
      <c r="AR919" s="166"/>
    </row>
    <row r="920" customHeight="1" spans="1:44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  <c r="AA920" s="166"/>
      <c r="AB920" s="166"/>
      <c r="AC920" s="166"/>
      <c r="AD920" s="166"/>
      <c r="AE920" s="166"/>
      <c r="AF920" s="166"/>
      <c r="AG920" s="166"/>
      <c r="AH920" s="166"/>
      <c r="AI920" s="166"/>
      <c r="AJ920" s="166"/>
      <c r="AK920" s="166"/>
      <c r="AL920" s="166"/>
      <c r="AM920" s="166"/>
      <c r="AN920" s="166"/>
      <c r="AO920" s="166"/>
      <c r="AP920" s="166"/>
      <c r="AQ920" s="166"/>
      <c r="AR920" s="166"/>
    </row>
    <row r="921" customHeight="1" spans="1:44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  <c r="AA921" s="166"/>
      <c r="AB921" s="166"/>
      <c r="AC921" s="166"/>
      <c r="AD921" s="166"/>
      <c r="AE921" s="166"/>
      <c r="AF921" s="166"/>
      <c r="AG921" s="166"/>
      <c r="AH921" s="166"/>
      <c r="AI921" s="166"/>
      <c r="AJ921" s="166"/>
      <c r="AK921" s="166"/>
      <c r="AL921" s="166"/>
      <c r="AM921" s="166"/>
      <c r="AN921" s="166"/>
      <c r="AO921" s="166"/>
      <c r="AP921" s="166"/>
      <c r="AQ921" s="166"/>
      <c r="AR921" s="166"/>
    </row>
    <row r="922" customHeight="1" spans="1:44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  <c r="AA922" s="166"/>
      <c r="AB922" s="166"/>
      <c r="AC922" s="166"/>
      <c r="AD922" s="166"/>
      <c r="AE922" s="166"/>
      <c r="AF922" s="166"/>
      <c r="AG922" s="166"/>
      <c r="AH922" s="166"/>
      <c r="AI922" s="166"/>
      <c r="AJ922" s="166"/>
      <c r="AK922" s="166"/>
      <c r="AL922" s="166"/>
      <c r="AM922" s="166"/>
      <c r="AN922" s="166"/>
      <c r="AO922" s="166"/>
      <c r="AP922" s="166"/>
      <c r="AQ922" s="166"/>
      <c r="AR922" s="166"/>
    </row>
    <row r="923" customHeight="1" spans="1:44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  <c r="AA923" s="166"/>
      <c r="AB923" s="166"/>
      <c r="AC923" s="166"/>
      <c r="AD923" s="166"/>
      <c r="AE923" s="166"/>
      <c r="AF923" s="166"/>
      <c r="AG923" s="166"/>
      <c r="AH923" s="166"/>
      <c r="AI923" s="166"/>
      <c r="AJ923" s="166"/>
      <c r="AK923" s="166"/>
      <c r="AL923" s="166"/>
      <c r="AM923" s="166"/>
      <c r="AN923" s="166"/>
      <c r="AO923" s="166"/>
      <c r="AP923" s="166"/>
      <c r="AQ923" s="166"/>
      <c r="AR923" s="166"/>
    </row>
    <row r="924" customHeight="1" spans="1:44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  <c r="AA924" s="166"/>
      <c r="AB924" s="166"/>
      <c r="AC924" s="166"/>
      <c r="AD924" s="166"/>
      <c r="AE924" s="166"/>
      <c r="AF924" s="166"/>
      <c r="AG924" s="166"/>
      <c r="AH924" s="166"/>
      <c r="AI924" s="166"/>
      <c r="AJ924" s="166"/>
      <c r="AK924" s="166"/>
      <c r="AL924" s="166"/>
      <c r="AM924" s="166"/>
      <c r="AN924" s="166"/>
      <c r="AO924" s="166"/>
      <c r="AP924" s="166"/>
      <c r="AQ924" s="166"/>
      <c r="AR924" s="166"/>
    </row>
    <row r="925" customHeight="1" spans="1:44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  <c r="AA925" s="166"/>
      <c r="AB925" s="166"/>
      <c r="AC925" s="166"/>
      <c r="AD925" s="166"/>
      <c r="AE925" s="166"/>
      <c r="AF925" s="166"/>
      <c r="AG925" s="166"/>
      <c r="AH925" s="166"/>
      <c r="AI925" s="166"/>
      <c r="AJ925" s="166"/>
      <c r="AK925" s="166"/>
      <c r="AL925" s="166"/>
      <c r="AM925" s="166"/>
      <c r="AN925" s="166"/>
      <c r="AO925" s="166"/>
      <c r="AP925" s="166"/>
      <c r="AQ925" s="166"/>
      <c r="AR925" s="166"/>
    </row>
    <row r="926" customHeight="1" spans="1:44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  <c r="AA926" s="166"/>
      <c r="AB926" s="166"/>
      <c r="AC926" s="166"/>
      <c r="AD926" s="166"/>
      <c r="AE926" s="166"/>
      <c r="AF926" s="166"/>
      <c r="AG926" s="166"/>
      <c r="AH926" s="166"/>
      <c r="AI926" s="166"/>
      <c r="AJ926" s="166"/>
      <c r="AK926" s="166"/>
      <c r="AL926" s="166"/>
      <c r="AM926" s="166"/>
      <c r="AN926" s="166"/>
      <c r="AO926" s="166"/>
      <c r="AP926" s="166"/>
      <c r="AQ926" s="166"/>
      <c r="AR926" s="166"/>
    </row>
    <row r="927" customHeight="1" spans="1:44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  <c r="AA927" s="166"/>
      <c r="AB927" s="166"/>
      <c r="AC927" s="166"/>
      <c r="AD927" s="166"/>
      <c r="AE927" s="166"/>
      <c r="AF927" s="166"/>
      <c r="AG927" s="166"/>
      <c r="AH927" s="166"/>
      <c r="AI927" s="166"/>
      <c r="AJ927" s="166"/>
      <c r="AK927" s="166"/>
      <c r="AL927" s="166"/>
      <c r="AM927" s="166"/>
      <c r="AN927" s="166"/>
      <c r="AO927" s="166"/>
      <c r="AP927" s="166"/>
      <c r="AQ927" s="166"/>
      <c r="AR927" s="166"/>
    </row>
    <row r="928" customHeight="1" spans="1:44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  <c r="AA928" s="166"/>
      <c r="AB928" s="166"/>
      <c r="AC928" s="166"/>
      <c r="AD928" s="166"/>
      <c r="AE928" s="166"/>
      <c r="AF928" s="166"/>
      <c r="AG928" s="166"/>
      <c r="AH928" s="166"/>
      <c r="AI928" s="166"/>
      <c r="AJ928" s="166"/>
      <c r="AK928" s="166"/>
      <c r="AL928" s="166"/>
      <c r="AM928" s="166"/>
      <c r="AN928" s="166"/>
      <c r="AO928" s="166"/>
      <c r="AP928" s="166"/>
      <c r="AQ928" s="166"/>
      <c r="AR928" s="166"/>
    </row>
    <row r="929" customHeight="1" spans="1:44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  <c r="AA929" s="166"/>
      <c r="AB929" s="166"/>
      <c r="AC929" s="166"/>
      <c r="AD929" s="166"/>
      <c r="AE929" s="166"/>
      <c r="AF929" s="166"/>
      <c r="AG929" s="166"/>
      <c r="AH929" s="166"/>
      <c r="AI929" s="166"/>
      <c r="AJ929" s="166"/>
      <c r="AK929" s="166"/>
      <c r="AL929" s="166"/>
      <c r="AM929" s="166"/>
      <c r="AN929" s="166"/>
      <c r="AO929" s="166"/>
      <c r="AP929" s="166"/>
      <c r="AQ929" s="166"/>
      <c r="AR929" s="166"/>
    </row>
    <row r="930" customHeight="1" spans="1:44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  <c r="AA930" s="166"/>
      <c r="AB930" s="166"/>
      <c r="AC930" s="166"/>
      <c r="AD930" s="166"/>
      <c r="AE930" s="166"/>
      <c r="AF930" s="166"/>
      <c r="AG930" s="166"/>
      <c r="AH930" s="166"/>
      <c r="AI930" s="166"/>
      <c r="AJ930" s="166"/>
      <c r="AK930" s="166"/>
      <c r="AL930" s="166"/>
      <c r="AM930" s="166"/>
      <c r="AN930" s="166"/>
      <c r="AO930" s="166"/>
      <c r="AP930" s="166"/>
      <c r="AQ930" s="166"/>
      <c r="AR930" s="166"/>
    </row>
    <row r="931" customHeight="1" spans="1:44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  <c r="AA931" s="166"/>
      <c r="AB931" s="166"/>
      <c r="AC931" s="166"/>
      <c r="AD931" s="166"/>
      <c r="AE931" s="166"/>
      <c r="AF931" s="166"/>
      <c r="AG931" s="166"/>
      <c r="AH931" s="166"/>
      <c r="AI931" s="166"/>
      <c r="AJ931" s="166"/>
      <c r="AK931" s="166"/>
      <c r="AL931" s="166"/>
      <c r="AM931" s="166"/>
      <c r="AN931" s="166"/>
      <c r="AO931" s="166"/>
      <c r="AP931" s="166"/>
      <c r="AQ931" s="166"/>
      <c r="AR931" s="166"/>
    </row>
    <row r="932" customHeight="1" spans="1:44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  <c r="AA932" s="166"/>
      <c r="AB932" s="166"/>
      <c r="AC932" s="166"/>
      <c r="AD932" s="166"/>
      <c r="AE932" s="166"/>
      <c r="AF932" s="166"/>
      <c r="AG932" s="166"/>
      <c r="AH932" s="166"/>
      <c r="AI932" s="166"/>
      <c r="AJ932" s="166"/>
      <c r="AK932" s="166"/>
      <c r="AL932" s="166"/>
      <c r="AM932" s="166"/>
      <c r="AN932" s="166"/>
      <c r="AO932" s="166"/>
      <c r="AP932" s="166"/>
      <c r="AQ932" s="166"/>
      <c r="AR932" s="166"/>
    </row>
    <row r="933" customHeight="1" spans="1:44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  <c r="AA933" s="166"/>
      <c r="AB933" s="166"/>
      <c r="AC933" s="166"/>
      <c r="AD933" s="166"/>
      <c r="AE933" s="166"/>
      <c r="AF933" s="166"/>
      <c r="AG933" s="166"/>
      <c r="AH933" s="166"/>
      <c r="AI933" s="166"/>
      <c r="AJ933" s="166"/>
      <c r="AK933" s="166"/>
      <c r="AL933" s="166"/>
      <c r="AM933" s="166"/>
      <c r="AN933" s="166"/>
      <c r="AO933" s="166"/>
      <c r="AP933" s="166"/>
      <c r="AQ933" s="166"/>
      <c r="AR933" s="166"/>
    </row>
    <row r="934" customHeight="1" spans="1:44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  <c r="AA934" s="166"/>
      <c r="AB934" s="166"/>
      <c r="AC934" s="166"/>
      <c r="AD934" s="166"/>
      <c r="AE934" s="166"/>
      <c r="AF934" s="166"/>
      <c r="AG934" s="166"/>
      <c r="AH934" s="166"/>
      <c r="AI934" s="166"/>
      <c r="AJ934" s="166"/>
      <c r="AK934" s="166"/>
      <c r="AL934" s="166"/>
      <c r="AM934" s="166"/>
      <c r="AN934" s="166"/>
      <c r="AO934" s="166"/>
      <c r="AP934" s="166"/>
      <c r="AQ934" s="166"/>
      <c r="AR934" s="166"/>
    </row>
    <row r="935" customHeight="1" spans="1:44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  <c r="AA935" s="166"/>
      <c r="AB935" s="166"/>
      <c r="AC935" s="166"/>
      <c r="AD935" s="166"/>
      <c r="AE935" s="166"/>
      <c r="AF935" s="166"/>
      <c r="AG935" s="166"/>
      <c r="AH935" s="166"/>
      <c r="AI935" s="166"/>
      <c r="AJ935" s="166"/>
      <c r="AK935" s="166"/>
      <c r="AL935" s="166"/>
      <c r="AM935" s="166"/>
      <c r="AN935" s="166"/>
      <c r="AO935" s="166"/>
      <c r="AP935" s="166"/>
      <c r="AQ935" s="166"/>
      <c r="AR935" s="166"/>
    </row>
    <row r="936" customHeight="1" spans="1:44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  <c r="AA936" s="166"/>
      <c r="AB936" s="166"/>
      <c r="AC936" s="166"/>
      <c r="AD936" s="166"/>
      <c r="AE936" s="166"/>
      <c r="AF936" s="166"/>
      <c r="AG936" s="166"/>
      <c r="AH936" s="166"/>
      <c r="AI936" s="166"/>
      <c r="AJ936" s="166"/>
      <c r="AK936" s="166"/>
      <c r="AL936" s="166"/>
      <c r="AM936" s="166"/>
      <c r="AN936" s="166"/>
      <c r="AO936" s="166"/>
      <c r="AP936" s="166"/>
      <c r="AQ936" s="166"/>
      <c r="AR936" s="166"/>
    </row>
    <row r="937" customHeight="1" spans="1:44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  <c r="AA937" s="166"/>
      <c r="AB937" s="166"/>
      <c r="AC937" s="166"/>
      <c r="AD937" s="166"/>
      <c r="AE937" s="166"/>
      <c r="AF937" s="166"/>
      <c r="AG937" s="166"/>
      <c r="AH937" s="166"/>
      <c r="AI937" s="166"/>
      <c r="AJ937" s="166"/>
      <c r="AK937" s="166"/>
      <c r="AL937" s="166"/>
      <c r="AM937" s="166"/>
      <c r="AN937" s="166"/>
      <c r="AO937" s="166"/>
      <c r="AP937" s="166"/>
      <c r="AQ937" s="166"/>
      <c r="AR937" s="166"/>
    </row>
    <row r="938" customHeight="1" spans="1:44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  <c r="AA938" s="166"/>
      <c r="AB938" s="166"/>
      <c r="AC938" s="166"/>
      <c r="AD938" s="166"/>
      <c r="AE938" s="166"/>
      <c r="AF938" s="166"/>
      <c r="AG938" s="166"/>
      <c r="AH938" s="166"/>
      <c r="AI938" s="166"/>
      <c r="AJ938" s="166"/>
      <c r="AK938" s="166"/>
      <c r="AL938" s="166"/>
      <c r="AM938" s="166"/>
      <c r="AN938" s="166"/>
      <c r="AO938" s="166"/>
      <c r="AP938" s="166"/>
      <c r="AQ938" s="166"/>
      <c r="AR938" s="166"/>
    </row>
    <row r="939" customHeight="1" spans="1:44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  <c r="AA939" s="166"/>
      <c r="AB939" s="166"/>
      <c r="AC939" s="166"/>
      <c r="AD939" s="166"/>
      <c r="AE939" s="166"/>
      <c r="AF939" s="166"/>
      <c r="AG939" s="166"/>
      <c r="AH939" s="166"/>
      <c r="AI939" s="166"/>
      <c r="AJ939" s="166"/>
      <c r="AK939" s="166"/>
      <c r="AL939" s="166"/>
      <c r="AM939" s="166"/>
      <c r="AN939" s="166"/>
      <c r="AO939" s="166"/>
      <c r="AP939" s="166"/>
      <c r="AQ939" s="166"/>
      <c r="AR939" s="166"/>
    </row>
    <row r="940" customHeight="1" spans="1:44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  <c r="AA940" s="166"/>
      <c r="AB940" s="166"/>
      <c r="AC940" s="166"/>
      <c r="AD940" s="166"/>
      <c r="AE940" s="166"/>
      <c r="AF940" s="166"/>
      <c r="AG940" s="166"/>
      <c r="AH940" s="166"/>
      <c r="AI940" s="166"/>
      <c r="AJ940" s="166"/>
      <c r="AK940" s="166"/>
      <c r="AL940" s="166"/>
      <c r="AM940" s="166"/>
      <c r="AN940" s="166"/>
      <c r="AO940" s="166"/>
      <c r="AP940" s="166"/>
      <c r="AQ940" s="166"/>
      <c r="AR940" s="166"/>
    </row>
    <row r="941" customHeight="1" spans="1:44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  <c r="AA941" s="166"/>
      <c r="AB941" s="166"/>
      <c r="AC941" s="166"/>
      <c r="AD941" s="166"/>
      <c r="AE941" s="166"/>
      <c r="AF941" s="166"/>
      <c r="AG941" s="166"/>
      <c r="AH941" s="166"/>
      <c r="AI941" s="166"/>
      <c r="AJ941" s="166"/>
      <c r="AK941" s="166"/>
      <c r="AL941" s="166"/>
      <c r="AM941" s="166"/>
      <c r="AN941" s="166"/>
      <c r="AO941" s="166"/>
      <c r="AP941" s="166"/>
      <c r="AQ941" s="166"/>
      <c r="AR941" s="166"/>
    </row>
    <row r="942" customHeight="1" spans="1:44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  <c r="AA942" s="166"/>
      <c r="AB942" s="166"/>
      <c r="AC942" s="166"/>
      <c r="AD942" s="166"/>
      <c r="AE942" s="166"/>
      <c r="AF942" s="166"/>
      <c r="AG942" s="166"/>
      <c r="AH942" s="166"/>
      <c r="AI942" s="166"/>
      <c r="AJ942" s="166"/>
      <c r="AK942" s="166"/>
      <c r="AL942" s="166"/>
      <c r="AM942" s="166"/>
      <c r="AN942" s="166"/>
      <c r="AO942" s="166"/>
      <c r="AP942" s="166"/>
      <c r="AQ942" s="166"/>
      <c r="AR942" s="166"/>
    </row>
    <row r="943" customHeight="1" spans="1:44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  <c r="AA943" s="166"/>
      <c r="AB943" s="166"/>
      <c r="AC943" s="166"/>
      <c r="AD943" s="166"/>
      <c r="AE943" s="166"/>
      <c r="AF943" s="166"/>
      <c r="AG943" s="166"/>
      <c r="AH943" s="166"/>
      <c r="AI943" s="166"/>
      <c r="AJ943" s="166"/>
      <c r="AK943" s="166"/>
      <c r="AL943" s="166"/>
      <c r="AM943" s="166"/>
      <c r="AN943" s="166"/>
      <c r="AO943" s="166"/>
      <c r="AP943" s="166"/>
      <c r="AQ943" s="166"/>
      <c r="AR943" s="166"/>
    </row>
    <row r="944" customHeight="1" spans="1:44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  <c r="AA944" s="166"/>
      <c r="AB944" s="166"/>
      <c r="AC944" s="166"/>
      <c r="AD944" s="166"/>
      <c r="AE944" s="166"/>
      <c r="AF944" s="166"/>
      <c r="AG944" s="166"/>
      <c r="AH944" s="166"/>
      <c r="AI944" s="166"/>
      <c r="AJ944" s="166"/>
      <c r="AK944" s="166"/>
      <c r="AL944" s="166"/>
      <c r="AM944" s="166"/>
      <c r="AN944" s="166"/>
      <c r="AO944" s="166"/>
      <c r="AP944" s="166"/>
      <c r="AQ944" s="166"/>
      <c r="AR944" s="166"/>
    </row>
    <row r="945" customHeight="1" spans="1:44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  <c r="AA945" s="166"/>
      <c r="AB945" s="166"/>
      <c r="AC945" s="166"/>
      <c r="AD945" s="166"/>
      <c r="AE945" s="166"/>
      <c r="AF945" s="166"/>
      <c r="AG945" s="166"/>
      <c r="AH945" s="166"/>
      <c r="AI945" s="166"/>
      <c r="AJ945" s="166"/>
      <c r="AK945" s="166"/>
      <c r="AL945" s="166"/>
      <c r="AM945" s="166"/>
      <c r="AN945" s="166"/>
      <c r="AO945" s="166"/>
      <c r="AP945" s="166"/>
      <c r="AQ945" s="166"/>
      <c r="AR945" s="166"/>
    </row>
    <row r="946" customHeight="1" spans="1:44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  <c r="AA946" s="166"/>
      <c r="AB946" s="166"/>
      <c r="AC946" s="166"/>
      <c r="AD946" s="166"/>
      <c r="AE946" s="166"/>
      <c r="AF946" s="166"/>
      <c r="AG946" s="166"/>
      <c r="AH946" s="166"/>
      <c r="AI946" s="166"/>
      <c r="AJ946" s="166"/>
      <c r="AK946" s="166"/>
      <c r="AL946" s="166"/>
      <c r="AM946" s="166"/>
      <c r="AN946" s="166"/>
      <c r="AO946" s="166"/>
      <c r="AP946" s="166"/>
      <c r="AQ946" s="166"/>
      <c r="AR946" s="166"/>
    </row>
    <row r="947" customHeight="1" spans="1:44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  <c r="AA947" s="166"/>
      <c r="AB947" s="166"/>
      <c r="AC947" s="166"/>
      <c r="AD947" s="166"/>
      <c r="AE947" s="166"/>
      <c r="AF947" s="166"/>
      <c r="AG947" s="166"/>
      <c r="AH947" s="166"/>
      <c r="AI947" s="166"/>
      <c r="AJ947" s="166"/>
      <c r="AK947" s="166"/>
      <c r="AL947" s="166"/>
      <c r="AM947" s="166"/>
      <c r="AN947" s="166"/>
      <c r="AO947" s="166"/>
      <c r="AP947" s="166"/>
      <c r="AQ947" s="166"/>
      <c r="AR947" s="166"/>
    </row>
    <row r="948" customHeight="1" spans="1:44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  <c r="AA948" s="166"/>
      <c r="AB948" s="166"/>
      <c r="AC948" s="166"/>
      <c r="AD948" s="166"/>
      <c r="AE948" s="166"/>
      <c r="AF948" s="166"/>
      <c r="AG948" s="166"/>
      <c r="AH948" s="166"/>
      <c r="AI948" s="166"/>
      <c r="AJ948" s="166"/>
      <c r="AK948" s="166"/>
      <c r="AL948" s="166"/>
      <c r="AM948" s="166"/>
      <c r="AN948" s="166"/>
      <c r="AO948" s="166"/>
      <c r="AP948" s="166"/>
      <c r="AQ948" s="166"/>
      <c r="AR948" s="166"/>
    </row>
    <row r="949" customHeight="1" spans="1:44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  <c r="AA949" s="166"/>
      <c r="AB949" s="166"/>
      <c r="AC949" s="166"/>
      <c r="AD949" s="166"/>
      <c r="AE949" s="166"/>
      <c r="AF949" s="166"/>
      <c r="AG949" s="166"/>
      <c r="AH949" s="166"/>
      <c r="AI949" s="166"/>
      <c r="AJ949" s="166"/>
      <c r="AK949" s="166"/>
      <c r="AL949" s="166"/>
      <c r="AM949" s="166"/>
      <c r="AN949" s="166"/>
      <c r="AO949" s="166"/>
      <c r="AP949" s="166"/>
      <c r="AQ949" s="166"/>
      <c r="AR949" s="166"/>
    </row>
    <row r="950" customHeight="1" spans="1:44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  <c r="AA950" s="166"/>
      <c r="AB950" s="166"/>
      <c r="AC950" s="166"/>
      <c r="AD950" s="166"/>
      <c r="AE950" s="166"/>
      <c r="AF950" s="166"/>
      <c r="AG950" s="166"/>
      <c r="AH950" s="166"/>
      <c r="AI950" s="166"/>
      <c r="AJ950" s="166"/>
      <c r="AK950" s="166"/>
      <c r="AL950" s="166"/>
      <c r="AM950" s="166"/>
      <c r="AN950" s="166"/>
      <c r="AO950" s="166"/>
      <c r="AP950" s="166"/>
      <c r="AQ950" s="166"/>
      <c r="AR950" s="166"/>
    </row>
    <row r="951" customHeight="1" spans="1:44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  <c r="AA951" s="166"/>
      <c r="AB951" s="166"/>
      <c r="AC951" s="166"/>
      <c r="AD951" s="166"/>
      <c r="AE951" s="166"/>
      <c r="AF951" s="166"/>
      <c r="AG951" s="166"/>
      <c r="AH951" s="166"/>
      <c r="AI951" s="166"/>
      <c r="AJ951" s="166"/>
      <c r="AK951" s="166"/>
      <c r="AL951" s="166"/>
      <c r="AM951" s="166"/>
      <c r="AN951" s="166"/>
      <c r="AO951" s="166"/>
      <c r="AP951" s="166"/>
      <c r="AQ951" s="166"/>
      <c r="AR951" s="166"/>
    </row>
    <row r="952" customHeight="1" spans="1:44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  <c r="AA952" s="166"/>
      <c r="AB952" s="166"/>
      <c r="AC952" s="166"/>
      <c r="AD952" s="166"/>
      <c r="AE952" s="166"/>
      <c r="AF952" s="166"/>
      <c r="AG952" s="166"/>
      <c r="AH952" s="166"/>
      <c r="AI952" s="166"/>
      <c r="AJ952" s="166"/>
      <c r="AK952" s="166"/>
      <c r="AL952" s="166"/>
      <c r="AM952" s="166"/>
      <c r="AN952" s="166"/>
      <c r="AO952" s="166"/>
      <c r="AP952" s="166"/>
      <c r="AQ952" s="166"/>
      <c r="AR952" s="166"/>
    </row>
    <row r="953" customHeight="1" spans="1:44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  <c r="AA953" s="166"/>
      <c r="AB953" s="166"/>
      <c r="AC953" s="166"/>
      <c r="AD953" s="166"/>
      <c r="AE953" s="166"/>
      <c r="AF953" s="166"/>
      <c r="AG953" s="166"/>
      <c r="AH953" s="166"/>
      <c r="AI953" s="166"/>
      <c r="AJ953" s="166"/>
      <c r="AK953" s="166"/>
      <c r="AL953" s="166"/>
      <c r="AM953" s="166"/>
      <c r="AN953" s="166"/>
      <c r="AO953" s="166"/>
      <c r="AP953" s="166"/>
      <c r="AQ953" s="166"/>
      <c r="AR953" s="166"/>
    </row>
    <row r="954" customHeight="1" spans="1:44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  <c r="AA954" s="166"/>
      <c r="AB954" s="166"/>
      <c r="AC954" s="166"/>
      <c r="AD954" s="166"/>
      <c r="AE954" s="166"/>
      <c r="AF954" s="166"/>
      <c r="AG954" s="166"/>
      <c r="AH954" s="166"/>
      <c r="AI954" s="166"/>
      <c r="AJ954" s="166"/>
      <c r="AK954" s="166"/>
      <c r="AL954" s="166"/>
      <c r="AM954" s="166"/>
      <c r="AN954" s="166"/>
      <c r="AO954" s="166"/>
      <c r="AP954" s="166"/>
      <c r="AQ954" s="166"/>
      <c r="AR954" s="166"/>
    </row>
    <row r="955" customHeight="1" spans="1:44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  <c r="AA955" s="166"/>
      <c r="AB955" s="166"/>
      <c r="AC955" s="166"/>
      <c r="AD955" s="166"/>
      <c r="AE955" s="166"/>
      <c r="AF955" s="166"/>
      <c r="AG955" s="166"/>
      <c r="AH955" s="166"/>
      <c r="AI955" s="166"/>
      <c r="AJ955" s="166"/>
      <c r="AK955" s="166"/>
      <c r="AL955" s="166"/>
      <c r="AM955" s="166"/>
      <c r="AN955" s="166"/>
      <c r="AO955" s="166"/>
      <c r="AP955" s="166"/>
      <c r="AQ955" s="166"/>
      <c r="AR955" s="166"/>
    </row>
    <row r="956" customHeight="1" spans="1:44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  <c r="AA956" s="166"/>
      <c r="AB956" s="166"/>
      <c r="AC956" s="166"/>
      <c r="AD956" s="166"/>
      <c r="AE956" s="166"/>
      <c r="AF956" s="166"/>
      <c r="AG956" s="166"/>
      <c r="AH956" s="166"/>
      <c r="AI956" s="166"/>
      <c r="AJ956" s="166"/>
      <c r="AK956" s="166"/>
      <c r="AL956" s="166"/>
      <c r="AM956" s="166"/>
      <c r="AN956" s="166"/>
      <c r="AO956" s="166"/>
      <c r="AP956" s="166"/>
      <c r="AQ956" s="166"/>
      <c r="AR956" s="166"/>
    </row>
    <row r="957" customHeight="1" spans="1:44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  <c r="AA957" s="166"/>
      <c r="AB957" s="166"/>
      <c r="AC957" s="166"/>
      <c r="AD957" s="166"/>
      <c r="AE957" s="166"/>
      <c r="AF957" s="166"/>
      <c r="AG957" s="166"/>
      <c r="AH957" s="166"/>
      <c r="AI957" s="166"/>
      <c r="AJ957" s="166"/>
      <c r="AK957" s="166"/>
      <c r="AL957" s="166"/>
      <c r="AM957" s="166"/>
      <c r="AN957" s="166"/>
      <c r="AO957" s="166"/>
      <c r="AP957" s="166"/>
      <c r="AQ957" s="166"/>
      <c r="AR957" s="166"/>
    </row>
    <row r="958" customHeight="1" spans="1:44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  <c r="AA958" s="166"/>
      <c r="AB958" s="166"/>
      <c r="AC958" s="166"/>
      <c r="AD958" s="166"/>
      <c r="AE958" s="166"/>
      <c r="AF958" s="166"/>
      <c r="AG958" s="166"/>
      <c r="AH958" s="166"/>
      <c r="AI958" s="166"/>
      <c r="AJ958" s="166"/>
      <c r="AK958" s="166"/>
      <c r="AL958" s="166"/>
      <c r="AM958" s="166"/>
      <c r="AN958" s="166"/>
      <c r="AO958" s="166"/>
      <c r="AP958" s="166"/>
      <c r="AQ958" s="166"/>
      <c r="AR958" s="166"/>
    </row>
    <row r="959" customHeight="1" spans="1:44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  <c r="AA959" s="166"/>
      <c r="AB959" s="166"/>
      <c r="AC959" s="166"/>
      <c r="AD959" s="166"/>
      <c r="AE959" s="166"/>
      <c r="AF959" s="166"/>
      <c r="AG959" s="166"/>
      <c r="AH959" s="166"/>
      <c r="AI959" s="166"/>
      <c r="AJ959" s="166"/>
      <c r="AK959" s="166"/>
      <c r="AL959" s="166"/>
      <c r="AM959" s="166"/>
      <c r="AN959" s="166"/>
      <c r="AO959" s="166"/>
      <c r="AP959" s="166"/>
      <c r="AQ959" s="166"/>
      <c r="AR959" s="166"/>
    </row>
    <row r="960" customHeight="1" spans="1:44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  <c r="AA960" s="166"/>
      <c r="AB960" s="166"/>
      <c r="AC960" s="166"/>
      <c r="AD960" s="166"/>
      <c r="AE960" s="166"/>
      <c r="AF960" s="166"/>
      <c r="AG960" s="166"/>
      <c r="AH960" s="166"/>
      <c r="AI960" s="166"/>
      <c r="AJ960" s="166"/>
      <c r="AK960" s="166"/>
      <c r="AL960" s="166"/>
      <c r="AM960" s="166"/>
      <c r="AN960" s="166"/>
      <c r="AO960" s="166"/>
      <c r="AP960" s="166"/>
      <c r="AQ960" s="166"/>
      <c r="AR960" s="166"/>
    </row>
    <row r="961" customHeight="1" spans="1:44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  <c r="AA961" s="166"/>
      <c r="AB961" s="166"/>
      <c r="AC961" s="166"/>
      <c r="AD961" s="166"/>
      <c r="AE961" s="166"/>
      <c r="AF961" s="166"/>
      <c r="AG961" s="166"/>
      <c r="AH961" s="166"/>
      <c r="AI961" s="166"/>
      <c r="AJ961" s="166"/>
      <c r="AK961" s="166"/>
      <c r="AL961" s="166"/>
      <c r="AM961" s="166"/>
      <c r="AN961" s="166"/>
      <c r="AO961" s="166"/>
      <c r="AP961" s="166"/>
      <c r="AQ961" s="166"/>
      <c r="AR961" s="166"/>
    </row>
    <row r="962" customHeight="1" spans="1:44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  <c r="AA962" s="166"/>
      <c r="AB962" s="166"/>
      <c r="AC962" s="166"/>
      <c r="AD962" s="166"/>
      <c r="AE962" s="166"/>
      <c r="AF962" s="166"/>
      <c r="AG962" s="166"/>
      <c r="AH962" s="166"/>
      <c r="AI962" s="166"/>
      <c r="AJ962" s="166"/>
      <c r="AK962" s="166"/>
      <c r="AL962" s="166"/>
      <c r="AM962" s="166"/>
      <c r="AN962" s="166"/>
      <c r="AO962" s="166"/>
      <c r="AP962" s="166"/>
      <c r="AQ962" s="166"/>
      <c r="AR962" s="166"/>
    </row>
    <row r="963" customHeight="1" spans="1:44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  <c r="AA963" s="166"/>
      <c r="AB963" s="166"/>
      <c r="AC963" s="166"/>
      <c r="AD963" s="166"/>
      <c r="AE963" s="166"/>
      <c r="AF963" s="166"/>
      <c r="AG963" s="166"/>
      <c r="AH963" s="166"/>
      <c r="AI963" s="166"/>
      <c r="AJ963" s="166"/>
      <c r="AK963" s="166"/>
      <c r="AL963" s="166"/>
      <c r="AM963" s="166"/>
      <c r="AN963" s="166"/>
      <c r="AO963" s="166"/>
      <c r="AP963" s="166"/>
      <c r="AQ963" s="166"/>
      <c r="AR963" s="166"/>
    </row>
    <row r="964" customHeight="1" spans="1:44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  <c r="AA964" s="166"/>
      <c r="AB964" s="166"/>
      <c r="AC964" s="166"/>
      <c r="AD964" s="166"/>
      <c r="AE964" s="166"/>
      <c r="AF964" s="166"/>
      <c r="AG964" s="166"/>
      <c r="AH964" s="166"/>
      <c r="AI964" s="166"/>
      <c r="AJ964" s="166"/>
      <c r="AK964" s="166"/>
      <c r="AL964" s="166"/>
      <c r="AM964" s="166"/>
      <c r="AN964" s="166"/>
      <c r="AO964" s="166"/>
      <c r="AP964" s="166"/>
      <c r="AQ964" s="166"/>
      <c r="AR964" s="166"/>
    </row>
    <row r="965" customHeight="1" spans="1:44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  <c r="AA965" s="166"/>
      <c r="AB965" s="166"/>
      <c r="AC965" s="166"/>
      <c r="AD965" s="166"/>
      <c r="AE965" s="166"/>
      <c r="AF965" s="166"/>
      <c r="AG965" s="166"/>
      <c r="AH965" s="166"/>
      <c r="AI965" s="166"/>
      <c r="AJ965" s="166"/>
      <c r="AK965" s="166"/>
      <c r="AL965" s="166"/>
      <c r="AM965" s="166"/>
      <c r="AN965" s="166"/>
      <c r="AO965" s="166"/>
      <c r="AP965" s="166"/>
      <c r="AQ965" s="166"/>
      <c r="AR965" s="166"/>
    </row>
    <row r="966" customHeight="1" spans="1:44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  <c r="AA966" s="166"/>
      <c r="AB966" s="166"/>
      <c r="AC966" s="166"/>
      <c r="AD966" s="166"/>
      <c r="AE966" s="166"/>
      <c r="AF966" s="166"/>
      <c r="AG966" s="166"/>
      <c r="AH966" s="166"/>
      <c r="AI966" s="166"/>
      <c r="AJ966" s="166"/>
      <c r="AK966" s="166"/>
      <c r="AL966" s="166"/>
      <c r="AM966" s="166"/>
      <c r="AN966" s="166"/>
      <c r="AO966" s="166"/>
      <c r="AP966" s="166"/>
      <c r="AQ966" s="166"/>
      <c r="AR966" s="166"/>
    </row>
    <row r="967" customHeight="1" spans="1:44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  <c r="AA967" s="166"/>
      <c r="AB967" s="166"/>
      <c r="AC967" s="166"/>
      <c r="AD967" s="166"/>
      <c r="AE967" s="166"/>
      <c r="AF967" s="166"/>
      <c r="AG967" s="166"/>
      <c r="AH967" s="166"/>
      <c r="AI967" s="166"/>
      <c r="AJ967" s="166"/>
      <c r="AK967" s="166"/>
      <c r="AL967" s="166"/>
      <c r="AM967" s="166"/>
      <c r="AN967" s="166"/>
      <c r="AO967" s="166"/>
      <c r="AP967" s="166"/>
      <c r="AQ967" s="166"/>
      <c r="AR967" s="166"/>
    </row>
    <row r="968" customHeight="1" spans="1:44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  <c r="AA968" s="166"/>
      <c r="AB968" s="166"/>
      <c r="AC968" s="166"/>
      <c r="AD968" s="166"/>
      <c r="AE968" s="166"/>
      <c r="AF968" s="166"/>
      <c r="AG968" s="166"/>
      <c r="AH968" s="166"/>
      <c r="AI968" s="166"/>
      <c r="AJ968" s="166"/>
      <c r="AK968" s="166"/>
      <c r="AL968" s="166"/>
      <c r="AM968" s="166"/>
      <c r="AN968" s="166"/>
      <c r="AO968" s="166"/>
      <c r="AP968" s="166"/>
      <c r="AQ968" s="166"/>
      <c r="AR968" s="166"/>
    </row>
    <row r="969" customHeight="1" spans="1:44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  <c r="AA969" s="166"/>
      <c r="AB969" s="166"/>
      <c r="AC969" s="166"/>
      <c r="AD969" s="166"/>
      <c r="AE969" s="166"/>
      <c r="AF969" s="166"/>
      <c r="AG969" s="166"/>
      <c r="AH969" s="166"/>
      <c r="AI969" s="166"/>
      <c r="AJ969" s="166"/>
      <c r="AK969" s="166"/>
      <c r="AL969" s="166"/>
      <c r="AM969" s="166"/>
      <c r="AN969" s="166"/>
      <c r="AO969" s="166"/>
      <c r="AP969" s="166"/>
      <c r="AQ969" s="166"/>
      <c r="AR969" s="166"/>
    </row>
    <row r="970" customHeight="1" spans="1:44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  <c r="AA970" s="166"/>
      <c r="AB970" s="166"/>
      <c r="AC970" s="166"/>
      <c r="AD970" s="166"/>
      <c r="AE970" s="166"/>
      <c r="AF970" s="166"/>
      <c r="AG970" s="166"/>
      <c r="AH970" s="166"/>
      <c r="AI970" s="166"/>
      <c r="AJ970" s="166"/>
      <c r="AK970" s="166"/>
      <c r="AL970" s="166"/>
      <c r="AM970" s="166"/>
      <c r="AN970" s="166"/>
      <c r="AO970" s="166"/>
      <c r="AP970" s="166"/>
      <c r="AQ970" s="166"/>
      <c r="AR970" s="166"/>
    </row>
    <row r="971" customHeight="1" spans="1:44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  <c r="AA971" s="166"/>
      <c r="AB971" s="166"/>
      <c r="AC971" s="166"/>
      <c r="AD971" s="166"/>
      <c r="AE971" s="166"/>
      <c r="AF971" s="166"/>
      <c r="AG971" s="166"/>
      <c r="AH971" s="166"/>
      <c r="AI971" s="166"/>
      <c r="AJ971" s="166"/>
      <c r="AK971" s="166"/>
      <c r="AL971" s="166"/>
      <c r="AM971" s="166"/>
      <c r="AN971" s="166"/>
      <c r="AO971" s="166"/>
      <c r="AP971" s="166"/>
      <c r="AQ971" s="166"/>
      <c r="AR971" s="166"/>
    </row>
    <row r="972" customHeight="1" spans="1:44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  <c r="AA972" s="166"/>
      <c r="AB972" s="166"/>
      <c r="AC972" s="166"/>
      <c r="AD972" s="166"/>
      <c r="AE972" s="166"/>
      <c r="AF972" s="166"/>
      <c r="AG972" s="166"/>
      <c r="AH972" s="166"/>
      <c r="AI972" s="166"/>
      <c r="AJ972" s="166"/>
      <c r="AK972" s="166"/>
      <c r="AL972" s="166"/>
      <c r="AM972" s="166"/>
      <c r="AN972" s="166"/>
      <c r="AO972" s="166"/>
      <c r="AP972" s="166"/>
      <c r="AQ972" s="166"/>
      <c r="AR972" s="166"/>
    </row>
    <row r="973" customHeight="1" spans="1:44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  <c r="AA973" s="166"/>
      <c r="AB973" s="166"/>
      <c r="AC973" s="166"/>
      <c r="AD973" s="166"/>
      <c r="AE973" s="166"/>
      <c r="AF973" s="166"/>
      <c r="AG973" s="166"/>
      <c r="AH973" s="166"/>
      <c r="AI973" s="166"/>
      <c r="AJ973" s="166"/>
      <c r="AK973" s="166"/>
      <c r="AL973" s="166"/>
      <c r="AM973" s="166"/>
      <c r="AN973" s="166"/>
      <c r="AO973" s="166"/>
      <c r="AP973" s="166"/>
      <c r="AQ973" s="166"/>
      <c r="AR973" s="166"/>
    </row>
    <row r="974" customHeight="1" spans="1:44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  <c r="AA974" s="166"/>
      <c r="AB974" s="166"/>
      <c r="AC974" s="166"/>
      <c r="AD974" s="166"/>
      <c r="AE974" s="166"/>
      <c r="AF974" s="166"/>
      <c r="AG974" s="166"/>
      <c r="AH974" s="166"/>
      <c r="AI974" s="166"/>
      <c r="AJ974" s="166"/>
      <c r="AK974" s="166"/>
      <c r="AL974" s="166"/>
      <c r="AM974" s="166"/>
      <c r="AN974" s="166"/>
      <c r="AO974" s="166"/>
      <c r="AP974" s="166"/>
      <c r="AQ974" s="166"/>
      <c r="AR974" s="166"/>
    </row>
    <row r="975" customHeight="1" spans="1:44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  <c r="AA975" s="166"/>
      <c r="AB975" s="166"/>
      <c r="AC975" s="166"/>
      <c r="AD975" s="166"/>
      <c r="AE975" s="166"/>
      <c r="AF975" s="166"/>
      <c r="AG975" s="166"/>
      <c r="AH975" s="166"/>
      <c r="AI975" s="166"/>
      <c r="AJ975" s="166"/>
      <c r="AK975" s="166"/>
      <c r="AL975" s="166"/>
      <c r="AM975" s="166"/>
      <c r="AN975" s="166"/>
      <c r="AO975" s="166"/>
      <c r="AP975" s="166"/>
      <c r="AQ975" s="166"/>
      <c r="AR975" s="166"/>
    </row>
    <row r="976" customHeight="1" spans="1:44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  <c r="AA976" s="166"/>
      <c r="AB976" s="166"/>
      <c r="AC976" s="166"/>
      <c r="AD976" s="166"/>
      <c r="AE976" s="166"/>
      <c r="AF976" s="166"/>
      <c r="AG976" s="166"/>
      <c r="AH976" s="166"/>
      <c r="AI976" s="166"/>
      <c r="AJ976" s="166"/>
      <c r="AK976" s="166"/>
      <c r="AL976" s="166"/>
      <c r="AM976" s="166"/>
      <c r="AN976" s="166"/>
      <c r="AO976" s="166"/>
      <c r="AP976" s="166"/>
      <c r="AQ976" s="166"/>
      <c r="AR976" s="166"/>
    </row>
    <row r="977" customHeight="1" spans="1:44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  <c r="AA977" s="166"/>
      <c r="AB977" s="166"/>
      <c r="AC977" s="166"/>
      <c r="AD977" s="166"/>
      <c r="AE977" s="166"/>
      <c r="AF977" s="166"/>
      <c r="AG977" s="166"/>
      <c r="AH977" s="166"/>
      <c r="AI977" s="166"/>
      <c r="AJ977" s="166"/>
      <c r="AK977" s="166"/>
      <c r="AL977" s="166"/>
      <c r="AM977" s="166"/>
      <c r="AN977" s="166"/>
      <c r="AO977" s="166"/>
      <c r="AP977" s="166"/>
      <c r="AQ977" s="166"/>
      <c r="AR977" s="166"/>
    </row>
    <row r="978" customHeight="1" spans="1:44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  <c r="AA978" s="166"/>
      <c r="AB978" s="166"/>
      <c r="AC978" s="166"/>
      <c r="AD978" s="166"/>
      <c r="AE978" s="166"/>
      <c r="AF978" s="166"/>
      <c r="AG978" s="166"/>
      <c r="AH978" s="166"/>
      <c r="AI978" s="166"/>
      <c r="AJ978" s="166"/>
      <c r="AK978" s="166"/>
      <c r="AL978" s="166"/>
      <c r="AM978" s="166"/>
      <c r="AN978" s="166"/>
      <c r="AO978" s="166"/>
      <c r="AP978" s="166"/>
      <c r="AQ978" s="166"/>
      <c r="AR978" s="166"/>
    </row>
    <row r="979" customHeight="1" spans="1:44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  <c r="AA979" s="166"/>
      <c r="AB979" s="166"/>
      <c r="AC979" s="166"/>
      <c r="AD979" s="166"/>
      <c r="AE979" s="166"/>
      <c r="AF979" s="166"/>
      <c r="AG979" s="166"/>
      <c r="AH979" s="166"/>
      <c r="AI979" s="166"/>
      <c r="AJ979" s="166"/>
      <c r="AK979" s="166"/>
      <c r="AL979" s="166"/>
      <c r="AM979" s="166"/>
      <c r="AN979" s="166"/>
      <c r="AO979" s="166"/>
      <c r="AP979" s="166"/>
      <c r="AQ979" s="166"/>
      <c r="AR979" s="166"/>
    </row>
    <row r="980" customHeight="1" spans="1:44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  <c r="AA980" s="166"/>
      <c r="AB980" s="166"/>
      <c r="AC980" s="166"/>
      <c r="AD980" s="166"/>
      <c r="AE980" s="166"/>
      <c r="AF980" s="166"/>
      <c r="AG980" s="166"/>
      <c r="AH980" s="166"/>
      <c r="AI980" s="166"/>
      <c r="AJ980" s="166"/>
      <c r="AK980" s="166"/>
      <c r="AL980" s="166"/>
      <c r="AM980" s="166"/>
      <c r="AN980" s="166"/>
      <c r="AO980" s="166"/>
      <c r="AP980" s="166"/>
      <c r="AQ980" s="166"/>
      <c r="AR980" s="166"/>
    </row>
    <row r="981" customHeight="1" spans="1:44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  <c r="AA981" s="166"/>
      <c r="AB981" s="166"/>
      <c r="AC981" s="166"/>
      <c r="AD981" s="166"/>
      <c r="AE981" s="166"/>
      <c r="AF981" s="166"/>
      <c r="AG981" s="166"/>
      <c r="AH981" s="166"/>
      <c r="AI981" s="166"/>
      <c r="AJ981" s="166"/>
      <c r="AK981" s="166"/>
      <c r="AL981" s="166"/>
      <c r="AM981" s="166"/>
      <c r="AN981" s="166"/>
      <c r="AO981" s="166"/>
      <c r="AP981" s="166"/>
      <c r="AQ981" s="166"/>
      <c r="AR981" s="166"/>
    </row>
    <row r="982" customHeight="1" spans="1:44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  <c r="AA982" s="166"/>
      <c r="AB982" s="166"/>
      <c r="AC982" s="166"/>
      <c r="AD982" s="166"/>
      <c r="AE982" s="166"/>
      <c r="AF982" s="166"/>
      <c r="AG982" s="166"/>
      <c r="AH982" s="166"/>
      <c r="AI982" s="166"/>
      <c r="AJ982" s="166"/>
      <c r="AK982" s="166"/>
      <c r="AL982" s="166"/>
      <c r="AM982" s="166"/>
      <c r="AN982" s="166"/>
      <c r="AO982" s="166"/>
      <c r="AP982" s="166"/>
      <c r="AQ982" s="166"/>
      <c r="AR982" s="166"/>
    </row>
    <row r="983" customHeight="1" spans="1:44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  <c r="AA983" s="166"/>
      <c r="AB983" s="166"/>
      <c r="AC983" s="166"/>
      <c r="AD983" s="166"/>
      <c r="AE983" s="166"/>
      <c r="AF983" s="166"/>
      <c r="AG983" s="166"/>
      <c r="AH983" s="166"/>
      <c r="AI983" s="166"/>
      <c r="AJ983" s="166"/>
      <c r="AK983" s="166"/>
      <c r="AL983" s="166"/>
      <c r="AM983" s="166"/>
      <c r="AN983" s="166"/>
      <c r="AO983" s="166"/>
      <c r="AP983" s="166"/>
      <c r="AQ983" s="166"/>
      <c r="AR983" s="166"/>
    </row>
    <row r="984" customHeight="1" spans="1:44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  <c r="AA984" s="166"/>
      <c r="AB984" s="166"/>
      <c r="AC984" s="166"/>
      <c r="AD984" s="166"/>
      <c r="AE984" s="166"/>
      <c r="AF984" s="166"/>
      <c r="AG984" s="166"/>
      <c r="AH984" s="166"/>
      <c r="AI984" s="166"/>
      <c r="AJ984" s="166"/>
      <c r="AK984" s="166"/>
      <c r="AL984" s="166"/>
      <c r="AM984" s="166"/>
      <c r="AN984" s="166"/>
      <c r="AO984" s="166"/>
      <c r="AP984" s="166"/>
      <c r="AQ984" s="166"/>
      <c r="AR984" s="166"/>
    </row>
    <row r="985" customHeight="1" spans="1:44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  <c r="AA985" s="166"/>
      <c r="AB985" s="166"/>
      <c r="AC985" s="166"/>
      <c r="AD985" s="166"/>
      <c r="AE985" s="166"/>
      <c r="AF985" s="166"/>
      <c r="AG985" s="166"/>
      <c r="AH985" s="166"/>
      <c r="AI985" s="166"/>
      <c r="AJ985" s="166"/>
      <c r="AK985" s="166"/>
      <c r="AL985" s="166"/>
      <c r="AM985" s="166"/>
      <c r="AN985" s="166"/>
      <c r="AO985" s="166"/>
      <c r="AP985" s="166"/>
      <c r="AQ985" s="166"/>
      <c r="AR985" s="166"/>
    </row>
    <row r="986" customHeight="1" spans="1:44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  <c r="AA986" s="166"/>
      <c r="AB986" s="166"/>
      <c r="AC986" s="166"/>
      <c r="AD986" s="166"/>
      <c r="AE986" s="166"/>
      <c r="AF986" s="166"/>
      <c r="AG986" s="166"/>
      <c r="AH986" s="166"/>
      <c r="AI986" s="166"/>
      <c r="AJ986" s="166"/>
      <c r="AK986" s="166"/>
      <c r="AL986" s="166"/>
      <c r="AM986" s="166"/>
      <c r="AN986" s="166"/>
      <c r="AO986" s="166"/>
      <c r="AP986" s="166"/>
      <c r="AQ986" s="166"/>
      <c r="AR986" s="166"/>
    </row>
    <row r="987" customHeight="1" spans="1:44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  <c r="AA987" s="166"/>
      <c r="AB987" s="166"/>
      <c r="AC987" s="166"/>
      <c r="AD987" s="166"/>
      <c r="AE987" s="166"/>
      <c r="AF987" s="166"/>
      <c r="AG987" s="166"/>
      <c r="AH987" s="166"/>
      <c r="AI987" s="166"/>
      <c r="AJ987" s="166"/>
      <c r="AK987" s="166"/>
      <c r="AL987" s="166"/>
      <c r="AM987" s="166"/>
      <c r="AN987" s="166"/>
      <c r="AO987" s="166"/>
      <c r="AP987" s="166"/>
      <c r="AQ987" s="166"/>
      <c r="AR987" s="166"/>
    </row>
    <row r="988" customHeight="1" spans="1:44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  <c r="AA988" s="166"/>
      <c r="AB988" s="166"/>
      <c r="AC988" s="166"/>
      <c r="AD988" s="166"/>
      <c r="AE988" s="166"/>
      <c r="AF988" s="166"/>
      <c r="AG988" s="166"/>
      <c r="AH988" s="166"/>
      <c r="AI988" s="166"/>
      <c r="AJ988" s="166"/>
      <c r="AK988" s="166"/>
      <c r="AL988" s="166"/>
      <c r="AM988" s="166"/>
      <c r="AN988" s="166"/>
      <c r="AO988" s="166"/>
      <c r="AP988" s="166"/>
      <c r="AQ988" s="166"/>
      <c r="AR988" s="166"/>
    </row>
    <row r="989" customHeight="1" spans="1:44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  <c r="AA989" s="166"/>
      <c r="AB989" s="166"/>
      <c r="AC989" s="166"/>
      <c r="AD989" s="166"/>
      <c r="AE989" s="166"/>
      <c r="AF989" s="166"/>
      <c r="AG989" s="166"/>
      <c r="AH989" s="166"/>
      <c r="AI989" s="166"/>
      <c r="AJ989" s="166"/>
      <c r="AK989" s="166"/>
      <c r="AL989" s="166"/>
      <c r="AM989" s="166"/>
      <c r="AN989" s="166"/>
      <c r="AO989" s="166"/>
      <c r="AP989" s="166"/>
      <c r="AQ989" s="166"/>
      <c r="AR989" s="166"/>
    </row>
    <row r="990" customHeight="1" spans="1:44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  <c r="AA990" s="166"/>
      <c r="AB990" s="166"/>
      <c r="AC990" s="166"/>
      <c r="AD990" s="166"/>
      <c r="AE990" s="166"/>
      <c r="AF990" s="166"/>
      <c r="AG990" s="166"/>
      <c r="AH990" s="166"/>
      <c r="AI990" s="166"/>
      <c r="AJ990" s="166"/>
      <c r="AK990" s="166"/>
      <c r="AL990" s="166"/>
      <c r="AM990" s="166"/>
      <c r="AN990" s="166"/>
      <c r="AO990" s="166"/>
      <c r="AP990" s="166"/>
      <c r="AQ990" s="166"/>
      <c r="AR990" s="166"/>
    </row>
    <row r="991" customHeight="1" spans="1:44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  <c r="AA991" s="166"/>
      <c r="AB991" s="166"/>
      <c r="AC991" s="166"/>
      <c r="AD991" s="166"/>
      <c r="AE991" s="166"/>
      <c r="AF991" s="166"/>
      <c r="AG991" s="166"/>
      <c r="AH991" s="166"/>
      <c r="AI991" s="166"/>
      <c r="AJ991" s="166"/>
      <c r="AK991" s="166"/>
      <c r="AL991" s="166"/>
      <c r="AM991" s="166"/>
      <c r="AN991" s="166"/>
      <c r="AO991" s="166"/>
      <c r="AP991" s="166"/>
      <c r="AQ991" s="166"/>
      <c r="AR991" s="166"/>
    </row>
    <row r="992" customHeight="1" spans="1:44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  <c r="AA992" s="166"/>
      <c r="AB992" s="166"/>
      <c r="AC992" s="166"/>
      <c r="AD992" s="166"/>
      <c r="AE992" s="166"/>
      <c r="AF992" s="166"/>
      <c r="AG992" s="166"/>
      <c r="AH992" s="166"/>
      <c r="AI992" s="166"/>
      <c r="AJ992" s="166"/>
      <c r="AK992" s="166"/>
      <c r="AL992" s="166"/>
      <c r="AM992" s="166"/>
      <c r="AN992" s="166"/>
      <c r="AO992" s="166"/>
      <c r="AP992" s="166"/>
      <c r="AQ992" s="166"/>
      <c r="AR992" s="166"/>
    </row>
    <row r="993" customHeight="1" spans="1:44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  <c r="AA993" s="166"/>
      <c r="AB993" s="166"/>
      <c r="AC993" s="166"/>
      <c r="AD993" s="166"/>
      <c r="AE993" s="166"/>
      <c r="AF993" s="166"/>
      <c r="AG993" s="166"/>
      <c r="AH993" s="166"/>
      <c r="AI993" s="166"/>
      <c r="AJ993" s="166"/>
      <c r="AK993" s="166"/>
      <c r="AL993" s="166"/>
      <c r="AM993" s="166"/>
      <c r="AN993" s="166"/>
      <c r="AO993" s="166"/>
      <c r="AP993" s="166"/>
      <c r="AQ993" s="166"/>
      <c r="AR993" s="166"/>
    </row>
    <row r="994" customHeight="1" spans="1:44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  <c r="AA994" s="166"/>
      <c r="AB994" s="166"/>
      <c r="AC994" s="166"/>
      <c r="AD994" s="166"/>
      <c r="AE994" s="166"/>
      <c r="AF994" s="166"/>
      <c r="AG994" s="166"/>
      <c r="AH994" s="166"/>
      <c r="AI994" s="166"/>
      <c r="AJ994" s="166"/>
      <c r="AK994" s="166"/>
      <c r="AL994" s="166"/>
      <c r="AM994" s="166"/>
      <c r="AN994" s="166"/>
      <c r="AO994" s="166"/>
      <c r="AP994" s="166"/>
      <c r="AQ994" s="166"/>
      <c r="AR994" s="166"/>
    </row>
    <row r="995" customHeight="1" spans="1:44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  <c r="AA995" s="166"/>
      <c r="AB995" s="166"/>
      <c r="AC995" s="166"/>
      <c r="AD995" s="166"/>
      <c r="AE995" s="166"/>
      <c r="AF995" s="166"/>
      <c r="AG995" s="166"/>
      <c r="AH995" s="166"/>
      <c r="AI995" s="166"/>
      <c r="AJ995" s="166"/>
      <c r="AK995" s="166"/>
      <c r="AL995" s="166"/>
      <c r="AM995" s="166"/>
      <c r="AN995" s="166"/>
      <c r="AO995" s="166"/>
      <c r="AP995" s="166"/>
      <c r="AQ995" s="166"/>
      <c r="AR995" s="166"/>
    </row>
    <row r="996" customHeight="1" spans="1:44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  <c r="AA996" s="166"/>
      <c r="AB996" s="166"/>
      <c r="AC996" s="166"/>
      <c r="AD996" s="166"/>
      <c r="AE996" s="166"/>
      <c r="AF996" s="166"/>
      <c r="AG996" s="166"/>
      <c r="AH996" s="166"/>
      <c r="AI996" s="166"/>
      <c r="AJ996" s="166"/>
      <c r="AK996" s="166"/>
      <c r="AL996" s="166"/>
      <c r="AM996" s="166"/>
      <c r="AN996" s="166"/>
      <c r="AO996" s="166"/>
      <c r="AP996" s="166"/>
      <c r="AQ996" s="166"/>
      <c r="AR996" s="166"/>
    </row>
    <row r="997" customHeight="1" spans="1:44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  <c r="AA997" s="166"/>
      <c r="AB997" s="166"/>
      <c r="AC997" s="166"/>
      <c r="AD997" s="166"/>
      <c r="AE997" s="166"/>
      <c r="AF997" s="166"/>
      <c r="AG997" s="166"/>
      <c r="AH997" s="166"/>
      <c r="AI997" s="166"/>
      <c r="AJ997" s="166"/>
      <c r="AK997" s="166"/>
      <c r="AL997" s="166"/>
      <c r="AM997" s="166"/>
      <c r="AN997" s="166"/>
      <c r="AO997" s="166"/>
      <c r="AP997" s="166"/>
      <c r="AQ997" s="166"/>
      <c r="AR997" s="166"/>
    </row>
    <row r="998" customHeight="1" spans="1:44">
      <c r="A998" s="166"/>
      <c r="B998" s="166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  <c r="AA998" s="166"/>
      <c r="AB998" s="166"/>
      <c r="AC998" s="166"/>
      <c r="AD998" s="166"/>
      <c r="AE998" s="166"/>
      <c r="AF998" s="166"/>
      <c r="AG998" s="166"/>
      <c r="AH998" s="166"/>
      <c r="AI998" s="166"/>
      <c r="AJ998" s="166"/>
      <c r="AK998" s="166"/>
      <c r="AL998" s="166"/>
      <c r="AM998" s="166"/>
      <c r="AN998" s="166"/>
      <c r="AO998" s="166"/>
      <c r="AP998" s="166"/>
      <c r="AQ998" s="166"/>
      <c r="AR998" s="166"/>
    </row>
    <row r="999" customHeight="1" spans="1:44">
      <c r="A999" s="166"/>
      <c r="B999" s="166"/>
      <c r="C999" s="166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  <c r="Z999" s="166"/>
      <c r="AA999" s="166"/>
      <c r="AB999" s="166"/>
      <c r="AC999" s="166"/>
      <c r="AD999" s="166"/>
      <c r="AE999" s="166"/>
      <c r="AF999" s="166"/>
      <c r="AG999" s="166"/>
      <c r="AH999" s="166"/>
      <c r="AI999" s="166"/>
      <c r="AJ999" s="166"/>
      <c r="AK999" s="166"/>
      <c r="AL999" s="166"/>
      <c r="AM999" s="166"/>
      <c r="AN999" s="166"/>
      <c r="AO999" s="166"/>
      <c r="AP999" s="166"/>
      <c r="AQ999" s="166"/>
      <c r="AR999" s="166"/>
    </row>
    <row r="1000" customHeight="1" spans="1:44">
      <c r="A1000" s="166"/>
      <c r="B1000" s="166"/>
      <c r="C1000" s="166"/>
      <c r="D1000" s="166"/>
      <c r="E1000" s="166"/>
      <c r="F1000" s="166"/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  <c r="Y1000" s="166"/>
      <c r="Z1000" s="166"/>
      <c r="AA1000" s="166"/>
      <c r="AB1000" s="166"/>
      <c r="AC1000" s="166"/>
      <c r="AD1000" s="166"/>
      <c r="AE1000" s="166"/>
      <c r="AF1000" s="166"/>
      <c r="AG1000" s="166"/>
      <c r="AH1000" s="166"/>
      <c r="AI1000" s="166"/>
      <c r="AJ1000" s="166"/>
      <c r="AK1000" s="166"/>
      <c r="AL1000" s="166"/>
      <c r="AM1000" s="166"/>
      <c r="AN1000" s="166"/>
      <c r="AO1000" s="166"/>
      <c r="AP1000" s="166"/>
      <c r="AQ1000" s="166"/>
      <c r="AR1000" s="166"/>
    </row>
    <row r="1001" customHeight="1" spans="1:44">
      <c r="A1001" s="166"/>
      <c r="B1001" s="166"/>
      <c r="C1001" s="166"/>
      <c r="D1001" s="166"/>
      <c r="E1001" s="166"/>
      <c r="F1001" s="166"/>
      <c r="G1001" s="166"/>
      <c r="H1001" s="166"/>
      <c r="I1001" s="166"/>
      <c r="J1001" s="166"/>
      <c r="K1001" s="166"/>
      <c r="L1001" s="166"/>
      <c r="M1001" s="166"/>
      <c r="N1001" s="166"/>
      <c r="O1001" s="166"/>
      <c r="P1001" s="166"/>
      <c r="Q1001" s="166"/>
      <c r="R1001" s="166"/>
      <c r="S1001" s="166"/>
      <c r="T1001" s="166"/>
      <c r="U1001" s="166"/>
      <c r="V1001" s="166"/>
      <c r="W1001" s="166"/>
      <c r="X1001" s="166"/>
      <c r="Y1001" s="166"/>
      <c r="Z1001" s="166"/>
      <c r="AA1001" s="166"/>
      <c r="AB1001" s="166"/>
      <c r="AC1001" s="166"/>
      <c r="AD1001" s="166"/>
      <c r="AE1001" s="166"/>
      <c r="AF1001" s="166"/>
      <c r="AG1001" s="166"/>
      <c r="AH1001" s="166"/>
      <c r="AI1001" s="166"/>
      <c r="AJ1001" s="166"/>
      <c r="AK1001" s="166"/>
      <c r="AL1001" s="166"/>
      <c r="AM1001" s="166"/>
      <c r="AN1001" s="166"/>
      <c r="AO1001" s="166"/>
      <c r="AP1001" s="166"/>
      <c r="AQ1001" s="166"/>
      <c r="AR1001" s="166"/>
    </row>
    <row r="1002" customHeight="1" spans="1:44">
      <c r="A1002" s="166"/>
      <c r="B1002" s="166"/>
      <c r="C1002" s="166"/>
      <c r="D1002" s="166"/>
      <c r="E1002" s="166"/>
      <c r="F1002" s="166"/>
      <c r="G1002" s="166"/>
      <c r="H1002" s="166"/>
      <c r="I1002" s="166"/>
      <c r="J1002" s="166"/>
      <c r="K1002" s="166"/>
      <c r="L1002" s="166"/>
      <c r="M1002" s="166"/>
      <c r="N1002" s="166"/>
      <c r="O1002" s="166"/>
      <c r="P1002" s="166"/>
      <c r="Q1002" s="166"/>
      <c r="R1002" s="166"/>
      <c r="S1002" s="166"/>
      <c r="T1002" s="166"/>
      <c r="U1002" s="166"/>
      <c r="V1002" s="166"/>
      <c r="W1002" s="166"/>
      <c r="X1002" s="166"/>
      <c r="Y1002" s="166"/>
      <c r="Z1002" s="166"/>
      <c r="AA1002" s="166"/>
      <c r="AB1002" s="166"/>
      <c r="AC1002" s="166"/>
      <c r="AD1002" s="166"/>
      <c r="AE1002" s="166"/>
      <c r="AF1002" s="166"/>
      <c r="AG1002" s="166"/>
      <c r="AH1002" s="166"/>
      <c r="AI1002" s="166"/>
      <c r="AJ1002" s="166"/>
      <c r="AK1002" s="166"/>
      <c r="AL1002" s="166"/>
      <c r="AM1002" s="166"/>
      <c r="AN1002" s="166"/>
      <c r="AO1002" s="166"/>
      <c r="AP1002" s="166"/>
      <c r="AQ1002" s="166"/>
      <c r="AR1002" s="166"/>
    </row>
    <row r="1003" customHeight="1" spans="1:44">
      <c r="A1003" s="166"/>
      <c r="B1003" s="166"/>
      <c r="C1003" s="166"/>
      <c r="D1003" s="166"/>
      <c r="E1003" s="166"/>
      <c r="F1003" s="166"/>
      <c r="G1003" s="166"/>
      <c r="H1003" s="166"/>
      <c r="I1003" s="166"/>
      <c r="J1003" s="166"/>
      <c r="K1003" s="166"/>
      <c r="L1003" s="166"/>
      <c r="M1003" s="166"/>
      <c r="N1003" s="166"/>
      <c r="O1003" s="166"/>
      <c r="P1003" s="166"/>
      <c r="Q1003" s="166"/>
      <c r="R1003" s="166"/>
      <c r="S1003" s="166"/>
      <c r="T1003" s="166"/>
      <c r="U1003" s="166"/>
      <c r="V1003" s="166"/>
      <c r="W1003" s="166"/>
      <c r="X1003" s="166"/>
      <c r="Y1003" s="166"/>
      <c r="Z1003" s="166"/>
      <c r="AA1003" s="166"/>
      <c r="AB1003" s="166"/>
      <c r="AC1003" s="166"/>
      <c r="AD1003" s="166"/>
      <c r="AE1003" s="166"/>
      <c r="AF1003" s="166"/>
      <c r="AG1003" s="166"/>
      <c r="AH1003" s="166"/>
      <c r="AI1003" s="166"/>
      <c r="AJ1003" s="166"/>
      <c r="AK1003" s="166"/>
      <c r="AL1003" s="166"/>
      <c r="AM1003" s="166"/>
      <c r="AN1003" s="166"/>
      <c r="AO1003" s="166"/>
      <c r="AP1003" s="166"/>
      <c r="AQ1003" s="166"/>
      <c r="AR1003" s="166"/>
    </row>
    <row r="1004" customHeight="1" spans="1:44">
      <c r="A1004" s="166"/>
      <c r="B1004" s="166"/>
      <c r="C1004" s="166"/>
      <c r="D1004" s="166"/>
      <c r="E1004" s="166"/>
      <c r="F1004" s="166"/>
      <c r="G1004" s="166"/>
      <c r="H1004" s="166"/>
      <c r="I1004" s="166"/>
      <c r="J1004" s="166"/>
      <c r="K1004" s="166"/>
      <c r="L1004" s="166"/>
      <c r="M1004" s="166"/>
      <c r="N1004" s="166"/>
      <c r="O1004" s="166"/>
      <c r="P1004" s="166"/>
      <c r="Q1004" s="166"/>
      <c r="R1004" s="166"/>
      <c r="S1004" s="166"/>
      <c r="T1004" s="166"/>
      <c r="U1004" s="166"/>
      <c r="V1004" s="166"/>
      <c r="W1004" s="166"/>
      <c r="X1004" s="166"/>
      <c r="Y1004" s="166"/>
      <c r="Z1004" s="166"/>
      <c r="AA1004" s="166"/>
      <c r="AB1004" s="166"/>
      <c r="AC1004" s="166"/>
      <c r="AD1004" s="166"/>
      <c r="AE1004" s="166"/>
      <c r="AF1004" s="166"/>
      <c r="AG1004" s="166"/>
      <c r="AH1004" s="166"/>
      <c r="AI1004" s="166"/>
      <c r="AJ1004" s="166"/>
      <c r="AK1004" s="166"/>
      <c r="AL1004" s="166"/>
      <c r="AM1004" s="166"/>
      <c r="AN1004" s="166"/>
      <c r="AO1004" s="166"/>
      <c r="AP1004" s="166"/>
      <c r="AQ1004" s="166"/>
      <c r="AR1004" s="166"/>
    </row>
    <row r="1005" customHeight="1" spans="1:44">
      <c r="A1005" s="166"/>
      <c r="B1005" s="166"/>
      <c r="C1005" s="166"/>
      <c r="D1005" s="166"/>
      <c r="E1005" s="166"/>
      <c r="F1005" s="166"/>
      <c r="G1005" s="166"/>
      <c r="H1005" s="166"/>
      <c r="I1005" s="166"/>
      <c r="J1005" s="166"/>
      <c r="K1005" s="166"/>
      <c r="L1005" s="166"/>
      <c r="M1005" s="166"/>
      <c r="N1005" s="166"/>
      <c r="O1005" s="166"/>
      <c r="P1005" s="166"/>
      <c r="Q1005" s="166"/>
      <c r="R1005" s="166"/>
      <c r="S1005" s="166"/>
      <c r="T1005" s="166"/>
      <c r="U1005" s="166"/>
      <c r="V1005" s="166"/>
      <c r="W1005" s="166"/>
      <c r="X1005" s="166"/>
      <c r="Y1005" s="166"/>
      <c r="Z1005" s="166"/>
      <c r="AA1005" s="166"/>
      <c r="AB1005" s="166"/>
      <c r="AC1005" s="166"/>
      <c r="AD1005" s="166"/>
      <c r="AE1005" s="166"/>
      <c r="AF1005" s="166"/>
      <c r="AG1005" s="166"/>
      <c r="AH1005" s="166"/>
      <c r="AI1005" s="166"/>
      <c r="AJ1005" s="166"/>
      <c r="AK1005" s="166"/>
      <c r="AL1005" s="166"/>
      <c r="AM1005" s="166"/>
      <c r="AN1005" s="166"/>
      <c r="AO1005" s="166"/>
      <c r="AP1005" s="166"/>
      <c r="AQ1005" s="166"/>
      <c r="AR1005" s="166"/>
    </row>
    <row r="1006" customHeight="1" spans="1:44">
      <c r="A1006" s="166"/>
      <c r="B1006" s="166"/>
      <c r="C1006" s="166"/>
      <c r="D1006" s="166"/>
      <c r="E1006" s="166"/>
      <c r="F1006" s="166"/>
      <c r="G1006" s="166"/>
      <c r="H1006" s="166"/>
      <c r="I1006" s="166"/>
      <c r="J1006" s="166"/>
      <c r="K1006" s="166"/>
      <c r="L1006" s="166"/>
      <c r="M1006" s="166"/>
      <c r="N1006" s="166"/>
      <c r="O1006" s="166"/>
      <c r="P1006" s="166"/>
      <c r="Q1006" s="166"/>
      <c r="R1006" s="166"/>
      <c r="S1006" s="166"/>
      <c r="T1006" s="166"/>
      <c r="U1006" s="166"/>
      <c r="V1006" s="166"/>
      <c r="W1006" s="166"/>
      <c r="X1006" s="166"/>
      <c r="Y1006" s="166"/>
      <c r="Z1006" s="166"/>
      <c r="AA1006" s="166"/>
      <c r="AB1006" s="166"/>
      <c r="AC1006" s="166"/>
      <c r="AD1006" s="166"/>
      <c r="AE1006" s="166"/>
      <c r="AF1006" s="166"/>
      <c r="AG1006" s="166"/>
      <c r="AH1006" s="166"/>
      <c r="AI1006" s="166"/>
      <c r="AJ1006" s="166"/>
      <c r="AK1006" s="166"/>
      <c r="AL1006" s="166"/>
      <c r="AM1006" s="166"/>
      <c r="AN1006" s="166"/>
      <c r="AO1006" s="166"/>
      <c r="AP1006" s="166"/>
      <c r="AQ1006" s="166"/>
      <c r="AR1006" s="166"/>
    </row>
    <row r="1007" customHeight="1" spans="1:44">
      <c r="A1007" s="166"/>
      <c r="B1007" s="166"/>
      <c r="C1007" s="166"/>
      <c r="D1007" s="166"/>
      <c r="E1007" s="166"/>
      <c r="F1007" s="166"/>
      <c r="G1007" s="166"/>
      <c r="H1007" s="166"/>
      <c r="I1007" s="166"/>
      <c r="J1007" s="166"/>
      <c r="K1007" s="166"/>
      <c r="L1007" s="166"/>
      <c r="M1007" s="166"/>
      <c r="N1007" s="166"/>
      <c r="O1007" s="166"/>
      <c r="P1007" s="166"/>
      <c r="Q1007" s="166"/>
      <c r="R1007" s="166"/>
      <c r="S1007" s="166"/>
      <c r="T1007" s="166"/>
      <c r="U1007" s="166"/>
      <c r="V1007" s="166"/>
      <c r="W1007" s="166"/>
      <c r="X1007" s="166"/>
      <c r="Y1007" s="166"/>
      <c r="Z1007" s="166"/>
      <c r="AA1007" s="166"/>
      <c r="AB1007" s="166"/>
      <c r="AC1007" s="166"/>
      <c r="AD1007" s="166"/>
      <c r="AE1007" s="166"/>
      <c r="AF1007" s="166"/>
      <c r="AG1007" s="166"/>
      <c r="AH1007" s="166"/>
      <c r="AI1007" s="166"/>
      <c r="AJ1007" s="166"/>
      <c r="AK1007" s="166"/>
      <c r="AL1007" s="166"/>
      <c r="AM1007" s="166"/>
      <c r="AN1007" s="166"/>
      <c r="AO1007" s="166"/>
      <c r="AP1007" s="166"/>
      <c r="AQ1007" s="166"/>
      <c r="AR1007" s="166"/>
    </row>
    <row r="1008" customHeight="1" spans="1:44">
      <c r="A1008" s="166"/>
      <c r="B1008" s="166"/>
      <c r="C1008" s="166"/>
      <c r="D1008" s="166"/>
      <c r="E1008" s="166"/>
      <c r="F1008" s="166"/>
      <c r="G1008" s="166"/>
      <c r="H1008" s="166"/>
      <c r="I1008" s="166"/>
      <c r="J1008" s="166"/>
      <c r="K1008" s="166"/>
      <c r="L1008" s="166"/>
      <c r="M1008" s="166"/>
      <c r="N1008" s="166"/>
      <c r="O1008" s="166"/>
      <c r="P1008" s="166"/>
      <c r="Q1008" s="166"/>
      <c r="R1008" s="166"/>
      <c r="S1008" s="166"/>
      <c r="T1008" s="166"/>
      <c r="U1008" s="166"/>
      <c r="V1008" s="166"/>
      <c r="W1008" s="166"/>
      <c r="X1008" s="166"/>
      <c r="Y1008" s="166"/>
      <c r="Z1008" s="166"/>
      <c r="AA1008" s="166"/>
      <c r="AB1008" s="166"/>
      <c r="AC1008" s="166"/>
      <c r="AD1008" s="166"/>
      <c r="AE1008" s="166"/>
      <c r="AF1008" s="166"/>
      <c r="AG1008" s="166"/>
      <c r="AH1008" s="166"/>
      <c r="AI1008" s="166"/>
      <c r="AJ1008" s="166"/>
      <c r="AK1008" s="166"/>
      <c r="AL1008" s="166"/>
      <c r="AM1008" s="166"/>
      <c r="AN1008" s="166"/>
      <c r="AO1008" s="166"/>
      <c r="AP1008" s="166"/>
      <c r="AQ1008" s="166"/>
      <c r="AR1008" s="166"/>
    </row>
    <row r="1009" customHeight="1" spans="1:44">
      <c r="A1009" s="166"/>
      <c r="B1009" s="166"/>
      <c r="C1009" s="166"/>
      <c r="D1009" s="166"/>
      <c r="E1009" s="166"/>
      <c r="F1009" s="166"/>
      <c r="G1009" s="166"/>
      <c r="H1009" s="166"/>
      <c r="I1009" s="166"/>
      <c r="J1009" s="166"/>
      <c r="K1009" s="166"/>
      <c r="L1009" s="166"/>
      <c r="M1009" s="166"/>
      <c r="N1009" s="166"/>
      <c r="O1009" s="166"/>
      <c r="P1009" s="166"/>
      <c r="Q1009" s="166"/>
      <c r="R1009" s="166"/>
      <c r="S1009" s="166"/>
      <c r="T1009" s="166"/>
      <c r="U1009" s="166"/>
      <c r="V1009" s="166"/>
      <c r="W1009" s="166"/>
      <c r="X1009" s="166"/>
      <c r="Y1009" s="166"/>
      <c r="Z1009" s="166"/>
      <c r="AA1009" s="166"/>
      <c r="AB1009" s="166"/>
      <c r="AC1009" s="166"/>
      <c r="AD1009" s="166"/>
      <c r="AE1009" s="166"/>
      <c r="AF1009" s="166"/>
      <c r="AG1009" s="166"/>
      <c r="AH1009" s="166"/>
      <c r="AI1009" s="166"/>
      <c r="AJ1009" s="166"/>
      <c r="AK1009" s="166"/>
      <c r="AL1009" s="166"/>
      <c r="AM1009" s="166"/>
      <c r="AN1009" s="166"/>
      <c r="AO1009" s="166"/>
      <c r="AP1009" s="166"/>
      <c r="AQ1009" s="166"/>
      <c r="AR1009" s="166"/>
    </row>
    <row r="1010" customHeight="1" spans="1:44">
      <c r="A1010" s="166"/>
      <c r="B1010" s="166"/>
      <c r="C1010" s="166"/>
      <c r="D1010" s="166"/>
      <c r="E1010" s="166"/>
      <c r="F1010" s="166"/>
      <c r="G1010" s="166"/>
      <c r="H1010" s="166"/>
      <c r="I1010" s="166"/>
      <c r="J1010" s="166"/>
      <c r="K1010" s="166"/>
      <c r="L1010" s="166"/>
      <c r="M1010" s="166"/>
      <c r="N1010" s="166"/>
      <c r="O1010" s="166"/>
      <c r="P1010" s="166"/>
      <c r="Q1010" s="166"/>
      <c r="R1010" s="166"/>
      <c r="S1010" s="166"/>
      <c r="T1010" s="166"/>
      <c r="U1010" s="166"/>
      <c r="V1010" s="166"/>
      <c r="W1010" s="166"/>
      <c r="X1010" s="166"/>
      <c r="Y1010" s="166"/>
      <c r="Z1010" s="166"/>
      <c r="AA1010" s="166"/>
      <c r="AB1010" s="166"/>
      <c r="AC1010" s="166"/>
      <c r="AD1010" s="166"/>
      <c r="AE1010" s="166"/>
      <c r="AF1010" s="166"/>
      <c r="AG1010" s="166"/>
      <c r="AH1010" s="166"/>
      <c r="AI1010" s="166"/>
      <c r="AJ1010" s="166"/>
      <c r="AK1010" s="166"/>
      <c r="AL1010" s="166"/>
      <c r="AM1010" s="166"/>
      <c r="AN1010" s="166"/>
      <c r="AO1010" s="166"/>
      <c r="AP1010" s="166"/>
      <c r="AQ1010" s="166"/>
      <c r="AR1010" s="166"/>
    </row>
    <row r="1011" customHeight="1" spans="1:44">
      <c r="A1011" s="166"/>
      <c r="B1011" s="166"/>
      <c r="C1011" s="166"/>
      <c r="D1011" s="166"/>
      <c r="E1011" s="166"/>
      <c r="F1011" s="166"/>
      <c r="G1011" s="166"/>
      <c r="H1011" s="166"/>
      <c r="I1011" s="166"/>
      <c r="J1011" s="166"/>
      <c r="K1011" s="166"/>
      <c r="L1011" s="166"/>
      <c r="M1011" s="166"/>
      <c r="N1011" s="166"/>
      <c r="O1011" s="166"/>
      <c r="P1011" s="166"/>
      <c r="Q1011" s="166"/>
      <c r="R1011" s="166"/>
      <c r="S1011" s="166"/>
      <c r="T1011" s="166"/>
      <c r="U1011" s="166"/>
      <c r="V1011" s="166"/>
      <c r="W1011" s="166"/>
      <c r="X1011" s="166"/>
      <c r="Y1011" s="166"/>
      <c r="Z1011" s="166"/>
      <c r="AA1011" s="166"/>
      <c r="AB1011" s="166"/>
      <c r="AC1011" s="166"/>
      <c r="AD1011" s="166"/>
      <c r="AE1011" s="166"/>
      <c r="AF1011" s="166"/>
      <c r="AG1011" s="166"/>
      <c r="AH1011" s="166"/>
      <c r="AI1011" s="166"/>
      <c r="AJ1011" s="166"/>
      <c r="AK1011" s="166"/>
      <c r="AL1011" s="166"/>
      <c r="AM1011" s="166"/>
      <c r="AN1011" s="166"/>
      <c r="AO1011" s="166"/>
      <c r="AP1011" s="166"/>
      <c r="AQ1011" s="166"/>
      <c r="AR1011" s="166"/>
    </row>
    <row r="1012" customHeight="1" spans="1:44">
      <c r="A1012" s="166"/>
      <c r="B1012" s="166"/>
      <c r="C1012" s="166"/>
      <c r="D1012" s="166"/>
      <c r="E1012" s="166"/>
      <c r="F1012" s="166"/>
      <c r="G1012" s="166"/>
      <c r="H1012" s="166"/>
      <c r="I1012" s="166"/>
      <c r="J1012" s="166"/>
      <c r="K1012" s="166"/>
      <c r="L1012" s="166"/>
      <c r="M1012" s="166"/>
      <c r="N1012" s="166"/>
      <c r="O1012" s="166"/>
      <c r="P1012" s="166"/>
      <c r="Q1012" s="166"/>
      <c r="R1012" s="166"/>
      <c r="S1012" s="166"/>
      <c r="T1012" s="166"/>
      <c r="U1012" s="166"/>
      <c r="V1012" s="166"/>
      <c r="W1012" s="166"/>
      <c r="X1012" s="166"/>
      <c r="Y1012" s="166"/>
      <c r="Z1012" s="166"/>
      <c r="AA1012" s="166"/>
      <c r="AB1012" s="166"/>
      <c r="AC1012" s="166"/>
      <c r="AD1012" s="166"/>
      <c r="AE1012" s="166"/>
      <c r="AF1012" s="166"/>
      <c r="AG1012" s="166"/>
      <c r="AH1012" s="166"/>
      <c r="AI1012" s="166"/>
      <c r="AJ1012" s="166"/>
      <c r="AK1012" s="166"/>
      <c r="AL1012" s="166"/>
      <c r="AM1012" s="166"/>
      <c r="AN1012" s="166"/>
      <c r="AO1012" s="166"/>
      <c r="AP1012" s="166"/>
      <c r="AQ1012" s="166"/>
      <c r="AR1012" s="166"/>
    </row>
    <row r="1013" customHeight="1" spans="1:44">
      <c r="A1013" s="166"/>
      <c r="B1013" s="166"/>
      <c r="C1013" s="166"/>
      <c r="D1013" s="166"/>
      <c r="E1013" s="166"/>
      <c r="F1013" s="166"/>
      <c r="G1013" s="166"/>
      <c r="H1013" s="166"/>
      <c r="I1013" s="166"/>
      <c r="J1013" s="166"/>
      <c r="K1013" s="166"/>
      <c r="L1013" s="166"/>
      <c r="M1013" s="166"/>
      <c r="N1013" s="166"/>
      <c r="O1013" s="166"/>
      <c r="P1013" s="166"/>
      <c r="Q1013" s="166"/>
      <c r="R1013" s="166"/>
      <c r="S1013" s="166"/>
      <c r="T1013" s="166"/>
      <c r="U1013" s="166"/>
      <c r="V1013" s="166"/>
      <c r="W1013" s="166"/>
      <c r="X1013" s="166"/>
      <c r="Y1013" s="166"/>
      <c r="Z1013" s="166"/>
      <c r="AA1013" s="166"/>
      <c r="AB1013" s="166"/>
      <c r="AC1013" s="166"/>
      <c r="AD1013" s="166"/>
      <c r="AE1013" s="166"/>
      <c r="AF1013" s="166"/>
      <c r="AG1013" s="166"/>
      <c r="AH1013" s="166"/>
      <c r="AI1013" s="166"/>
      <c r="AJ1013" s="166"/>
      <c r="AK1013" s="166"/>
      <c r="AL1013" s="166"/>
      <c r="AM1013" s="166"/>
      <c r="AN1013" s="166"/>
      <c r="AO1013" s="166"/>
      <c r="AP1013" s="166"/>
      <c r="AQ1013" s="166"/>
      <c r="AR1013" s="166"/>
    </row>
    <row r="1014" customHeight="1" spans="1:44">
      <c r="A1014" s="166"/>
      <c r="B1014" s="166"/>
      <c r="C1014" s="166"/>
      <c r="D1014" s="166"/>
      <c r="E1014" s="166"/>
      <c r="F1014" s="166"/>
      <c r="G1014" s="166"/>
      <c r="H1014" s="166"/>
      <c r="I1014" s="166"/>
      <c r="J1014" s="166"/>
      <c r="K1014" s="166"/>
      <c r="L1014" s="166"/>
      <c r="M1014" s="166"/>
      <c r="N1014" s="166"/>
      <c r="O1014" s="166"/>
      <c r="P1014" s="166"/>
      <c r="Q1014" s="166"/>
      <c r="R1014" s="166"/>
      <c r="S1014" s="166"/>
      <c r="T1014" s="166"/>
      <c r="U1014" s="166"/>
      <c r="V1014" s="166"/>
      <c r="W1014" s="166"/>
      <c r="X1014" s="166"/>
      <c r="Y1014" s="166"/>
      <c r="Z1014" s="166"/>
      <c r="AA1014" s="166"/>
      <c r="AB1014" s="166"/>
      <c r="AC1014" s="166"/>
      <c r="AD1014" s="166"/>
      <c r="AE1014" s="166"/>
      <c r="AF1014" s="166"/>
      <c r="AG1014" s="166"/>
      <c r="AH1014" s="166"/>
      <c r="AI1014" s="166"/>
      <c r="AJ1014" s="166"/>
      <c r="AK1014" s="166"/>
      <c r="AL1014" s="166"/>
      <c r="AM1014" s="166"/>
      <c r="AN1014" s="166"/>
      <c r="AO1014" s="166"/>
      <c r="AP1014" s="166"/>
      <c r="AQ1014" s="166"/>
      <c r="AR1014" s="166"/>
    </row>
    <row r="1015" customHeight="1" spans="1:44">
      <c r="A1015" s="166"/>
      <c r="B1015" s="166"/>
      <c r="C1015" s="166"/>
      <c r="D1015" s="166"/>
      <c r="E1015" s="166"/>
      <c r="F1015" s="166"/>
      <c r="G1015" s="166"/>
      <c r="H1015" s="166"/>
      <c r="I1015" s="166"/>
      <c r="J1015" s="166"/>
      <c r="K1015" s="166"/>
      <c r="L1015" s="166"/>
      <c r="M1015" s="166"/>
      <c r="N1015" s="166"/>
      <c r="O1015" s="166"/>
      <c r="P1015" s="166"/>
      <c r="Q1015" s="166"/>
      <c r="R1015" s="166"/>
      <c r="S1015" s="166"/>
      <c r="T1015" s="166"/>
      <c r="U1015" s="166"/>
      <c r="V1015" s="166"/>
      <c r="W1015" s="166"/>
      <c r="X1015" s="166"/>
      <c r="Y1015" s="166"/>
      <c r="Z1015" s="166"/>
      <c r="AA1015" s="166"/>
      <c r="AB1015" s="166"/>
      <c r="AC1015" s="166"/>
      <c r="AD1015" s="166"/>
      <c r="AE1015" s="166"/>
      <c r="AF1015" s="166"/>
      <c r="AG1015" s="166"/>
      <c r="AH1015" s="166"/>
      <c r="AI1015" s="166"/>
      <c r="AJ1015" s="166"/>
      <c r="AK1015" s="166"/>
      <c r="AL1015" s="166"/>
      <c r="AM1015" s="166"/>
      <c r="AN1015" s="166"/>
      <c r="AO1015" s="166"/>
      <c r="AP1015" s="166"/>
      <c r="AQ1015" s="166"/>
      <c r="AR1015" s="166"/>
    </row>
    <row r="1016" customHeight="1" spans="1:44">
      <c r="A1016" s="166"/>
      <c r="B1016" s="166"/>
      <c r="C1016" s="166"/>
      <c r="D1016" s="166"/>
      <c r="E1016" s="166"/>
      <c r="F1016" s="166"/>
      <c r="G1016" s="166"/>
      <c r="H1016" s="166"/>
      <c r="I1016" s="166"/>
      <c r="J1016" s="166"/>
      <c r="K1016" s="166"/>
      <c r="L1016" s="166"/>
      <c r="M1016" s="166"/>
      <c r="N1016" s="166"/>
      <c r="O1016" s="166"/>
      <c r="P1016" s="166"/>
      <c r="Q1016" s="166"/>
      <c r="R1016" s="166"/>
      <c r="S1016" s="166"/>
      <c r="T1016" s="166"/>
      <c r="U1016" s="166"/>
      <c r="V1016" s="166"/>
      <c r="W1016" s="166"/>
      <c r="X1016" s="166"/>
      <c r="Y1016" s="166"/>
      <c r="Z1016" s="166"/>
      <c r="AA1016" s="166"/>
      <c r="AB1016" s="166"/>
      <c r="AC1016" s="166"/>
      <c r="AD1016" s="166"/>
      <c r="AE1016" s="166"/>
      <c r="AF1016" s="166"/>
      <c r="AG1016" s="166"/>
      <c r="AH1016" s="166"/>
      <c r="AI1016" s="166"/>
      <c r="AJ1016" s="166"/>
      <c r="AK1016" s="166"/>
      <c r="AL1016" s="166"/>
      <c r="AM1016" s="166"/>
      <c r="AN1016" s="166"/>
      <c r="AO1016" s="166"/>
      <c r="AP1016" s="166"/>
      <c r="AQ1016" s="166"/>
      <c r="AR1016" s="166"/>
    </row>
    <row r="1017" customHeight="1" spans="1:44">
      <c r="A1017" s="166"/>
      <c r="B1017" s="166"/>
      <c r="C1017" s="166"/>
      <c r="D1017" s="166"/>
      <c r="E1017" s="166"/>
      <c r="F1017" s="166"/>
      <c r="G1017" s="166"/>
      <c r="H1017" s="166"/>
      <c r="I1017" s="166"/>
      <c r="J1017" s="166"/>
      <c r="K1017" s="166"/>
      <c r="L1017" s="166"/>
      <c r="M1017" s="166"/>
      <c r="N1017" s="166"/>
      <c r="O1017" s="166"/>
      <c r="P1017" s="166"/>
      <c r="Q1017" s="166"/>
      <c r="R1017" s="166"/>
      <c r="S1017" s="166"/>
      <c r="T1017" s="166"/>
      <c r="U1017" s="166"/>
      <c r="V1017" s="166"/>
      <c r="W1017" s="166"/>
      <c r="X1017" s="166"/>
      <c r="Y1017" s="166"/>
      <c r="Z1017" s="166"/>
      <c r="AA1017" s="166"/>
      <c r="AB1017" s="166"/>
      <c r="AC1017" s="166"/>
      <c r="AD1017" s="166"/>
      <c r="AE1017" s="166"/>
      <c r="AF1017" s="166"/>
      <c r="AG1017" s="166"/>
      <c r="AH1017" s="166"/>
      <c r="AI1017" s="166"/>
      <c r="AJ1017" s="166"/>
      <c r="AK1017" s="166"/>
      <c r="AL1017" s="166"/>
      <c r="AM1017" s="166"/>
      <c r="AN1017" s="166"/>
      <c r="AO1017" s="166"/>
      <c r="AP1017" s="166"/>
      <c r="AQ1017" s="166"/>
      <c r="AR1017" s="166"/>
    </row>
    <row r="1018" customHeight="1" spans="1:44">
      <c r="A1018" s="166"/>
      <c r="B1018" s="166"/>
      <c r="C1018" s="166"/>
      <c r="D1018" s="166"/>
      <c r="E1018" s="166"/>
      <c r="F1018" s="166"/>
      <c r="G1018" s="166"/>
      <c r="H1018" s="166"/>
      <c r="I1018" s="166"/>
      <c r="J1018" s="166"/>
      <c r="K1018" s="166"/>
      <c r="L1018" s="166"/>
      <c r="M1018" s="166"/>
      <c r="N1018" s="166"/>
      <c r="O1018" s="166"/>
      <c r="P1018" s="166"/>
      <c r="Q1018" s="166"/>
      <c r="R1018" s="166"/>
      <c r="S1018" s="166"/>
      <c r="T1018" s="166"/>
      <c r="U1018" s="166"/>
      <c r="V1018" s="166"/>
      <c r="W1018" s="166"/>
      <c r="X1018" s="166"/>
      <c r="Y1018" s="166"/>
      <c r="Z1018" s="166"/>
      <c r="AA1018" s="166"/>
      <c r="AB1018" s="166"/>
      <c r="AC1018" s="166"/>
      <c r="AD1018" s="166"/>
      <c r="AE1018" s="166"/>
      <c r="AF1018" s="166"/>
      <c r="AG1018" s="166"/>
      <c r="AH1018" s="166"/>
      <c r="AI1018" s="166"/>
      <c r="AJ1018" s="166"/>
      <c r="AK1018" s="166"/>
      <c r="AL1018" s="166"/>
      <c r="AM1018" s="166"/>
      <c r="AN1018" s="166"/>
      <c r="AO1018" s="166"/>
      <c r="AP1018" s="166"/>
      <c r="AQ1018" s="166"/>
      <c r="AR1018" s="166"/>
    </row>
    <row r="1019" customHeight="1" spans="1:44">
      <c r="A1019" s="166"/>
      <c r="B1019" s="166"/>
      <c r="C1019" s="166"/>
      <c r="D1019" s="166"/>
      <c r="E1019" s="166"/>
      <c r="F1019" s="166"/>
      <c r="G1019" s="166"/>
      <c r="H1019" s="166"/>
      <c r="I1019" s="166"/>
      <c r="J1019" s="166"/>
      <c r="K1019" s="166"/>
      <c r="L1019" s="166"/>
      <c r="M1019" s="166"/>
      <c r="N1019" s="166"/>
      <c r="O1019" s="166"/>
      <c r="P1019" s="166"/>
      <c r="Q1019" s="166"/>
      <c r="R1019" s="166"/>
      <c r="S1019" s="166"/>
      <c r="T1019" s="166"/>
      <c r="U1019" s="166"/>
      <c r="V1019" s="166"/>
      <c r="W1019" s="166"/>
      <c r="X1019" s="166"/>
      <c r="Y1019" s="166"/>
      <c r="Z1019" s="166"/>
      <c r="AA1019" s="166"/>
      <c r="AB1019" s="166"/>
      <c r="AC1019" s="166"/>
      <c r="AD1019" s="166"/>
      <c r="AE1019" s="166"/>
      <c r="AF1019" s="166"/>
      <c r="AG1019" s="166"/>
      <c r="AH1019" s="166"/>
      <c r="AI1019" s="166"/>
      <c r="AJ1019" s="166"/>
      <c r="AK1019" s="166"/>
      <c r="AL1019" s="166"/>
      <c r="AM1019" s="166"/>
      <c r="AN1019" s="166"/>
      <c r="AO1019" s="166"/>
      <c r="AP1019" s="166"/>
      <c r="AQ1019" s="166"/>
      <c r="AR1019" s="166"/>
    </row>
    <row r="1020" customHeight="1" spans="1:44">
      <c r="A1020" s="166"/>
      <c r="B1020" s="166"/>
      <c r="C1020" s="166"/>
      <c r="D1020" s="166"/>
      <c r="E1020" s="166"/>
      <c r="F1020" s="166"/>
      <c r="G1020" s="166"/>
      <c r="H1020" s="166"/>
      <c r="I1020" s="166"/>
      <c r="J1020" s="166"/>
      <c r="K1020" s="166"/>
      <c r="L1020" s="166"/>
      <c r="M1020" s="166"/>
      <c r="N1020" s="166"/>
      <c r="O1020" s="166"/>
      <c r="P1020" s="166"/>
      <c r="Q1020" s="166"/>
      <c r="R1020" s="166"/>
      <c r="S1020" s="166"/>
      <c r="T1020" s="166"/>
      <c r="U1020" s="166"/>
      <c r="V1020" s="166"/>
      <c r="W1020" s="166"/>
      <c r="X1020" s="166"/>
      <c r="Y1020" s="166"/>
      <c r="Z1020" s="166"/>
      <c r="AA1020" s="166"/>
      <c r="AB1020" s="166"/>
      <c r="AC1020" s="166"/>
      <c r="AD1020" s="166"/>
      <c r="AE1020" s="166"/>
      <c r="AF1020" s="166"/>
      <c r="AG1020" s="166"/>
      <c r="AH1020" s="166"/>
      <c r="AI1020" s="166"/>
      <c r="AJ1020" s="166"/>
      <c r="AK1020" s="166"/>
      <c r="AL1020" s="166"/>
      <c r="AM1020" s="166"/>
      <c r="AN1020" s="166"/>
      <c r="AO1020" s="166"/>
      <c r="AP1020" s="166"/>
      <c r="AQ1020" s="166"/>
      <c r="AR1020" s="166"/>
    </row>
    <row r="1021" customHeight="1" spans="1:44">
      <c r="A1021" s="166"/>
      <c r="B1021" s="166"/>
      <c r="C1021" s="166"/>
      <c r="D1021" s="166"/>
      <c r="E1021" s="166"/>
      <c r="F1021" s="166"/>
      <c r="G1021" s="166"/>
      <c r="H1021" s="166"/>
      <c r="I1021" s="166"/>
      <c r="J1021" s="166"/>
      <c r="K1021" s="166"/>
      <c r="L1021" s="166"/>
      <c r="M1021" s="166"/>
      <c r="N1021" s="166"/>
      <c r="O1021" s="166"/>
      <c r="P1021" s="166"/>
      <c r="Q1021" s="166"/>
      <c r="R1021" s="166"/>
      <c r="S1021" s="166"/>
      <c r="T1021" s="166"/>
      <c r="U1021" s="166"/>
      <c r="V1021" s="166"/>
      <c r="W1021" s="166"/>
      <c r="X1021" s="166"/>
      <c r="Y1021" s="166"/>
      <c r="Z1021" s="166"/>
      <c r="AA1021" s="166"/>
      <c r="AB1021" s="166"/>
      <c r="AC1021" s="166"/>
      <c r="AD1021" s="166"/>
      <c r="AE1021" s="166"/>
      <c r="AF1021" s="166"/>
      <c r="AG1021" s="166"/>
      <c r="AH1021" s="166"/>
      <c r="AI1021" s="166"/>
      <c r="AJ1021" s="166"/>
      <c r="AK1021" s="166"/>
      <c r="AL1021" s="166"/>
      <c r="AM1021" s="166"/>
      <c r="AN1021" s="166"/>
      <c r="AO1021" s="166"/>
      <c r="AP1021" s="166"/>
      <c r="AQ1021" s="166"/>
      <c r="AR1021" s="166"/>
    </row>
    <row r="1022" customHeight="1" spans="1:44">
      <c r="A1022" s="166"/>
      <c r="B1022" s="166"/>
      <c r="C1022" s="166"/>
      <c r="D1022" s="166"/>
      <c r="E1022" s="166"/>
      <c r="F1022" s="166"/>
      <c r="G1022" s="166"/>
      <c r="H1022" s="166"/>
      <c r="I1022" s="166"/>
      <c r="J1022" s="166"/>
      <c r="K1022" s="166"/>
      <c r="L1022" s="166"/>
      <c r="M1022" s="166"/>
      <c r="N1022" s="166"/>
      <c r="O1022" s="166"/>
      <c r="P1022" s="166"/>
      <c r="Q1022" s="166"/>
      <c r="R1022" s="166"/>
      <c r="S1022" s="166"/>
      <c r="T1022" s="166"/>
      <c r="U1022" s="166"/>
      <c r="V1022" s="166"/>
      <c r="W1022" s="166"/>
      <c r="X1022" s="166"/>
      <c r="Y1022" s="166"/>
      <c r="Z1022" s="166"/>
      <c r="AA1022" s="166"/>
      <c r="AB1022" s="166"/>
      <c r="AC1022" s="166"/>
      <c r="AD1022" s="166"/>
      <c r="AE1022" s="166"/>
      <c r="AF1022" s="166"/>
      <c r="AG1022" s="166"/>
      <c r="AH1022" s="166"/>
      <c r="AI1022" s="166"/>
      <c r="AJ1022" s="166"/>
      <c r="AK1022" s="166"/>
      <c r="AL1022" s="166"/>
      <c r="AM1022" s="166"/>
      <c r="AN1022" s="166"/>
      <c r="AO1022" s="166"/>
      <c r="AP1022" s="166"/>
      <c r="AQ1022" s="166"/>
      <c r="AR1022" s="166"/>
    </row>
    <row r="1023" customHeight="1" spans="1:44">
      <c r="A1023" s="166"/>
      <c r="B1023" s="166"/>
      <c r="C1023" s="166"/>
      <c r="D1023" s="166"/>
      <c r="E1023" s="166"/>
      <c r="F1023" s="166"/>
      <c r="G1023" s="166"/>
      <c r="H1023" s="166"/>
      <c r="I1023" s="166"/>
      <c r="J1023" s="166"/>
      <c r="K1023" s="166"/>
      <c r="L1023" s="166"/>
      <c r="M1023" s="166"/>
      <c r="N1023" s="166"/>
      <c r="O1023" s="166"/>
      <c r="P1023" s="166"/>
      <c r="Q1023" s="166"/>
      <c r="R1023" s="166"/>
      <c r="S1023" s="166"/>
      <c r="T1023" s="166"/>
      <c r="U1023" s="166"/>
      <c r="V1023" s="166"/>
      <c r="W1023" s="166"/>
      <c r="X1023" s="166"/>
      <c r="Y1023" s="166"/>
      <c r="Z1023" s="166"/>
      <c r="AA1023" s="166"/>
      <c r="AB1023" s="166"/>
      <c r="AC1023" s="166"/>
      <c r="AD1023" s="166"/>
      <c r="AE1023" s="166"/>
      <c r="AF1023" s="166"/>
      <c r="AG1023" s="166"/>
      <c r="AH1023" s="166"/>
      <c r="AI1023" s="166"/>
      <c r="AJ1023" s="166"/>
      <c r="AK1023" s="166"/>
      <c r="AL1023" s="166"/>
      <c r="AM1023" s="166"/>
      <c r="AN1023" s="166"/>
      <c r="AO1023" s="166"/>
      <c r="AP1023" s="166"/>
      <c r="AQ1023" s="166"/>
      <c r="AR1023" s="166"/>
    </row>
  </sheetData>
  <mergeCells count="1905">
    <mergeCell ref="B1:C1"/>
    <mergeCell ref="B16:B19"/>
    <mergeCell ref="B20:B23"/>
    <mergeCell ref="B24:B25"/>
    <mergeCell ref="B26:B27"/>
    <mergeCell ref="B28:B29"/>
    <mergeCell ref="B30:B31"/>
    <mergeCell ref="B33:B34"/>
    <mergeCell ref="B37:B38"/>
    <mergeCell ref="B39:B40"/>
    <mergeCell ref="B41:B42"/>
    <mergeCell ref="B43:B44"/>
    <mergeCell ref="B45:B46"/>
    <mergeCell ref="B50:B51"/>
    <mergeCell ref="B54:B55"/>
    <mergeCell ref="B57:B59"/>
    <mergeCell ref="B61:B62"/>
    <mergeCell ref="B66:B67"/>
    <mergeCell ref="B68:B69"/>
    <mergeCell ref="B70:B71"/>
    <mergeCell ref="B72:B73"/>
    <mergeCell ref="B76:B77"/>
    <mergeCell ref="B80:B83"/>
    <mergeCell ref="B85:B86"/>
    <mergeCell ref="B88:B89"/>
    <mergeCell ref="B92:B93"/>
    <mergeCell ref="B95:B97"/>
    <mergeCell ref="B98:B100"/>
    <mergeCell ref="B107:B108"/>
    <mergeCell ref="B109:B110"/>
    <mergeCell ref="B111:B112"/>
    <mergeCell ref="B116:B117"/>
    <mergeCell ref="B120:B121"/>
    <mergeCell ref="B128:B129"/>
    <mergeCell ref="B136:B137"/>
    <mergeCell ref="B139:B140"/>
    <mergeCell ref="B144:B145"/>
    <mergeCell ref="B151:B152"/>
    <mergeCell ref="B153:B154"/>
    <mergeCell ref="B155:B156"/>
    <mergeCell ref="B159:B160"/>
    <mergeCell ref="B171:B172"/>
    <mergeCell ref="B173:B174"/>
    <mergeCell ref="B175:B176"/>
    <mergeCell ref="B184:B186"/>
    <mergeCell ref="B187:B188"/>
    <mergeCell ref="B190:B191"/>
    <mergeCell ref="B193:B194"/>
    <mergeCell ref="B208:B209"/>
    <mergeCell ref="B210:B211"/>
    <mergeCell ref="B213:B214"/>
    <mergeCell ref="B216:B217"/>
    <mergeCell ref="B218:B219"/>
    <mergeCell ref="B221:B222"/>
    <mergeCell ref="B224:B225"/>
    <mergeCell ref="B226:B227"/>
    <mergeCell ref="B229:B230"/>
    <mergeCell ref="B231:B232"/>
    <mergeCell ref="B233:B235"/>
    <mergeCell ref="B236:B237"/>
    <mergeCell ref="B238:B239"/>
    <mergeCell ref="B240:B241"/>
    <mergeCell ref="B245:B246"/>
    <mergeCell ref="B247:B249"/>
    <mergeCell ref="B250:B252"/>
    <mergeCell ref="B253:B255"/>
    <mergeCell ref="B256:B257"/>
    <mergeCell ref="B258:B261"/>
    <mergeCell ref="B262:B265"/>
    <mergeCell ref="B266:B269"/>
    <mergeCell ref="B270:B273"/>
    <mergeCell ref="B283:B284"/>
    <mergeCell ref="B286:B287"/>
    <mergeCell ref="B289:B290"/>
    <mergeCell ref="B295:B296"/>
    <mergeCell ref="B297:B298"/>
    <mergeCell ref="B299:B300"/>
    <mergeCell ref="B303:B305"/>
    <mergeCell ref="B314:B315"/>
    <mergeCell ref="B323:B324"/>
    <mergeCell ref="B325:B326"/>
    <mergeCell ref="B327:B328"/>
    <mergeCell ref="B329:B330"/>
    <mergeCell ref="B331:B332"/>
    <mergeCell ref="B333:B335"/>
    <mergeCell ref="B353:B354"/>
    <mergeCell ref="B357:B358"/>
    <mergeCell ref="B359:B360"/>
    <mergeCell ref="B365:B366"/>
    <mergeCell ref="B368:B369"/>
    <mergeCell ref="B373:B374"/>
    <mergeCell ref="B375:B376"/>
    <mergeCell ref="B382:B383"/>
    <mergeCell ref="B389:B390"/>
    <mergeCell ref="B391:B392"/>
    <mergeCell ref="B396:B397"/>
    <mergeCell ref="B398:B399"/>
    <mergeCell ref="B407:B408"/>
    <mergeCell ref="B409:B410"/>
    <mergeCell ref="C16:C19"/>
    <mergeCell ref="C20:C23"/>
    <mergeCell ref="C24:C25"/>
    <mergeCell ref="C26:C27"/>
    <mergeCell ref="C28:C29"/>
    <mergeCell ref="C30:C31"/>
    <mergeCell ref="C33:C34"/>
    <mergeCell ref="C37:C38"/>
    <mergeCell ref="C39:C40"/>
    <mergeCell ref="C41:C42"/>
    <mergeCell ref="C43:C44"/>
    <mergeCell ref="C45:C46"/>
    <mergeCell ref="C50:C51"/>
    <mergeCell ref="C54:C55"/>
    <mergeCell ref="C57:C59"/>
    <mergeCell ref="C61:C62"/>
    <mergeCell ref="C66:C67"/>
    <mergeCell ref="C68:C69"/>
    <mergeCell ref="C70:C71"/>
    <mergeCell ref="C72:C73"/>
    <mergeCell ref="C76:C77"/>
    <mergeCell ref="C80:C83"/>
    <mergeCell ref="C85:C86"/>
    <mergeCell ref="C88:C89"/>
    <mergeCell ref="C92:C93"/>
    <mergeCell ref="C95:C97"/>
    <mergeCell ref="C98:C100"/>
    <mergeCell ref="C107:C108"/>
    <mergeCell ref="C109:C110"/>
    <mergeCell ref="C111:C112"/>
    <mergeCell ref="C116:C117"/>
    <mergeCell ref="C120:C121"/>
    <mergeCell ref="C128:C129"/>
    <mergeCell ref="C136:C137"/>
    <mergeCell ref="C139:C140"/>
    <mergeCell ref="C144:C145"/>
    <mergeCell ref="C151:C152"/>
    <mergeCell ref="C153:C154"/>
    <mergeCell ref="C155:C156"/>
    <mergeCell ref="C159:C160"/>
    <mergeCell ref="C171:C172"/>
    <mergeCell ref="C173:C174"/>
    <mergeCell ref="C175:C176"/>
    <mergeCell ref="C184:C186"/>
    <mergeCell ref="C187:C188"/>
    <mergeCell ref="C190:C191"/>
    <mergeCell ref="C193:C194"/>
    <mergeCell ref="C208:C209"/>
    <mergeCell ref="C210:C211"/>
    <mergeCell ref="C213:C214"/>
    <mergeCell ref="C216:C217"/>
    <mergeCell ref="C218:C219"/>
    <mergeCell ref="C221:C222"/>
    <mergeCell ref="C224:C225"/>
    <mergeCell ref="C226:C227"/>
    <mergeCell ref="C229:C230"/>
    <mergeCell ref="C231:C232"/>
    <mergeCell ref="C233:C235"/>
    <mergeCell ref="C236:C237"/>
    <mergeCell ref="C238:C239"/>
    <mergeCell ref="C240:C241"/>
    <mergeCell ref="C245:C246"/>
    <mergeCell ref="C247:C249"/>
    <mergeCell ref="C250:C252"/>
    <mergeCell ref="C253:C255"/>
    <mergeCell ref="C256:C257"/>
    <mergeCell ref="C258:C261"/>
    <mergeCell ref="C262:C265"/>
    <mergeCell ref="C266:C269"/>
    <mergeCell ref="C270:C273"/>
    <mergeCell ref="C283:C284"/>
    <mergeCell ref="C286:C287"/>
    <mergeCell ref="C289:C290"/>
    <mergeCell ref="C295:C296"/>
    <mergeCell ref="C297:C298"/>
    <mergeCell ref="C299:C300"/>
    <mergeCell ref="C303:C305"/>
    <mergeCell ref="C314:C315"/>
    <mergeCell ref="C323:C324"/>
    <mergeCell ref="C325:C326"/>
    <mergeCell ref="C327:C328"/>
    <mergeCell ref="C329:C330"/>
    <mergeCell ref="C331:C332"/>
    <mergeCell ref="C333:C335"/>
    <mergeCell ref="C353:C354"/>
    <mergeCell ref="C357:C358"/>
    <mergeCell ref="C359:C360"/>
    <mergeCell ref="C365:C366"/>
    <mergeCell ref="C368:C369"/>
    <mergeCell ref="C373:C374"/>
    <mergeCell ref="C375:C376"/>
    <mergeCell ref="C382:C383"/>
    <mergeCell ref="C389:C390"/>
    <mergeCell ref="C391:C392"/>
    <mergeCell ref="C396:C397"/>
    <mergeCell ref="C398:C399"/>
    <mergeCell ref="C407:C408"/>
    <mergeCell ref="C409:C410"/>
    <mergeCell ref="D16:D19"/>
    <mergeCell ref="D20:D23"/>
    <mergeCell ref="D24:D25"/>
    <mergeCell ref="D26:D27"/>
    <mergeCell ref="D28:D29"/>
    <mergeCell ref="D30:D31"/>
    <mergeCell ref="D33:D34"/>
    <mergeCell ref="D37:D38"/>
    <mergeCell ref="D39:D40"/>
    <mergeCell ref="D41:D42"/>
    <mergeCell ref="D43:D44"/>
    <mergeCell ref="D45:D46"/>
    <mergeCell ref="D50:D51"/>
    <mergeCell ref="D54:D55"/>
    <mergeCell ref="D57:D59"/>
    <mergeCell ref="D61:D62"/>
    <mergeCell ref="D66:D67"/>
    <mergeCell ref="D68:D69"/>
    <mergeCell ref="D70:D71"/>
    <mergeCell ref="D72:D73"/>
    <mergeCell ref="D76:D77"/>
    <mergeCell ref="D80:D83"/>
    <mergeCell ref="D85:D86"/>
    <mergeCell ref="D88:D89"/>
    <mergeCell ref="D92:D93"/>
    <mergeCell ref="D95:D97"/>
    <mergeCell ref="D98:D100"/>
    <mergeCell ref="D107:D108"/>
    <mergeCell ref="D109:D110"/>
    <mergeCell ref="D111:D112"/>
    <mergeCell ref="D116:D117"/>
    <mergeCell ref="D120:D121"/>
    <mergeCell ref="D128:D129"/>
    <mergeCell ref="D136:D137"/>
    <mergeCell ref="D139:D140"/>
    <mergeCell ref="D144:D145"/>
    <mergeCell ref="D151:D152"/>
    <mergeCell ref="D153:D154"/>
    <mergeCell ref="D155:D156"/>
    <mergeCell ref="D159:D160"/>
    <mergeCell ref="D171:D172"/>
    <mergeCell ref="D173:D174"/>
    <mergeCell ref="D175:D176"/>
    <mergeCell ref="D184:D186"/>
    <mergeCell ref="D187:D188"/>
    <mergeCell ref="D190:D191"/>
    <mergeCell ref="D193:D194"/>
    <mergeCell ref="D208:D209"/>
    <mergeCell ref="D210:D211"/>
    <mergeCell ref="D213:D214"/>
    <mergeCell ref="D216:D217"/>
    <mergeCell ref="D218:D219"/>
    <mergeCell ref="D221:D222"/>
    <mergeCell ref="D224:D225"/>
    <mergeCell ref="D226:D227"/>
    <mergeCell ref="D229:D230"/>
    <mergeCell ref="D231:D232"/>
    <mergeCell ref="D233:D235"/>
    <mergeCell ref="D236:D237"/>
    <mergeCell ref="D238:D239"/>
    <mergeCell ref="D240:D241"/>
    <mergeCell ref="D245:D246"/>
    <mergeCell ref="D247:D249"/>
    <mergeCell ref="D250:D252"/>
    <mergeCell ref="D253:D255"/>
    <mergeCell ref="D256:D257"/>
    <mergeCell ref="D258:D261"/>
    <mergeCell ref="D262:D265"/>
    <mergeCell ref="D266:D269"/>
    <mergeCell ref="D270:D273"/>
    <mergeCell ref="D283:D284"/>
    <mergeCell ref="D286:D287"/>
    <mergeCell ref="D289:D290"/>
    <mergeCell ref="D295:D296"/>
    <mergeCell ref="D297:D298"/>
    <mergeCell ref="D299:D300"/>
    <mergeCell ref="D303:D305"/>
    <mergeCell ref="D314:D315"/>
    <mergeCell ref="D323:D324"/>
    <mergeCell ref="D325:D326"/>
    <mergeCell ref="D327:D328"/>
    <mergeCell ref="D329:D330"/>
    <mergeCell ref="D331:D332"/>
    <mergeCell ref="D333:D335"/>
    <mergeCell ref="D339:D340"/>
    <mergeCell ref="D343:D344"/>
    <mergeCell ref="D345:D347"/>
    <mergeCell ref="D353:D354"/>
    <mergeCell ref="D357:D358"/>
    <mergeCell ref="D359:D360"/>
    <mergeCell ref="D365:D366"/>
    <mergeCell ref="D368:D369"/>
    <mergeCell ref="D373:D374"/>
    <mergeCell ref="D375:D376"/>
    <mergeCell ref="D382:D383"/>
    <mergeCell ref="D389:D390"/>
    <mergeCell ref="D391:D392"/>
    <mergeCell ref="D396:D397"/>
    <mergeCell ref="D398:D399"/>
    <mergeCell ref="D407:D408"/>
    <mergeCell ref="D409:D410"/>
    <mergeCell ref="E16:E19"/>
    <mergeCell ref="E20:E23"/>
    <mergeCell ref="E24:E25"/>
    <mergeCell ref="E26:E27"/>
    <mergeCell ref="E28:E29"/>
    <mergeCell ref="E30:E31"/>
    <mergeCell ref="E33:E34"/>
    <mergeCell ref="E37:E38"/>
    <mergeCell ref="E39:E40"/>
    <mergeCell ref="E41:E42"/>
    <mergeCell ref="E43:E44"/>
    <mergeCell ref="E45:E46"/>
    <mergeCell ref="E50:E51"/>
    <mergeCell ref="E54:E55"/>
    <mergeCell ref="E57:E59"/>
    <mergeCell ref="E61:E62"/>
    <mergeCell ref="E66:E67"/>
    <mergeCell ref="E68:E69"/>
    <mergeCell ref="E70:E71"/>
    <mergeCell ref="E72:E73"/>
    <mergeCell ref="E76:E77"/>
    <mergeCell ref="E80:E83"/>
    <mergeCell ref="E85:E86"/>
    <mergeCell ref="E88:E89"/>
    <mergeCell ref="E92:E93"/>
    <mergeCell ref="E95:E97"/>
    <mergeCell ref="E98:E100"/>
    <mergeCell ref="E107:E108"/>
    <mergeCell ref="E109:E110"/>
    <mergeCell ref="E111:E112"/>
    <mergeCell ref="E116:E117"/>
    <mergeCell ref="E120:E121"/>
    <mergeCell ref="E128:E129"/>
    <mergeCell ref="E136:E137"/>
    <mergeCell ref="E139:E140"/>
    <mergeCell ref="E144:E145"/>
    <mergeCell ref="E151:E152"/>
    <mergeCell ref="E153:E154"/>
    <mergeCell ref="E155:E156"/>
    <mergeCell ref="E159:E160"/>
    <mergeCell ref="E171:E172"/>
    <mergeCell ref="E173:E174"/>
    <mergeCell ref="E175:E176"/>
    <mergeCell ref="E184:E186"/>
    <mergeCell ref="E187:E188"/>
    <mergeCell ref="E190:E191"/>
    <mergeCell ref="E193:E194"/>
    <mergeCell ref="E208:E209"/>
    <mergeCell ref="E210:E211"/>
    <mergeCell ref="E213:E214"/>
    <mergeCell ref="E216:E217"/>
    <mergeCell ref="E218:E219"/>
    <mergeCell ref="E221:E222"/>
    <mergeCell ref="E224:E225"/>
    <mergeCell ref="E226:E227"/>
    <mergeCell ref="E229:E230"/>
    <mergeCell ref="E231:E232"/>
    <mergeCell ref="E233:E235"/>
    <mergeCell ref="E236:E237"/>
    <mergeCell ref="E238:E239"/>
    <mergeCell ref="E240:E241"/>
    <mergeCell ref="E245:E246"/>
    <mergeCell ref="E247:E249"/>
    <mergeCell ref="E250:E252"/>
    <mergeCell ref="E253:E255"/>
    <mergeCell ref="E256:E257"/>
    <mergeCell ref="E258:E261"/>
    <mergeCell ref="E262:E265"/>
    <mergeCell ref="E266:E269"/>
    <mergeCell ref="E270:E273"/>
    <mergeCell ref="E283:E284"/>
    <mergeCell ref="E286:E287"/>
    <mergeCell ref="E289:E290"/>
    <mergeCell ref="E295:E296"/>
    <mergeCell ref="E297:E298"/>
    <mergeCell ref="E299:E300"/>
    <mergeCell ref="E303:E305"/>
    <mergeCell ref="E314:E315"/>
    <mergeCell ref="E323:E324"/>
    <mergeCell ref="E325:E326"/>
    <mergeCell ref="E327:E328"/>
    <mergeCell ref="E329:E330"/>
    <mergeCell ref="E331:E332"/>
    <mergeCell ref="E333:E335"/>
    <mergeCell ref="E353:E354"/>
    <mergeCell ref="E357:E358"/>
    <mergeCell ref="E359:E360"/>
    <mergeCell ref="E365:E366"/>
    <mergeCell ref="E368:E369"/>
    <mergeCell ref="E373:E374"/>
    <mergeCell ref="E375:E376"/>
    <mergeCell ref="E382:E383"/>
    <mergeCell ref="E389:E390"/>
    <mergeCell ref="E391:E392"/>
    <mergeCell ref="E396:E397"/>
    <mergeCell ref="E398:E399"/>
    <mergeCell ref="E407:E408"/>
    <mergeCell ref="E409:E410"/>
    <mergeCell ref="F16:F19"/>
    <mergeCell ref="F20:F23"/>
    <mergeCell ref="F24:F25"/>
    <mergeCell ref="F26:F27"/>
    <mergeCell ref="F28:F29"/>
    <mergeCell ref="F30:F31"/>
    <mergeCell ref="F33:F34"/>
    <mergeCell ref="F37:F38"/>
    <mergeCell ref="F39:F40"/>
    <mergeCell ref="F41:F42"/>
    <mergeCell ref="F43:F44"/>
    <mergeCell ref="F45:F46"/>
    <mergeCell ref="F50:F51"/>
    <mergeCell ref="F54:F55"/>
    <mergeCell ref="F57:F59"/>
    <mergeCell ref="F61:F62"/>
    <mergeCell ref="F66:F67"/>
    <mergeCell ref="F68:F69"/>
    <mergeCell ref="F70:F71"/>
    <mergeCell ref="F72:F73"/>
    <mergeCell ref="F76:F77"/>
    <mergeCell ref="F80:F83"/>
    <mergeCell ref="F85:F86"/>
    <mergeCell ref="F88:F89"/>
    <mergeCell ref="F92:F93"/>
    <mergeCell ref="F95:F97"/>
    <mergeCell ref="F98:F100"/>
    <mergeCell ref="F107:F108"/>
    <mergeCell ref="F109:F110"/>
    <mergeCell ref="F111:F112"/>
    <mergeCell ref="F116:F117"/>
    <mergeCell ref="F120:F121"/>
    <mergeCell ref="F128:F129"/>
    <mergeCell ref="F136:F137"/>
    <mergeCell ref="F139:F140"/>
    <mergeCell ref="F144:F145"/>
    <mergeCell ref="F151:F152"/>
    <mergeCell ref="F153:F154"/>
    <mergeCell ref="F155:F156"/>
    <mergeCell ref="F159:F160"/>
    <mergeCell ref="F171:F172"/>
    <mergeCell ref="F173:F174"/>
    <mergeCell ref="F175:F176"/>
    <mergeCell ref="F184:F186"/>
    <mergeCell ref="F187:F188"/>
    <mergeCell ref="F190:F191"/>
    <mergeCell ref="F193:F194"/>
    <mergeCell ref="F208:F209"/>
    <mergeCell ref="F210:F211"/>
    <mergeCell ref="F213:F214"/>
    <mergeCell ref="F216:F217"/>
    <mergeCell ref="F218:F219"/>
    <mergeCell ref="F221:F222"/>
    <mergeCell ref="F224:F225"/>
    <mergeCell ref="F226:F227"/>
    <mergeCell ref="F229:F230"/>
    <mergeCell ref="F231:F232"/>
    <mergeCell ref="F233:F235"/>
    <mergeCell ref="F236:F237"/>
    <mergeCell ref="F238:F239"/>
    <mergeCell ref="F240:F241"/>
    <mergeCell ref="F245:F246"/>
    <mergeCell ref="F247:F249"/>
    <mergeCell ref="F250:F252"/>
    <mergeCell ref="F253:F255"/>
    <mergeCell ref="F256:F257"/>
    <mergeCell ref="F258:F261"/>
    <mergeCell ref="F262:F265"/>
    <mergeCell ref="F266:F269"/>
    <mergeCell ref="F270:F273"/>
    <mergeCell ref="F283:F284"/>
    <mergeCell ref="F286:F287"/>
    <mergeCell ref="F289:F290"/>
    <mergeCell ref="F295:F296"/>
    <mergeCell ref="F297:F298"/>
    <mergeCell ref="F299:F300"/>
    <mergeCell ref="F303:F305"/>
    <mergeCell ref="F314:F315"/>
    <mergeCell ref="F323:F324"/>
    <mergeCell ref="F325:F326"/>
    <mergeCell ref="F327:F328"/>
    <mergeCell ref="F329:F330"/>
    <mergeCell ref="F331:F332"/>
    <mergeCell ref="F333:F335"/>
    <mergeCell ref="F339:F340"/>
    <mergeCell ref="F341:F342"/>
    <mergeCell ref="F343:F344"/>
    <mergeCell ref="F345:F347"/>
    <mergeCell ref="F353:F354"/>
    <mergeCell ref="F357:F358"/>
    <mergeCell ref="F359:F360"/>
    <mergeCell ref="F365:F366"/>
    <mergeCell ref="F368:F369"/>
    <mergeCell ref="F373:F374"/>
    <mergeCell ref="F375:F376"/>
    <mergeCell ref="F382:F383"/>
    <mergeCell ref="F389:F390"/>
    <mergeCell ref="F391:F392"/>
    <mergeCell ref="F396:F397"/>
    <mergeCell ref="F398:F399"/>
    <mergeCell ref="F407:F408"/>
    <mergeCell ref="F409:F410"/>
    <mergeCell ref="G16:G19"/>
    <mergeCell ref="G20:G23"/>
    <mergeCell ref="G24:G25"/>
    <mergeCell ref="G26:G27"/>
    <mergeCell ref="G28:G29"/>
    <mergeCell ref="G30:G31"/>
    <mergeCell ref="G33:G34"/>
    <mergeCell ref="G37:G38"/>
    <mergeCell ref="G39:G40"/>
    <mergeCell ref="G41:G42"/>
    <mergeCell ref="G43:G44"/>
    <mergeCell ref="G45:G46"/>
    <mergeCell ref="G50:G51"/>
    <mergeCell ref="G54:G55"/>
    <mergeCell ref="G57:G59"/>
    <mergeCell ref="G61:G62"/>
    <mergeCell ref="G66:G67"/>
    <mergeCell ref="G68:G69"/>
    <mergeCell ref="G70:G71"/>
    <mergeCell ref="G72:G73"/>
    <mergeCell ref="G76:G77"/>
    <mergeCell ref="G80:G83"/>
    <mergeCell ref="G85:G86"/>
    <mergeCell ref="G88:G89"/>
    <mergeCell ref="G92:G93"/>
    <mergeCell ref="G95:G97"/>
    <mergeCell ref="G98:G100"/>
    <mergeCell ref="G107:G108"/>
    <mergeCell ref="G109:G110"/>
    <mergeCell ref="G111:G112"/>
    <mergeCell ref="G116:G117"/>
    <mergeCell ref="G120:G121"/>
    <mergeCell ref="G128:G129"/>
    <mergeCell ref="G136:G137"/>
    <mergeCell ref="G139:G140"/>
    <mergeCell ref="G144:G145"/>
    <mergeCell ref="G151:G152"/>
    <mergeCell ref="G153:G154"/>
    <mergeCell ref="G155:G156"/>
    <mergeCell ref="G159:G160"/>
    <mergeCell ref="G171:G172"/>
    <mergeCell ref="G173:G174"/>
    <mergeCell ref="G175:G176"/>
    <mergeCell ref="G184:G186"/>
    <mergeCell ref="G187:G188"/>
    <mergeCell ref="G190:G191"/>
    <mergeCell ref="G193:G194"/>
    <mergeCell ref="G208:G209"/>
    <mergeCell ref="G210:G211"/>
    <mergeCell ref="G213:G214"/>
    <mergeCell ref="G216:G217"/>
    <mergeCell ref="G218:G219"/>
    <mergeCell ref="G221:G222"/>
    <mergeCell ref="G224:G225"/>
    <mergeCell ref="G226:G227"/>
    <mergeCell ref="G229:G230"/>
    <mergeCell ref="G231:G232"/>
    <mergeCell ref="G233:G235"/>
    <mergeCell ref="G236:G237"/>
    <mergeCell ref="G238:G239"/>
    <mergeCell ref="G240:G241"/>
    <mergeCell ref="G245:G246"/>
    <mergeCell ref="G247:G249"/>
    <mergeCell ref="G250:G252"/>
    <mergeCell ref="G253:G255"/>
    <mergeCell ref="G256:G257"/>
    <mergeCell ref="G258:G261"/>
    <mergeCell ref="G262:G265"/>
    <mergeCell ref="G266:G269"/>
    <mergeCell ref="G270:G273"/>
    <mergeCell ref="G283:G284"/>
    <mergeCell ref="G286:G287"/>
    <mergeCell ref="G289:G290"/>
    <mergeCell ref="G295:G296"/>
    <mergeCell ref="G297:G298"/>
    <mergeCell ref="G299:G300"/>
    <mergeCell ref="G303:G305"/>
    <mergeCell ref="G314:G315"/>
    <mergeCell ref="G323:G324"/>
    <mergeCell ref="G325:G326"/>
    <mergeCell ref="G327:G328"/>
    <mergeCell ref="G329:G330"/>
    <mergeCell ref="G331:G332"/>
    <mergeCell ref="G333:G335"/>
    <mergeCell ref="G339:G340"/>
    <mergeCell ref="G341:G342"/>
    <mergeCell ref="G343:G344"/>
    <mergeCell ref="G345:G347"/>
    <mergeCell ref="G353:G354"/>
    <mergeCell ref="G357:G358"/>
    <mergeCell ref="G359:G360"/>
    <mergeCell ref="G365:G366"/>
    <mergeCell ref="G368:G369"/>
    <mergeCell ref="G373:G374"/>
    <mergeCell ref="G375:G376"/>
    <mergeCell ref="G382:G383"/>
    <mergeCell ref="G389:G390"/>
    <mergeCell ref="G391:G392"/>
    <mergeCell ref="G396:G397"/>
    <mergeCell ref="G398:G399"/>
    <mergeCell ref="G407:G408"/>
    <mergeCell ref="G409:G410"/>
    <mergeCell ref="H16:H19"/>
    <mergeCell ref="H20:H23"/>
    <mergeCell ref="H24:H25"/>
    <mergeCell ref="H26:H27"/>
    <mergeCell ref="H28:H29"/>
    <mergeCell ref="H30:H31"/>
    <mergeCell ref="H33:H34"/>
    <mergeCell ref="H37:H38"/>
    <mergeCell ref="H39:H40"/>
    <mergeCell ref="H41:H42"/>
    <mergeCell ref="H43:H44"/>
    <mergeCell ref="H45:H46"/>
    <mergeCell ref="H50:H51"/>
    <mergeCell ref="H54:H55"/>
    <mergeCell ref="H57:H59"/>
    <mergeCell ref="H61:H62"/>
    <mergeCell ref="H66:H67"/>
    <mergeCell ref="H68:H69"/>
    <mergeCell ref="H70:H71"/>
    <mergeCell ref="H72:H73"/>
    <mergeCell ref="H76:H77"/>
    <mergeCell ref="H80:H83"/>
    <mergeCell ref="H85:H86"/>
    <mergeCell ref="H88:H89"/>
    <mergeCell ref="H92:H93"/>
    <mergeCell ref="H95:H97"/>
    <mergeCell ref="H98:H100"/>
    <mergeCell ref="H107:H108"/>
    <mergeCell ref="H109:H110"/>
    <mergeCell ref="H111:H112"/>
    <mergeCell ref="H116:H117"/>
    <mergeCell ref="H120:H121"/>
    <mergeCell ref="H128:H129"/>
    <mergeCell ref="H136:H137"/>
    <mergeCell ref="H139:H140"/>
    <mergeCell ref="H144:H145"/>
    <mergeCell ref="H151:H152"/>
    <mergeCell ref="H153:H154"/>
    <mergeCell ref="H155:H156"/>
    <mergeCell ref="H159:H160"/>
    <mergeCell ref="H171:H172"/>
    <mergeCell ref="H173:H174"/>
    <mergeCell ref="H175:H176"/>
    <mergeCell ref="H184:H186"/>
    <mergeCell ref="H187:H188"/>
    <mergeCell ref="H190:H191"/>
    <mergeCell ref="H193:H194"/>
    <mergeCell ref="H208:H209"/>
    <mergeCell ref="H210:H211"/>
    <mergeCell ref="H213:H214"/>
    <mergeCell ref="H216:H217"/>
    <mergeCell ref="H218:H219"/>
    <mergeCell ref="H221:H222"/>
    <mergeCell ref="H224:H225"/>
    <mergeCell ref="H226:H227"/>
    <mergeCell ref="H229:H230"/>
    <mergeCell ref="H231:H232"/>
    <mergeCell ref="H233:H235"/>
    <mergeCell ref="H236:H237"/>
    <mergeCell ref="H238:H239"/>
    <mergeCell ref="H240:H241"/>
    <mergeCell ref="H245:H246"/>
    <mergeCell ref="H247:H249"/>
    <mergeCell ref="H250:H252"/>
    <mergeCell ref="H253:H255"/>
    <mergeCell ref="H256:H257"/>
    <mergeCell ref="H258:H261"/>
    <mergeCell ref="H262:H265"/>
    <mergeCell ref="H266:H269"/>
    <mergeCell ref="H270:H273"/>
    <mergeCell ref="H283:H284"/>
    <mergeCell ref="H286:H287"/>
    <mergeCell ref="H289:H290"/>
    <mergeCell ref="H295:H296"/>
    <mergeCell ref="H297:H298"/>
    <mergeCell ref="H299:H300"/>
    <mergeCell ref="H303:H305"/>
    <mergeCell ref="H314:H315"/>
    <mergeCell ref="H323:H324"/>
    <mergeCell ref="H325:H326"/>
    <mergeCell ref="H327:H328"/>
    <mergeCell ref="H329:H330"/>
    <mergeCell ref="H331:H332"/>
    <mergeCell ref="H333:H335"/>
    <mergeCell ref="H339:H340"/>
    <mergeCell ref="H341:H342"/>
    <mergeCell ref="H343:H344"/>
    <mergeCell ref="H345:H347"/>
    <mergeCell ref="H353:H354"/>
    <mergeCell ref="H357:H358"/>
    <mergeCell ref="H359:H360"/>
    <mergeCell ref="H365:H366"/>
    <mergeCell ref="H368:H369"/>
    <mergeCell ref="H373:H374"/>
    <mergeCell ref="H375:H376"/>
    <mergeCell ref="H382:H383"/>
    <mergeCell ref="H389:H390"/>
    <mergeCell ref="H391:H392"/>
    <mergeCell ref="H396:H397"/>
    <mergeCell ref="H398:H399"/>
    <mergeCell ref="H407:H408"/>
    <mergeCell ref="H409:H410"/>
    <mergeCell ref="I16:I19"/>
    <mergeCell ref="I20:I23"/>
    <mergeCell ref="I24:I25"/>
    <mergeCell ref="I26:I27"/>
    <mergeCell ref="I28:I29"/>
    <mergeCell ref="I30:I31"/>
    <mergeCell ref="I33:I34"/>
    <mergeCell ref="I37:I38"/>
    <mergeCell ref="I39:I40"/>
    <mergeCell ref="I41:I42"/>
    <mergeCell ref="I43:I44"/>
    <mergeCell ref="I45:I46"/>
    <mergeCell ref="I50:I51"/>
    <mergeCell ref="I54:I55"/>
    <mergeCell ref="I57:I59"/>
    <mergeCell ref="I61:I62"/>
    <mergeCell ref="I66:I67"/>
    <mergeCell ref="I68:I69"/>
    <mergeCell ref="I70:I71"/>
    <mergeCell ref="I72:I73"/>
    <mergeCell ref="I76:I77"/>
    <mergeCell ref="I80:I83"/>
    <mergeCell ref="I85:I86"/>
    <mergeCell ref="I88:I89"/>
    <mergeCell ref="I92:I93"/>
    <mergeCell ref="I95:I97"/>
    <mergeCell ref="I98:I100"/>
    <mergeCell ref="I107:I108"/>
    <mergeCell ref="I109:I110"/>
    <mergeCell ref="I111:I112"/>
    <mergeCell ref="I116:I117"/>
    <mergeCell ref="I120:I121"/>
    <mergeCell ref="I128:I129"/>
    <mergeCell ref="I136:I137"/>
    <mergeCell ref="I139:I140"/>
    <mergeCell ref="I144:I145"/>
    <mergeCell ref="I151:I152"/>
    <mergeCell ref="I153:I154"/>
    <mergeCell ref="I155:I156"/>
    <mergeCell ref="I159:I160"/>
    <mergeCell ref="I171:I172"/>
    <mergeCell ref="I173:I174"/>
    <mergeCell ref="I175:I176"/>
    <mergeCell ref="I184:I186"/>
    <mergeCell ref="I187:I188"/>
    <mergeCell ref="I190:I191"/>
    <mergeCell ref="I193:I194"/>
    <mergeCell ref="I208:I209"/>
    <mergeCell ref="I210:I211"/>
    <mergeCell ref="I213:I214"/>
    <mergeCell ref="I216:I217"/>
    <mergeCell ref="I218:I219"/>
    <mergeCell ref="I221:I222"/>
    <mergeCell ref="I224:I225"/>
    <mergeCell ref="I226:I227"/>
    <mergeCell ref="I229:I230"/>
    <mergeCell ref="I231:I232"/>
    <mergeCell ref="I233:I235"/>
    <mergeCell ref="I236:I237"/>
    <mergeCell ref="I238:I239"/>
    <mergeCell ref="I240:I241"/>
    <mergeCell ref="I245:I246"/>
    <mergeCell ref="I247:I249"/>
    <mergeCell ref="I250:I252"/>
    <mergeCell ref="I253:I255"/>
    <mergeCell ref="I256:I257"/>
    <mergeCell ref="I258:I261"/>
    <mergeCell ref="I262:I265"/>
    <mergeCell ref="I266:I269"/>
    <mergeCell ref="I270:I273"/>
    <mergeCell ref="I283:I284"/>
    <mergeCell ref="I286:I287"/>
    <mergeCell ref="I289:I290"/>
    <mergeCell ref="I295:I296"/>
    <mergeCell ref="I297:I298"/>
    <mergeCell ref="I299:I300"/>
    <mergeCell ref="I303:I305"/>
    <mergeCell ref="I314:I315"/>
    <mergeCell ref="I323:I324"/>
    <mergeCell ref="I325:I326"/>
    <mergeCell ref="I327:I328"/>
    <mergeCell ref="I329:I330"/>
    <mergeCell ref="I331:I332"/>
    <mergeCell ref="I333:I335"/>
    <mergeCell ref="I339:I340"/>
    <mergeCell ref="I341:I342"/>
    <mergeCell ref="I343:I344"/>
    <mergeCell ref="I345:I347"/>
    <mergeCell ref="I353:I354"/>
    <mergeCell ref="I357:I358"/>
    <mergeCell ref="I359:I360"/>
    <mergeCell ref="I365:I366"/>
    <mergeCell ref="I368:I369"/>
    <mergeCell ref="I373:I374"/>
    <mergeCell ref="I375:I376"/>
    <mergeCell ref="I382:I383"/>
    <mergeCell ref="I389:I390"/>
    <mergeCell ref="I391:I392"/>
    <mergeCell ref="I396:I397"/>
    <mergeCell ref="I398:I399"/>
    <mergeCell ref="I407:I408"/>
    <mergeCell ref="I409:I410"/>
    <mergeCell ref="J16:J19"/>
    <mergeCell ref="J20:J23"/>
    <mergeCell ref="J24:J25"/>
    <mergeCell ref="J26:J27"/>
    <mergeCell ref="J28:J29"/>
    <mergeCell ref="J30:J31"/>
    <mergeCell ref="J33:J34"/>
    <mergeCell ref="J37:J38"/>
    <mergeCell ref="J39:J40"/>
    <mergeCell ref="J41:J42"/>
    <mergeCell ref="J43:J44"/>
    <mergeCell ref="J45:J46"/>
    <mergeCell ref="J50:J51"/>
    <mergeCell ref="J54:J55"/>
    <mergeCell ref="J57:J59"/>
    <mergeCell ref="J61:J62"/>
    <mergeCell ref="J66:J67"/>
    <mergeCell ref="J68:J69"/>
    <mergeCell ref="J70:J71"/>
    <mergeCell ref="J72:J73"/>
    <mergeCell ref="J76:J77"/>
    <mergeCell ref="J80:J83"/>
    <mergeCell ref="J85:J86"/>
    <mergeCell ref="J88:J89"/>
    <mergeCell ref="J92:J93"/>
    <mergeCell ref="J95:J97"/>
    <mergeCell ref="J98:J100"/>
    <mergeCell ref="J107:J108"/>
    <mergeCell ref="J109:J110"/>
    <mergeCell ref="J111:J112"/>
    <mergeCell ref="J116:J117"/>
    <mergeCell ref="J120:J121"/>
    <mergeCell ref="J128:J129"/>
    <mergeCell ref="J136:J137"/>
    <mergeCell ref="J139:J140"/>
    <mergeCell ref="J144:J145"/>
    <mergeCell ref="J151:J152"/>
    <mergeCell ref="J153:J154"/>
    <mergeCell ref="J155:J156"/>
    <mergeCell ref="J159:J160"/>
    <mergeCell ref="J171:J172"/>
    <mergeCell ref="J173:J174"/>
    <mergeCell ref="J175:J176"/>
    <mergeCell ref="J184:J186"/>
    <mergeCell ref="J187:J188"/>
    <mergeCell ref="J190:J191"/>
    <mergeCell ref="J193:J194"/>
    <mergeCell ref="J208:J209"/>
    <mergeCell ref="J210:J211"/>
    <mergeCell ref="J213:J214"/>
    <mergeCell ref="J216:J217"/>
    <mergeCell ref="J218:J219"/>
    <mergeCell ref="J221:J222"/>
    <mergeCell ref="J224:J225"/>
    <mergeCell ref="J226:J227"/>
    <mergeCell ref="J229:J230"/>
    <mergeCell ref="J231:J232"/>
    <mergeCell ref="J233:J235"/>
    <mergeCell ref="J236:J237"/>
    <mergeCell ref="J238:J239"/>
    <mergeCell ref="J240:J241"/>
    <mergeCell ref="J245:J246"/>
    <mergeCell ref="J247:J249"/>
    <mergeCell ref="J250:J252"/>
    <mergeCell ref="J253:J255"/>
    <mergeCell ref="J256:J257"/>
    <mergeCell ref="J258:J261"/>
    <mergeCell ref="J262:J265"/>
    <mergeCell ref="J266:J269"/>
    <mergeCell ref="J270:J273"/>
    <mergeCell ref="J283:J284"/>
    <mergeCell ref="J286:J287"/>
    <mergeCell ref="J289:J290"/>
    <mergeCell ref="J295:J296"/>
    <mergeCell ref="J297:J298"/>
    <mergeCell ref="J299:J300"/>
    <mergeCell ref="J303:J305"/>
    <mergeCell ref="J314:J315"/>
    <mergeCell ref="J323:J324"/>
    <mergeCell ref="J325:J326"/>
    <mergeCell ref="J327:J328"/>
    <mergeCell ref="J329:J330"/>
    <mergeCell ref="J331:J332"/>
    <mergeCell ref="J333:J335"/>
    <mergeCell ref="J339:J340"/>
    <mergeCell ref="J341:J342"/>
    <mergeCell ref="J343:J344"/>
    <mergeCell ref="J345:J347"/>
    <mergeCell ref="J353:J354"/>
    <mergeCell ref="J357:J358"/>
    <mergeCell ref="J359:J360"/>
    <mergeCell ref="J365:J366"/>
    <mergeCell ref="J368:J369"/>
    <mergeCell ref="J373:J374"/>
    <mergeCell ref="J375:J376"/>
    <mergeCell ref="J382:J383"/>
    <mergeCell ref="J389:J390"/>
    <mergeCell ref="J391:J392"/>
    <mergeCell ref="J396:J397"/>
    <mergeCell ref="J398:J399"/>
    <mergeCell ref="J407:J408"/>
    <mergeCell ref="J409:J410"/>
    <mergeCell ref="K16:K19"/>
    <mergeCell ref="K20:K23"/>
    <mergeCell ref="K24:K25"/>
    <mergeCell ref="K26:K27"/>
    <mergeCell ref="K28:K29"/>
    <mergeCell ref="K30:K31"/>
    <mergeCell ref="K33:K34"/>
    <mergeCell ref="K37:K38"/>
    <mergeCell ref="K39:K40"/>
    <mergeCell ref="K41:K42"/>
    <mergeCell ref="K43:K44"/>
    <mergeCell ref="K45:K46"/>
    <mergeCell ref="K50:K51"/>
    <mergeCell ref="K54:K55"/>
    <mergeCell ref="K57:K59"/>
    <mergeCell ref="K61:K62"/>
    <mergeCell ref="K66:K67"/>
    <mergeCell ref="K68:K69"/>
    <mergeCell ref="K70:K71"/>
    <mergeCell ref="K72:K73"/>
    <mergeCell ref="K76:K77"/>
    <mergeCell ref="K80:K83"/>
    <mergeCell ref="K85:K86"/>
    <mergeCell ref="K88:K89"/>
    <mergeCell ref="K92:K93"/>
    <mergeCell ref="K95:K97"/>
    <mergeCell ref="K98:K100"/>
    <mergeCell ref="K107:K108"/>
    <mergeCell ref="K109:K110"/>
    <mergeCell ref="K111:K112"/>
    <mergeCell ref="K116:K117"/>
    <mergeCell ref="K120:K121"/>
    <mergeCell ref="K128:K129"/>
    <mergeCell ref="K136:K137"/>
    <mergeCell ref="K139:K140"/>
    <mergeCell ref="K144:K145"/>
    <mergeCell ref="K151:K152"/>
    <mergeCell ref="K153:K154"/>
    <mergeCell ref="K155:K156"/>
    <mergeCell ref="K159:K160"/>
    <mergeCell ref="K171:K172"/>
    <mergeCell ref="K173:K174"/>
    <mergeCell ref="K175:K176"/>
    <mergeCell ref="K184:K186"/>
    <mergeCell ref="K187:K188"/>
    <mergeCell ref="K190:K191"/>
    <mergeCell ref="K193:K194"/>
    <mergeCell ref="K208:K209"/>
    <mergeCell ref="K210:K211"/>
    <mergeCell ref="K213:K214"/>
    <mergeCell ref="K216:K217"/>
    <mergeCell ref="K218:K219"/>
    <mergeCell ref="K221:K222"/>
    <mergeCell ref="K224:K225"/>
    <mergeCell ref="K226:K227"/>
    <mergeCell ref="K229:K230"/>
    <mergeCell ref="K231:K232"/>
    <mergeCell ref="K233:K235"/>
    <mergeCell ref="K236:K237"/>
    <mergeCell ref="K238:K239"/>
    <mergeCell ref="K240:K241"/>
    <mergeCell ref="K245:K246"/>
    <mergeCell ref="K247:K249"/>
    <mergeCell ref="K250:K252"/>
    <mergeCell ref="K253:K255"/>
    <mergeCell ref="K256:K257"/>
    <mergeCell ref="K258:K261"/>
    <mergeCell ref="K262:K265"/>
    <mergeCell ref="K266:K269"/>
    <mergeCell ref="K270:K273"/>
    <mergeCell ref="K283:K284"/>
    <mergeCell ref="K286:K287"/>
    <mergeCell ref="K289:K290"/>
    <mergeCell ref="K295:K296"/>
    <mergeCell ref="K297:K298"/>
    <mergeCell ref="K299:K300"/>
    <mergeCell ref="K303:K305"/>
    <mergeCell ref="K314:K315"/>
    <mergeCell ref="K323:K324"/>
    <mergeCell ref="K325:K326"/>
    <mergeCell ref="K327:K328"/>
    <mergeCell ref="K329:K330"/>
    <mergeCell ref="K331:K332"/>
    <mergeCell ref="K333:K335"/>
    <mergeCell ref="K353:K354"/>
    <mergeCell ref="K357:K358"/>
    <mergeCell ref="K359:K360"/>
    <mergeCell ref="K365:K366"/>
    <mergeCell ref="K368:K369"/>
    <mergeCell ref="K373:K374"/>
    <mergeCell ref="K375:K376"/>
    <mergeCell ref="K382:K383"/>
    <mergeCell ref="K389:K390"/>
    <mergeCell ref="K391:K392"/>
    <mergeCell ref="K396:K397"/>
    <mergeCell ref="K398:K399"/>
    <mergeCell ref="K407:K408"/>
    <mergeCell ref="K409:K410"/>
    <mergeCell ref="L16:L19"/>
    <mergeCell ref="L20:L23"/>
    <mergeCell ref="L24:L25"/>
    <mergeCell ref="L26:L27"/>
    <mergeCell ref="L28:L29"/>
    <mergeCell ref="L30:L31"/>
    <mergeCell ref="L33:L34"/>
    <mergeCell ref="L37:L38"/>
    <mergeCell ref="L39:L40"/>
    <mergeCell ref="L41:L42"/>
    <mergeCell ref="L43:L44"/>
    <mergeCell ref="L45:L46"/>
    <mergeCell ref="L50:L51"/>
    <mergeCell ref="L54:L55"/>
    <mergeCell ref="L57:L59"/>
    <mergeCell ref="L61:L62"/>
    <mergeCell ref="L66:L67"/>
    <mergeCell ref="L68:L69"/>
    <mergeCell ref="L70:L71"/>
    <mergeCell ref="L72:L73"/>
    <mergeCell ref="L76:L77"/>
    <mergeCell ref="L80:L83"/>
    <mergeCell ref="L85:L86"/>
    <mergeCell ref="L88:L89"/>
    <mergeCell ref="L92:L93"/>
    <mergeCell ref="L95:L97"/>
    <mergeCell ref="L98:L100"/>
    <mergeCell ref="L107:L108"/>
    <mergeCell ref="L109:L110"/>
    <mergeCell ref="L111:L112"/>
    <mergeCell ref="L116:L117"/>
    <mergeCell ref="L120:L121"/>
    <mergeCell ref="L128:L129"/>
    <mergeCell ref="L136:L137"/>
    <mergeCell ref="L139:L140"/>
    <mergeCell ref="L144:L145"/>
    <mergeCell ref="L151:L152"/>
    <mergeCell ref="L153:L154"/>
    <mergeCell ref="L155:L156"/>
    <mergeCell ref="L159:L160"/>
    <mergeCell ref="L171:L172"/>
    <mergeCell ref="L173:L174"/>
    <mergeCell ref="L175:L176"/>
    <mergeCell ref="L184:L186"/>
    <mergeCell ref="L187:L188"/>
    <mergeCell ref="L190:L191"/>
    <mergeCell ref="L193:L194"/>
    <mergeCell ref="L208:L209"/>
    <mergeCell ref="L210:L211"/>
    <mergeCell ref="L213:L214"/>
    <mergeCell ref="L216:L217"/>
    <mergeCell ref="L218:L219"/>
    <mergeCell ref="L221:L222"/>
    <mergeCell ref="L224:L225"/>
    <mergeCell ref="L226:L227"/>
    <mergeCell ref="L229:L230"/>
    <mergeCell ref="L231:L232"/>
    <mergeCell ref="L233:L235"/>
    <mergeCell ref="L236:L237"/>
    <mergeCell ref="L238:L239"/>
    <mergeCell ref="L240:L241"/>
    <mergeCell ref="L245:L246"/>
    <mergeCell ref="L247:L249"/>
    <mergeCell ref="L250:L252"/>
    <mergeCell ref="L253:L255"/>
    <mergeCell ref="L256:L257"/>
    <mergeCell ref="L258:L261"/>
    <mergeCell ref="L262:L265"/>
    <mergeCell ref="L266:L269"/>
    <mergeCell ref="L270:L273"/>
    <mergeCell ref="L283:L284"/>
    <mergeCell ref="L286:L287"/>
    <mergeCell ref="L289:L290"/>
    <mergeCell ref="L295:L296"/>
    <mergeCell ref="L297:L298"/>
    <mergeCell ref="L299:L300"/>
    <mergeCell ref="L303:L305"/>
    <mergeCell ref="L314:L315"/>
    <mergeCell ref="L323:L324"/>
    <mergeCell ref="L325:L326"/>
    <mergeCell ref="L327:L328"/>
    <mergeCell ref="L329:L330"/>
    <mergeCell ref="L331:L332"/>
    <mergeCell ref="L333:L335"/>
    <mergeCell ref="L353:L354"/>
    <mergeCell ref="L357:L358"/>
    <mergeCell ref="L359:L360"/>
    <mergeCell ref="L365:L366"/>
    <mergeCell ref="L368:L369"/>
    <mergeCell ref="L373:L374"/>
    <mergeCell ref="L375:L376"/>
    <mergeCell ref="L382:L383"/>
    <mergeCell ref="L389:L390"/>
    <mergeCell ref="L391:L392"/>
    <mergeCell ref="L396:L397"/>
    <mergeCell ref="L398:L399"/>
    <mergeCell ref="L407:L408"/>
    <mergeCell ref="L409:L410"/>
    <mergeCell ref="M16:M19"/>
    <mergeCell ref="M20:M23"/>
    <mergeCell ref="M24:M25"/>
    <mergeCell ref="M26:M27"/>
    <mergeCell ref="M28:M29"/>
    <mergeCell ref="M30:M31"/>
    <mergeCell ref="M33:M34"/>
    <mergeCell ref="M37:M38"/>
    <mergeCell ref="M39:M40"/>
    <mergeCell ref="M41:M42"/>
    <mergeCell ref="M43:M44"/>
    <mergeCell ref="M45:M46"/>
    <mergeCell ref="M50:M51"/>
    <mergeCell ref="M54:M55"/>
    <mergeCell ref="M57:M59"/>
    <mergeCell ref="M61:M62"/>
    <mergeCell ref="M66:M67"/>
    <mergeCell ref="M68:M69"/>
    <mergeCell ref="M70:M71"/>
    <mergeCell ref="M72:M73"/>
    <mergeCell ref="M76:M77"/>
    <mergeCell ref="M80:M83"/>
    <mergeCell ref="M85:M86"/>
    <mergeCell ref="M88:M89"/>
    <mergeCell ref="M92:M93"/>
    <mergeCell ref="M95:M97"/>
    <mergeCell ref="M98:M100"/>
    <mergeCell ref="M107:M108"/>
    <mergeCell ref="M109:M110"/>
    <mergeCell ref="M111:M112"/>
    <mergeCell ref="M116:M117"/>
    <mergeCell ref="M120:M121"/>
    <mergeCell ref="M128:M129"/>
    <mergeCell ref="M136:M137"/>
    <mergeCell ref="M139:M140"/>
    <mergeCell ref="M144:M145"/>
    <mergeCell ref="M151:M152"/>
    <mergeCell ref="M153:M154"/>
    <mergeCell ref="M155:M156"/>
    <mergeCell ref="M159:M160"/>
    <mergeCell ref="M171:M172"/>
    <mergeCell ref="M173:M174"/>
    <mergeCell ref="M175:M176"/>
    <mergeCell ref="M184:M186"/>
    <mergeCell ref="M187:M188"/>
    <mergeCell ref="M190:M191"/>
    <mergeCell ref="M193:M194"/>
    <mergeCell ref="M208:M209"/>
    <mergeCell ref="M210:M211"/>
    <mergeCell ref="M213:M214"/>
    <mergeCell ref="M216:M217"/>
    <mergeCell ref="M218:M219"/>
    <mergeCell ref="M221:M222"/>
    <mergeCell ref="M224:M225"/>
    <mergeCell ref="M226:M227"/>
    <mergeCell ref="M229:M230"/>
    <mergeCell ref="M231:M232"/>
    <mergeCell ref="M233:M235"/>
    <mergeCell ref="M236:M237"/>
    <mergeCell ref="M238:M239"/>
    <mergeCell ref="M240:M241"/>
    <mergeCell ref="M245:M246"/>
    <mergeCell ref="M247:M249"/>
    <mergeCell ref="M250:M252"/>
    <mergeCell ref="M253:M255"/>
    <mergeCell ref="M256:M257"/>
    <mergeCell ref="M258:M261"/>
    <mergeCell ref="M262:M265"/>
    <mergeCell ref="M266:M269"/>
    <mergeCell ref="M270:M273"/>
    <mergeCell ref="M283:M284"/>
    <mergeCell ref="M286:M287"/>
    <mergeCell ref="M289:M290"/>
    <mergeCell ref="M295:M296"/>
    <mergeCell ref="M297:M298"/>
    <mergeCell ref="M299:M300"/>
    <mergeCell ref="M303:M305"/>
    <mergeCell ref="M314:M315"/>
    <mergeCell ref="M323:M324"/>
    <mergeCell ref="M325:M326"/>
    <mergeCell ref="M327:M328"/>
    <mergeCell ref="M329:M330"/>
    <mergeCell ref="M331:M332"/>
    <mergeCell ref="M333:M335"/>
    <mergeCell ref="M353:M354"/>
    <mergeCell ref="M357:M358"/>
    <mergeCell ref="M359:M360"/>
    <mergeCell ref="M365:M366"/>
    <mergeCell ref="M368:M369"/>
    <mergeCell ref="M373:M374"/>
    <mergeCell ref="M375:M376"/>
    <mergeCell ref="M382:M383"/>
    <mergeCell ref="M389:M390"/>
    <mergeCell ref="M391:M392"/>
    <mergeCell ref="M396:M397"/>
    <mergeCell ref="M398:M399"/>
    <mergeCell ref="M407:M408"/>
    <mergeCell ref="M409:M410"/>
    <mergeCell ref="N16:N19"/>
    <mergeCell ref="N20:N23"/>
    <mergeCell ref="N24:N25"/>
    <mergeCell ref="N26:N27"/>
    <mergeCell ref="N28:N29"/>
    <mergeCell ref="N30:N31"/>
    <mergeCell ref="N33:N34"/>
    <mergeCell ref="N37:N38"/>
    <mergeCell ref="N39:N40"/>
    <mergeCell ref="N41:N42"/>
    <mergeCell ref="N43:N44"/>
    <mergeCell ref="N45:N46"/>
    <mergeCell ref="N50:N51"/>
    <mergeCell ref="N54:N55"/>
    <mergeCell ref="N57:N59"/>
    <mergeCell ref="N61:N62"/>
    <mergeCell ref="N66:N67"/>
    <mergeCell ref="N68:N69"/>
    <mergeCell ref="N70:N71"/>
    <mergeCell ref="N72:N73"/>
    <mergeCell ref="N76:N77"/>
    <mergeCell ref="N80:N83"/>
    <mergeCell ref="N85:N86"/>
    <mergeCell ref="N88:N89"/>
    <mergeCell ref="N92:N93"/>
    <mergeCell ref="N95:N97"/>
    <mergeCell ref="N98:N100"/>
    <mergeCell ref="N107:N108"/>
    <mergeCell ref="N109:N110"/>
    <mergeCell ref="N111:N112"/>
    <mergeCell ref="N116:N117"/>
    <mergeCell ref="N120:N121"/>
    <mergeCell ref="N128:N129"/>
    <mergeCell ref="N136:N137"/>
    <mergeCell ref="N139:N140"/>
    <mergeCell ref="N144:N145"/>
    <mergeCell ref="N151:N152"/>
    <mergeCell ref="N153:N154"/>
    <mergeCell ref="N155:N156"/>
    <mergeCell ref="N159:N160"/>
    <mergeCell ref="N171:N172"/>
    <mergeCell ref="N173:N174"/>
    <mergeCell ref="N175:N176"/>
    <mergeCell ref="N184:N186"/>
    <mergeCell ref="N187:N188"/>
    <mergeCell ref="N190:N191"/>
    <mergeCell ref="N193:N194"/>
    <mergeCell ref="N208:N209"/>
    <mergeCell ref="N210:N211"/>
    <mergeCell ref="N213:N214"/>
    <mergeCell ref="N216:N217"/>
    <mergeCell ref="N218:N219"/>
    <mergeCell ref="N221:N222"/>
    <mergeCell ref="N224:N225"/>
    <mergeCell ref="N226:N227"/>
    <mergeCell ref="N229:N230"/>
    <mergeCell ref="N231:N232"/>
    <mergeCell ref="N233:N235"/>
    <mergeCell ref="N236:N237"/>
    <mergeCell ref="N238:N239"/>
    <mergeCell ref="N240:N241"/>
    <mergeCell ref="N245:N246"/>
    <mergeCell ref="N247:N249"/>
    <mergeCell ref="N250:N252"/>
    <mergeCell ref="N253:N255"/>
    <mergeCell ref="N256:N257"/>
    <mergeCell ref="N258:N261"/>
    <mergeCell ref="N262:N265"/>
    <mergeCell ref="N266:N269"/>
    <mergeCell ref="N270:N273"/>
    <mergeCell ref="N283:N284"/>
    <mergeCell ref="N286:N287"/>
    <mergeCell ref="N289:N290"/>
    <mergeCell ref="N295:N296"/>
    <mergeCell ref="N297:N298"/>
    <mergeCell ref="N299:N300"/>
    <mergeCell ref="N303:N305"/>
    <mergeCell ref="N314:N315"/>
    <mergeCell ref="N323:N324"/>
    <mergeCell ref="N325:N326"/>
    <mergeCell ref="N327:N328"/>
    <mergeCell ref="N329:N330"/>
    <mergeCell ref="N331:N332"/>
    <mergeCell ref="N333:N335"/>
    <mergeCell ref="N353:N354"/>
    <mergeCell ref="N357:N358"/>
    <mergeCell ref="N359:N360"/>
    <mergeCell ref="N365:N366"/>
    <mergeCell ref="N368:N369"/>
    <mergeCell ref="N373:N374"/>
    <mergeCell ref="N375:N376"/>
    <mergeCell ref="N382:N383"/>
    <mergeCell ref="N389:N390"/>
    <mergeCell ref="N391:N392"/>
    <mergeCell ref="N396:N397"/>
    <mergeCell ref="N398:N399"/>
    <mergeCell ref="N407:N408"/>
    <mergeCell ref="N409:N410"/>
    <mergeCell ref="O16:O19"/>
    <mergeCell ref="O20:O23"/>
    <mergeCell ref="O24:O25"/>
    <mergeCell ref="O26:O27"/>
    <mergeCell ref="O28:O29"/>
    <mergeCell ref="O30:O31"/>
    <mergeCell ref="O33:O34"/>
    <mergeCell ref="O37:O38"/>
    <mergeCell ref="O39:O40"/>
    <mergeCell ref="O41:O42"/>
    <mergeCell ref="O43:O44"/>
    <mergeCell ref="O45:O46"/>
    <mergeCell ref="O50:O51"/>
    <mergeCell ref="O54:O55"/>
    <mergeCell ref="O58:O59"/>
    <mergeCell ref="O61:O62"/>
    <mergeCell ref="O66:O67"/>
    <mergeCell ref="O68:O69"/>
    <mergeCell ref="O70:O71"/>
    <mergeCell ref="O72:O73"/>
    <mergeCell ref="O76:O77"/>
    <mergeCell ref="O80:O83"/>
    <mergeCell ref="O85:O86"/>
    <mergeCell ref="O88:O89"/>
    <mergeCell ref="O92:O93"/>
    <mergeCell ref="O95:O97"/>
    <mergeCell ref="O98:O100"/>
    <mergeCell ref="O107:O108"/>
    <mergeCell ref="O109:O110"/>
    <mergeCell ref="O111:O112"/>
    <mergeCell ref="O116:O117"/>
    <mergeCell ref="O120:O121"/>
    <mergeCell ref="O128:O129"/>
    <mergeCell ref="O136:O137"/>
    <mergeCell ref="O139:O140"/>
    <mergeCell ref="O141:O142"/>
    <mergeCell ref="O144:O145"/>
    <mergeCell ref="O151:O152"/>
    <mergeCell ref="O153:O154"/>
    <mergeCell ref="O155:O156"/>
    <mergeCell ref="O159:O160"/>
    <mergeCell ref="O171:O172"/>
    <mergeCell ref="O173:O174"/>
    <mergeCell ref="O175:O176"/>
    <mergeCell ref="O184:O186"/>
    <mergeCell ref="O187:O188"/>
    <mergeCell ref="O190:O191"/>
    <mergeCell ref="O193:O194"/>
    <mergeCell ref="O208:O209"/>
    <mergeCell ref="O210:O211"/>
    <mergeCell ref="O213:O214"/>
    <mergeCell ref="O216:O217"/>
    <mergeCell ref="O218:O219"/>
    <mergeCell ref="O221:O222"/>
    <mergeCell ref="O224:O225"/>
    <mergeCell ref="O226:O227"/>
    <mergeCell ref="O229:O230"/>
    <mergeCell ref="O231:O232"/>
    <mergeCell ref="O233:O235"/>
    <mergeCell ref="O236:O237"/>
    <mergeCell ref="O238:O239"/>
    <mergeCell ref="O240:O241"/>
    <mergeCell ref="O245:O246"/>
    <mergeCell ref="O247:O249"/>
    <mergeCell ref="O250:O252"/>
    <mergeCell ref="O253:O255"/>
    <mergeCell ref="O256:O257"/>
    <mergeCell ref="O258:O261"/>
    <mergeCell ref="O262:O265"/>
    <mergeCell ref="O266:O269"/>
    <mergeCell ref="O270:O273"/>
    <mergeCell ref="O283:O284"/>
    <mergeCell ref="O286:O287"/>
    <mergeCell ref="O295:O296"/>
    <mergeCell ref="O297:O298"/>
    <mergeCell ref="O299:O300"/>
    <mergeCell ref="O304:O306"/>
    <mergeCell ref="O314:O315"/>
    <mergeCell ref="O323:O324"/>
    <mergeCell ref="O325:O326"/>
    <mergeCell ref="O327:O328"/>
    <mergeCell ref="O329:O330"/>
    <mergeCell ref="O331:O332"/>
    <mergeCell ref="O334:O335"/>
    <mergeCell ref="O353:O354"/>
    <mergeCell ref="O357:O358"/>
    <mergeCell ref="O359:O360"/>
    <mergeCell ref="O365:O366"/>
    <mergeCell ref="O368:O369"/>
    <mergeCell ref="O373:O374"/>
    <mergeCell ref="O375:O376"/>
    <mergeCell ref="O382:O383"/>
    <mergeCell ref="O389:O390"/>
    <mergeCell ref="O391:O392"/>
    <mergeCell ref="O396:O397"/>
    <mergeCell ref="O398:O399"/>
    <mergeCell ref="O407:O408"/>
    <mergeCell ref="O409:O410"/>
    <mergeCell ref="P16:P19"/>
    <mergeCell ref="P20:P23"/>
    <mergeCell ref="P24:P25"/>
    <mergeCell ref="P26:P27"/>
    <mergeCell ref="P28:P29"/>
    <mergeCell ref="P30:P31"/>
    <mergeCell ref="P33:P34"/>
    <mergeCell ref="P37:P38"/>
    <mergeCell ref="P39:P40"/>
    <mergeCell ref="P41:P42"/>
    <mergeCell ref="P43:P44"/>
    <mergeCell ref="P45:P46"/>
    <mergeCell ref="P50:P51"/>
    <mergeCell ref="P54:P55"/>
    <mergeCell ref="P58:P59"/>
    <mergeCell ref="P61:P62"/>
    <mergeCell ref="P66:P67"/>
    <mergeCell ref="P68:P69"/>
    <mergeCell ref="P70:P71"/>
    <mergeCell ref="P72:P73"/>
    <mergeCell ref="P76:P77"/>
    <mergeCell ref="P80:P83"/>
    <mergeCell ref="P85:P86"/>
    <mergeCell ref="P88:P89"/>
    <mergeCell ref="P92:P93"/>
    <mergeCell ref="P95:P97"/>
    <mergeCell ref="P98:P100"/>
    <mergeCell ref="P107:P108"/>
    <mergeCell ref="P109:P110"/>
    <mergeCell ref="P111:P112"/>
    <mergeCell ref="P116:P117"/>
    <mergeCell ref="P120:P121"/>
    <mergeCell ref="P128:P129"/>
    <mergeCell ref="P136:P137"/>
    <mergeCell ref="P139:P140"/>
    <mergeCell ref="P141:P142"/>
    <mergeCell ref="P144:P145"/>
    <mergeCell ref="P151:P152"/>
    <mergeCell ref="P153:P154"/>
    <mergeCell ref="P155:P156"/>
    <mergeCell ref="P159:P160"/>
    <mergeCell ref="P171:P172"/>
    <mergeCell ref="P173:P174"/>
    <mergeCell ref="P175:P176"/>
    <mergeCell ref="P177:P178"/>
    <mergeCell ref="P184:P186"/>
    <mergeCell ref="P187:P188"/>
    <mergeCell ref="P190:P191"/>
    <mergeCell ref="P193:P194"/>
    <mergeCell ref="P208:P209"/>
    <mergeCell ref="P210:P211"/>
    <mergeCell ref="P213:P214"/>
    <mergeCell ref="P216:P219"/>
    <mergeCell ref="P221:P222"/>
    <mergeCell ref="P224:P225"/>
    <mergeCell ref="P226:P227"/>
    <mergeCell ref="P229:P230"/>
    <mergeCell ref="P231:P232"/>
    <mergeCell ref="P233:P235"/>
    <mergeCell ref="P236:P237"/>
    <mergeCell ref="P238:P239"/>
    <mergeCell ref="P240:P241"/>
    <mergeCell ref="P245:P246"/>
    <mergeCell ref="P247:P249"/>
    <mergeCell ref="P250:P252"/>
    <mergeCell ref="P253:P255"/>
    <mergeCell ref="P256:P257"/>
    <mergeCell ref="P258:P261"/>
    <mergeCell ref="P262:P265"/>
    <mergeCell ref="P266:P269"/>
    <mergeCell ref="P270:P273"/>
    <mergeCell ref="P283:P284"/>
    <mergeCell ref="P286:P287"/>
    <mergeCell ref="P295:P296"/>
    <mergeCell ref="P297:P298"/>
    <mergeCell ref="P299:P300"/>
    <mergeCell ref="P304:P306"/>
    <mergeCell ref="P314:P315"/>
    <mergeCell ref="P323:P324"/>
    <mergeCell ref="P325:P326"/>
    <mergeCell ref="P327:P328"/>
    <mergeCell ref="P329:P330"/>
    <mergeCell ref="P331:P332"/>
    <mergeCell ref="P334:P335"/>
    <mergeCell ref="P339:P340"/>
    <mergeCell ref="P341:P342"/>
    <mergeCell ref="P343:P344"/>
    <mergeCell ref="P345:P347"/>
    <mergeCell ref="P353:P354"/>
    <mergeCell ref="P357:P358"/>
    <mergeCell ref="P359:P360"/>
    <mergeCell ref="P365:P366"/>
    <mergeCell ref="P368:P369"/>
    <mergeCell ref="P373:P374"/>
    <mergeCell ref="P375:P376"/>
    <mergeCell ref="P382:P383"/>
    <mergeCell ref="P389:P390"/>
    <mergeCell ref="P391:P392"/>
    <mergeCell ref="P396:P397"/>
    <mergeCell ref="P398:P399"/>
    <mergeCell ref="P407:P408"/>
    <mergeCell ref="P409:P410"/>
    <mergeCell ref="Q16:Q19"/>
    <mergeCell ref="Q20:Q23"/>
    <mergeCell ref="Q24:Q25"/>
    <mergeCell ref="Q26:Q27"/>
    <mergeCell ref="Q28:Q29"/>
    <mergeCell ref="Q30:Q31"/>
    <mergeCell ref="Q33:Q34"/>
    <mergeCell ref="Q37:Q38"/>
    <mergeCell ref="Q39:Q40"/>
    <mergeCell ref="Q41:Q42"/>
    <mergeCell ref="Q43:Q44"/>
    <mergeCell ref="Q45:Q46"/>
    <mergeCell ref="Q50:Q51"/>
    <mergeCell ref="Q54:Q55"/>
    <mergeCell ref="Q58:Q59"/>
    <mergeCell ref="Q61:Q62"/>
    <mergeCell ref="Q66:Q67"/>
    <mergeCell ref="Q68:Q69"/>
    <mergeCell ref="Q70:Q71"/>
    <mergeCell ref="Q72:Q73"/>
    <mergeCell ref="Q76:Q77"/>
    <mergeCell ref="Q80:Q83"/>
    <mergeCell ref="Q85:Q86"/>
    <mergeCell ref="Q88:Q89"/>
    <mergeCell ref="Q92:Q93"/>
    <mergeCell ref="Q95:Q97"/>
    <mergeCell ref="Q98:Q100"/>
    <mergeCell ref="Q107:Q108"/>
    <mergeCell ref="Q109:Q110"/>
    <mergeCell ref="Q111:Q112"/>
    <mergeCell ref="Q116:Q117"/>
    <mergeCell ref="Q120:Q121"/>
    <mergeCell ref="Q128:Q129"/>
    <mergeCell ref="Q136:Q137"/>
    <mergeCell ref="Q139:Q140"/>
    <mergeCell ref="Q141:Q142"/>
    <mergeCell ref="Q144:Q145"/>
    <mergeCell ref="Q151:Q152"/>
    <mergeCell ref="Q153:Q154"/>
    <mergeCell ref="Q155:Q156"/>
    <mergeCell ref="Q159:Q160"/>
    <mergeCell ref="Q171:Q172"/>
    <mergeCell ref="Q173:Q174"/>
    <mergeCell ref="Q175:Q176"/>
    <mergeCell ref="Q177:Q178"/>
    <mergeCell ref="Q184:Q186"/>
    <mergeCell ref="Q187:Q188"/>
    <mergeCell ref="Q190:Q191"/>
    <mergeCell ref="Q193:Q194"/>
    <mergeCell ref="Q208:Q209"/>
    <mergeCell ref="Q210:Q211"/>
    <mergeCell ref="Q213:Q214"/>
    <mergeCell ref="Q216:Q219"/>
    <mergeCell ref="Q221:Q222"/>
    <mergeCell ref="Q224:Q225"/>
    <mergeCell ref="Q226:Q227"/>
    <mergeCell ref="Q229:Q230"/>
    <mergeCell ref="Q231:Q232"/>
    <mergeCell ref="Q233:Q235"/>
    <mergeCell ref="Q236:Q237"/>
    <mergeCell ref="Q238:Q239"/>
    <mergeCell ref="Q240:Q241"/>
    <mergeCell ref="Q245:Q246"/>
    <mergeCell ref="Q247:Q249"/>
    <mergeCell ref="Q250:Q252"/>
    <mergeCell ref="Q253:Q255"/>
    <mergeCell ref="Q256:Q257"/>
    <mergeCell ref="Q258:Q261"/>
    <mergeCell ref="Q262:Q265"/>
    <mergeCell ref="Q266:Q269"/>
    <mergeCell ref="Q270:Q273"/>
    <mergeCell ref="Q283:Q284"/>
    <mergeCell ref="Q286:Q287"/>
    <mergeCell ref="Q295:Q296"/>
    <mergeCell ref="Q297:Q298"/>
    <mergeCell ref="Q299:Q300"/>
    <mergeCell ref="Q304:Q306"/>
    <mergeCell ref="Q314:Q315"/>
    <mergeCell ref="Q323:Q324"/>
    <mergeCell ref="Q325:Q326"/>
    <mergeCell ref="Q327:Q328"/>
    <mergeCell ref="Q329:Q330"/>
    <mergeCell ref="Q331:Q332"/>
    <mergeCell ref="Q334:Q335"/>
    <mergeCell ref="Q339:Q340"/>
    <mergeCell ref="Q341:Q342"/>
    <mergeCell ref="Q343:Q344"/>
    <mergeCell ref="Q345:Q347"/>
    <mergeCell ref="Q353:Q354"/>
    <mergeCell ref="Q357:Q358"/>
    <mergeCell ref="Q359:Q360"/>
    <mergeCell ref="Q365:Q366"/>
    <mergeCell ref="Q368:Q369"/>
    <mergeCell ref="Q373:Q374"/>
    <mergeCell ref="Q375:Q376"/>
    <mergeCell ref="Q382:Q383"/>
    <mergeCell ref="Q389:Q390"/>
    <mergeCell ref="Q391:Q392"/>
    <mergeCell ref="Q396:Q397"/>
    <mergeCell ref="Q398:Q399"/>
    <mergeCell ref="Q407:Q408"/>
    <mergeCell ref="Q409:Q410"/>
    <mergeCell ref="R16:R19"/>
    <mergeCell ref="R20:R23"/>
    <mergeCell ref="R24:R25"/>
    <mergeCell ref="R26:R27"/>
    <mergeCell ref="R28:R29"/>
    <mergeCell ref="R30:R31"/>
    <mergeCell ref="R33:R34"/>
    <mergeCell ref="R37:R38"/>
    <mergeCell ref="R39:R40"/>
    <mergeCell ref="R41:R42"/>
    <mergeCell ref="R43:R44"/>
    <mergeCell ref="R45:R46"/>
    <mergeCell ref="R50:R51"/>
    <mergeCell ref="R54:R55"/>
    <mergeCell ref="R57:R59"/>
    <mergeCell ref="R61:R62"/>
    <mergeCell ref="R66:R67"/>
    <mergeCell ref="R68:R69"/>
    <mergeCell ref="R70:R71"/>
    <mergeCell ref="R72:R73"/>
    <mergeCell ref="R76:R77"/>
    <mergeCell ref="R80:R83"/>
    <mergeCell ref="R85:R86"/>
    <mergeCell ref="R88:R89"/>
    <mergeCell ref="R92:R93"/>
    <mergeCell ref="R95:R97"/>
    <mergeCell ref="R98:R100"/>
    <mergeCell ref="R107:R108"/>
    <mergeCell ref="R109:R110"/>
    <mergeCell ref="R111:R112"/>
    <mergeCell ref="R116:R117"/>
    <mergeCell ref="R120:R121"/>
    <mergeCell ref="R128:R129"/>
    <mergeCell ref="R136:R137"/>
    <mergeCell ref="R139:R140"/>
    <mergeCell ref="R144:R145"/>
    <mergeCell ref="R151:R152"/>
    <mergeCell ref="R153:R154"/>
    <mergeCell ref="R155:R156"/>
    <mergeCell ref="R159:R160"/>
    <mergeCell ref="R171:R172"/>
    <mergeCell ref="R173:R174"/>
    <mergeCell ref="R175:R176"/>
    <mergeCell ref="R184:R186"/>
    <mergeCell ref="R187:R188"/>
    <mergeCell ref="R190:R191"/>
    <mergeCell ref="R193:R194"/>
    <mergeCell ref="R208:R209"/>
    <mergeCell ref="R210:R211"/>
    <mergeCell ref="R213:R214"/>
    <mergeCell ref="R216:R217"/>
    <mergeCell ref="R218:R219"/>
    <mergeCell ref="R221:R222"/>
    <mergeCell ref="R224:R225"/>
    <mergeCell ref="R226:R227"/>
    <mergeCell ref="R229:R230"/>
    <mergeCell ref="R231:R232"/>
    <mergeCell ref="R233:R235"/>
    <mergeCell ref="R236:R237"/>
    <mergeCell ref="R238:R239"/>
    <mergeCell ref="R240:R241"/>
    <mergeCell ref="R245:R246"/>
    <mergeCell ref="R247:R249"/>
    <mergeCell ref="R250:R252"/>
    <mergeCell ref="R253:R255"/>
    <mergeCell ref="R256:R257"/>
    <mergeCell ref="R258:R261"/>
    <mergeCell ref="R262:R265"/>
    <mergeCell ref="R266:R269"/>
    <mergeCell ref="R270:R273"/>
    <mergeCell ref="R283:R284"/>
    <mergeCell ref="R286:R287"/>
    <mergeCell ref="R289:R290"/>
    <mergeCell ref="R295:R296"/>
    <mergeCell ref="R297:R298"/>
    <mergeCell ref="R299:R300"/>
    <mergeCell ref="R303:R305"/>
    <mergeCell ref="R314:R315"/>
    <mergeCell ref="R323:R324"/>
    <mergeCell ref="R325:R326"/>
    <mergeCell ref="R327:R328"/>
    <mergeCell ref="R329:R330"/>
    <mergeCell ref="R331:R332"/>
    <mergeCell ref="R333:R335"/>
    <mergeCell ref="R353:R354"/>
    <mergeCell ref="R357:R358"/>
    <mergeCell ref="R359:R360"/>
    <mergeCell ref="R365:R366"/>
    <mergeCell ref="R368:R369"/>
    <mergeCell ref="R373:R374"/>
    <mergeCell ref="R375:R376"/>
    <mergeCell ref="R382:R383"/>
    <mergeCell ref="R389:R390"/>
    <mergeCell ref="R391:R392"/>
    <mergeCell ref="R396:R397"/>
    <mergeCell ref="R398:R399"/>
    <mergeCell ref="R407:R408"/>
    <mergeCell ref="R409:R410"/>
    <mergeCell ref="S16:S19"/>
    <mergeCell ref="S20:S23"/>
    <mergeCell ref="S24:S25"/>
    <mergeCell ref="S26:S27"/>
    <mergeCell ref="S28:S29"/>
    <mergeCell ref="S30:S31"/>
    <mergeCell ref="S33:S34"/>
    <mergeCell ref="S37:S38"/>
    <mergeCell ref="S39:S40"/>
    <mergeCell ref="S41:S42"/>
    <mergeCell ref="S43:S44"/>
    <mergeCell ref="S45:S46"/>
    <mergeCell ref="S50:S51"/>
    <mergeCell ref="S54:S55"/>
    <mergeCell ref="S57:S59"/>
    <mergeCell ref="S61:S62"/>
    <mergeCell ref="S66:S67"/>
    <mergeCell ref="S68:S69"/>
    <mergeCell ref="S70:S71"/>
    <mergeCell ref="S72:S73"/>
    <mergeCell ref="S76:S77"/>
    <mergeCell ref="S80:S83"/>
    <mergeCell ref="S85:S86"/>
    <mergeCell ref="S88:S89"/>
    <mergeCell ref="S92:S93"/>
    <mergeCell ref="S95:S97"/>
    <mergeCell ref="S98:S100"/>
    <mergeCell ref="S107:S108"/>
    <mergeCell ref="S109:S110"/>
    <mergeCell ref="S111:S112"/>
    <mergeCell ref="S116:S117"/>
    <mergeCell ref="S120:S121"/>
    <mergeCell ref="S128:S129"/>
    <mergeCell ref="S136:S137"/>
    <mergeCell ref="S139:S140"/>
    <mergeCell ref="S144:S145"/>
    <mergeCell ref="S151:S152"/>
    <mergeCell ref="S153:S154"/>
    <mergeCell ref="S155:S156"/>
    <mergeCell ref="S159:S160"/>
    <mergeCell ref="S171:S172"/>
    <mergeCell ref="S173:S174"/>
    <mergeCell ref="S175:S176"/>
    <mergeCell ref="S184:S186"/>
    <mergeCell ref="S187:S188"/>
    <mergeCell ref="S190:S191"/>
    <mergeCell ref="S193:S194"/>
    <mergeCell ref="S210:S211"/>
    <mergeCell ref="S213:S214"/>
    <mergeCell ref="S216:S217"/>
    <mergeCell ref="S218:S219"/>
    <mergeCell ref="S221:S222"/>
    <mergeCell ref="S224:S225"/>
    <mergeCell ref="S226:S227"/>
    <mergeCell ref="S229:S230"/>
    <mergeCell ref="S231:S232"/>
    <mergeCell ref="S233:S235"/>
    <mergeCell ref="S236:S237"/>
    <mergeCell ref="S238:S239"/>
    <mergeCell ref="S240:S241"/>
    <mergeCell ref="S245:S246"/>
    <mergeCell ref="S247:S249"/>
    <mergeCell ref="S250:S252"/>
    <mergeCell ref="S253:S255"/>
    <mergeCell ref="S256:S257"/>
    <mergeCell ref="S258:S261"/>
    <mergeCell ref="S262:S265"/>
    <mergeCell ref="S266:S269"/>
    <mergeCell ref="S270:S273"/>
    <mergeCell ref="S283:S284"/>
    <mergeCell ref="S286:S287"/>
    <mergeCell ref="S289:S290"/>
    <mergeCell ref="S295:S296"/>
    <mergeCell ref="S297:S298"/>
    <mergeCell ref="S299:S300"/>
    <mergeCell ref="S303:S305"/>
    <mergeCell ref="S314:S315"/>
    <mergeCell ref="S323:S324"/>
    <mergeCell ref="S325:S326"/>
    <mergeCell ref="S327:S328"/>
    <mergeCell ref="S329:S330"/>
    <mergeCell ref="S331:S332"/>
    <mergeCell ref="S333:S335"/>
    <mergeCell ref="S353:S354"/>
    <mergeCell ref="S357:S358"/>
    <mergeCell ref="S359:S360"/>
    <mergeCell ref="S365:S366"/>
    <mergeCell ref="S368:S369"/>
    <mergeCell ref="S373:S374"/>
    <mergeCell ref="S375:S376"/>
    <mergeCell ref="S382:S383"/>
    <mergeCell ref="S389:S390"/>
    <mergeCell ref="S391:S392"/>
    <mergeCell ref="S396:S397"/>
    <mergeCell ref="S398:S399"/>
    <mergeCell ref="S407:S408"/>
    <mergeCell ref="S409:S410"/>
    <mergeCell ref="T141:T142"/>
    <mergeCell ref="T177:T178"/>
    <mergeCell ref="T304:T305"/>
    <mergeCell ref="T339:T340"/>
    <mergeCell ref="T341:T342"/>
    <mergeCell ref="T343:T344"/>
    <mergeCell ref="T345:T347"/>
    <mergeCell ref="U208:U209"/>
    <mergeCell ref="U304:U305"/>
    <mergeCell ref="V16:V19"/>
    <mergeCell ref="V20:V23"/>
    <mergeCell ref="V24:V25"/>
    <mergeCell ref="V26:V27"/>
    <mergeCell ref="V28:V29"/>
    <mergeCell ref="V30:V31"/>
    <mergeCell ref="V33:V34"/>
    <mergeCell ref="V37:V38"/>
    <mergeCell ref="V39:V40"/>
    <mergeCell ref="V41:V42"/>
    <mergeCell ref="V43:V44"/>
    <mergeCell ref="V45:V46"/>
    <mergeCell ref="V50:V51"/>
    <mergeCell ref="V54:V55"/>
    <mergeCell ref="V58:V59"/>
    <mergeCell ref="V61:V62"/>
    <mergeCell ref="V66:V67"/>
    <mergeCell ref="V68:V69"/>
    <mergeCell ref="V70:V71"/>
    <mergeCell ref="V72:V73"/>
    <mergeCell ref="V76:V77"/>
    <mergeCell ref="V80:V83"/>
    <mergeCell ref="V85:V86"/>
    <mergeCell ref="V88:V89"/>
    <mergeCell ref="V92:V93"/>
    <mergeCell ref="V95:V100"/>
    <mergeCell ref="V107:V108"/>
    <mergeCell ref="V109:V110"/>
    <mergeCell ref="V111:V112"/>
    <mergeCell ref="V116:V117"/>
    <mergeCell ref="V120:V121"/>
    <mergeCell ref="V128:V129"/>
    <mergeCell ref="V132:V134"/>
    <mergeCell ref="V136:V137"/>
    <mergeCell ref="V139:V140"/>
    <mergeCell ref="V141:V142"/>
    <mergeCell ref="V144:V145"/>
    <mergeCell ref="V149:V150"/>
    <mergeCell ref="V151:V152"/>
    <mergeCell ref="V153:V154"/>
    <mergeCell ref="V155:V156"/>
    <mergeCell ref="V159:V160"/>
    <mergeCell ref="V171:V172"/>
    <mergeCell ref="V173:V174"/>
    <mergeCell ref="V175:V176"/>
    <mergeCell ref="V177:V178"/>
    <mergeCell ref="V181:V182"/>
    <mergeCell ref="V184:V186"/>
    <mergeCell ref="V187:V188"/>
    <mergeCell ref="V190:V191"/>
    <mergeCell ref="V193:V194"/>
    <mergeCell ref="V195:V196"/>
    <mergeCell ref="V208:V209"/>
    <mergeCell ref="V210:V211"/>
    <mergeCell ref="V213:V214"/>
    <mergeCell ref="V216:V219"/>
    <mergeCell ref="V221:V222"/>
    <mergeCell ref="V224:V225"/>
    <mergeCell ref="V226:V227"/>
    <mergeCell ref="V229:V230"/>
    <mergeCell ref="V231:V232"/>
    <mergeCell ref="V233:V235"/>
    <mergeCell ref="V236:V237"/>
    <mergeCell ref="V238:V239"/>
    <mergeCell ref="V240:V241"/>
    <mergeCell ref="V245:V246"/>
    <mergeCell ref="V247:V255"/>
    <mergeCell ref="V256:V257"/>
    <mergeCell ref="V258:V273"/>
    <mergeCell ref="V283:V284"/>
    <mergeCell ref="V286:V287"/>
    <mergeCell ref="V289:V290"/>
    <mergeCell ref="V295:V296"/>
    <mergeCell ref="V297:V298"/>
    <mergeCell ref="V299:V300"/>
    <mergeCell ref="V303:V305"/>
    <mergeCell ref="V314:V315"/>
    <mergeCell ref="V323:V324"/>
    <mergeCell ref="V325:V326"/>
    <mergeCell ref="V327:V328"/>
    <mergeCell ref="V329:V330"/>
    <mergeCell ref="V331:V332"/>
    <mergeCell ref="V333:V335"/>
    <mergeCell ref="V339:V340"/>
    <mergeCell ref="V341:V342"/>
    <mergeCell ref="V343:V344"/>
    <mergeCell ref="V345:V347"/>
    <mergeCell ref="V353:V354"/>
    <mergeCell ref="V357:V358"/>
    <mergeCell ref="V359:V360"/>
    <mergeCell ref="V365:V366"/>
    <mergeCell ref="V368:V369"/>
    <mergeCell ref="V373:V374"/>
    <mergeCell ref="V375:V376"/>
    <mergeCell ref="V382:V383"/>
    <mergeCell ref="V389:V390"/>
    <mergeCell ref="V391:V392"/>
    <mergeCell ref="V396:V397"/>
    <mergeCell ref="V398:V399"/>
    <mergeCell ref="V407:V408"/>
    <mergeCell ref="V409:V4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N48"/>
  <sheetViews>
    <sheetView showGridLines="0" workbookViewId="0">
      <selection activeCell="A1" sqref="A1"/>
    </sheetView>
  </sheetViews>
  <sheetFormatPr defaultColWidth="12.6296296296296" defaultRowHeight="15.75" customHeight="1"/>
  <cols>
    <col min="1" max="1" width="2.37962962962963" customWidth="1"/>
    <col min="2" max="2" width="13.6296296296296" customWidth="1"/>
    <col min="7" max="7" width="14.5" customWidth="1"/>
    <col min="8" max="8" width="5.12962962962963" customWidth="1"/>
    <col min="9" max="9" width="14" customWidth="1"/>
    <col min="14" max="14" width="15.6296296296296" customWidth="1"/>
  </cols>
  <sheetData>
    <row r="2" customHeight="1" spans="2:14">
      <c r="B2" s="156">
        <v>2470</v>
      </c>
      <c r="C2" s="157" t="s">
        <v>16</v>
      </c>
      <c r="F2" s="85"/>
      <c r="G2" s="85"/>
      <c r="H2" s="85"/>
      <c r="I2" s="156">
        <v>2550</v>
      </c>
      <c r="J2" s="157" t="s">
        <v>58</v>
      </c>
      <c r="L2" s="4"/>
      <c r="M2" s="4"/>
      <c r="N2" s="4"/>
    </row>
    <row r="3" customHeight="1" spans="2:12">
      <c r="B3" s="158" t="s">
        <v>182</v>
      </c>
      <c r="E3" s="159">
        <v>823</v>
      </c>
      <c r="I3" s="158" t="s">
        <v>182</v>
      </c>
      <c r="L3" s="159">
        <v>107</v>
      </c>
    </row>
    <row r="4" customHeight="1" spans="2:14">
      <c r="B4" s="160" t="s">
        <v>183</v>
      </c>
      <c r="C4" s="160" t="s">
        <v>100</v>
      </c>
      <c r="D4" s="160" t="s">
        <v>0</v>
      </c>
      <c r="E4" s="160" t="s">
        <v>2</v>
      </c>
      <c r="F4" s="160" t="s">
        <v>4</v>
      </c>
      <c r="G4" s="161" t="s">
        <v>184</v>
      </c>
      <c r="H4" s="162"/>
      <c r="I4" s="160" t="s">
        <v>183</v>
      </c>
      <c r="J4" s="160" t="s">
        <v>100</v>
      </c>
      <c r="K4" s="160" t="s">
        <v>0</v>
      </c>
      <c r="L4" s="160" t="s">
        <v>2</v>
      </c>
      <c r="M4" s="160" t="s">
        <v>4</v>
      </c>
      <c r="N4" s="161" t="s">
        <v>184</v>
      </c>
    </row>
    <row r="5" customHeight="1" spans="2:14">
      <c r="B5" s="163">
        <v>45839</v>
      </c>
      <c r="C5" s="164">
        <f>SUMIFS(MOVIMENTO!E4:E153,MOVIMENTO!B4:B153,B2,MOVIMENTO!D4:D153,C4)</f>
        <v>0</v>
      </c>
      <c r="D5" s="164">
        <f>SUMIFS(MOVIMENTO!E4:E153,MOVIMENTO!B4:B153,B2,MOVIMENTO!D4:D153,D4)</f>
        <v>178</v>
      </c>
      <c r="E5" s="164">
        <f>SUMIFS(MOVIMENTO!E4:E153,MOVIMENTO!B4:B153,B2,MOVIMENTO!D4:D153,E4)</f>
        <v>0</v>
      </c>
      <c r="F5" s="164">
        <f>SUMIFS(MOVIMENTO!E4:E153,MOVIMENTO!B4:B153,B2,MOVIMENTO!D4:D153,F4)</f>
        <v>0</v>
      </c>
      <c r="G5" s="165">
        <f>(E3+C5+F5)-(D5+E5)</f>
        <v>645</v>
      </c>
      <c r="H5" s="166"/>
      <c r="I5" s="163">
        <v>45839</v>
      </c>
      <c r="J5" s="99">
        <f>SUMIFS(MOVIMENTO!E4:E153,MOVIMENTO!B4:B153,I2,MOVIMENTO!D4:D153,J4)</f>
        <v>0</v>
      </c>
      <c r="K5" s="99">
        <f>SUMIFS(MOVIMENTO!E4:E153,MOVIMENTO!B4:B153,I2,MOVIMENTO!D4:D153,K4)</f>
        <v>14</v>
      </c>
      <c r="L5" s="99">
        <f>SUMIFS(MOVIMENTO!E4:E153,MOVIMENTO!B4:B153,I2,MOVIMENTO!D4:D153,L4)</f>
        <v>0</v>
      </c>
      <c r="M5" s="99">
        <f>SUMIFS(MOVIMENTO!E4:E153,MOVIMENTO!B4:B153,I2,MOVIMENTO!D4:D153,M4)</f>
        <v>0</v>
      </c>
      <c r="N5" s="165">
        <f>SUM(L3+J5+M5)-(K5+L5)</f>
        <v>93</v>
      </c>
    </row>
    <row r="6" customHeight="1" spans="2:14">
      <c r="B6" s="163">
        <v>45870</v>
      </c>
      <c r="C6" s="164">
        <f>SUMIFS(MOVIMENTO!E155:E363,MOVIMENTO!B155:B363,B2,MOVIMENTO!D155:D363,C4)</f>
        <v>0</v>
      </c>
      <c r="D6" s="164">
        <f>SUMIFS(MOVIMENTO!E155:E363,MOVIMENTO!B155:B363,B2,MOVIMENTO!D155:D363,D4)</f>
        <v>198</v>
      </c>
      <c r="E6" s="164">
        <f>SUMIFS(MOVIMENTO!E155:E363,MOVIMENTO!B155:B363,B2,MOVIMENTO!D155:D363,E4)</f>
        <v>0</v>
      </c>
      <c r="F6" s="164">
        <f>SUMIFS(MOVIMENTO!E155:E363,MOVIMENTO!B155:B363,B2,MOVIMENTO!D155:D363,F4)</f>
        <v>11</v>
      </c>
      <c r="G6" s="165">
        <f t="shared" ref="G6:G7" si="0">(G5+F6+C6)-(D6+E6)</f>
        <v>458</v>
      </c>
      <c r="H6" s="166"/>
      <c r="I6" s="163">
        <v>45870</v>
      </c>
      <c r="J6" s="99">
        <f>SUMIFS(MOVIMENTO!E155:E363,MOVIMENTO!B155:B363,I2,MOVIMENTO!D155:D363,J4)</f>
        <v>0</v>
      </c>
      <c r="K6" s="99">
        <f>SUMIFS(MOVIMENTO!E155:E363,MOVIMENTO!B155:B363,I2,MOVIMENTO!D155:D363,K4)</f>
        <v>12</v>
      </c>
      <c r="L6" s="99">
        <f>SUMIFS(MOVIMENTO!E155:E363,MOVIMENTO!B155:B363,I2,MOVIMENTO!D155:D363,L4)</f>
        <v>0</v>
      </c>
      <c r="M6" s="99">
        <f>SUMIFS(MOVIMENTO!E155:E363,MOVIMENTO!B155:B363,I2,MOVIMENTO!D155:D363,M4)</f>
        <v>2</v>
      </c>
      <c r="N6" s="165">
        <f>(N5+J6+M6)-(K6+L6)</f>
        <v>83</v>
      </c>
    </row>
    <row r="7" customHeight="1" spans="2:14">
      <c r="B7" s="163">
        <v>45901</v>
      </c>
      <c r="C7" s="99">
        <f>SUMIFS(MOVIMENTO!E364:E421,MOVIMENTO!B364:B421,B2,MOVIMENTO!D364:D421,C4)</f>
        <v>0</v>
      </c>
      <c r="D7" s="99">
        <f>SUMIFS(MOVIMENTO!E364:E421,MOVIMENTO!B364:B421,B2,MOVIMENTO!D364:D421,D4)</f>
        <v>36</v>
      </c>
      <c r="E7" s="99">
        <f>SUMIFS(MOVIMENTO!E364:E421,MOVIMENTO!B364:B421,B2,MOVIMENTO!D364:D421,E4)</f>
        <v>0</v>
      </c>
      <c r="F7" s="99">
        <f>SUMIFS(MOVIMENTO!E364:E421,MOVIMENTO!B364:B421,B2,MOVIMENTO!D364:D421,F4)</f>
        <v>0</v>
      </c>
      <c r="G7" s="165">
        <f t="shared" si="0"/>
        <v>422</v>
      </c>
      <c r="H7" s="166"/>
      <c r="I7" s="163">
        <v>45901</v>
      </c>
      <c r="J7" s="99">
        <f>SUMIFS(MOVIMENTO!E364:E421,MOVIMENTO!B364:B421,I2,MOVIMENTO!D364:D421,J4)</f>
        <v>0</v>
      </c>
      <c r="K7" s="99">
        <f>SUMIFS(MOVIMENTO!E364:E421,MOVIMENTO!B364:B421,I2,MOVIMENTO!D364:D421,K4)</f>
        <v>3</v>
      </c>
      <c r="L7" s="99">
        <f>SUMIFS(MOVIMENTO!E364:E421,MOVIMENTO!B364:B421,I2,MOVIMENTO!D364:D421,L4)</f>
        <v>0</v>
      </c>
      <c r="M7" s="99">
        <f>SUMIFS(MOVIMENTO!E364:E421,MOVIMENTO!B364:B421,I2,MOVIMENTO!D364:D421,M4)</f>
        <v>0</v>
      </c>
      <c r="N7" s="165">
        <f>(N6+M7+J7)-(K7+L7)</f>
        <v>80</v>
      </c>
    </row>
    <row r="8" customHeight="1" spans="2:14"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</row>
    <row r="9" customHeight="1" spans="2:14">
      <c r="B9" s="92">
        <v>2731</v>
      </c>
      <c r="C9" s="92" t="s">
        <v>18</v>
      </c>
      <c r="E9" s="24"/>
      <c r="F9" s="24"/>
      <c r="G9" s="24"/>
      <c r="H9" s="166"/>
      <c r="I9" s="92">
        <v>2946</v>
      </c>
      <c r="J9" s="92" t="s">
        <v>91</v>
      </c>
      <c r="M9" s="24"/>
      <c r="N9" s="24"/>
    </row>
    <row r="10" customHeight="1" spans="2:12">
      <c r="B10" s="158" t="s">
        <v>182</v>
      </c>
      <c r="E10" s="159">
        <v>12</v>
      </c>
      <c r="I10" s="158" t="s">
        <v>182</v>
      </c>
      <c r="L10" s="159">
        <v>273</v>
      </c>
    </row>
    <row r="11" customHeight="1" spans="2:14">
      <c r="B11" s="167" t="s">
        <v>183</v>
      </c>
      <c r="C11" s="160" t="s">
        <v>100</v>
      </c>
      <c r="D11" s="160" t="s">
        <v>0</v>
      </c>
      <c r="E11" s="160" t="s">
        <v>2</v>
      </c>
      <c r="F11" s="160" t="s">
        <v>4</v>
      </c>
      <c r="G11" s="161" t="s">
        <v>184</v>
      </c>
      <c r="H11" s="162"/>
      <c r="I11" s="160" t="s">
        <v>183</v>
      </c>
      <c r="J11" s="160" t="s">
        <v>100</v>
      </c>
      <c r="K11" s="160" t="s">
        <v>0</v>
      </c>
      <c r="L11" s="160" t="s">
        <v>2</v>
      </c>
      <c r="M11" s="160" t="s">
        <v>4</v>
      </c>
      <c r="N11" s="161" t="s">
        <v>184</v>
      </c>
    </row>
    <row r="12" customHeight="1" spans="2:14">
      <c r="B12" s="163">
        <v>45839</v>
      </c>
      <c r="C12" s="99">
        <f>SUMIFS(MOVIMENTO!E4:E153,MOVIMENTO!B4:B153,B9,MOVIMENTO!D4:D153,C11)</f>
        <v>0</v>
      </c>
      <c r="D12" s="99">
        <f>SUMIFS(MOVIMENTO!E4:E153,MOVIMENTO!B4:B153,B9,MOVIMENTO!D4:D153,D11)</f>
        <v>1</v>
      </c>
      <c r="E12" s="99">
        <f>SUMIFS(MOVIMENTO!E4:E153,MOVIMENTO!B4:B153,B9,MOVIMENTO!D4:D153,E11)</f>
        <v>0</v>
      </c>
      <c r="F12" s="99">
        <f>SUMIFS(MOVIMENTO!E4:E153,MOVIMENTO!B4:B153,B9,MOVIMENTO!D4:D153,F11)</f>
        <v>0</v>
      </c>
      <c r="G12" s="165">
        <f>(E10+C12+F12)-(D12+E12)</f>
        <v>11</v>
      </c>
      <c r="H12" s="162"/>
      <c r="I12" s="163">
        <v>45839</v>
      </c>
      <c r="J12" s="99">
        <f>SUMIFS(MOVIMENTO!E4:E153,MOVIMENTO!B4:B153,I9,MOVIMENTO!D4:D153,J11)</f>
        <v>0</v>
      </c>
      <c r="K12" s="99">
        <f>SUMIFS(MOVIMENTO!E4:E153,MOVIMENTO!B4:B153,I9,MOVIMENTO!D4:D153,K11)</f>
        <v>1</v>
      </c>
      <c r="L12" s="99">
        <f>SUMIFS(MOVIMENTO!E4:E153,MOVIMENTO!B4:B153,I9,MOVIMENTO!D4:D153,L11)</f>
        <v>0</v>
      </c>
      <c r="M12" s="99">
        <f>SUMIFS(MOVIMENTO!E4:E153,MOVIMENTO!B4:B153,I9,MOVIMENTO!D4:D153,M11)</f>
        <v>0</v>
      </c>
      <c r="N12" s="165">
        <f>SUM(L10+J12+M12)-(K12+L12)</f>
        <v>272</v>
      </c>
    </row>
    <row r="13" customHeight="1" spans="2:14">
      <c r="B13" s="163">
        <v>45870</v>
      </c>
      <c r="C13" s="99">
        <f>SUMIFS(MOVIMENTO!E155:E363,MOVIMENTO!B155:B363,B9,MOVIMENTO!D155:D363,C11)</f>
        <v>0</v>
      </c>
      <c r="D13" s="99">
        <f>SUMIFS(MOVIMENTO!E155:E363,MOVIMENTO!B155:B363,B9,MOVIMENTO!D155:D363,D11)</f>
        <v>0</v>
      </c>
      <c r="E13" s="99">
        <f>SUMIFS(MOVIMENTO!E155:E363,MOVIMENTO!B155:B363,B9,MOVIMENTO!D155:D363,E11)</f>
        <v>0</v>
      </c>
      <c r="F13" s="99">
        <f>SUMIFS(MOVIMENTO!E155:E363,MOVIMENTO!B155:B363,B9,MOVIMENTO!D155:D363,F11)</f>
        <v>0</v>
      </c>
      <c r="G13" s="165">
        <f t="shared" ref="G13:G14" si="1">(G12+C13)-(D13+E13-F13)</f>
        <v>11</v>
      </c>
      <c r="H13" s="162"/>
      <c r="I13" s="163">
        <v>45870</v>
      </c>
      <c r="J13" s="99">
        <f>SUMIFS(MOVIMENTO!E155:E363,MOVIMENTO!B155:B363,I9,MOVIMENTO!D155:D363,J11)</f>
        <v>0</v>
      </c>
      <c r="K13" s="99">
        <f>SUMIFS(MOVIMENTO!E155:E363,MOVIMENTO!B155:B363,I9,MOVIMENTO!D155:D363,K11)</f>
        <v>7</v>
      </c>
      <c r="L13" s="99">
        <f>SUMIFS(MOVIMENTO!E155:E363,MOVIMENTO!B155:B363,I9,MOVIMENTO!D155:D363,L11)</f>
        <v>0</v>
      </c>
      <c r="M13" s="99">
        <f>SUMIFS(MOVIMENTO!E155:E363,MOVIMENTO!B155:B363,I9,MOVIMENTO!D155:D363,M11)</f>
        <v>0</v>
      </c>
      <c r="N13" s="165">
        <f t="shared" ref="N13:N14" si="2">(N12+J13)-(K13+L13-M13)</f>
        <v>265</v>
      </c>
    </row>
    <row r="14" customHeight="1" spans="2:14">
      <c r="B14" s="163">
        <v>45901</v>
      </c>
      <c r="C14" s="99">
        <f>SUMIFS(MOVIMENTO!E364:E421,MOVIMENTO!B364:B421,B9,MOVIMENTO!D364:D421,C11)</f>
        <v>0</v>
      </c>
      <c r="D14" s="99">
        <f>SUMIFS(MOVIMENTO!E364:E421,MOVIMENTO!B364:B421,B9,MOVIMENTO!D364:D421,D11)</f>
        <v>0</v>
      </c>
      <c r="E14" s="99">
        <f>SUMIFS(MOVIMENTO!E364:E421,MOVIMENTO!B364:B421,B9,MOVIMENTO!D364:D421,E11)</f>
        <v>0</v>
      </c>
      <c r="F14" s="99">
        <f>SUMIFS(MOVIMENTO!E364:E421,MOVIMENTO!B364:B421,B9,MOVIMENTO!D364:D421,F11)</f>
        <v>0</v>
      </c>
      <c r="G14" s="165">
        <f t="shared" si="1"/>
        <v>11</v>
      </c>
      <c r="H14" s="162"/>
      <c r="I14" s="163">
        <v>45901</v>
      </c>
      <c r="J14" s="99">
        <f>SUMIFS(MOVIMENTO!E364:E421,MOVIMENTO!B364:B421,I9,MOVIMENTO!D364:D421,J11)</f>
        <v>0</v>
      </c>
      <c r="K14" s="99">
        <f>SUMIFS(MOVIMENTO!E364:E421,MOVIMENTO!B364:B421,I9,MOVIMENTO!D364:D421,K11)</f>
        <v>0</v>
      </c>
      <c r="L14" s="99">
        <f>SUMIFS(MOVIMENTO!E364:E421,MOVIMENTO!B364:B421,I9,MOVIMENTO!D364:D421,L11)</f>
        <v>0</v>
      </c>
      <c r="M14" s="99">
        <f>SUMIFS(MOVIMENTO!E364:E421,MOVIMENTO!B364:B421,I9,MOVIMENTO!D364:D421,M11)</f>
        <v>0</v>
      </c>
      <c r="N14" s="165">
        <f t="shared" si="2"/>
        <v>265</v>
      </c>
    </row>
    <row r="15" customHeight="1" spans="2:14">
      <c r="B15" s="166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</row>
    <row r="16" customHeight="1" spans="2:14">
      <c r="B16" s="92">
        <v>2953</v>
      </c>
      <c r="C16" s="92" t="s">
        <v>22</v>
      </c>
      <c r="F16" s="24"/>
      <c r="G16" s="24"/>
      <c r="H16" s="162"/>
      <c r="I16" s="156">
        <v>2957</v>
      </c>
      <c r="J16" s="156" t="s">
        <v>185</v>
      </c>
      <c r="L16" s="6"/>
      <c r="M16" s="6"/>
      <c r="N16" s="6"/>
    </row>
    <row r="17" customHeight="1" spans="2:14">
      <c r="B17" s="158" t="s">
        <v>182</v>
      </c>
      <c r="E17" s="159">
        <v>140</v>
      </c>
      <c r="I17" s="158" t="s">
        <v>182</v>
      </c>
      <c r="L17" s="47">
        <v>1</v>
      </c>
      <c r="M17" s="6"/>
      <c r="N17" s="6"/>
    </row>
    <row r="18" customHeight="1" spans="2:14">
      <c r="B18" s="160" t="s">
        <v>183</v>
      </c>
      <c r="C18" s="160" t="s">
        <v>100</v>
      </c>
      <c r="D18" s="160" t="s">
        <v>0</v>
      </c>
      <c r="E18" s="160" t="s">
        <v>2</v>
      </c>
      <c r="F18" s="160" t="s">
        <v>4</v>
      </c>
      <c r="G18" s="161" t="s">
        <v>184</v>
      </c>
      <c r="H18" s="162"/>
      <c r="I18" s="168" t="s">
        <v>183</v>
      </c>
      <c r="J18" s="168" t="s">
        <v>100</v>
      </c>
      <c r="K18" s="168" t="s">
        <v>0</v>
      </c>
      <c r="L18" s="168" t="s">
        <v>2</v>
      </c>
      <c r="M18" s="168" t="s">
        <v>4</v>
      </c>
      <c r="N18" s="169" t="s">
        <v>184</v>
      </c>
    </row>
    <row r="19" customHeight="1" spans="2:14">
      <c r="B19" s="163">
        <v>45839</v>
      </c>
      <c r="C19" s="99">
        <f>SUMIFS(MOVIMENTO!E4:E153,MOVIMENTO!B4:B153,B16,MOVIMENTO!D4:D153,C18)</f>
        <v>0</v>
      </c>
      <c r="D19" s="99">
        <f>SUMIFS(MOVIMENTO!E4:E153,MOVIMENTO!B4:B153,B16,MOVIMENTO!D4:D153,D18)</f>
        <v>0</v>
      </c>
      <c r="E19" s="99">
        <f>SUMIFS(MOVIMENTO!E4:E153,MOVIMENTO!B4:B153,B16,MOVIMENTO!D4:D153,E18)</f>
        <v>0</v>
      </c>
      <c r="F19" s="99">
        <f>SUMIFS(MOVIMENTO!E4:E153,MOVIMENTO!B4:B153,B16,MOVIMENTO!D4:D153,F18)</f>
        <v>0</v>
      </c>
      <c r="G19" s="165">
        <f>SUM(E17+C19+F19)-(D19+E19)</f>
        <v>140</v>
      </c>
      <c r="H19" s="162"/>
      <c r="I19" s="163">
        <v>45839</v>
      </c>
      <c r="J19" s="170">
        <f>SUMIFS(MOVIMENTO!E4:E153,MOVIMENTO!B4:B153,I16,MOVIMENTO!D4:D153,J18)</f>
        <v>0</v>
      </c>
      <c r="K19" s="170">
        <f>SUMIFS(MOVIMENTO!E4:E153,MOVIMENTO!B4:B153,I16,MOVIMENTO!D4:D153,K18)</f>
        <v>0</v>
      </c>
      <c r="L19" s="170">
        <f>SUMIFS(MOVIMENTO!E4:E153,MOVIMENTO!B4:B153,I16,MOVIMENTO!D4:D153,L18)</f>
        <v>0</v>
      </c>
      <c r="M19" s="170">
        <f>SUMIFS(MOVIMENTO!E4:E153,MOVIMENTO!B4:B153,I16,MOVIMENTO!D4:D153,M18)</f>
        <v>0</v>
      </c>
      <c r="N19" s="171">
        <f>(J19+M19+L17)-(K19+L19)</f>
        <v>1</v>
      </c>
    </row>
    <row r="20" customHeight="1" spans="2:14">
      <c r="B20" s="163">
        <v>45870</v>
      </c>
      <c r="C20" s="99">
        <f>SUMIFS(MOVIMENTO!E155:E363,MOVIMENTO!B155:B363,B16,MOVIMENTO!D155:D363,C18)</f>
        <v>0</v>
      </c>
      <c r="D20" s="99">
        <f>SUMIFS(MOVIMENTO!E155:E363,MOVIMENTO!B155:B363,B16,MOVIMENTO!D155:D363,D18)</f>
        <v>3</v>
      </c>
      <c r="E20" s="99">
        <f>SUMIFS(MOVIMENTO!E155:E363,MOVIMENTO!B155:B363,B16,MOVIMENTO!D155:D363,E18)</f>
        <v>0</v>
      </c>
      <c r="F20" s="99">
        <f>SUMIFS(MOVIMENTO!E155:E363,MOVIMENTO!B155:B363,B16,MOVIMENTO!D155:D363,F18)</f>
        <v>0</v>
      </c>
      <c r="G20" s="165">
        <f t="shared" ref="G20:G21" si="3">(G19+C20)-(D20+E20-F20)</f>
        <v>137</v>
      </c>
      <c r="H20" s="162"/>
      <c r="I20" s="163">
        <v>45870</v>
      </c>
      <c r="J20" s="170">
        <f>SUMIFS(MOVIMENTO!E155:E363,MOVIMENTO!B155:B363,I16,MOVIMENTO!D155:D363,J18)</f>
        <v>0</v>
      </c>
      <c r="K20" s="170">
        <f>SUMIFS(MOVIMENTO!E155:E363,MOVIMENTO!B155:B363,I16,MOVIMENTO!D155:D363,K18)</f>
        <v>0</v>
      </c>
      <c r="L20" s="170">
        <f>SUMIFS(MOVIMENTO!E155:E363,MOVIMENTO!B155:B363,I16,MOVIMENTO!D155:D363,L18)</f>
        <v>0</v>
      </c>
      <c r="M20" s="170">
        <f>SUMIFS(MOVIMENTO!E155:E363,MOVIMENTO!B155:B363,I16,MOVIMENTO!D155:D363,M18)</f>
        <v>0</v>
      </c>
      <c r="N20" s="171">
        <f>(J20+M20+N19)-(K20+L20)</f>
        <v>1</v>
      </c>
    </row>
    <row r="21" customHeight="1" spans="2:14">
      <c r="B21" s="163">
        <v>45901</v>
      </c>
      <c r="C21" s="99">
        <f>SUMIFS(MOVIMENTO!E364:E421,MOVIMENTO!B364:B421,B16,MOVIMENTO!D364:D421,C18)</f>
        <v>0</v>
      </c>
      <c r="D21" s="99">
        <f>SUMIFS(MOVIMENTO!E364:E421,MOVIMENTO!B364:B421,B16,MOVIMENTO!D364:D421,D18)</f>
        <v>0</v>
      </c>
      <c r="E21" s="99">
        <f>SUMIFS(MOVIMENTO!E364:E421,MOVIMENTO!B364:B421,B16,MOVIMENTO!D364:D421,E18)</f>
        <v>0</v>
      </c>
      <c r="F21" s="99">
        <f>SUMIFS(MOVIMENTO!E364:E421,MOVIMENTO!B364:B421,B16,MOVIMENTO!D364:D421,F18)</f>
        <v>0</v>
      </c>
      <c r="G21" s="165">
        <f t="shared" si="3"/>
        <v>137</v>
      </c>
      <c r="H21" s="162"/>
      <c r="I21" s="163">
        <v>45901</v>
      </c>
      <c r="J21" s="170">
        <f>SUMIFS(MOVIMENTO!E364:E421,MOVIMENTO!B364:B421,I16,MOVIMENTO!D364:D421,J18)</f>
        <v>0</v>
      </c>
      <c r="K21" s="170">
        <f>SUMIFS(MOVIMENTO!E364:E421,MOVIMENTO!B364:B421,I16,MOVIMENTO!D364:D421,K18)</f>
        <v>0</v>
      </c>
      <c r="L21" s="170">
        <f>SUMIFS(MOVIMENTO!E364:E421,MOVIMENTO!B364:B421,I16,MOVIMENTO!D364:D421,L18)</f>
        <v>0</v>
      </c>
      <c r="M21" s="170">
        <f>SUMIFS(MOVIMENTO!E364:E421,MOVIMENTO!B364:B421,I16,MOVIMENTO!D364:D421,M18)</f>
        <v>0</v>
      </c>
      <c r="N21" s="171">
        <f>(N20+M21+J21)-(K21+L21)</f>
        <v>1</v>
      </c>
    </row>
    <row r="22" customHeight="1" spans="2:14"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</row>
    <row r="23" customHeight="1" spans="2:14">
      <c r="B23" s="92">
        <v>2959</v>
      </c>
      <c r="C23" s="92" t="s">
        <v>24</v>
      </c>
      <c r="F23" s="24"/>
      <c r="G23" s="24"/>
      <c r="H23" s="24"/>
      <c r="I23" s="92">
        <v>3006</v>
      </c>
      <c r="J23" s="92" t="s">
        <v>25</v>
      </c>
      <c r="M23" s="24"/>
      <c r="N23" s="24"/>
    </row>
    <row r="24" customHeight="1" spans="2:12">
      <c r="B24" s="158" t="s">
        <v>182</v>
      </c>
      <c r="E24" s="159">
        <v>48</v>
      </c>
      <c r="I24" s="158" t="s">
        <v>182</v>
      </c>
      <c r="L24" s="159">
        <v>60</v>
      </c>
    </row>
    <row r="25" customHeight="1" spans="2:14">
      <c r="B25" s="167" t="s">
        <v>183</v>
      </c>
      <c r="C25" s="160" t="s">
        <v>100</v>
      </c>
      <c r="D25" s="160" t="s">
        <v>0</v>
      </c>
      <c r="E25" s="160" t="s">
        <v>2</v>
      </c>
      <c r="F25" s="160" t="s">
        <v>4</v>
      </c>
      <c r="G25" s="161" t="s">
        <v>184</v>
      </c>
      <c r="H25" s="24"/>
      <c r="I25" s="160" t="s">
        <v>183</v>
      </c>
      <c r="J25" s="160" t="s">
        <v>100</v>
      </c>
      <c r="K25" s="160" t="s">
        <v>0</v>
      </c>
      <c r="L25" s="160" t="s">
        <v>2</v>
      </c>
      <c r="M25" s="160" t="s">
        <v>4</v>
      </c>
      <c r="N25" s="161" t="s">
        <v>184</v>
      </c>
    </row>
    <row r="26" customHeight="1" spans="2:14">
      <c r="B26" s="163">
        <v>45839</v>
      </c>
      <c r="C26" s="99">
        <f>SUMIFS(MOVIMENTO!E4:E153,MOVIMENTO!B4:B153,B23,MOVIMENTO!D4:D153,C25)</f>
        <v>0</v>
      </c>
      <c r="D26" s="99">
        <f>SUMIFS(MOVIMENTO!E4:E153,MOVIMENTO!B4:B153,B23,MOVIMENTO!D4:D153,D25)</f>
        <v>0</v>
      </c>
      <c r="E26" s="99">
        <f>SUMIFS(MOVIMENTO!E4:E153,MOVIMENTO!B4:B153,B23,MOVIMENTO!D4:D153,E25)</f>
        <v>0</v>
      </c>
      <c r="F26" s="99">
        <f>SUMIFS(MOVIMENTO!E4:E153,MOVIMENTO!B4:B153,B23,MOVIMENTO!D4:D153,F25)</f>
        <v>0</v>
      </c>
      <c r="G26" s="165">
        <f>SUM(C26+E24+F26)-(D26+E26)</f>
        <v>48</v>
      </c>
      <c r="H26" s="24"/>
      <c r="I26" s="163">
        <v>45839</v>
      </c>
      <c r="J26" s="99">
        <f>SUMIFS(MOVIMENTO!E4:E153,MOVIMENTO!B4:B153,I23,MOVIMENTO!D4:D153,J25)</f>
        <v>0</v>
      </c>
      <c r="K26" s="99">
        <f>SUMIFS(MOVIMENTO!E4:E153,MOVIMENTO!B4:B153,I23,MOVIMENTO!D4:D153,K25)</f>
        <v>2</v>
      </c>
      <c r="L26" s="99">
        <f>SUMIFS(MOVIMENTO!E4:E153,MOVIMENTO!B4:B153,I23,MOVIMENTO!D4:D153,L25)</f>
        <v>0</v>
      </c>
      <c r="M26" s="99">
        <f>SUMIFS(MOVIMENTO!E4:E153,MOVIMENTO!B4:B153,I23,MOVIMENTO!D4:D153,M25)</f>
        <v>0</v>
      </c>
      <c r="N26" s="165">
        <f>(L24+M26+J26)-(K26+L26)</f>
        <v>58</v>
      </c>
    </row>
    <row r="27" customHeight="1" spans="2:14">
      <c r="B27" s="163">
        <v>45870</v>
      </c>
      <c r="C27" s="99">
        <f>SUMIFS(MOVIMENTO!E155:E363,MOVIMENTO!B155:B363,B23,MOVIMENTO!D155:D363,C25)</f>
        <v>0</v>
      </c>
      <c r="D27" s="99">
        <f>SUMIFS(MOVIMENTO!E155:E363,MOVIMENTO!B155:B363,B23,MOVIMENTO!D155:D363,D25)</f>
        <v>0</v>
      </c>
      <c r="E27" s="99">
        <f>SUMIFS(MOVIMENTO!E155:E363,MOVIMENTO!B155:B363,B23,MOVIMENTO!D155:D363,E25)</f>
        <v>0</v>
      </c>
      <c r="F27" s="99">
        <f>SUMIFS(MOVIMENTO!E155:E363,MOVIMENTO!B155:B363,B23,MOVIMENTO!D155:D363,F25)</f>
        <v>0</v>
      </c>
      <c r="G27" s="165">
        <f t="shared" ref="G27:G28" si="4">(G26+C27)-(D27+E27-F27)</f>
        <v>48</v>
      </c>
      <c r="H27" s="24"/>
      <c r="I27" s="163">
        <v>45870</v>
      </c>
      <c r="J27" s="99">
        <f>SUMIFS(MOVIMENTO!E155:E363,MOVIMENTO!B155:B363,I23,MOVIMENTO!D155:D363,J25)</f>
        <v>0</v>
      </c>
      <c r="K27" s="99">
        <f>SUMIFS(MOVIMENTO!E155:E363,MOVIMENTO!B155:B363,I23,MOVIMENTO!D155:D363,K25)</f>
        <v>7</v>
      </c>
      <c r="L27" s="99">
        <f>SUMIFS(MOVIMENTO!E155:E363,MOVIMENTO!B155:B363,I23,MOVIMENTO!D155:D363,L25)</f>
        <v>0</v>
      </c>
      <c r="M27" s="99">
        <f>SUMIFS(MOVIMENTO!E155:E363,MOVIMENTO!B155:B363,I23,MOVIMENTO!D155:D363,M25)</f>
        <v>0</v>
      </c>
      <c r="N27" s="165">
        <f t="shared" ref="N27:N28" si="5">(N26+J27)-(K27+L27-M27)</f>
        <v>51</v>
      </c>
    </row>
    <row r="28" customHeight="1" spans="2:14">
      <c r="B28" s="163">
        <v>45901</v>
      </c>
      <c r="C28" s="99">
        <f>SUMIFS(MOVIMENTO!E364:E421,MOVIMENTO!B364:B421,B23,MOVIMENTO!D364:D421,C25)</f>
        <v>0</v>
      </c>
      <c r="D28" s="99">
        <f>SUMIFS(MOVIMENTO!E364:E421,MOVIMENTO!B364:B421,B23,MOVIMENTO!D364:D421,D25)</f>
        <v>0</v>
      </c>
      <c r="E28" s="99">
        <f>SUMIFS(MOVIMENTO!E364:E421,MOVIMENTO!B364:B421,B23,MOVIMENTO!D364:D421,E25)</f>
        <v>0</v>
      </c>
      <c r="F28" s="99">
        <f>SUMIFS(MOVIMENTO!E364:E421,MOVIMENTO!B364:B421,B23,MOVIMENTO!D364:D421,F25)</f>
        <v>0</v>
      </c>
      <c r="G28" s="165">
        <f t="shared" si="4"/>
        <v>48</v>
      </c>
      <c r="H28" s="24"/>
      <c r="I28" s="163">
        <v>45901</v>
      </c>
      <c r="J28" s="99">
        <f>SUMIFS(MOVIMENTO!E364:E421,MOVIMENTO!B364:B421,I23,MOVIMENTO!D364:D421,J25)</f>
        <v>0</v>
      </c>
      <c r="K28" s="99">
        <f>SUMIFS(MOVIMENTO!E364:E421,MOVIMENTO!B364:B421,I23,MOVIMENTO!D364:D421,K25)</f>
        <v>0</v>
      </c>
      <c r="L28" s="99">
        <f>SUMIFS(MOVIMENTO!E364:E421,MOVIMENTO!B364:B421,I23,MOVIMENTO!D364:D421,L25)</f>
        <v>0</v>
      </c>
      <c r="M28" s="99">
        <f>SUMIFS(MOVIMENTO!E364:E421,MOVIMENTO!B364:B421,I23,MOVIMENTO!D364:D421,M25)</f>
        <v>0</v>
      </c>
      <c r="N28" s="165">
        <f t="shared" si="5"/>
        <v>51</v>
      </c>
    </row>
    <row r="29" customHeight="1" spans="2:14"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</row>
    <row r="30" customHeight="1" spans="2:14">
      <c r="B30" s="92">
        <v>3007</v>
      </c>
      <c r="C30" s="92" t="s">
        <v>27</v>
      </c>
      <c r="F30" s="24"/>
      <c r="G30" s="24"/>
      <c r="H30" s="162"/>
      <c r="I30" s="92">
        <v>3008</v>
      </c>
      <c r="J30" s="92" t="s">
        <v>28</v>
      </c>
      <c r="M30" s="24"/>
      <c r="N30" s="24"/>
    </row>
    <row r="31" customHeight="1" spans="2:12">
      <c r="B31" s="158" t="s">
        <v>182</v>
      </c>
      <c r="E31" s="159">
        <v>40</v>
      </c>
      <c r="I31" s="158" t="s">
        <v>182</v>
      </c>
      <c r="L31" s="159">
        <v>20</v>
      </c>
    </row>
    <row r="32" customHeight="1" spans="2:14">
      <c r="B32" s="160" t="s">
        <v>183</v>
      </c>
      <c r="C32" s="160" t="s">
        <v>100</v>
      </c>
      <c r="D32" s="160" t="s">
        <v>0</v>
      </c>
      <c r="E32" s="160" t="s">
        <v>2</v>
      </c>
      <c r="F32" s="160" t="s">
        <v>4</v>
      </c>
      <c r="G32" s="161" t="s">
        <v>184</v>
      </c>
      <c r="H32" s="162"/>
      <c r="I32" s="160" t="s">
        <v>183</v>
      </c>
      <c r="J32" s="160" t="s">
        <v>100</v>
      </c>
      <c r="K32" s="160" t="s">
        <v>0</v>
      </c>
      <c r="L32" s="160" t="s">
        <v>2</v>
      </c>
      <c r="M32" s="160" t="s">
        <v>4</v>
      </c>
      <c r="N32" s="161" t="s">
        <v>184</v>
      </c>
    </row>
    <row r="33" customHeight="1" spans="2:14">
      <c r="B33" s="163">
        <v>45839</v>
      </c>
      <c r="C33" s="99">
        <f>SUMIFS(MOVIMENTO!E4:E153,MOVIMENTO!B4:B153,B30,MOVIMENTO!D4:D153,C32)</f>
        <v>0</v>
      </c>
      <c r="D33" s="99">
        <f>SUMIFS(MOVIMENTO!E4:E153,MOVIMENTO!B4:B153,B30,MOVIMENTO!D4:D153,D32)</f>
        <v>2</v>
      </c>
      <c r="E33" s="99">
        <f>SUMIFS(MOVIMENTO!E4:E153,MOVIMENTO!B4:B153,B30,MOVIMENTO!D4:D153,E32)</f>
        <v>0</v>
      </c>
      <c r="F33" s="99">
        <f>SUMIFS(MOVIMENTO!E4:E153,MOVIMENTO!B4:B153,B30,MOVIMENTO!D4:D153,F32)</f>
        <v>0</v>
      </c>
      <c r="G33" s="165">
        <f>(E31+F33+C33)-(D33+E33)</f>
        <v>38</v>
      </c>
      <c r="H33" s="162"/>
      <c r="I33" s="163">
        <v>45839</v>
      </c>
      <c r="J33" s="99">
        <f>SUMIFS(MOVIMENTO!E4:E153,MOVIMENTO!B4:B153,I30,MOVIMENTO!D4:D153,J32)</f>
        <v>0</v>
      </c>
      <c r="K33" s="99">
        <f>SUMIFS(MOVIMENTO!E4:E153,MOVIMENTO!B4:B153,I30,MOVIMENTO!D4:D153,K32)</f>
        <v>8</v>
      </c>
      <c r="L33" s="99">
        <f>SUMIFS(MOVIMENTO!E4:E153,MOVIMENTO!B4:B153,I30,MOVIMENTO!D4:D153,L32)</f>
        <v>0</v>
      </c>
      <c r="M33" s="99">
        <f>SUMIFS(MOVIMENTO!E4:E153,MOVIMENTO!B4:B153,I30,MOVIMENTO!D4:D153,M32)</f>
        <v>0</v>
      </c>
      <c r="N33" s="165">
        <f>(L31+J33+M33)-(K33+L33)</f>
        <v>12</v>
      </c>
    </row>
    <row r="34" customHeight="1" spans="2:14">
      <c r="B34" s="163">
        <v>45870</v>
      </c>
      <c r="C34" s="99">
        <f>SUMIFS(MOVIMENTO!E155:E363,MOVIMENTO!B155:B363,B30,MOVIMENTO!D155:D363,C32)</f>
        <v>0</v>
      </c>
      <c r="D34" s="99">
        <f>SUMIFS(MOVIMENTO!E155:E363,MOVIMENTO!B155:B363,B30,MOVIMENTO!D155:D363,D32)</f>
        <v>0</v>
      </c>
      <c r="E34" s="99">
        <f>SUMIFS(MOVIMENTO!E155:E363,MOVIMENTO!B155:B363,B30,MOVIMENTO!D155:D363,E32)</f>
        <v>0</v>
      </c>
      <c r="F34" s="99">
        <f>SUMIFS(MOVIMENTO!E155:E363,MOVIMENTO!B155:B363,B30,MOVIMENTO!D155:D363,F32)</f>
        <v>0</v>
      </c>
      <c r="G34" s="165">
        <f t="shared" ref="G34:G35" si="6">(G33+C34)-(D34+E34-F34)</f>
        <v>38</v>
      </c>
      <c r="H34" s="162"/>
      <c r="I34" s="163">
        <v>45870</v>
      </c>
      <c r="J34" s="99">
        <f>SUMIFS(MOVIMENTO!E155:E363,MOVIMENTO!B155:B363,I30,MOVIMENTO!D155:D363,J32)</f>
        <v>0</v>
      </c>
      <c r="K34" s="99">
        <f>SUMIFS(MOVIMENTO!E155:E363,MOVIMENTO!B155:B363,I30,MOVIMENTO!D155:D363,K32)</f>
        <v>6</v>
      </c>
      <c r="L34" s="99">
        <f>SUMIFS(MOVIMENTO!E155:E363,MOVIMENTO!B155:B363,I30,MOVIMENTO!D155:D363,L32)</f>
        <v>0</v>
      </c>
      <c r="M34" s="99">
        <f>SUMIFS(MOVIMENTO!E155:E363,MOVIMENTO!B155:B363,I30,MOVIMENTO!D155:D363,M32)</f>
        <v>0</v>
      </c>
      <c r="N34" s="165">
        <f t="shared" ref="N34:N35" si="7">(N33+J34)-(K34+L34-M34)</f>
        <v>6</v>
      </c>
    </row>
    <row r="35" customHeight="1" spans="2:14">
      <c r="B35" s="163">
        <v>45901</v>
      </c>
      <c r="C35" s="99">
        <f>SUMIFS(MOVIMENTO!E364:E421,MOVIMENTO!B364:B421,B30,MOVIMENTO!D364:D421,C32)</f>
        <v>0</v>
      </c>
      <c r="D35" s="99">
        <f>SUMIFS(MOVIMENTO!E364:E421,MOVIMENTO!B364:B421,B30,MOVIMENTO!D364:D421,D32)</f>
        <v>1</v>
      </c>
      <c r="E35" s="99">
        <f>SUMIFS(MOVIMENTO!E364:E421,MOVIMENTO!B364:B421,B30,MOVIMENTO!D364:D421,E32)</f>
        <v>0</v>
      </c>
      <c r="F35" s="99">
        <f>SUMIFS(MOVIMENTO!E364:E421,MOVIMENTO!B364:B421,B30,MOVIMENTO!D364:D421,F32)</f>
        <v>0</v>
      </c>
      <c r="G35" s="165">
        <f t="shared" si="6"/>
        <v>37</v>
      </c>
      <c r="H35" s="162"/>
      <c r="I35" s="163">
        <v>45901</v>
      </c>
      <c r="J35" s="99">
        <f>SUMIFS(MOVIMENTO!E364:E421,MOVIMENTO!B364:B421,I30,MOVIMENTO!D364:D421,J32)</f>
        <v>0</v>
      </c>
      <c r="K35" s="99">
        <f>SUMIFS(MOVIMENTO!E364:E421,MOVIMENTO!B364:B421,I30,MOVIMENTO!D364:D421,K32)</f>
        <v>0</v>
      </c>
      <c r="L35" s="99">
        <f>SUMIFS(MOVIMENTO!E364:E421,MOVIMENTO!B364:B421,I30,MOVIMENTO!D364:D421,L32)</f>
        <v>0</v>
      </c>
      <c r="M35" s="99">
        <f>SUMIFS(MOVIMENTO!E364:E421,MOVIMENTO!B364:B421,I30,MOVIMENTO!D364:D421,M32)</f>
        <v>0</v>
      </c>
      <c r="N35" s="165">
        <f t="shared" si="7"/>
        <v>6</v>
      </c>
    </row>
    <row r="36" customHeight="1" spans="2:14"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</row>
    <row r="37" customHeight="1" spans="2:14">
      <c r="B37" s="92">
        <v>3009</v>
      </c>
      <c r="C37" s="92" t="s">
        <v>29</v>
      </c>
      <c r="F37" s="24"/>
      <c r="G37" s="24"/>
      <c r="H37" s="162"/>
      <c r="I37" s="92">
        <v>3010</v>
      </c>
      <c r="J37" s="92" t="s">
        <v>186</v>
      </c>
      <c r="M37" s="24"/>
      <c r="N37" s="24"/>
    </row>
    <row r="38" customHeight="1" spans="2:12">
      <c r="B38" s="158" t="s">
        <v>182</v>
      </c>
      <c r="E38" s="159">
        <v>30</v>
      </c>
      <c r="I38" s="158" t="s">
        <v>182</v>
      </c>
      <c r="L38" s="159">
        <v>15</v>
      </c>
    </row>
    <row r="39" customHeight="1" spans="2:14">
      <c r="B39" s="160" t="s">
        <v>183</v>
      </c>
      <c r="C39" s="160" t="s">
        <v>100</v>
      </c>
      <c r="D39" s="160" t="s">
        <v>0</v>
      </c>
      <c r="E39" s="160" t="s">
        <v>2</v>
      </c>
      <c r="F39" s="160" t="s">
        <v>4</v>
      </c>
      <c r="G39" s="161" t="s">
        <v>184</v>
      </c>
      <c r="H39" s="162"/>
      <c r="I39" s="160" t="s">
        <v>183</v>
      </c>
      <c r="J39" s="160" t="s">
        <v>100</v>
      </c>
      <c r="K39" s="160" t="s">
        <v>0</v>
      </c>
      <c r="L39" s="160" t="s">
        <v>2</v>
      </c>
      <c r="M39" s="160" t="s">
        <v>4</v>
      </c>
      <c r="N39" s="161" t="s">
        <v>184</v>
      </c>
    </row>
    <row r="40" customHeight="1" spans="2:14">
      <c r="B40" s="163">
        <v>45839</v>
      </c>
      <c r="C40" s="99">
        <f>SUMIFS(MOVIMENTO!E4:E153,MOVIMENTO!B4:B153,B37,MOVIMENTO!D4:D153,C39)</f>
        <v>0</v>
      </c>
      <c r="D40" s="99">
        <f>SUMIFS(MOVIMENTO!E4:E153,MOVIMENTO!B4:B153,B37,MOVIMENTO!D4:D153,D39)</f>
        <v>0</v>
      </c>
      <c r="E40" s="99">
        <f>SUMIFS(MOVIMENTO!E4:E153,MOVIMENTO!B4:B153,B37,MOVIMENTO!D4:D153,E39)</f>
        <v>0</v>
      </c>
      <c r="F40" s="99">
        <f>SUMIFS(MOVIMENTO!E4:E153,MOVIMENTO!B4:B153,B37,MOVIMENTO!D4:D153,F39)</f>
        <v>0</v>
      </c>
      <c r="G40" s="165">
        <f>(E38+C40+F40)-(D40+E40)</f>
        <v>30</v>
      </c>
      <c r="H40" s="166"/>
      <c r="I40" s="163">
        <v>45839</v>
      </c>
      <c r="J40" s="99">
        <f>SUMIFS(MOVIMENTO!E4:E153,MOVIMENTO!B4:B153,I37,MOVIMENTO!D4:D153,J39)</f>
        <v>0</v>
      </c>
      <c r="K40" s="99">
        <f>SUMIFS(MOVIMENTO!E4:E153,MOVIMENTO!B4:B153,I37,MOVIMENTO!D4:D153,K39)</f>
        <v>8</v>
      </c>
      <c r="L40" s="99">
        <f>SUMIFS(MOVIMENTO!E4:E153,MOVIMENTO!B4:B153,I37,MOVIMENTO!D4:D153,L39)</f>
        <v>0</v>
      </c>
      <c r="M40" s="99">
        <f>SUMIFS(MOVIMENTO!E4:E153,MOVIMENTO!B4:B153,I37,MOVIMENTO!D4:D153,M39)</f>
        <v>0</v>
      </c>
      <c r="N40" s="165">
        <f>(M40+L38+J40)-(K40+L40)</f>
        <v>7</v>
      </c>
    </row>
    <row r="41" customHeight="1" spans="2:14">
      <c r="B41" s="163">
        <v>45870</v>
      </c>
      <c r="C41" s="99">
        <f>SUMIFS(MOVIMENTO!E155:E363,MOVIMENTO!B155:B363,B37,MOVIMENTO!D155:D363,C39)</f>
        <v>0</v>
      </c>
      <c r="D41" s="99">
        <f>SUMIFS(MOVIMENTO!E155:E363,MOVIMENTO!B155:B363,B37,MOVIMENTO!D155:D363,D39)</f>
        <v>0</v>
      </c>
      <c r="E41" s="99">
        <f>SUMIFS(MOVIMENTO!E155:E363,MOVIMENTO!B155:B363,B37,MOVIMENTO!D155:D363,E39)</f>
        <v>0</v>
      </c>
      <c r="F41" s="99">
        <f>SUMIFS(MOVIMENTO!E155:E363,MOVIMENTO!B155:B363,B37,MOVIMENTO!D155:D363,F39)</f>
        <v>0</v>
      </c>
      <c r="G41" s="165">
        <f t="shared" ref="G41:G42" si="8">(G40+C41)-(D41+E41-F41)</f>
        <v>30</v>
      </c>
      <c r="H41" s="166"/>
      <c r="I41" s="163">
        <v>45870</v>
      </c>
      <c r="J41" s="99">
        <f>SUMIFS(MOVIMENTO!E155:E363,MOVIMENTO!B155:B363,I37,MOVIMENTO!D155:D363,J39)</f>
        <v>0</v>
      </c>
      <c r="K41" s="99">
        <f>SUMIFS(MOVIMENTO!E155:E363,MOVIMENTO!B155:B363,I37,MOVIMENTO!D155:D363,K39)</f>
        <v>1</v>
      </c>
      <c r="L41" s="99">
        <f>SUMIFS(MOVIMENTO!E155:E363,MOVIMENTO!B155:B363,I37,MOVIMENTO!D155:D363,L39)</f>
        <v>0</v>
      </c>
      <c r="M41" s="99">
        <f>SUMIFS(MOVIMENTO!E155:E363,MOVIMENTO!B155:B363,I37,MOVIMENTO!D155:D363,M39)</f>
        <v>0</v>
      </c>
      <c r="N41" s="165">
        <f>(N40+J41+M41)-(K41+L41)</f>
        <v>6</v>
      </c>
    </row>
    <row r="42" customHeight="1" spans="2:14">
      <c r="B42" s="163">
        <v>45901</v>
      </c>
      <c r="C42" s="99">
        <f>SUMIFS(MOVIMENTO!E364:E421,MOVIMENTO!B364:B421,B37,MOVIMENTO!D364:D421,C39)</f>
        <v>0</v>
      </c>
      <c r="D42" s="99">
        <f>SUMIFS(MOVIMENTO!E364:E421,MOVIMENTO!B364:B421,B37,MOVIMENTO!D364:D421,D39)</f>
        <v>0</v>
      </c>
      <c r="E42" s="99">
        <f>SUMIFS(MOVIMENTO!E364:E421,MOVIMENTO!B364:B421,B37,MOVIMENTO!D364:D421,E39)</f>
        <v>0</v>
      </c>
      <c r="F42" s="99">
        <f>SUMIFS(MOVIMENTO!E364:E421,MOVIMENTO!B364:B421,B37,MOVIMENTO!D364:D421,F39)</f>
        <v>0</v>
      </c>
      <c r="G42" s="165">
        <f t="shared" si="8"/>
        <v>30</v>
      </c>
      <c r="H42" s="166"/>
      <c r="I42" s="163">
        <v>45901</v>
      </c>
      <c r="J42" s="99">
        <f>SUMIFS(MOVIMENTO!E364:E421,MOVIMENTO!B364:B421,I37,MOVIMENTO!D364:D421,J39)</f>
        <v>0</v>
      </c>
      <c r="K42" s="99">
        <f>SUMIFS(MOVIMENTO!E364:E421,MOVIMENTO!B364:B421,I37,MOVIMENTO!D364:D421,K39)</f>
        <v>0</v>
      </c>
      <c r="L42" s="99">
        <f>SUMIFS(MOVIMENTO!E364:E421,MOVIMENTO!B364:B421,I37,MOVIMENTO!D364:D421,L39)</f>
        <v>0</v>
      </c>
      <c r="M42" s="99">
        <f>SUMIFS(MOVIMENTO!E364:E421,MOVIMENTO!B364:B421,I37,MOVIMENTO!D364:D421,M39)</f>
        <v>0</v>
      </c>
      <c r="N42" s="165">
        <f>(N41+J42)-(K42+L42-M42)</f>
        <v>6</v>
      </c>
    </row>
    <row r="44" customHeight="1" spans="2:3">
      <c r="B44" s="92">
        <v>3049</v>
      </c>
      <c r="C44" s="92" t="s">
        <v>99</v>
      </c>
    </row>
    <row r="45" customHeight="1" spans="2:7">
      <c r="B45" s="160" t="s">
        <v>183</v>
      </c>
      <c r="C45" s="160" t="s">
        <v>100</v>
      </c>
      <c r="D45" s="160" t="s">
        <v>0</v>
      </c>
      <c r="E45" s="160" t="s">
        <v>2</v>
      </c>
      <c r="F45" s="160" t="s">
        <v>4</v>
      </c>
      <c r="G45" s="161" t="s">
        <v>184</v>
      </c>
    </row>
    <row r="46" customHeight="1" spans="2:7">
      <c r="B46" s="163">
        <v>45839</v>
      </c>
      <c r="C46" s="99">
        <f>SUMIFS(MOVIMENTO!E4:E153,MOVIMENTO!B4:B153,B44,MOVIMENTO!D4:D153,C45)</f>
        <v>400</v>
      </c>
      <c r="D46" s="99">
        <f>SUMIFS(MOVIMENTO!E4:E153,MOVIMENTO!B4:B153,B44,MOVIMENTO!D4:D153,D45)</f>
        <v>22</v>
      </c>
      <c r="E46" s="99">
        <f>SUMIFS(MOVIMENTO!E4:E153,MOVIMENTO!B4:B153,B44,MOVIMENTO!D4:D153,E45)</f>
        <v>0</v>
      </c>
      <c r="F46" s="99">
        <f>SUMIFS(MOVIMENTO!E4:E153,MOVIMENTO!B4:B153,B44,MOVIMENTO!D4:D153,F45)</f>
        <v>0</v>
      </c>
      <c r="G46" s="165">
        <f>SUM(C46+F46)-(D46+E46)</f>
        <v>378</v>
      </c>
    </row>
    <row r="47" customHeight="1" spans="2:7">
      <c r="B47" s="163">
        <v>45870</v>
      </c>
      <c r="C47" s="99">
        <f>SUMIFS(MOVIMENTO!E155:E363,MOVIMENTO!B155:B363,#REF!,MOVIMENTO!D155:D363,C45)</f>
        <v>0</v>
      </c>
      <c r="D47" s="99">
        <f>SUMIFS(MOVIMENTO!E155:E363,MOVIMENTO!B155:B363,#REF!,MOVIMENTO!D155:D363,D45)</f>
        <v>0</v>
      </c>
      <c r="E47" s="99">
        <f>SUMIFS(MOVIMENTO!E155:E363,MOVIMENTO!B155:B363,#REF!,MOVIMENTO!D155:D363,E45)</f>
        <v>0</v>
      </c>
      <c r="F47" s="99">
        <f>SUMIFS(MOVIMENTO!E155:E363,MOVIMENTO!B155:B363,#REF!,MOVIMENTO!D155:D363,F45)</f>
        <v>0</v>
      </c>
      <c r="G47" s="165">
        <f t="shared" ref="G47:G48" si="9">(G46+C47)-(D47+E47-F47)</f>
        <v>378</v>
      </c>
    </row>
    <row r="48" customHeight="1" spans="2:7">
      <c r="B48" s="163">
        <v>45901</v>
      </c>
      <c r="C48" s="99">
        <f>SUMIFS(MOVIMENTO!E364:E421,MOVIMENTO!B364:B421,B44,MOVIMENTO!D364:D421,C45)</f>
        <v>0</v>
      </c>
      <c r="D48" s="99">
        <f>SUMIFS(MOVIMENTO!E364:E421,MOVIMENTO!B364:B421,B44,MOVIMENTO!D364:D421,D45)</f>
        <v>6</v>
      </c>
      <c r="E48" s="99">
        <f>SUMIFS(MOVIMENTO!E364:E421,MOVIMENTO!B364:B421,B44,MOVIMENTO!D364:D421,E45)</f>
        <v>0</v>
      </c>
      <c r="F48" s="99">
        <f>SUMIFS(MOVIMENTO!E364:E421,MOVIMENTO!B364:B421,B44,MOVIMENTO!D364:D421,F45)</f>
        <v>0</v>
      </c>
      <c r="G48" s="165">
        <f t="shared" si="9"/>
        <v>372</v>
      </c>
    </row>
  </sheetData>
  <mergeCells count="25">
    <mergeCell ref="C2:E2"/>
    <mergeCell ref="J2:K2"/>
    <mergeCell ref="B3:D3"/>
    <mergeCell ref="I3:K3"/>
    <mergeCell ref="C9:D9"/>
    <mergeCell ref="J9:L9"/>
    <mergeCell ref="B10:D10"/>
    <mergeCell ref="I10:K10"/>
    <mergeCell ref="C16:E16"/>
    <mergeCell ref="J16:K16"/>
    <mergeCell ref="B17:D17"/>
    <mergeCell ref="I17:K17"/>
    <mergeCell ref="C23:E23"/>
    <mergeCell ref="J23:L23"/>
    <mergeCell ref="B24:D24"/>
    <mergeCell ref="I24:K24"/>
    <mergeCell ref="C30:E30"/>
    <mergeCell ref="J30:L30"/>
    <mergeCell ref="B31:D31"/>
    <mergeCell ref="I31:K31"/>
    <mergeCell ref="C37:E37"/>
    <mergeCell ref="J37:L37"/>
    <mergeCell ref="B38:D38"/>
    <mergeCell ref="I38:K38"/>
    <mergeCell ref="C44:E4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1011"/>
  <sheetViews>
    <sheetView showGridLines="0" workbookViewId="0">
      <selection activeCell="A1" sqref="A1"/>
    </sheetView>
  </sheetViews>
  <sheetFormatPr defaultColWidth="12.6296296296296" defaultRowHeight="15.75" customHeight="1"/>
  <cols>
    <col min="1" max="1" width="3" customWidth="1"/>
    <col min="2" max="2" width="7" customWidth="1"/>
    <col min="3" max="3" width="19.3796296296296" customWidth="1"/>
    <col min="4" max="4" width="10.8796296296296" customWidth="1"/>
    <col min="5" max="5" width="19.25" customWidth="1"/>
    <col min="6" max="6" width="16.6296296296296" customWidth="1"/>
    <col min="9" max="9" width="15.3796296296296" customWidth="1"/>
    <col min="10" max="10" width="8.62962962962963" customWidth="1"/>
    <col min="11" max="11" width="10.75" customWidth="1"/>
    <col min="12" max="12" width="6.5" customWidth="1"/>
    <col min="22" max="22" width="23.5" customWidth="1"/>
  </cols>
  <sheetData>
    <row r="1" customHeight="1" spans="1:44">
      <c r="A1" s="24"/>
      <c r="B1" s="119" t="s">
        <v>187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</row>
    <row r="2" customHeight="1" spans="1:44">
      <c r="A2" s="24"/>
      <c r="B2" s="88" t="s">
        <v>188</v>
      </c>
      <c r="C2" s="120" t="s">
        <v>13</v>
      </c>
      <c r="D2" s="89" t="s">
        <v>189</v>
      </c>
      <c r="E2" s="88" t="s">
        <v>190</v>
      </c>
      <c r="F2" s="90" t="s">
        <v>191</v>
      </c>
      <c r="G2" s="90" t="s">
        <v>192</v>
      </c>
      <c r="H2" s="88" t="s">
        <v>193</v>
      </c>
      <c r="I2" s="88" t="s">
        <v>194</v>
      </c>
      <c r="J2" s="88" t="s">
        <v>195</v>
      </c>
      <c r="K2" s="88" t="s">
        <v>192</v>
      </c>
      <c r="L2" s="24"/>
      <c r="M2" s="24">
        <v>2470</v>
      </c>
      <c r="N2" s="24">
        <v>2550</v>
      </c>
      <c r="O2" s="24">
        <v>2731</v>
      </c>
      <c r="P2" s="24">
        <v>2959</v>
      </c>
      <c r="Q2" s="24">
        <v>2953</v>
      </c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</row>
    <row r="3" customHeight="1" spans="1:44">
      <c r="A3" s="82"/>
      <c r="B3" s="93">
        <v>2470</v>
      </c>
      <c r="C3" s="121" t="s">
        <v>16</v>
      </c>
      <c r="D3" s="94">
        <v>417</v>
      </c>
      <c r="E3" s="95">
        <v>45931</v>
      </c>
      <c r="F3" s="94">
        <f>756+300</f>
        <v>1056</v>
      </c>
      <c r="G3" s="121">
        <f t="shared" ref="G3:G9" si="0">D3-F3</f>
        <v>-639</v>
      </c>
      <c r="H3" s="122">
        <f t="shared" ref="H3:H9" si="1">ABS(G3/D3)</f>
        <v>1.53237410071942</v>
      </c>
      <c r="I3" s="122">
        <f t="shared" ref="I3:I9" si="2">1-(H3)</f>
        <v>-0.532374100719424</v>
      </c>
      <c r="J3" s="130"/>
      <c r="K3" s="131"/>
      <c r="L3" s="132">
        <v>10</v>
      </c>
      <c r="M3" s="25">
        <v>1056</v>
      </c>
      <c r="N3" s="25">
        <v>63</v>
      </c>
      <c r="O3" s="133">
        <v>41</v>
      </c>
      <c r="P3" s="25">
        <v>47</v>
      </c>
      <c r="Q3" s="25">
        <v>132</v>
      </c>
      <c r="R3" s="142"/>
      <c r="S3" s="142"/>
      <c r="T3" s="143"/>
      <c r="U3" s="142"/>
      <c r="V3" s="25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</row>
    <row r="4" customHeight="1" spans="1:44">
      <c r="A4" s="82"/>
      <c r="B4" s="76">
        <v>2550</v>
      </c>
      <c r="C4" s="99" t="s">
        <v>58</v>
      </c>
      <c r="D4" s="99">
        <v>80</v>
      </c>
      <c r="E4" s="100"/>
      <c r="F4" s="99">
        <v>63</v>
      </c>
      <c r="G4" s="99">
        <f t="shared" si="0"/>
        <v>17</v>
      </c>
      <c r="H4" s="123">
        <f t="shared" si="1"/>
        <v>0.2125</v>
      </c>
      <c r="I4" s="123">
        <f t="shared" si="2"/>
        <v>0.7875</v>
      </c>
      <c r="J4" s="134"/>
      <c r="K4" s="135"/>
      <c r="L4" s="132">
        <v>9</v>
      </c>
      <c r="M4" s="25">
        <v>1073</v>
      </c>
      <c r="N4" s="25">
        <v>71</v>
      </c>
      <c r="O4" s="25">
        <v>32</v>
      </c>
      <c r="P4" s="25">
        <v>47</v>
      </c>
      <c r="Q4" s="25">
        <v>132</v>
      </c>
      <c r="R4" s="142"/>
      <c r="S4" s="142"/>
      <c r="T4" s="143"/>
      <c r="U4" s="142"/>
      <c r="V4" s="25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</row>
    <row r="5" customHeight="1" spans="1:44">
      <c r="A5" s="82"/>
      <c r="B5" s="76">
        <v>2731</v>
      </c>
      <c r="C5" s="124" t="s">
        <v>18</v>
      </c>
      <c r="D5" s="99">
        <v>11</v>
      </c>
      <c r="E5" s="100"/>
      <c r="F5" s="99">
        <v>41</v>
      </c>
      <c r="G5" s="125">
        <f t="shared" si="0"/>
        <v>-30</v>
      </c>
      <c r="H5" s="123">
        <f t="shared" si="1"/>
        <v>2.72727272727273</v>
      </c>
      <c r="I5" s="123">
        <f t="shared" si="2"/>
        <v>-1.72727272727273</v>
      </c>
      <c r="J5" s="134"/>
      <c r="K5" s="135"/>
      <c r="L5" s="132">
        <v>8</v>
      </c>
      <c r="M5" s="25" t="s">
        <v>6</v>
      </c>
      <c r="N5" s="25">
        <v>70</v>
      </c>
      <c r="O5" s="25">
        <v>36</v>
      </c>
      <c r="P5" s="25">
        <v>47</v>
      </c>
      <c r="Q5" s="25">
        <v>132</v>
      </c>
      <c r="T5" s="143"/>
      <c r="U5" s="14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</row>
    <row r="6" customHeight="1" spans="1:44">
      <c r="A6" s="82"/>
      <c r="B6" s="41">
        <v>2959</v>
      </c>
      <c r="C6" s="99" t="s">
        <v>24</v>
      </c>
      <c r="D6" s="99">
        <v>48</v>
      </c>
      <c r="E6" s="100"/>
      <c r="F6" s="99">
        <v>47</v>
      </c>
      <c r="G6" s="99">
        <f t="shared" si="0"/>
        <v>1</v>
      </c>
      <c r="H6" s="123">
        <f t="shared" si="1"/>
        <v>0.0208333333333333</v>
      </c>
      <c r="I6" s="123">
        <f t="shared" si="2"/>
        <v>0.979166666666667</v>
      </c>
      <c r="J6" s="134"/>
      <c r="K6" s="135"/>
      <c r="L6" s="132">
        <v>7</v>
      </c>
      <c r="M6" s="25" t="s">
        <v>6</v>
      </c>
      <c r="N6" s="25">
        <v>83</v>
      </c>
      <c r="O6" s="25">
        <v>38</v>
      </c>
      <c r="P6" s="25">
        <v>48</v>
      </c>
      <c r="Q6" s="25">
        <v>138</v>
      </c>
      <c r="T6" s="143"/>
      <c r="U6" s="14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</row>
    <row r="7" customHeight="1" spans="1:44">
      <c r="A7" s="82"/>
      <c r="B7" s="41">
        <v>2953</v>
      </c>
      <c r="C7" s="99" t="s">
        <v>196</v>
      </c>
      <c r="D7" s="99">
        <v>137</v>
      </c>
      <c r="E7" s="100"/>
      <c r="F7" s="99">
        <v>132</v>
      </c>
      <c r="G7" s="99">
        <f t="shared" si="0"/>
        <v>5</v>
      </c>
      <c r="H7" s="123">
        <f t="shared" si="1"/>
        <v>0.0364963503649635</v>
      </c>
      <c r="I7" s="123">
        <f t="shared" si="2"/>
        <v>0.963503649635037</v>
      </c>
      <c r="J7" s="134"/>
      <c r="K7" s="135"/>
      <c r="L7" s="132"/>
      <c r="M7" s="25"/>
      <c r="N7" s="25"/>
      <c r="O7" s="25"/>
      <c r="P7" s="25"/>
      <c r="Q7" s="25"/>
      <c r="T7" s="143"/>
      <c r="U7" s="14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</row>
    <row r="8" customHeight="1" spans="1:44">
      <c r="A8" s="82"/>
      <c r="B8" s="41">
        <v>2946</v>
      </c>
      <c r="C8" s="99" t="s">
        <v>91</v>
      </c>
      <c r="D8" s="99">
        <v>265</v>
      </c>
      <c r="E8" s="100"/>
      <c r="F8" s="99">
        <v>258</v>
      </c>
      <c r="G8" s="99">
        <f t="shared" si="0"/>
        <v>7</v>
      </c>
      <c r="H8" s="123">
        <f t="shared" si="1"/>
        <v>0.0264150943396226</v>
      </c>
      <c r="I8" s="123">
        <f t="shared" si="2"/>
        <v>0.973584905660377</v>
      </c>
      <c r="J8" s="134"/>
      <c r="K8" s="135"/>
      <c r="L8" s="132"/>
      <c r="M8" s="25">
        <v>2946</v>
      </c>
      <c r="N8" s="25">
        <v>3006</v>
      </c>
      <c r="O8" s="25">
        <v>3007</v>
      </c>
      <c r="P8" s="25">
        <v>3008</v>
      </c>
      <c r="Q8" s="25">
        <v>3009</v>
      </c>
      <c r="R8" s="142"/>
      <c r="S8" s="142"/>
      <c r="T8" s="143"/>
      <c r="U8" s="142"/>
      <c r="V8" s="25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</row>
    <row r="9" customHeight="1" spans="1:44">
      <c r="A9" s="82"/>
      <c r="B9" s="41">
        <v>3006</v>
      </c>
      <c r="C9" s="99" t="s">
        <v>25</v>
      </c>
      <c r="D9" s="99">
        <v>51</v>
      </c>
      <c r="E9" s="100"/>
      <c r="F9" s="99">
        <v>28</v>
      </c>
      <c r="G9" s="99">
        <f t="shared" si="0"/>
        <v>23</v>
      </c>
      <c r="H9" s="123">
        <f t="shared" si="1"/>
        <v>0.450980392156863</v>
      </c>
      <c r="I9" s="123">
        <f t="shared" si="2"/>
        <v>0.549019607843137</v>
      </c>
      <c r="J9" s="134"/>
      <c r="K9" s="135"/>
      <c r="L9" s="132">
        <v>10</v>
      </c>
      <c r="M9" s="25">
        <v>258</v>
      </c>
      <c r="N9" s="133">
        <v>28</v>
      </c>
      <c r="O9" s="25" t="s">
        <v>6</v>
      </c>
      <c r="P9" s="25">
        <v>3</v>
      </c>
      <c r="Q9" s="25" t="s">
        <v>6</v>
      </c>
      <c r="T9" s="143"/>
      <c r="U9" s="14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</row>
    <row r="10" customHeight="1" spans="1:44">
      <c r="A10" s="82"/>
      <c r="B10" s="41">
        <v>3007</v>
      </c>
      <c r="C10" s="99" t="s">
        <v>27</v>
      </c>
      <c r="D10" s="86"/>
      <c r="E10" s="100"/>
      <c r="F10" s="86"/>
      <c r="G10" s="86"/>
      <c r="H10" s="86"/>
      <c r="I10" s="86"/>
      <c r="J10" s="86"/>
      <c r="K10" s="136"/>
      <c r="L10" s="137">
        <v>9</v>
      </c>
      <c r="M10" s="25" t="s">
        <v>6</v>
      </c>
      <c r="N10" s="25">
        <v>26</v>
      </c>
      <c r="O10" s="25">
        <v>28</v>
      </c>
      <c r="P10" s="25">
        <v>3</v>
      </c>
      <c r="Q10" s="133">
        <v>29</v>
      </c>
      <c r="T10" s="143"/>
      <c r="U10" s="14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</row>
    <row r="11" customHeight="1" spans="1:44">
      <c r="A11" s="82"/>
      <c r="B11" s="41">
        <v>3008</v>
      </c>
      <c r="C11" s="99" t="s">
        <v>28</v>
      </c>
      <c r="D11" s="99">
        <v>6</v>
      </c>
      <c r="E11" s="100"/>
      <c r="F11" s="99">
        <v>3</v>
      </c>
      <c r="G11" s="99">
        <f>D11-F11</f>
        <v>3</v>
      </c>
      <c r="H11" s="123">
        <f>ABS(G11/D11)</f>
        <v>0.5</v>
      </c>
      <c r="I11" s="123">
        <f>1-(H11)</f>
        <v>0.5</v>
      </c>
      <c r="J11" s="134"/>
      <c r="K11" s="135"/>
      <c r="L11" s="137">
        <v>8</v>
      </c>
      <c r="M11" s="25" t="s">
        <v>6</v>
      </c>
      <c r="N11" s="25">
        <v>36</v>
      </c>
      <c r="O11" s="25">
        <v>29</v>
      </c>
      <c r="P11" s="25">
        <v>11</v>
      </c>
      <c r="Q11" s="25">
        <v>27</v>
      </c>
      <c r="T11" s="143"/>
      <c r="U11" s="14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</row>
    <row r="12" customHeight="1" spans="1:44">
      <c r="A12" s="82"/>
      <c r="B12" s="41">
        <v>3009</v>
      </c>
      <c r="C12" s="99" t="s">
        <v>29</v>
      </c>
      <c r="D12" s="86"/>
      <c r="E12" s="100"/>
      <c r="F12" s="86"/>
      <c r="G12" s="86"/>
      <c r="H12" s="86"/>
      <c r="I12" s="86"/>
      <c r="J12" s="86"/>
      <c r="K12" s="136"/>
      <c r="L12" s="137">
        <v>7</v>
      </c>
      <c r="M12" s="25" t="s">
        <v>6</v>
      </c>
      <c r="N12" s="25">
        <v>58</v>
      </c>
      <c r="O12" s="25">
        <v>62</v>
      </c>
      <c r="P12" s="25">
        <v>31</v>
      </c>
      <c r="Q12" s="25">
        <v>30</v>
      </c>
      <c r="R12" s="142"/>
      <c r="S12" s="142"/>
      <c r="T12" s="143"/>
      <c r="U12" s="142"/>
      <c r="V12" s="25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</row>
    <row r="13" customHeight="1" spans="1:44">
      <c r="A13" s="82"/>
      <c r="B13" s="41">
        <v>3010</v>
      </c>
      <c r="C13" s="99" t="s">
        <v>186</v>
      </c>
      <c r="D13" s="99">
        <v>6</v>
      </c>
      <c r="E13" s="100"/>
      <c r="F13" s="99">
        <v>4</v>
      </c>
      <c r="G13" s="99">
        <f t="shared" ref="G13:G19" si="3">D13-F13</f>
        <v>2</v>
      </c>
      <c r="H13" s="123">
        <f t="shared" ref="H13:H19" si="4">ABS(G13/D13)</f>
        <v>0.333333333333333</v>
      </c>
      <c r="I13" s="123">
        <f t="shared" ref="I13:I14" si="5">1-(H13)</f>
        <v>0.666666666666667</v>
      </c>
      <c r="J13" s="134"/>
      <c r="K13" s="135"/>
      <c r="L13" s="132"/>
      <c r="M13" s="25"/>
      <c r="N13" s="25"/>
      <c r="O13" s="25"/>
      <c r="P13" s="25"/>
      <c r="Q13" s="25"/>
      <c r="T13" s="143"/>
      <c r="U13" s="14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</row>
    <row r="14" customHeight="1" spans="1:44">
      <c r="A14" s="82"/>
      <c r="B14" s="72">
        <v>3049</v>
      </c>
      <c r="C14" s="105" t="s">
        <v>99</v>
      </c>
      <c r="D14" s="105">
        <v>356</v>
      </c>
      <c r="E14" s="106"/>
      <c r="F14" s="105">
        <v>297</v>
      </c>
      <c r="G14" s="105">
        <f t="shared" si="3"/>
        <v>59</v>
      </c>
      <c r="H14" s="126">
        <f t="shared" si="4"/>
        <v>0.165730337078652</v>
      </c>
      <c r="I14" s="123">
        <f t="shared" si="5"/>
        <v>0.834269662921348</v>
      </c>
      <c r="J14" s="138"/>
      <c r="K14" s="139"/>
      <c r="L14" s="137"/>
      <c r="M14" s="25">
        <v>3010</v>
      </c>
      <c r="N14" s="25">
        <v>3049</v>
      </c>
      <c r="O14" s="26"/>
      <c r="P14" s="26"/>
      <c r="Q14" s="26"/>
      <c r="R14" s="142"/>
      <c r="S14" s="142"/>
      <c r="T14" s="143"/>
      <c r="U14" s="142"/>
      <c r="V14" s="25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</row>
    <row r="15" customHeight="1" spans="1:44">
      <c r="A15" s="82"/>
      <c r="B15" s="93">
        <v>2470</v>
      </c>
      <c r="C15" s="124" t="s">
        <v>16</v>
      </c>
      <c r="D15" s="99">
        <v>417</v>
      </c>
      <c r="E15" s="95">
        <v>45901</v>
      </c>
      <c r="F15" s="94">
        <f>796+277</f>
        <v>1073</v>
      </c>
      <c r="G15" s="124">
        <f t="shared" si="3"/>
        <v>-656</v>
      </c>
      <c r="H15" s="127">
        <f t="shared" si="4"/>
        <v>1.57314148681055</v>
      </c>
      <c r="I15" s="122">
        <f t="shared" ref="I15:I19" si="6">1-H15</f>
        <v>-0.573141486810552</v>
      </c>
      <c r="J15" s="94"/>
      <c r="K15" s="131"/>
      <c r="L15" s="137">
        <v>10</v>
      </c>
      <c r="M15" s="133">
        <v>4</v>
      </c>
      <c r="N15" s="25">
        <v>297</v>
      </c>
      <c r="O15" s="26"/>
      <c r="P15" s="26"/>
      <c r="Q15" s="26"/>
      <c r="R15" s="142"/>
      <c r="S15" s="142"/>
      <c r="T15" s="143"/>
      <c r="U15" s="142"/>
      <c r="V15" s="25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</row>
    <row r="16" customHeight="1" spans="1:44">
      <c r="A16" s="82"/>
      <c r="B16" s="76">
        <v>2550</v>
      </c>
      <c r="C16" s="99" t="s">
        <v>58</v>
      </c>
      <c r="D16" s="99">
        <v>80</v>
      </c>
      <c r="E16" s="100"/>
      <c r="F16" s="99">
        <v>71</v>
      </c>
      <c r="G16" s="99">
        <f t="shared" si="3"/>
        <v>9</v>
      </c>
      <c r="H16" s="127">
        <f t="shared" si="4"/>
        <v>0.1125</v>
      </c>
      <c r="I16" s="123">
        <f t="shared" si="6"/>
        <v>0.8875</v>
      </c>
      <c r="J16" s="134"/>
      <c r="K16" s="135"/>
      <c r="L16" s="132">
        <v>9</v>
      </c>
      <c r="M16" s="25">
        <v>3</v>
      </c>
      <c r="N16" s="25">
        <v>307</v>
      </c>
      <c r="O16" s="26"/>
      <c r="P16" s="26"/>
      <c r="Q16" s="26"/>
      <c r="T16" s="143"/>
      <c r="U16" s="14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</row>
    <row r="17" customHeight="1" spans="1:44">
      <c r="A17" s="82"/>
      <c r="B17" s="76">
        <v>2731</v>
      </c>
      <c r="C17" s="124" t="s">
        <v>18</v>
      </c>
      <c r="D17" s="99">
        <v>11</v>
      </c>
      <c r="E17" s="100"/>
      <c r="F17" s="99">
        <v>32</v>
      </c>
      <c r="G17" s="124">
        <f t="shared" si="3"/>
        <v>-21</v>
      </c>
      <c r="H17" s="127">
        <f t="shared" si="4"/>
        <v>1.90909090909091</v>
      </c>
      <c r="I17" s="123">
        <f t="shared" si="6"/>
        <v>-0.909090909090909</v>
      </c>
      <c r="J17" s="134"/>
      <c r="K17" s="135"/>
      <c r="L17" s="132">
        <v>8</v>
      </c>
      <c r="M17" s="25">
        <v>4</v>
      </c>
      <c r="N17" s="25">
        <v>366</v>
      </c>
      <c r="O17" s="26"/>
      <c r="P17" s="26"/>
      <c r="Q17" s="26"/>
      <c r="R17" s="142"/>
      <c r="S17" s="142"/>
      <c r="T17" s="143"/>
      <c r="U17" s="142"/>
      <c r="V17" s="25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</row>
    <row r="18" customHeight="1" spans="1:44">
      <c r="A18" s="82"/>
      <c r="B18" s="41">
        <v>2959</v>
      </c>
      <c r="C18" s="99" t="s">
        <v>24</v>
      </c>
      <c r="D18" s="99">
        <v>48</v>
      </c>
      <c r="E18" s="100"/>
      <c r="F18" s="99">
        <v>47</v>
      </c>
      <c r="G18" s="99">
        <f t="shared" si="3"/>
        <v>1</v>
      </c>
      <c r="H18" s="127">
        <f t="shared" si="4"/>
        <v>0.0208333333333333</v>
      </c>
      <c r="I18" s="123">
        <f t="shared" si="6"/>
        <v>0.979166666666667</v>
      </c>
      <c r="J18" s="99"/>
      <c r="K18" s="135"/>
      <c r="L18" s="132">
        <v>7</v>
      </c>
      <c r="M18" s="25">
        <v>21</v>
      </c>
      <c r="N18" s="26" t="s">
        <v>6</v>
      </c>
      <c r="O18" s="26"/>
      <c r="P18" s="26"/>
      <c r="Q18" s="26"/>
      <c r="T18" s="143"/>
      <c r="U18" s="14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</row>
    <row r="19" customHeight="1" spans="1:44">
      <c r="A19" s="82"/>
      <c r="B19" s="41">
        <v>2953</v>
      </c>
      <c r="C19" s="99" t="s">
        <v>196</v>
      </c>
      <c r="D19" s="99">
        <v>137</v>
      </c>
      <c r="E19" s="100"/>
      <c r="F19" s="99">
        <v>132</v>
      </c>
      <c r="G19" s="99">
        <f t="shared" si="3"/>
        <v>5</v>
      </c>
      <c r="H19" s="127">
        <f t="shared" si="4"/>
        <v>0.0364963503649635</v>
      </c>
      <c r="I19" s="123">
        <f t="shared" si="6"/>
        <v>0.963503649635037</v>
      </c>
      <c r="J19" s="99"/>
      <c r="K19" s="135"/>
      <c r="L19" s="26"/>
      <c r="M19" s="26"/>
      <c r="N19" s="26"/>
      <c r="O19" s="26"/>
      <c r="P19" s="26"/>
      <c r="Q19" s="26"/>
      <c r="R19" s="142"/>
      <c r="S19" s="142"/>
      <c r="T19" s="143"/>
      <c r="U19" s="142"/>
      <c r="V19" s="25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</row>
    <row r="20" customHeight="1" spans="1:44">
      <c r="A20" s="82"/>
      <c r="B20" s="41">
        <v>2946</v>
      </c>
      <c r="C20" s="99" t="s">
        <v>91</v>
      </c>
      <c r="D20" s="86"/>
      <c r="E20" s="100"/>
      <c r="F20" s="86"/>
      <c r="G20" s="86"/>
      <c r="H20" s="86"/>
      <c r="I20" s="86"/>
      <c r="J20" s="86"/>
      <c r="K20" s="86"/>
      <c r="M20" s="26"/>
      <c r="N20" s="26"/>
      <c r="O20" s="26"/>
      <c r="P20" s="26"/>
      <c r="Q20" s="26"/>
      <c r="R20" s="142"/>
      <c r="S20" s="142"/>
      <c r="T20" s="143"/>
      <c r="U20" s="142"/>
      <c r="V20" s="25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</row>
    <row r="21" customHeight="1" spans="1:44">
      <c r="A21" s="82"/>
      <c r="B21" s="41">
        <v>3006</v>
      </c>
      <c r="C21" s="99" t="s">
        <v>25</v>
      </c>
      <c r="D21" s="99">
        <v>51</v>
      </c>
      <c r="E21" s="100"/>
      <c r="F21" s="99">
        <v>26</v>
      </c>
      <c r="G21" s="99">
        <f t="shared" ref="G21:G26" si="7">D21-F21</f>
        <v>25</v>
      </c>
      <c r="H21" s="127">
        <f t="shared" ref="H21:H26" si="8">ABS(G21/D21)</f>
        <v>0.490196078431373</v>
      </c>
      <c r="I21" s="123">
        <f t="shared" ref="I21:I26" si="9">1-H21</f>
        <v>0.509803921568627</v>
      </c>
      <c r="J21" s="99"/>
      <c r="K21" s="135"/>
      <c r="L21" s="26"/>
      <c r="M21" s="26"/>
      <c r="N21" s="26"/>
      <c r="O21" s="26"/>
      <c r="P21" s="26"/>
      <c r="Q21" s="26"/>
      <c r="T21" s="143"/>
      <c r="U21" s="14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</row>
    <row r="22" customHeight="1" spans="1:44">
      <c r="A22" s="82"/>
      <c r="B22" s="41">
        <v>3007</v>
      </c>
      <c r="C22" s="99" t="s">
        <v>27</v>
      </c>
      <c r="D22" s="99">
        <v>37</v>
      </c>
      <c r="E22" s="100"/>
      <c r="F22" s="99">
        <v>28</v>
      </c>
      <c r="G22" s="99">
        <f t="shared" si="7"/>
        <v>9</v>
      </c>
      <c r="H22" s="127">
        <f t="shared" si="8"/>
        <v>0.243243243243243</v>
      </c>
      <c r="I22" s="123">
        <f t="shared" si="9"/>
        <v>0.756756756756757</v>
      </c>
      <c r="J22" s="99"/>
      <c r="K22" s="135"/>
      <c r="L22" s="26"/>
      <c r="M22" s="26"/>
      <c r="N22" s="26"/>
      <c r="O22" s="26"/>
      <c r="P22" s="26"/>
      <c r="Q22" s="26"/>
      <c r="R22" s="142"/>
      <c r="S22" s="142"/>
      <c r="T22" s="143"/>
      <c r="U22" s="142"/>
      <c r="V22" s="25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</row>
    <row r="23" customHeight="1" spans="1:44">
      <c r="A23" s="82"/>
      <c r="B23" s="41">
        <v>3008</v>
      </c>
      <c r="C23" s="99" t="s">
        <v>28</v>
      </c>
      <c r="D23" s="99">
        <v>6</v>
      </c>
      <c r="E23" s="100"/>
      <c r="F23" s="99">
        <v>3</v>
      </c>
      <c r="G23" s="99">
        <f t="shared" si="7"/>
        <v>3</v>
      </c>
      <c r="H23" s="127">
        <f t="shared" si="8"/>
        <v>0.5</v>
      </c>
      <c r="I23" s="123">
        <f t="shared" si="9"/>
        <v>0.5</v>
      </c>
      <c r="J23" s="99"/>
      <c r="K23" s="135"/>
      <c r="M23" s="26"/>
      <c r="N23" s="26"/>
      <c r="O23" s="26"/>
      <c r="P23" s="26"/>
      <c r="Q23" s="26"/>
      <c r="R23" s="142"/>
      <c r="S23" s="142"/>
      <c r="T23" s="143"/>
      <c r="U23" s="142"/>
      <c r="V23" s="25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</row>
    <row r="24" customHeight="1" spans="1:44">
      <c r="A24" s="82"/>
      <c r="B24" s="41">
        <v>3009</v>
      </c>
      <c r="C24" s="99" t="s">
        <v>29</v>
      </c>
      <c r="D24" s="99">
        <v>30</v>
      </c>
      <c r="E24" s="100"/>
      <c r="F24" s="99">
        <v>29</v>
      </c>
      <c r="G24" s="99">
        <f t="shared" si="7"/>
        <v>1</v>
      </c>
      <c r="H24" s="127">
        <f t="shared" si="8"/>
        <v>0.0333333333333333</v>
      </c>
      <c r="I24" s="123">
        <f t="shared" si="9"/>
        <v>0.966666666666667</v>
      </c>
      <c r="J24" s="99"/>
      <c r="K24" s="135"/>
      <c r="L24" s="26"/>
      <c r="M24" s="26"/>
      <c r="N24" s="26"/>
      <c r="O24" s="26"/>
      <c r="P24" s="26"/>
      <c r="Q24" s="26"/>
      <c r="R24" s="142"/>
      <c r="S24" s="142"/>
      <c r="T24" s="143"/>
      <c r="U24" s="142"/>
      <c r="V24" s="25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</row>
    <row r="25" customHeight="1" spans="1:44">
      <c r="A25" s="82"/>
      <c r="B25" s="41">
        <v>3010</v>
      </c>
      <c r="C25" s="99" t="s">
        <v>186</v>
      </c>
      <c r="D25" s="99">
        <v>6</v>
      </c>
      <c r="E25" s="100"/>
      <c r="F25" s="99">
        <v>3</v>
      </c>
      <c r="G25" s="99">
        <f t="shared" si="7"/>
        <v>3</v>
      </c>
      <c r="H25" s="127">
        <f t="shared" si="8"/>
        <v>0.5</v>
      </c>
      <c r="I25" s="123">
        <f t="shared" si="9"/>
        <v>0.5</v>
      </c>
      <c r="J25" s="99"/>
      <c r="K25" s="135"/>
      <c r="L25" s="26"/>
      <c r="M25" s="26"/>
      <c r="N25" s="26"/>
      <c r="O25" s="26"/>
      <c r="P25" s="26"/>
      <c r="Q25" s="26"/>
      <c r="T25" s="143"/>
      <c r="U25" s="14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</row>
    <row r="26" customHeight="1" spans="1:44">
      <c r="A26" s="82"/>
      <c r="B26" s="72">
        <v>3049</v>
      </c>
      <c r="C26" s="105" t="s">
        <v>99</v>
      </c>
      <c r="D26" s="105">
        <v>356</v>
      </c>
      <c r="E26" s="106"/>
      <c r="F26" s="105">
        <v>307</v>
      </c>
      <c r="G26" s="105">
        <f t="shared" si="7"/>
        <v>49</v>
      </c>
      <c r="H26" s="128">
        <f t="shared" si="8"/>
        <v>0.137640449438202</v>
      </c>
      <c r="I26" s="140">
        <f t="shared" si="9"/>
        <v>0.862359550561798</v>
      </c>
      <c r="J26" s="105"/>
      <c r="K26" s="141"/>
      <c r="L26" s="26"/>
      <c r="M26" s="26"/>
      <c r="N26" s="26"/>
      <c r="O26" s="26"/>
      <c r="P26" s="26"/>
      <c r="Q26" s="26"/>
      <c r="R26" s="142"/>
      <c r="S26" s="142"/>
      <c r="T26" s="143"/>
      <c r="U26" s="142"/>
      <c r="V26" s="25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</row>
    <row r="27" customHeight="1" spans="1:44">
      <c r="A27" s="82"/>
      <c r="B27" s="93">
        <v>2470</v>
      </c>
      <c r="C27" s="94" t="s">
        <v>16</v>
      </c>
      <c r="D27" s="109"/>
      <c r="E27" s="95">
        <v>45870</v>
      </c>
      <c r="F27" s="110"/>
      <c r="G27" s="110"/>
      <c r="H27" s="110"/>
      <c r="I27" s="110"/>
      <c r="J27" s="110"/>
      <c r="K27" s="110"/>
      <c r="M27" s="26"/>
      <c r="N27" s="26"/>
      <c r="O27" s="26"/>
      <c r="P27" s="26"/>
      <c r="Q27" s="26"/>
      <c r="T27" s="143"/>
      <c r="U27" s="14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</row>
    <row r="28" customHeight="1" spans="1:44">
      <c r="A28" s="82"/>
      <c r="B28" s="76">
        <v>2550</v>
      </c>
      <c r="C28" s="99" t="s">
        <v>58</v>
      </c>
      <c r="D28" s="99">
        <v>83</v>
      </c>
      <c r="E28" s="100"/>
      <c r="F28" s="99">
        <v>70</v>
      </c>
      <c r="G28" s="99">
        <f t="shared" ref="G28:G31" si="10">D28-F28</f>
        <v>13</v>
      </c>
      <c r="H28" s="123"/>
      <c r="I28" s="123"/>
      <c r="J28" s="134"/>
      <c r="K28" s="135"/>
      <c r="L28" s="26"/>
      <c r="M28" s="26"/>
      <c r="N28" s="26"/>
      <c r="O28" s="142"/>
      <c r="P28" s="142"/>
      <c r="Q28" s="142"/>
      <c r="R28" s="142"/>
      <c r="S28" s="142"/>
      <c r="T28" s="143"/>
      <c r="U28" s="142"/>
      <c r="V28" s="25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</row>
    <row r="29" customHeight="1" spans="1:44">
      <c r="A29" s="82"/>
      <c r="B29" s="76">
        <v>2731</v>
      </c>
      <c r="C29" s="124" t="s">
        <v>18</v>
      </c>
      <c r="D29" s="99">
        <v>11</v>
      </c>
      <c r="E29" s="100"/>
      <c r="F29" s="99">
        <v>36</v>
      </c>
      <c r="G29" s="124">
        <f t="shared" si="10"/>
        <v>-25</v>
      </c>
      <c r="H29" s="123"/>
      <c r="I29" s="123"/>
      <c r="J29" s="134"/>
      <c r="K29" s="135"/>
      <c r="T29" s="143"/>
      <c r="U29" s="14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</row>
    <row r="30" customHeight="1" spans="1:44">
      <c r="A30" s="82"/>
      <c r="B30" s="41">
        <v>2959</v>
      </c>
      <c r="C30" s="99" t="s">
        <v>24</v>
      </c>
      <c r="D30" s="99">
        <v>48</v>
      </c>
      <c r="E30" s="100"/>
      <c r="F30" s="99">
        <v>47</v>
      </c>
      <c r="G30" s="99">
        <f t="shared" si="10"/>
        <v>1</v>
      </c>
      <c r="H30" s="123"/>
      <c r="I30" s="123"/>
      <c r="J30" s="99"/>
      <c r="K30" s="135"/>
      <c r="L30" s="26"/>
      <c r="M30" s="26"/>
      <c r="N30" s="26"/>
      <c r="O30" s="142"/>
      <c r="P30" s="142"/>
      <c r="Q30" s="142"/>
      <c r="R30" s="142"/>
      <c r="S30" s="142"/>
      <c r="T30" s="143"/>
      <c r="U30" s="142"/>
      <c r="V30" s="25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</row>
    <row r="31" customHeight="1" spans="1:44">
      <c r="A31" s="82"/>
      <c r="B31" s="41">
        <v>2953</v>
      </c>
      <c r="C31" s="99" t="s">
        <v>196</v>
      </c>
      <c r="D31" s="99">
        <v>137</v>
      </c>
      <c r="E31" s="100"/>
      <c r="F31" s="99">
        <v>132</v>
      </c>
      <c r="G31" s="99">
        <f t="shared" si="10"/>
        <v>5</v>
      </c>
      <c r="H31" s="123"/>
      <c r="I31" s="123"/>
      <c r="J31" s="99"/>
      <c r="K31" s="135"/>
      <c r="T31" s="143"/>
      <c r="U31" s="14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</row>
    <row r="32" customHeight="1" spans="1:44">
      <c r="A32" s="82"/>
      <c r="B32" s="41">
        <v>2946</v>
      </c>
      <c r="C32" s="99" t="s">
        <v>91</v>
      </c>
      <c r="D32" s="86"/>
      <c r="E32" s="100"/>
      <c r="F32" s="86"/>
      <c r="G32" s="86"/>
      <c r="H32" s="86"/>
      <c r="I32" s="86"/>
      <c r="J32" s="86"/>
      <c r="K32" s="86"/>
      <c r="L32" s="26"/>
      <c r="M32" s="26"/>
      <c r="N32" s="26"/>
      <c r="O32" s="142"/>
      <c r="P32" s="142"/>
      <c r="Q32" s="142"/>
      <c r="R32" s="142"/>
      <c r="S32" s="142"/>
      <c r="T32" s="143"/>
      <c r="U32" s="142"/>
      <c r="V32" s="25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</row>
    <row r="33" customHeight="1" spans="1:44">
      <c r="A33" s="82"/>
      <c r="B33" s="41">
        <v>3006</v>
      </c>
      <c r="C33" s="99" t="s">
        <v>25</v>
      </c>
      <c r="D33" s="99">
        <v>51</v>
      </c>
      <c r="E33" s="100"/>
      <c r="F33" s="99">
        <v>36</v>
      </c>
      <c r="G33" s="99">
        <f t="shared" ref="G33:G38" si="11">D33-F33</f>
        <v>15</v>
      </c>
      <c r="H33" s="123"/>
      <c r="I33" s="123"/>
      <c r="J33" s="99"/>
      <c r="K33" s="135"/>
      <c r="T33" s="143"/>
      <c r="U33" s="14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</row>
    <row r="34" customHeight="1" spans="1:44">
      <c r="A34" s="82"/>
      <c r="B34" s="41">
        <v>3007</v>
      </c>
      <c r="C34" s="99" t="s">
        <v>27</v>
      </c>
      <c r="D34" s="99">
        <v>38</v>
      </c>
      <c r="E34" s="100"/>
      <c r="F34" s="99">
        <v>29</v>
      </c>
      <c r="G34" s="99">
        <f t="shared" si="11"/>
        <v>9</v>
      </c>
      <c r="H34" s="123"/>
      <c r="I34" s="123"/>
      <c r="J34" s="99"/>
      <c r="K34" s="135"/>
      <c r="L34" s="26"/>
      <c r="M34" s="26"/>
      <c r="N34" s="26"/>
      <c r="O34" s="142"/>
      <c r="P34" s="142"/>
      <c r="Q34" s="142"/>
      <c r="R34" s="142"/>
      <c r="S34" s="142"/>
      <c r="T34" s="143"/>
      <c r="U34" s="142"/>
      <c r="V34" s="25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</row>
    <row r="35" customHeight="1" spans="1:44">
      <c r="A35" s="82"/>
      <c r="B35" s="41">
        <v>3008</v>
      </c>
      <c r="C35" s="124" t="s">
        <v>28</v>
      </c>
      <c r="D35" s="99">
        <v>6</v>
      </c>
      <c r="E35" s="100"/>
      <c r="F35" s="99">
        <v>11</v>
      </c>
      <c r="G35" s="124">
        <f t="shared" si="11"/>
        <v>-5</v>
      </c>
      <c r="H35" s="123"/>
      <c r="I35" s="123"/>
      <c r="J35" s="99"/>
      <c r="K35" s="135"/>
      <c r="R35" s="142"/>
      <c r="S35" s="142"/>
      <c r="T35" s="143"/>
      <c r="U35" s="142"/>
      <c r="V35" s="25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</row>
    <row r="36" customHeight="1" spans="1:44">
      <c r="A36" s="82"/>
      <c r="B36" s="41">
        <v>3009</v>
      </c>
      <c r="C36" s="99" t="s">
        <v>29</v>
      </c>
      <c r="D36" s="99">
        <v>30</v>
      </c>
      <c r="E36" s="100"/>
      <c r="F36" s="99">
        <v>27</v>
      </c>
      <c r="G36" s="99">
        <f t="shared" si="11"/>
        <v>3</v>
      </c>
      <c r="H36" s="123"/>
      <c r="I36" s="123"/>
      <c r="J36" s="99"/>
      <c r="K36" s="135"/>
      <c r="L36" s="26"/>
      <c r="M36" s="26"/>
      <c r="N36" s="26"/>
      <c r="O36" s="142"/>
      <c r="P36" s="142"/>
      <c r="Q36" s="142"/>
      <c r="R36" s="142"/>
      <c r="S36" s="142"/>
      <c r="T36" s="143"/>
      <c r="U36" s="142"/>
      <c r="V36" s="25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</row>
    <row r="37" customHeight="1" spans="1:44">
      <c r="A37" s="82"/>
      <c r="B37" s="41">
        <v>3010</v>
      </c>
      <c r="C37" s="99" t="s">
        <v>186</v>
      </c>
      <c r="D37" s="99">
        <v>6</v>
      </c>
      <c r="E37" s="100"/>
      <c r="F37" s="99">
        <v>4</v>
      </c>
      <c r="G37" s="99">
        <f t="shared" si="11"/>
        <v>2</v>
      </c>
      <c r="H37" s="123"/>
      <c r="I37" s="123"/>
      <c r="J37" s="99"/>
      <c r="K37" s="135"/>
      <c r="L37" s="26"/>
      <c r="M37" s="26"/>
      <c r="N37" s="26"/>
      <c r="O37" s="142"/>
      <c r="P37" s="142"/>
      <c r="Q37" s="142"/>
      <c r="R37" s="142"/>
      <c r="S37" s="142"/>
      <c r="T37" s="143"/>
      <c r="U37" s="142"/>
      <c r="V37" s="25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</row>
    <row r="38" customHeight="1" spans="1:44">
      <c r="A38" s="82"/>
      <c r="B38" s="72">
        <v>3049</v>
      </c>
      <c r="C38" s="124" t="s">
        <v>99</v>
      </c>
      <c r="D38" s="105">
        <v>362</v>
      </c>
      <c r="E38" s="106"/>
      <c r="F38" s="105">
        <v>366</v>
      </c>
      <c r="G38" s="124">
        <f t="shared" si="11"/>
        <v>-4</v>
      </c>
      <c r="H38" s="126"/>
      <c r="I38" s="126"/>
      <c r="J38" s="105"/>
      <c r="K38" s="141"/>
      <c r="L38" s="26"/>
      <c r="M38" s="26"/>
      <c r="N38" s="26"/>
      <c r="O38" s="142"/>
      <c r="P38" s="142"/>
      <c r="Q38" s="142"/>
      <c r="T38" s="143"/>
      <c r="U38" s="14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</row>
    <row r="39" customHeight="1" spans="1:44">
      <c r="A39" s="82"/>
      <c r="B39" s="93">
        <v>2470</v>
      </c>
      <c r="C39" s="94" t="s">
        <v>16</v>
      </c>
      <c r="D39" s="110"/>
      <c r="E39" s="95">
        <v>45839</v>
      </c>
      <c r="F39" s="110"/>
      <c r="G39" s="110"/>
      <c r="H39" s="110"/>
      <c r="I39" s="110"/>
      <c r="J39" s="110"/>
      <c r="K39" s="110"/>
      <c r="L39" s="26"/>
      <c r="M39" s="26"/>
      <c r="N39" s="26"/>
      <c r="O39" s="142"/>
      <c r="P39" s="142"/>
      <c r="Q39" s="142"/>
      <c r="R39" s="142"/>
      <c r="S39" s="142"/>
      <c r="T39" s="143"/>
      <c r="U39" s="142"/>
      <c r="V39" s="25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</row>
    <row r="40" customHeight="1" spans="1:44">
      <c r="A40" s="82"/>
      <c r="B40" s="76">
        <v>2550</v>
      </c>
      <c r="C40" s="99" t="s">
        <v>58</v>
      </c>
      <c r="D40" s="99">
        <v>93</v>
      </c>
      <c r="E40" s="100"/>
      <c r="F40" s="99">
        <v>83</v>
      </c>
      <c r="G40" s="99">
        <f t="shared" ref="G40:G43" si="12">D40-F40</f>
        <v>10</v>
      </c>
      <c r="H40" s="123"/>
      <c r="I40" s="123"/>
      <c r="J40" s="134"/>
      <c r="K40" s="135"/>
      <c r="R40" s="142"/>
      <c r="S40" s="142"/>
      <c r="T40" s="143"/>
      <c r="U40" s="142"/>
      <c r="V40" s="25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</row>
    <row r="41" customHeight="1" spans="1:44">
      <c r="A41" s="82"/>
      <c r="B41" s="76">
        <v>2731</v>
      </c>
      <c r="C41" s="124" t="s">
        <v>18</v>
      </c>
      <c r="D41" s="99">
        <v>11</v>
      </c>
      <c r="E41" s="100"/>
      <c r="F41" s="99">
        <v>38</v>
      </c>
      <c r="G41" s="124">
        <f t="shared" si="12"/>
        <v>-27</v>
      </c>
      <c r="H41" s="123"/>
      <c r="I41" s="123"/>
      <c r="J41" s="134"/>
      <c r="K41" s="135"/>
      <c r="L41" s="26"/>
      <c r="M41" s="26"/>
      <c r="N41" s="26"/>
      <c r="O41" s="142"/>
      <c r="P41" s="142"/>
      <c r="Q41" s="142"/>
      <c r="R41" s="142"/>
      <c r="S41" s="142"/>
      <c r="T41" s="143"/>
      <c r="U41" s="142"/>
      <c r="V41" s="25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</row>
    <row r="42" customHeight="1" spans="1:44">
      <c r="A42" s="82"/>
      <c r="B42" s="41">
        <v>2959</v>
      </c>
      <c r="C42" s="99" t="s">
        <v>24</v>
      </c>
      <c r="D42" s="99">
        <v>48</v>
      </c>
      <c r="E42" s="100"/>
      <c r="F42" s="99">
        <v>48</v>
      </c>
      <c r="G42" s="99">
        <f t="shared" si="12"/>
        <v>0</v>
      </c>
      <c r="H42" s="123"/>
      <c r="I42" s="123"/>
      <c r="J42" s="99"/>
      <c r="K42" s="135"/>
      <c r="L42" s="26"/>
      <c r="M42" s="26"/>
      <c r="N42" s="26"/>
      <c r="O42" s="142"/>
      <c r="P42" s="142"/>
      <c r="Q42" s="142"/>
      <c r="R42" s="142"/>
      <c r="S42" s="142"/>
      <c r="T42" s="143"/>
      <c r="U42" s="142"/>
      <c r="V42" s="25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</row>
    <row r="43" customHeight="1" spans="1:44">
      <c r="A43" s="82"/>
      <c r="B43" s="41">
        <v>2953</v>
      </c>
      <c r="C43" s="99" t="s">
        <v>196</v>
      </c>
      <c r="D43" s="99">
        <v>140</v>
      </c>
      <c r="E43" s="100"/>
      <c r="F43" s="99">
        <v>138</v>
      </c>
      <c r="G43" s="99">
        <f t="shared" si="12"/>
        <v>2</v>
      </c>
      <c r="H43" s="123"/>
      <c r="I43" s="123"/>
      <c r="J43" s="99"/>
      <c r="K43" s="135"/>
      <c r="L43" s="26"/>
      <c r="M43" s="26"/>
      <c r="N43" s="26"/>
      <c r="O43" s="142"/>
      <c r="P43" s="142"/>
      <c r="Q43" s="142"/>
      <c r="R43" s="142"/>
      <c r="S43" s="142"/>
      <c r="T43" s="143"/>
      <c r="U43" s="142"/>
      <c r="V43" s="25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</row>
    <row r="44" customHeight="1" spans="1:44">
      <c r="A44" s="82"/>
      <c r="B44" s="41">
        <v>2946</v>
      </c>
      <c r="C44" s="99" t="s">
        <v>91</v>
      </c>
      <c r="D44" s="86"/>
      <c r="E44" s="100"/>
      <c r="F44" s="86"/>
      <c r="G44" s="86"/>
      <c r="H44" s="86"/>
      <c r="I44" s="86"/>
      <c r="J44" s="86"/>
      <c r="K44" s="86"/>
      <c r="L44" s="26"/>
      <c r="M44" s="26"/>
      <c r="N44" s="26"/>
      <c r="O44" s="142"/>
      <c r="P44" s="142"/>
      <c r="Q44" s="142"/>
      <c r="T44" s="143"/>
      <c r="U44" s="142"/>
      <c r="V44" s="25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</row>
    <row r="45" customHeight="1" spans="1:44">
      <c r="A45" s="82"/>
      <c r="B45" s="41">
        <v>3006</v>
      </c>
      <c r="C45" s="99" t="s">
        <v>25</v>
      </c>
      <c r="D45" s="99">
        <v>58</v>
      </c>
      <c r="E45" s="100"/>
      <c r="F45" s="99">
        <v>58</v>
      </c>
      <c r="G45" s="99">
        <f t="shared" ref="G45:G49" si="13">D45-F45</f>
        <v>0</v>
      </c>
      <c r="H45" s="123"/>
      <c r="I45" s="123"/>
      <c r="J45" s="99"/>
      <c r="K45" s="135"/>
      <c r="L45" s="26"/>
      <c r="M45" s="26"/>
      <c r="N45" s="26"/>
      <c r="O45" s="142"/>
      <c r="P45" s="142"/>
      <c r="Q45" s="142"/>
      <c r="T45" s="143"/>
      <c r="U45" s="14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</row>
    <row r="46" customHeight="1" spans="1:44">
      <c r="A46" s="82"/>
      <c r="B46" s="41">
        <v>3007</v>
      </c>
      <c r="C46" s="124" t="s">
        <v>27</v>
      </c>
      <c r="D46" s="99">
        <v>38</v>
      </c>
      <c r="E46" s="100"/>
      <c r="F46" s="99">
        <v>62</v>
      </c>
      <c r="G46" s="124">
        <f t="shared" si="13"/>
        <v>-24</v>
      </c>
      <c r="H46" s="123"/>
      <c r="I46" s="123"/>
      <c r="J46" s="99"/>
      <c r="K46" s="135"/>
      <c r="O46" s="142"/>
      <c r="P46" s="142"/>
      <c r="Q46" s="142"/>
      <c r="R46" s="142"/>
      <c r="S46" s="142"/>
      <c r="T46" s="143"/>
      <c r="U46" s="142"/>
      <c r="V46" s="25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</row>
    <row r="47" customHeight="1" spans="1:44">
      <c r="A47" s="82"/>
      <c r="B47" s="41">
        <v>3008</v>
      </c>
      <c r="C47" s="99" t="s">
        <v>28</v>
      </c>
      <c r="D47" s="99">
        <v>12</v>
      </c>
      <c r="E47" s="100"/>
      <c r="F47" s="99">
        <v>31</v>
      </c>
      <c r="G47" s="124">
        <f t="shared" si="13"/>
        <v>-19</v>
      </c>
      <c r="H47" s="123"/>
      <c r="I47" s="123"/>
      <c r="J47" s="99"/>
      <c r="K47" s="135"/>
      <c r="R47" s="142"/>
      <c r="S47" s="142"/>
      <c r="T47" s="143"/>
      <c r="U47" s="142"/>
      <c r="V47" s="25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</row>
    <row r="48" customHeight="1" spans="1:44">
      <c r="A48" s="82"/>
      <c r="B48" s="41">
        <v>3009</v>
      </c>
      <c r="C48" s="99" t="s">
        <v>29</v>
      </c>
      <c r="D48" s="99">
        <v>30</v>
      </c>
      <c r="E48" s="100"/>
      <c r="F48" s="99">
        <v>30</v>
      </c>
      <c r="G48" s="99">
        <f t="shared" si="13"/>
        <v>0</v>
      </c>
      <c r="H48" s="123"/>
      <c r="I48" s="123"/>
      <c r="J48" s="99"/>
      <c r="K48" s="135"/>
      <c r="L48" s="26"/>
      <c r="M48" s="26"/>
      <c r="N48" s="26"/>
      <c r="O48" s="142"/>
      <c r="P48" s="142"/>
      <c r="Q48" s="142"/>
      <c r="T48" s="143"/>
      <c r="U48" s="14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</row>
    <row r="49" customHeight="1" spans="1:44">
      <c r="A49" s="82"/>
      <c r="B49" s="41">
        <v>3010</v>
      </c>
      <c r="C49" s="124" t="s">
        <v>186</v>
      </c>
      <c r="D49" s="99">
        <v>7</v>
      </c>
      <c r="E49" s="100"/>
      <c r="F49" s="99">
        <v>21</v>
      </c>
      <c r="G49" s="124">
        <f t="shared" si="13"/>
        <v>-14</v>
      </c>
      <c r="H49" s="123"/>
      <c r="I49" s="123"/>
      <c r="J49" s="99"/>
      <c r="K49" s="135"/>
      <c r="L49" s="26"/>
      <c r="M49" s="26"/>
      <c r="N49" s="26"/>
      <c r="O49" s="142"/>
      <c r="P49" s="142"/>
      <c r="Q49" s="142"/>
      <c r="R49" s="142"/>
      <c r="S49" s="142"/>
      <c r="T49" s="143"/>
      <c r="U49" s="142"/>
      <c r="V49" s="25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</row>
    <row r="50" customHeight="1" spans="1:44">
      <c r="A50" s="82"/>
      <c r="B50" s="72">
        <v>3049</v>
      </c>
      <c r="C50" s="105" t="s">
        <v>99</v>
      </c>
      <c r="D50" s="114"/>
      <c r="E50" s="106"/>
      <c r="F50" s="114"/>
      <c r="G50" s="114"/>
      <c r="H50" s="114"/>
      <c r="I50" s="114"/>
      <c r="J50" s="114"/>
      <c r="K50" s="114"/>
      <c r="R50" s="142"/>
      <c r="S50" s="142"/>
      <c r="T50" s="143"/>
      <c r="U50" s="142"/>
      <c r="V50" s="25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</row>
    <row r="51" customHeight="1" spans="1:44">
      <c r="A51" s="82"/>
      <c r="B51" s="25"/>
      <c r="C51" s="24"/>
      <c r="D51" s="24"/>
      <c r="E51" s="24"/>
      <c r="F51" s="24"/>
      <c r="G51" s="129"/>
      <c r="H51" s="24"/>
      <c r="I51" s="24"/>
      <c r="J51" s="25"/>
      <c r="K51" s="26"/>
      <c r="L51" s="26"/>
      <c r="M51" s="26"/>
      <c r="N51" s="26"/>
      <c r="O51" s="142"/>
      <c r="P51" s="142"/>
      <c r="Q51" s="142"/>
      <c r="R51" s="142"/>
      <c r="S51" s="142"/>
      <c r="T51" s="143"/>
      <c r="U51" s="142"/>
      <c r="V51" s="25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</row>
    <row r="52" customHeight="1" spans="1:44">
      <c r="A52" s="82"/>
      <c r="B52" s="25"/>
      <c r="C52" s="24"/>
      <c r="D52" s="24"/>
      <c r="E52" s="24"/>
      <c r="F52" s="24"/>
      <c r="G52" s="129"/>
      <c r="H52" s="24"/>
      <c r="I52" s="24"/>
      <c r="J52" s="25"/>
      <c r="K52" s="26"/>
      <c r="L52" s="26"/>
      <c r="M52" s="26"/>
      <c r="N52" s="26"/>
      <c r="O52" s="142"/>
      <c r="P52" s="142"/>
      <c r="Q52" s="142"/>
      <c r="R52" s="142"/>
      <c r="S52" s="142"/>
      <c r="T52" s="143"/>
      <c r="U52" s="142"/>
      <c r="V52" s="25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</row>
    <row r="53" customHeight="1" spans="1:44">
      <c r="A53" s="82"/>
      <c r="L53" s="26"/>
      <c r="M53" s="26"/>
      <c r="N53" s="26"/>
      <c r="O53" s="142"/>
      <c r="P53" s="142"/>
      <c r="Q53" s="142"/>
      <c r="T53" s="143"/>
      <c r="U53" s="14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</row>
    <row r="54" customHeight="1" spans="1:44">
      <c r="A54" s="82"/>
      <c r="B54" s="25"/>
      <c r="C54" s="24"/>
      <c r="D54" s="24"/>
      <c r="E54" s="24"/>
      <c r="F54" s="24"/>
      <c r="G54" s="129"/>
      <c r="H54" s="24"/>
      <c r="I54" s="24"/>
      <c r="J54" s="25"/>
      <c r="K54" s="26"/>
      <c r="L54" s="26"/>
      <c r="M54" s="26"/>
      <c r="N54" s="26"/>
      <c r="O54" s="142"/>
      <c r="P54" s="142"/>
      <c r="Q54" s="142"/>
      <c r="R54" s="142"/>
      <c r="S54" s="142"/>
      <c r="T54" s="143"/>
      <c r="U54" s="142"/>
      <c r="V54" s="25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</row>
    <row r="55" customHeight="1" spans="1:44">
      <c r="A55" s="82"/>
      <c r="T55" s="143"/>
      <c r="U55" s="14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</row>
    <row r="56" customHeight="1" spans="1:44">
      <c r="A56" s="82"/>
      <c r="B56" s="25"/>
      <c r="C56" s="24"/>
      <c r="D56" s="24"/>
      <c r="E56" s="24"/>
      <c r="F56" s="24"/>
      <c r="G56" s="129"/>
      <c r="H56" s="24"/>
      <c r="I56" s="24"/>
      <c r="J56" s="25"/>
      <c r="K56" s="26"/>
      <c r="L56" s="26"/>
      <c r="M56" s="26"/>
      <c r="N56" s="26"/>
      <c r="O56" s="142"/>
      <c r="P56" s="142"/>
      <c r="Q56" s="142"/>
      <c r="R56" s="142"/>
      <c r="S56" s="142"/>
      <c r="T56" s="143"/>
      <c r="U56" s="142"/>
      <c r="V56" s="25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</row>
    <row r="57" customHeight="1" spans="1:44">
      <c r="A57" s="82"/>
      <c r="T57" s="143"/>
      <c r="U57" s="14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</row>
    <row r="58" customHeight="1" spans="1:44">
      <c r="A58" s="82"/>
      <c r="B58" s="25"/>
      <c r="C58" s="24"/>
      <c r="D58" s="24"/>
      <c r="E58" s="24"/>
      <c r="F58" s="24"/>
      <c r="G58" s="129"/>
      <c r="H58" s="24"/>
      <c r="I58" s="24"/>
      <c r="J58" s="25"/>
      <c r="K58" s="26"/>
      <c r="L58" s="26"/>
      <c r="M58" s="26"/>
      <c r="N58" s="26"/>
      <c r="O58" s="142"/>
      <c r="P58" s="142"/>
      <c r="Q58" s="142"/>
      <c r="R58" s="142"/>
      <c r="S58" s="142"/>
      <c r="T58" s="143"/>
      <c r="U58" s="142"/>
      <c r="V58" s="25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</row>
    <row r="59" customHeight="1" spans="1:44">
      <c r="A59" s="82"/>
      <c r="T59" s="143"/>
      <c r="U59" s="14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</row>
    <row r="60" customHeight="1" spans="1:44">
      <c r="A60" s="82"/>
      <c r="B60" s="25"/>
      <c r="C60" s="24"/>
      <c r="D60" s="24"/>
      <c r="E60" s="24"/>
      <c r="F60" s="24"/>
      <c r="G60" s="129"/>
      <c r="H60" s="24"/>
      <c r="I60" s="24"/>
      <c r="J60" s="25"/>
      <c r="K60" s="26"/>
      <c r="L60" s="26"/>
      <c r="M60" s="26"/>
      <c r="N60" s="26"/>
      <c r="O60" s="142"/>
      <c r="P60" s="142"/>
      <c r="Q60" s="142"/>
      <c r="R60" s="142"/>
      <c r="S60" s="142"/>
      <c r="T60" s="143"/>
      <c r="U60" s="142"/>
      <c r="V60" s="25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</row>
    <row r="61" customHeight="1" spans="1:44">
      <c r="A61" s="82"/>
      <c r="B61" s="25"/>
      <c r="C61" s="24"/>
      <c r="D61" s="24"/>
      <c r="E61" s="24"/>
      <c r="F61" s="24"/>
      <c r="G61" s="129"/>
      <c r="H61" s="24"/>
      <c r="I61" s="24"/>
      <c r="J61" s="25"/>
      <c r="K61" s="26"/>
      <c r="R61" s="142"/>
      <c r="S61" s="142"/>
      <c r="T61" s="143"/>
      <c r="U61" s="142"/>
      <c r="V61" s="25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</row>
    <row r="62" customHeight="1" spans="1:44">
      <c r="A62" s="82"/>
      <c r="B62" s="25"/>
      <c r="C62" s="24"/>
      <c r="D62" s="24"/>
      <c r="E62" s="24"/>
      <c r="F62" s="24"/>
      <c r="G62" s="129"/>
      <c r="H62" s="24"/>
      <c r="I62" s="24"/>
      <c r="J62" s="25"/>
      <c r="K62" s="26"/>
      <c r="L62" s="26"/>
      <c r="M62" s="26"/>
      <c r="N62" s="26"/>
      <c r="O62" s="142"/>
      <c r="P62" s="142"/>
      <c r="Q62" s="142"/>
      <c r="R62" s="142"/>
      <c r="S62" s="142"/>
      <c r="T62" s="143"/>
      <c r="U62" s="142"/>
      <c r="V62" s="25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</row>
    <row r="63" customHeight="1" spans="1:44">
      <c r="A63" s="82"/>
      <c r="L63" s="26"/>
      <c r="M63" s="26"/>
      <c r="N63" s="26"/>
      <c r="O63" s="142"/>
      <c r="P63" s="142"/>
      <c r="Q63" s="142"/>
      <c r="T63" s="143"/>
      <c r="U63" s="14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</row>
    <row r="64" customHeight="1" spans="1:44">
      <c r="A64" s="82"/>
      <c r="B64" s="25"/>
      <c r="C64" s="24"/>
      <c r="D64" s="24"/>
      <c r="E64" s="24"/>
      <c r="F64" s="24"/>
      <c r="G64" s="129"/>
      <c r="H64" s="24"/>
      <c r="I64" s="24"/>
      <c r="J64" s="25"/>
      <c r="K64" s="26"/>
      <c r="L64" s="26"/>
      <c r="M64" s="26"/>
      <c r="N64" s="26"/>
      <c r="O64" s="142"/>
      <c r="P64" s="142"/>
      <c r="Q64" s="142"/>
      <c r="R64" s="142"/>
      <c r="S64" s="142"/>
      <c r="T64" s="143"/>
      <c r="U64" s="142"/>
      <c r="V64" s="25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</row>
    <row r="65" customHeight="1" spans="1:44">
      <c r="A65" s="82"/>
      <c r="B65" s="25"/>
      <c r="C65" s="24"/>
      <c r="D65" s="24"/>
      <c r="E65" s="24"/>
      <c r="F65" s="24"/>
      <c r="G65" s="129"/>
      <c r="H65" s="24"/>
      <c r="I65" s="24"/>
      <c r="J65" s="25"/>
      <c r="K65" s="26"/>
      <c r="R65" s="142"/>
      <c r="S65" s="142"/>
      <c r="T65" s="143"/>
      <c r="U65" s="142"/>
      <c r="V65" s="25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</row>
    <row r="66" customHeight="1" spans="1:44">
      <c r="A66" s="82"/>
      <c r="B66" s="25"/>
      <c r="C66" s="24"/>
      <c r="D66" s="24"/>
      <c r="E66" s="24"/>
      <c r="F66" s="24"/>
      <c r="G66" s="129"/>
      <c r="H66" s="24"/>
      <c r="I66" s="24"/>
      <c r="J66" s="25"/>
      <c r="K66" s="26"/>
      <c r="L66" s="26"/>
      <c r="M66" s="26"/>
      <c r="N66" s="26"/>
      <c r="O66" s="142"/>
      <c r="P66" s="142"/>
      <c r="Q66" s="142"/>
      <c r="R66" s="142"/>
      <c r="S66" s="142"/>
      <c r="T66" s="143"/>
      <c r="U66" s="142"/>
      <c r="V66" s="25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</row>
    <row r="67" customHeight="1" spans="1:44">
      <c r="A67" s="82"/>
      <c r="L67" s="26"/>
      <c r="M67" s="26"/>
      <c r="N67" s="26"/>
      <c r="O67" s="142"/>
      <c r="P67" s="142"/>
      <c r="Q67" s="142"/>
      <c r="T67" s="143"/>
      <c r="U67" s="14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</row>
    <row r="68" customHeight="1" spans="1:44">
      <c r="A68" s="82"/>
      <c r="L68" s="26"/>
      <c r="M68" s="26"/>
      <c r="N68" s="26"/>
      <c r="O68" s="142"/>
      <c r="P68" s="142"/>
      <c r="Q68" s="142"/>
      <c r="T68" s="143"/>
      <c r="U68" s="14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</row>
    <row r="69" customHeight="1" spans="1:44">
      <c r="A69" s="82"/>
      <c r="T69" s="143"/>
      <c r="U69" s="14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</row>
    <row r="70" customHeight="1" spans="1:44">
      <c r="A70" s="82"/>
      <c r="B70" s="25"/>
      <c r="C70" s="24"/>
      <c r="D70" s="24"/>
      <c r="E70" s="24"/>
      <c r="F70" s="24"/>
      <c r="G70" s="129"/>
      <c r="H70" s="24"/>
      <c r="I70" s="24"/>
      <c r="J70" s="25"/>
      <c r="K70" s="26"/>
      <c r="R70" s="142"/>
      <c r="S70" s="142"/>
      <c r="T70" s="143"/>
      <c r="U70" s="142"/>
      <c r="V70" s="25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</row>
    <row r="71" customHeight="1" spans="1:44">
      <c r="A71" s="82"/>
      <c r="B71" s="25"/>
      <c r="C71" s="24"/>
      <c r="D71" s="24"/>
      <c r="E71" s="24"/>
      <c r="F71" s="24"/>
      <c r="G71" s="129"/>
      <c r="H71" s="24"/>
      <c r="I71" s="24"/>
      <c r="J71" s="25"/>
      <c r="K71" s="26"/>
      <c r="R71" s="142"/>
      <c r="S71" s="142"/>
      <c r="T71" s="143"/>
      <c r="U71" s="142"/>
      <c r="V71" s="25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</row>
    <row r="72" customHeight="1" spans="1:44">
      <c r="A72" s="82"/>
      <c r="L72" s="26"/>
      <c r="M72" s="26"/>
      <c r="N72" s="26"/>
      <c r="O72" s="142"/>
      <c r="P72" s="142"/>
      <c r="Q72" s="142"/>
      <c r="T72" s="143"/>
      <c r="U72" s="14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</row>
    <row r="73" customHeight="1" spans="1:44">
      <c r="A73" s="82"/>
      <c r="B73" s="25"/>
      <c r="C73" s="24"/>
      <c r="D73" s="24"/>
      <c r="E73" s="24"/>
      <c r="F73" s="24"/>
      <c r="G73" s="129"/>
      <c r="H73" s="24"/>
      <c r="I73" s="24"/>
      <c r="J73" s="25"/>
      <c r="K73" s="26"/>
      <c r="L73" s="26"/>
      <c r="M73" s="26"/>
      <c r="N73" s="26"/>
      <c r="O73" s="142"/>
      <c r="P73" s="142"/>
      <c r="Q73" s="142"/>
      <c r="R73" s="142"/>
      <c r="S73" s="142"/>
      <c r="T73" s="143"/>
      <c r="U73" s="142"/>
      <c r="V73" s="25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</row>
    <row r="74" customHeight="1" spans="1:44">
      <c r="A74" s="82"/>
      <c r="B74" s="25"/>
      <c r="C74" s="24"/>
      <c r="D74" s="24"/>
      <c r="E74" s="24"/>
      <c r="F74" s="24"/>
      <c r="G74" s="129"/>
      <c r="H74" s="24"/>
      <c r="I74" s="24"/>
      <c r="J74" s="25"/>
      <c r="K74" s="26"/>
      <c r="R74" s="142"/>
      <c r="S74" s="142"/>
      <c r="T74" s="143"/>
      <c r="U74" s="142"/>
      <c r="V74" s="25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</row>
    <row r="75" customHeight="1" spans="1:44">
      <c r="A75" s="82"/>
      <c r="L75" s="26"/>
      <c r="M75" s="26"/>
      <c r="N75" s="26"/>
      <c r="O75" s="142"/>
      <c r="P75" s="142"/>
      <c r="Q75" s="142"/>
      <c r="T75" s="143"/>
      <c r="U75" s="14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</row>
    <row r="76" customHeight="1" spans="1:44">
      <c r="A76" s="82"/>
      <c r="B76" s="25"/>
      <c r="C76" s="24"/>
      <c r="D76" s="24"/>
      <c r="E76" s="24"/>
      <c r="F76" s="24"/>
      <c r="G76" s="129"/>
      <c r="H76" s="24"/>
      <c r="I76" s="24"/>
      <c r="J76" s="25"/>
      <c r="K76" s="26"/>
      <c r="L76" s="26"/>
      <c r="M76" s="26"/>
      <c r="N76" s="26"/>
      <c r="O76" s="142"/>
      <c r="P76" s="142"/>
      <c r="Q76" s="142"/>
      <c r="R76" s="142"/>
      <c r="S76" s="142"/>
      <c r="T76" s="143"/>
      <c r="U76" s="142"/>
      <c r="V76" s="25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</row>
    <row r="77" customHeight="1" spans="1:44">
      <c r="A77" s="82"/>
      <c r="B77" s="25"/>
      <c r="C77" s="24"/>
      <c r="D77" s="24"/>
      <c r="E77" s="24"/>
      <c r="F77" s="24"/>
      <c r="G77" s="129"/>
      <c r="H77" s="24"/>
      <c r="I77" s="24"/>
      <c r="J77" s="25"/>
      <c r="K77" s="26"/>
      <c r="R77" s="142"/>
      <c r="S77" s="142"/>
      <c r="T77" s="143"/>
      <c r="U77" s="142"/>
      <c r="V77" s="25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</row>
    <row r="78" customHeight="1" spans="1:44">
      <c r="A78" s="82"/>
      <c r="B78" s="25"/>
      <c r="C78" s="24"/>
      <c r="D78" s="24"/>
      <c r="E78" s="24"/>
      <c r="F78" s="24"/>
      <c r="G78" s="129"/>
      <c r="H78" s="24"/>
      <c r="I78" s="24"/>
      <c r="J78" s="25"/>
      <c r="K78" s="26"/>
      <c r="L78" s="26"/>
      <c r="M78" s="26"/>
      <c r="N78" s="26"/>
      <c r="O78" s="142"/>
      <c r="P78" s="142"/>
      <c r="Q78" s="142"/>
      <c r="R78" s="142"/>
      <c r="S78" s="142"/>
      <c r="T78" s="143"/>
      <c r="U78" s="142"/>
      <c r="V78" s="25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</row>
    <row r="79" customHeight="1" spans="1:44">
      <c r="A79" s="82"/>
      <c r="L79" s="26"/>
      <c r="M79" s="26"/>
      <c r="N79" s="26"/>
      <c r="O79" s="142"/>
      <c r="P79" s="142"/>
      <c r="Q79" s="142"/>
      <c r="T79" s="143"/>
      <c r="U79" s="14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</row>
    <row r="80" customHeight="1" spans="1:44">
      <c r="A80" s="82"/>
      <c r="B80" s="25"/>
      <c r="C80" s="24"/>
      <c r="D80" s="24"/>
      <c r="E80" s="24"/>
      <c r="F80" s="24"/>
      <c r="G80" s="129"/>
      <c r="H80" s="24"/>
      <c r="I80" s="24"/>
      <c r="J80" s="25"/>
      <c r="K80" s="26"/>
      <c r="L80" s="26"/>
      <c r="M80" s="26"/>
      <c r="N80" s="26"/>
      <c r="O80" s="142"/>
      <c r="P80" s="142"/>
      <c r="Q80" s="142"/>
      <c r="R80" s="142"/>
      <c r="S80" s="142"/>
      <c r="T80" s="143"/>
      <c r="U80" s="142"/>
      <c r="V80" s="25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</row>
    <row r="81" customHeight="1" spans="1:44">
      <c r="A81" s="82"/>
      <c r="B81" s="25"/>
      <c r="C81" s="24"/>
      <c r="D81" s="24"/>
      <c r="E81" s="24"/>
      <c r="F81" s="24"/>
      <c r="G81" s="129"/>
      <c r="H81" s="24"/>
      <c r="I81" s="24"/>
      <c r="J81" s="25"/>
      <c r="K81" s="26"/>
      <c r="R81" s="142"/>
      <c r="S81" s="142"/>
      <c r="T81" s="143"/>
      <c r="U81" s="142"/>
      <c r="V81" s="25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</row>
    <row r="82" customHeight="1" spans="1:44">
      <c r="A82" s="82"/>
      <c r="L82" s="26"/>
      <c r="M82" s="26"/>
      <c r="N82" s="26"/>
      <c r="O82" s="142"/>
      <c r="P82" s="142"/>
      <c r="Q82" s="142"/>
      <c r="T82" s="143"/>
      <c r="U82" s="14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</row>
    <row r="83" customHeight="1" spans="1:44">
      <c r="A83" s="82"/>
      <c r="L83" s="26"/>
      <c r="M83" s="26"/>
      <c r="N83" s="26"/>
      <c r="O83" s="142"/>
      <c r="P83" s="142"/>
      <c r="Q83" s="142"/>
      <c r="T83" s="143"/>
      <c r="U83" s="14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</row>
    <row r="84" customHeight="1" spans="1:44">
      <c r="A84" s="82"/>
      <c r="B84" s="25"/>
      <c r="C84" s="24"/>
      <c r="D84" s="24"/>
      <c r="E84" s="24"/>
      <c r="F84" s="24"/>
      <c r="G84" s="129"/>
      <c r="H84" s="24"/>
      <c r="I84" s="24"/>
      <c r="J84" s="25"/>
      <c r="K84" s="26"/>
      <c r="R84" s="142"/>
      <c r="S84" s="142"/>
      <c r="T84" s="143"/>
      <c r="U84" s="14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</row>
    <row r="85" customHeight="1" spans="1:44">
      <c r="A85" s="82"/>
      <c r="T85" s="143"/>
      <c r="U85" s="14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</row>
    <row r="86" customHeight="1" spans="1:44">
      <c r="A86" s="82"/>
      <c r="L86" s="26"/>
      <c r="M86" s="26"/>
      <c r="N86" s="26"/>
      <c r="O86" s="142"/>
      <c r="P86" s="142"/>
      <c r="Q86" s="142"/>
      <c r="T86" s="143"/>
      <c r="U86" s="14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</row>
    <row r="87" customHeight="1" spans="1:44">
      <c r="A87" s="82"/>
      <c r="B87" s="25"/>
      <c r="C87" s="24"/>
      <c r="D87" s="24"/>
      <c r="E87" s="24"/>
      <c r="F87" s="24"/>
      <c r="G87" s="129"/>
      <c r="H87" s="24"/>
      <c r="I87" s="24"/>
      <c r="J87" s="25"/>
      <c r="K87" s="26"/>
      <c r="R87" s="142"/>
      <c r="S87" s="142"/>
      <c r="T87" s="143"/>
      <c r="U87" s="142"/>
      <c r="V87" s="25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</row>
    <row r="88" customHeight="1" spans="1:44">
      <c r="A88" s="82"/>
      <c r="B88" s="25"/>
      <c r="C88" s="24"/>
      <c r="D88" s="24"/>
      <c r="E88" s="24"/>
      <c r="F88" s="24"/>
      <c r="G88" s="129"/>
      <c r="H88" s="24"/>
      <c r="I88" s="24"/>
      <c r="J88" s="25"/>
      <c r="K88" s="26"/>
      <c r="R88" s="142"/>
      <c r="S88" s="142"/>
      <c r="T88" s="143"/>
      <c r="U88" s="142"/>
      <c r="V88" s="25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</row>
    <row r="89" customHeight="1" spans="1:44">
      <c r="A89" s="82"/>
      <c r="B89" s="25"/>
      <c r="C89" s="24"/>
      <c r="D89" s="24"/>
      <c r="E89" s="24"/>
      <c r="F89" s="24"/>
      <c r="G89" s="129"/>
      <c r="H89" s="24"/>
      <c r="I89" s="24"/>
      <c r="J89" s="25"/>
      <c r="K89" s="26"/>
      <c r="L89" s="26"/>
      <c r="M89" s="26"/>
      <c r="N89" s="26"/>
      <c r="O89" s="142"/>
      <c r="P89" s="142"/>
      <c r="Q89" s="142"/>
      <c r="R89" s="142"/>
      <c r="S89" s="142"/>
      <c r="T89" s="143"/>
      <c r="U89" s="142"/>
      <c r="V89" s="25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</row>
    <row r="90" customHeight="1" spans="1:44">
      <c r="A90" s="82"/>
      <c r="B90" s="25"/>
      <c r="C90" s="24"/>
      <c r="D90" s="24"/>
      <c r="E90" s="24"/>
      <c r="F90" s="24"/>
      <c r="G90" s="129"/>
      <c r="H90" s="24"/>
      <c r="I90" s="24"/>
      <c r="J90" s="25"/>
      <c r="K90" s="26"/>
      <c r="L90" s="26"/>
      <c r="M90" s="26"/>
      <c r="N90" s="26"/>
      <c r="O90" s="142"/>
      <c r="P90" s="142"/>
      <c r="Q90" s="142"/>
      <c r="R90" s="142"/>
      <c r="S90" s="142"/>
      <c r="T90" s="143"/>
      <c r="U90" s="142"/>
      <c r="V90" s="25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</row>
    <row r="91" customHeight="1" spans="1:44">
      <c r="A91" s="82"/>
      <c r="B91" s="24"/>
      <c r="C91" s="24"/>
      <c r="D91" s="24"/>
      <c r="E91" s="24"/>
      <c r="F91" s="24"/>
      <c r="G91" s="129"/>
      <c r="H91" s="24"/>
      <c r="I91" s="24"/>
      <c r="J91" s="24"/>
      <c r="K91" s="26"/>
      <c r="L91" s="26"/>
      <c r="M91" s="26"/>
      <c r="N91" s="26"/>
      <c r="O91" s="142"/>
      <c r="P91" s="142"/>
      <c r="Q91" s="142"/>
      <c r="R91" s="142"/>
      <c r="S91" s="142"/>
      <c r="T91" s="149"/>
      <c r="U91" s="142"/>
      <c r="V91" s="24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</row>
    <row r="92" customHeight="1" spans="1:44">
      <c r="A92" s="82"/>
      <c r="B92" s="24"/>
      <c r="C92" s="24"/>
      <c r="D92" s="24"/>
      <c r="E92" s="24"/>
      <c r="F92" s="24"/>
      <c r="G92" s="129"/>
      <c r="H92" s="24"/>
      <c r="I92" s="24"/>
      <c r="J92" s="24"/>
      <c r="K92" s="26"/>
      <c r="L92" s="26"/>
      <c r="M92" s="26"/>
      <c r="N92" s="26"/>
      <c r="O92" s="142"/>
      <c r="P92" s="142"/>
      <c r="Q92" s="142"/>
      <c r="R92" s="142"/>
      <c r="S92" s="142"/>
      <c r="T92" s="149"/>
      <c r="U92" s="142"/>
      <c r="V92" s="24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</row>
    <row r="93" customHeight="1" spans="1:44">
      <c r="A93" s="82"/>
      <c r="B93" s="25"/>
      <c r="C93" s="24"/>
      <c r="D93" s="24"/>
      <c r="E93" s="24"/>
      <c r="F93" s="24"/>
      <c r="G93" s="129"/>
      <c r="H93" s="24"/>
      <c r="I93" s="24"/>
      <c r="J93" s="25"/>
      <c r="K93" s="26"/>
      <c r="L93" s="26"/>
      <c r="M93" s="26"/>
      <c r="N93" s="26"/>
      <c r="O93" s="142"/>
      <c r="P93" s="149"/>
      <c r="Q93" s="149"/>
      <c r="R93" s="142"/>
      <c r="S93" s="142"/>
      <c r="T93" s="143"/>
      <c r="U93" s="142"/>
      <c r="V93" s="25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</row>
    <row r="94" customHeight="1" spans="1:44">
      <c r="A94" s="82"/>
      <c r="L94" s="26"/>
      <c r="M94" s="26"/>
      <c r="N94" s="26"/>
      <c r="O94" s="142"/>
      <c r="P94" s="149"/>
      <c r="Q94" s="149"/>
      <c r="T94" s="143"/>
      <c r="U94" s="14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</row>
    <row r="95" customHeight="1" spans="1:44">
      <c r="A95" s="82"/>
      <c r="B95" s="25"/>
      <c r="C95" s="24"/>
      <c r="D95" s="24"/>
      <c r="E95" s="24"/>
      <c r="F95" s="24"/>
      <c r="G95" s="129"/>
      <c r="H95" s="24"/>
      <c r="I95" s="24"/>
      <c r="J95" s="25"/>
      <c r="K95" s="26"/>
      <c r="L95" s="26"/>
      <c r="M95" s="26"/>
      <c r="N95" s="26"/>
      <c r="O95" s="142"/>
      <c r="P95" s="142"/>
      <c r="Q95" s="142"/>
      <c r="R95" s="142"/>
      <c r="S95" s="142"/>
      <c r="T95" s="143"/>
      <c r="U95" s="142"/>
      <c r="V95" s="25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</row>
    <row r="96" customHeight="1" spans="1:44">
      <c r="A96" s="82"/>
      <c r="T96" s="143"/>
      <c r="U96" s="14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</row>
    <row r="97" customHeight="1" spans="1:44">
      <c r="A97" s="82"/>
      <c r="B97" s="25"/>
      <c r="C97" s="24"/>
      <c r="D97" s="24"/>
      <c r="E97" s="24"/>
      <c r="F97" s="24"/>
      <c r="G97" s="129"/>
      <c r="H97" s="24"/>
      <c r="I97" s="24"/>
      <c r="J97" s="25"/>
      <c r="K97" s="26"/>
      <c r="L97" s="26"/>
      <c r="M97" s="26"/>
      <c r="N97" s="26"/>
      <c r="O97" s="142"/>
      <c r="P97" s="142"/>
      <c r="Q97" s="142"/>
      <c r="R97" s="142"/>
      <c r="S97" s="142"/>
      <c r="T97" s="143"/>
      <c r="U97" s="142"/>
      <c r="V97" s="25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</row>
    <row r="98" customHeight="1" spans="1:44">
      <c r="A98" s="82"/>
      <c r="T98" s="143"/>
      <c r="U98" s="14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</row>
    <row r="99" customHeight="1" spans="1:44">
      <c r="A99" s="82"/>
      <c r="B99" s="24"/>
      <c r="C99" s="24"/>
      <c r="D99" s="24"/>
      <c r="E99" s="24"/>
      <c r="F99" s="24"/>
      <c r="G99" s="129"/>
      <c r="H99" s="24"/>
      <c r="I99" s="24"/>
      <c r="J99" s="24"/>
      <c r="K99" s="26"/>
      <c r="L99" s="26"/>
      <c r="M99" s="26"/>
      <c r="N99" s="26"/>
      <c r="O99" s="142"/>
      <c r="P99" s="142"/>
      <c r="Q99" s="142"/>
      <c r="R99" s="142"/>
      <c r="S99" s="142"/>
      <c r="T99" s="149"/>
      <c r="U99" s="142"/>
      <c r="V99" s="24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</row>
    <row r="100" customHeight="1" spans="1:44">
      <c r="A100" s="82"/>
      <c r="B100" s="24"/>
      <c r="C100" s="24"/>
      <c r="D100" s="24"/>
      <c r="E100" s="24"/>
      <c r="F100" s="24"/>
      <c r="G100" s="129"/>
      <c r="H100" s="24"/>
      <c r="I100" s="24"/>
      <c r="J100" s="24"/>
      <c r="K100" s="26"/>
      <c r="R100" s="142"/>
      <c r="S100" s="142"/>
      <c r="T100" s="149"/>
      <c r="U100" s="142"/>
      <c r="V100" s="24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</row>
    <row r="101" customHeight="1" spans="1:44">
      <c r="A101" s="82"/>
      <c r="B101" s="24"/>
      <c r="C101" s="24"/>
      <c r="D101" s="24"/>
      <c r="E101" s="24"/>
      <c r="F101" s="24"/>
      <c r="G101" s="129"/>
      <c r="H101" s="24"/>
      <c r="I101" s="24"/>
      <c r="J101" s="24"/>
      <c r="K101" s="26"/>
      <c r="L101" s="26"/>
      <c r="M101" s="26"/>
      <c r="N101" s="26"/>
      <c r="O101" s="142"/>
      <c r="P101" s="149"/>
      <c r="Q101" s="149"/>
      <c r="R101" s="142"/>
      <c r="S101" s="142"/>
      <c r="T101" s="149"/>
      <c r="U101" s="142"/>
      <c r="V101" s="24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</row>
    <row r="102" customHeight="1" spans="1:44">
      <c r="A102" s="82"/>
      <c r="B102" s="25"/>
      <c r="C102" s="24"/>
      <c r="D102" s="24"/>
      <c r="E102" s="24"/>
      <c r="F102" s="24"/>
      <c r="G102" s="129"/>
      <c r="H102" s="24"/>
      <c r="I102" s="24"/>
      <c r="J102" s="25"/>
      <c r="K102" s="26"/>
      <c r="L102" s="26"/>
      <c r="M102" s="26"/>
      <c r="N102" s="26"/>
      <c r="O102" s="142"/>
      <c r="P102" s="149"/>
      <c r="Q102" s="149"/>
      <c r="R102" s="142"/>
      <c r="S102" s="142"/>
      <c r="T102" s="143"/>
      <c r="U102" s="142"/>
      <c r="V102" s="25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</row>
    <row r="103" customHeight="1" spans="1:44">
      <c r="A103" s="82"/>
      <c r="L103" s="26"/>
      <c r="M103" s="26"/>
      <c r="N103" s="26"/>
      <c r="O103" s="142"/>
      <c r="P103" s="149"/>
      <c r="Q103" s="149"/>
      <c r="T103" s="143"/>
      <c r="U103" s="14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</row>
    <row r="104" customHeight="1" spans="1:44">
      <c r="A104" s="82"/>
      <c r="B104" s="24"/>
      <c r="C104" s="24"/>
      <c r="D104" s="24"/>
      <c r="E104" s="24"/>
      <c r="F104" s="24"/>
      <c r="G104" s="129"/>
      <c r="H104" s="24"/>
      <c r="I104" s="24"/>
      <c r="J104" s="24"/>
      <c r="K104" s="26"/>
      <c r="L104" s="26"/>
      <c r="M104" s="26"/>
      <c r="N104" s="26"/>
      <c r="O104" s="142"/>
      <c r="P104" s="142"/>
      <c r="Q104" s="142"/>
      <c r="R104" s="142"/>
      <c r="S104" s="142"/>
      <c r="T104" s="149"/>
      <c r="U104" s="142"/>
      <c r="V104" s="24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</row>
    <row r="105" customHeight="1" spans="1:44">
      <c r="A105" s="82"/>
      <c r="B105" s="24"/>
      <c r="C105" s="24"/>
      <c r="D105" s="24"/>
      <c r="E105" s="24"/>
      <c r="F105" s="24"/>
      <c r="G105" s="129"/>
      <c r="H105" s="24"/>
      <c r="I105" s="24"/>
      <c r="J105" s="24"/>
      <c r="K105" s="26"/>
      <c r="R105" s="142"/>
      <c r="S105" s="142"/>
      <c r="T105" s="149"/>
      <c r="U105" s="142"/>
      <c r="V105" s="24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</row>
    <row r="106" customHeight="1" spans="1:44">
      <c r="A106" s="82"/>
      <c r="B106" s="25"/>
      <c r="C106" s="24"/>
      <c r="D106" s="24"/>
      <c r="E106" s="24"/>
      <c r="F106" s="24"/>
      <c r="G106" s="129"/>
      <c r="H106" s="24"/>
      <c r="I106" s="24"/>
      <c r="J106" s="25"/>
      <c r="K106" s="26"/>
      <c r="L106" s="26"/>
      <c r="M106" s="26"/>
      <c r="N106" s="26"/>
      <c r="O106" s="142"/>
      <c r="P106" s="149"/>
      <c r="Q106" s="149"/>
      <c r="R106" s="142"/>
      <c r="S106" s="142"/>
      <c r="T106" s="143"/>
      <c r="U106" s="142"/>
      <c r="V106" s="25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</row>
    <row r="107" customHeight="1" spans="1:44">
      <c r="A107" s="82"/>
      <c r="L107" s="26"/>
      <c r="M107" s="26"/>
      <c r="N107" s="26"/>
      <c r="O107" s="142"/>
      <c r="P107" s="149"/>
      <c r="Q107" s="149"/>
      <c r="T107" s="143"/>
      <c r="U107" s="14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</row>
    <row r="108" customHeight="1" spans="1:44">
      <c r="A108" s="82"/>
      <c r="B108" s="24"/>
      <c r="C108" s="24"/>
      <c r="D108" s="24"/>
      <c r="E108" s="24"/>
      <c r="F108" s="24"/>
      <c r="G108" s="129"/>
      <c r="H108" s="24"/>
      <c r="I108" s="24"/>
      <c r="J108" s="24"/>
      <c r="K108" s="26"/>
      <c r="L108" s="26"/>
      <c r="M108" s="26"/>
      <c r="N108" s="26"/>
      <c r="O108" s="142"/>
      <c r="P108" s="142"/>
      <c r="Q108" s="142"/>
      <c r="R108" s="142"/>
      <c r="S108" s="142"/>
      <c r="T108" s="149"/>
      <c r="U108" s="142"/>
      <c r="V108" s="24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</row>
    <row r="109" customHeight="1" spans="1:44">
      <c r="A109" s="82"/>
      <c r="B109" s="24"/>
      <c r="C109" s="24"/>
      <c r="D109" s="24"/>
      <c r="E109" s="24"/>
      <c r="F109" s="24"/>
      <c r="G109" s="129"/>
      <c r="H109" s="24"/>
      <c r="I109" s="24"/>
      <c r="J109" s="24"/>
      <c r="K109" s="26"/>
      <c r="R109" s="142"/>
      <c r="S109" s="142"/>
      <c r="T109" s="149"/>
      <c r="U109" s="142"/>
      <c r="V109" s="24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</row>
    <row r="110" customHeight="1" spans="1:44">
      <c r="A110" s="82"/>
      <c r="B110" s="24"/>
      <c r="C110" s="24"/>
      <c r="D110" s="24"/>
      <c r="E110" s="24"/>
      <c r="F110" s="24"/>
      <c r="G110" s="129"/>
      <c r="H110" s="24"/>
      <c r="I110" s="24"/>
      <c r="J110" s="24"/>
      <c r="K110" s="26"/>
      <c r="L110" s="26"/>
      <c r="M110" s="26"/>
      <c r="N110" s="26"/>
      <c r="O110" s="142"/>
      <c r="P110" s="149"/>
      <c r="Q110" s="149"/>
      <c r="R110" s="142"/>
      <c r="S110" s="142"/>
      <c r="T110" s="149"/>
      <c r="U110" s="142"/>
      <c r="V110" s="24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</row>
    <row r="111" customHeight="1" spans="1:44">
      <c r="A111" s="82"/>
      <c r="B111" s="24"/>
      <c r="C111" s="24"/>
      <c r="D111" s="24"/>
      <c r="E111" s="24"/>
      <c r="F111" s="24"/>
      <c r="G111" s="129"/>
      <c r="H111" s="24"/>
      <c r="I111" s="24"/>
      <c r="J111" s="24"/>
      <c r="K111" s="26"/>
      <c r="L111" s="26"/>
      <c r="M111" s="26"/>
      <c r="N111" s="26"/>
      <c r="O111" s="142"/>
      <c r="P111" s="149"/>
      <c r="Q111" s="149"/>
      <c r="R111" s="142"/>
      <c r="S111" s="142"/>
      <c r="T111" s="149"/>
      <c r="U111" s="142"/>
      <c r="V111" s="24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</row>
    <row r="112" customHeight="1" spans="1:44">
      <c r="A112" s="82"/>
      <c r="B112" s="24"/>
      <c r="C112" s="24"/>
      <c r="D112" s="24"/>
      <c r="E112" s="24"/>
      <c r="F112" s="24"/>
      <c r="G112" s="129"/>
      <c r="H112" s="24"/>
      <c r="I112" s="24"/>
      <c r="J112" s="24"/>
      <c r="K112" s="26"/>
      <c r="L112" s="26"/>
      <c r="M112" s="26"/>
      <c r="N112" s="26"/>
      <c r="O112" s="142"/>
      <c r="P112" s="149"/>
      <c r="Q112" s="149"/>
      <c r="R112" s="142"/>
      <c r="S112" s="142"/>
      <c r="T112" s="149"/>
      <c r="U112" s="142"/>
      <c r="V112" s="24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</row>
    <row r="113" customHeight="1" spans="1:44">
      <c r="A113" s="82"/>
      <c r="B113" s="24"/>
      <c r="C113" s="24"/>
      <c r="D113" s="24"/>
      <c r="E113" s="24"/>
      <c r="F113" s="24"/>
      <c r="G113" s="129"/>
      <c r="H113" s="24"/>
      <c r="I113" s="24"/>
      <c r="J113" s="24"/>
      <c r="K113" s="26"/>
      <c r="L113" s="26"/>
      <c r="M113" s="26"/>
      <c r="N113" s="26"/>
      <c r="O113" s="142"/>
      <c r="P113" s="149"/>
      <c r="Q113" s="149"/>
      <c r="R113" s="142"/>
      <c r="S113" s="142"/>
      <c r="T113" s="149"/>
      <c r="U113" s="142"/>
      <c r="V113" s="24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</row>
    <row r="114" customHeight="1" spans="1:44">
      <c r="A114" s="82"/>
      <c r="B114" s="24"/>
      <c r="C114" s="24"/>
      <c r="D114" s="24"/>
      <c r="E114" s="24"/>
      <c r="F114" s="24"/>
      <c r="G114" s="129"/>
      <c r="H114" s="24"/>
      <c r="I114" s="24"/>
      <c r="J114" s="24"/>
      <c r="K114" s="26"/>
      <c r="L114" s="26"/>
      <c r="M114" s="26"/>
      <c r="N114" s="26"/>
      <c r="O114" s="142"/>
      <c r="P114" s="149"/>
      <c r="Q114" s="149"/>
      <c r="R114" s="142"/>
      <c r="S114" s="142"/>
      <c r="T114" s="149"/>
      <c r="U114" s="142"/>
      <c r="V114" s="24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</row>
    <row r="115" customHeight="1" spans="1:44">
      <c r="A115" s="82"/>
      <c r="L115" s="26"/>
      <c r="M115" s="26"/>
      <c r="N115" s="26"/>
      <c r="O115" s="142"/>
      <c r="P115" s="149"/>
      <c r="Q115" s="149"/>
      <c r="T115" s="149"/>
      <c r="U115" s="14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</row>
    <row r="116" customHeight="1" spans="1:44">
      <c r="A116" s="82"/>
      <c r="B116" s="24"/>
      <c r="C116" s="24"/>
      <c r="D116" s="24"/>
      <c r="E116" s="24"/>
      <c r="F116" s="24"/>
      <c r="G116" s="129"/>
      <c r="H116" s="24"/>
      <c r="I116" s="24"/>
      <c r="J116" s="24"/>
      <c r="K116" s="26"/>
      <c r="L116" s="26"/>
      <c r="M116" s="26"/>
      <c r="N116" s="26"/>
      <c r="O116" s="142"/>
      <c r="P116" s="149"/>
      <c r="Q116" s="149"/>
      <c r="R116" s="142"/>
      <c r="S116" s="142"/>
      <c r="T116" s="149"/>
      <c r="U116" s="142"/>
      <c r="V116" s="24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</row>
    <row r="117" customHeight="1" spans="1:44">
      <c r="A117" s="144"/>
      <c r="B117" s="145"/>
      <c r="C117" s="145"/>
      <c r="D117" s="145"/>
      <c r="E117" s="145"/>
      <c r="F117" s="145"/>
      <c r="G117" s="146"/>
      <c r="H117" s="145"/>
      <c r="I117" s="145"/>
      <c r="J117" s="145"/>
      <c r="K117" s="150"/>
      <c r="R117" s="152"/>
      <c r="S117" s="152"/>
      <c r="T117" s="153"/>
      <c r="U117" s="152"/>
      <c r="V117" s="145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</row>
    <row r="118" customHeight="1" spans="1:44">
      <c r="A118" s="82"/>
      <c r="B118" s="147"/>
      <c r="C118" s="147"/>
      <c r="D118" s="147"/>
      <c r="E118" s="147"/>
      <c r="F118" s="147"/>
      <c r="G118" s="148"/>
      <c r="H118" s="147"/>
      <c r="I118" s="147"/>
      <c r="J118" s="147"/>
      <c r="K118" s="151"/>
      <c r="L118" s="26"/>
      <c r="M118" s="26"/>
      <c r="N118" s="26"/>
      <c r="O118" s="142"/>
      <c r="P118" s="149"/>
      <c r="Q118" s="149"/>
      <c r="R118" s="44"/>
      <c r="S118" s="44"/>
      <c r="T118" s="44"/>
      <c r="U118" s="44"/>
      <c r="V118" s="147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</row>
    <row r="119" customHeight="1" spans="1:44">
      <c r="A119" s="82"/>
      <c r="B119" s="147"/>
      <c r="C119" s="147"/>
      <c r="D119" s="147"/>
      <c r="E119" s="147"/>
      <c r="F119" s="147"/>
      <c r="G119" s="148"/>
      <c r="H119" s="147"/>
      <c r="I119" s="147"/>
      <c r="J119" s="147"/>
      <c r="K119" s="151"/>
      <c r="L119" s="150"/>
      <c r="M119" s="150"/>
      <c r="N119" s="150"/>
      <c r="O119" s="152"/>
      <c r="P119" s="153"/>
      <c r="Q119" s="153"/>
      <c r="R119" s="44"/>
      <c r="S119" s="44"/>
      <c r="T119" s="44"/>
      <c r="U119" s="44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</row>
    <row r="120" customHeight="1" spans="1:44">
      <c r="A120" s="82"/>
      <c r="B120" s="147"/>
      <c r="C120" s="147"/>
      <c r="D120" s="147"/>
      <c r="E120" s="147"/>
      <c r="F120" s="147"/>
      <c r="G120" s="148"/>
      <c r="H120" s="147"/>
      <c r="I120" s="147"/>
      <c r="J120" s="147"/>
      <c r="K120" s="151"/>
      <c r="L120" s="151"/>
      <c r="M120" s="151"/>
      <c r="N120" s="151"/>
      <c r="O120" s="154"/>
      <c r="P120" s="44"/>
      <c r="Q120" s="44"/>
      <c r="R120" s="44"/>
      <c r="S120" s="44"/>
      <c r="T120" s="44"/>
      <c r="U120" s="44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</row>
    <row r="121" customHeight="1" spans="1:44">
      <c r="A121" s="82"/>
      <c r="B121" s="24"/>
      <c r="C121" s="24"/>
      <c r="D121" s="24"/>
      <c r="E121" s="24"/>
      <c r="F121" s="24"/>
      <c r="G121" s="129"/>
      <c r="H121" s="24"/>
      <c r="I121" s="24"/>
      <c r="J121" s="24"/>
      <c r="K121" s="26"/>
      <c r="L121" s="151"/>
      <c r="M121" s="151"/>
      <c r="N121" s="151"/>
      <c r="O121" s="154"/>
      <c r="P121" s="44"/>
      <c r="Q121" s="44"/>
      <c r="R121" s="142"/>
      <c r="S121" s="142"/>
      <c r="T121" s="149"/>
      <c r="U121" s="142"/>
      <c r="V121" s="24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</row>
    <row r="122" customHeight="1" spans="1:44">
      <c r="A122" s="82"/>
      <c r="B122" s="24"/>
      <c r="C122" s="24"/>
      <c r="D122" s="24"/>
      <c r="E122" s="24"/>
      <c r="F122" s="24"/>
      <c r="G122" s="129"/>
      <c r="H122" s="24"/>
      <c r="I122" s="24"/>
      <c r="J122" s="24"/>
      <c r="K122" s="26"/>
      <c r="L122" s="151"/>
      <c r="M122" s="151"/>
      <c r="N122" s="151"/>
      <c r="O122" s="154"/>
      <c r="P122" s="44"/>
      <c r="Q122" s="44"/>
      <c r="R122" s="142"/>
      <c r="S122" s="142"/>
      <c r="T122" s="149"/>
      <c r="U122" s="142"/>
      <c r="V122" s="24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</row>
    <row r="123" customHeight="1" spans="1:44">
      <c r="A123" s="82"/>
      <c r="L123" s="26"/>
      <c r="M123" s="26"/>
      <c r="N123" s="26"/>
      <c r="O123" s="142"/>
      <c r="P123" s="149"/>
      <c r="Q123" s="149"/>
      <c r="T123" s="149"/>
      <c r="U123" s="14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</row>
    <row r="124" customHeight="1" spans="1:44">
      <c r="A124" s="82"/>
      <c r="B124" s="147"/>
      <c r="C124" s="147"/>
      <c r="D124" s="147"/>
      <c r="E124" s="147"/>
      <c r="F124" s="147"/>
      <c r="G124" s="148"/>
      <c r="H124" s="147"/>
      <c r="I124" s="147"/>
      <c r="J124" s="147"/>
      <c r="K124" s="151"/>
      <c r="L124" s="26"/>
      <c r="M124" s="26"/>
      <c r="N124" s="26"/>
      <c r="O124" s="142"/>
      <c r="P124" s="149"/>
      <c r="Q124" s="149"/>
      <c r="R124" s="44"/>
      <c r="S124" s="44"/>
      <c r="T124" s="44"/>
      <c r="U124" s="154"/>
      <c r="V124" s="147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</row>
    <row r="125" customHeight="1" spans="1:44">
      <c r="A125" s="82"/>
      <c r="B125" s="24"/>
      <c r="C125" s="24"/>
      <c r="D125" s="24"/>
      <c r="E125" s="24"/>
      <c r="F125" s="24"/>
      <c r="G125" s="129"/>
      <c r="H125" s="24"/>
      <c r="I125" s="24"/>
      <c r="J125" s="24"/>
      <c r="K125" s="26"/>
      <c r="R125" s="142"/>
      <c r="S125" s="142"/>
      <c r="T125" s="149"/>
      <c r="U125" s="142"/>
      <c r="V125" s="24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</row>
    <row r="126" customHeight="1" spans="1:44">
      <c r="A126" s="82"/>
      <c r="L126" s="151"/>
      <c r="M126" s="151"/>
      <c r="N126" s="151"/>
      <c r="O126" s="154"/>
      <c r="P126" s="44"/>
      <c r="Q126" s="44"/>
      <c r="T126" s="149"/>
      <c r="U126" s="14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</row>
    <row r="127" customHeight="1" spans="1:44">
      <c r="A127" s="82"/>
      <c r="B127" s="24"/>
      <c r="C127" s="24"/>
      <c r="D127" s="24"/>
      <c r="E127" s="24"/>
      <c r="F127" s="24"/>
      <c r="G127" s="129"/>
      <c r="H127" s="24"/>
      <c r="I127" s="24"/>
      <c r="J127" s="24"/>
      <c r="K127" s="26"/>
      <c r="L127" s="26"/>
      <c r="M127" s="26"/>
      <c r="N127" s="26"/>
      <c r="O127" s="142"/>
      <c r="P127" s="149"/>
      <c r="Q127" s="149"/>
      <c r="R127" s="142"/>
      <c r="S127" s="142"/>
      <c r="T127" s="149"/>
      <c r="U127" s="142"/>
      <c r="V127" s="24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</row>
    <row r="128" customHeight="1" spans="1:44">
      <c r="A128" s="82"/>
      <c r="B128" s="24"/>
      <c r="C128" s="24"/>
      <c r="D128" s="24"/>
      <c r="E128" s="24"/>
      <c r="F128" s="24"/>
      <c r="G128" s="129"/>
      <c r="H128" s="24"/>
      <c r="I128" s="24"/>
      <c r="J128" s="24"/>
      <c r="K128" s="26"/>
      <c r="R128" s="142"/>
      <c r="S128" s="142"/>
      <c r="U128" s="14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</row>
    <row r="129" customHeight="1" spans="1:44">
      <c r="A129" s="82"/>
      <c r="B129" s="147"/>
      <c r="C129" s="147"/>
      <c r="D129" s="147"/>
      <c r="E129" s="147"/>
      <c r="F129" s="147"/>
      <c r="G129" s="148"/>
      <c r="H129" s="147"/>
      <c r="I129" s="147"/>
      <c r="J129" s="147"/>
      <c r="K129" s="151"/>
      <c r="L129" s="26"/>
      <c r="M129" s="26"/>
      <c r="N129" s="26"/>
      <c r="O129" s="142"/>
      <c r="P129" s="142"/>
      <c r="Q129" s="149"/>
      <c r="R129" s="154"/>
      <c r="S129" s="154"/>
      <c r="T129" s="44"/>
      <c r="U129" s="154"/>
      <c r="V129" s="147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</row>
    <row r="130" customHeight="1" spans="1:44">
      <c r="A130" s="82"/>
      <c r="B130" s="24"/>
      <c r="C130" s="24"/>
      <c r="D130" s="24"/>
      <c r="E130" s="24"/>
      <c r="F130" s="24"/>
      <c r="G130" s="129"/>
      <c r="H130" s="24"/>
      <c r="I130" s="24"/>
      <c r="J130" s="24"/>
      <c r="K130" s="26"/>
      <c r="L130" s="26"/>
      <c r="M130" s="26"/>
      <c r="N130" s="26"/>
      <c r="R130" s="142"/>
      <c r="S130" s="142"/>
      <c r="T130" s="149"/>
      <c r="U130" s="142"/>
      <c r="V130" s="24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</row>
    <row r="131" customHeight="1" spans="1:44">
      <c r="A131" s="82"/>
      <c r="L131" s="151"/>
      <c r="M131" s="151"/>
      <c r="N131" s="151"/>
      <c r="O131" s="154"/>
      <c r="P131" s="44"/>
      <c r="Q131" s="44"/>
      <c r="T131" s="149"/>
      <c r="U131" s="14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</row>
    <row r="132" customHeight="1" spans="1:44">
      <c r="A132" s="82"/>
      <c r="B132" s="147"/>
      <c r="C132" s="147"/>
      <c r="D132" s="147"/>
      <c r="E132" s="147"/>
      <c r="F132" s="147"/>
      <c r="G132" s="148"/>
      <c r="H132" s="147"/>
      <c r="I132" s="147"/>
      <c r="J132" s="147"/>
      <c r="K132" s="151"/>
      <c r="L132" s="26"/>
      <c r="M132" s="26"/>
      <c r="N132" s="26"/>
      <c r="O132" s="142"/>
      <c r="P132" s="149"/>
      <c r="Q132" s="149"/>
      <c r="R132" s="154"/>
      <c r="S132" s="154"/>
      <c r="T132" s="44"/>
      <c r="U132" s="154"/>
      <c r="V132" s="147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</row>
    <row r="133" customHeight="1" spans="1:44">
      <c r="A133" s="82"/>
      <c r="B133" s="24"/>
      <c r="C133" s="24"/>
      <c r="D133" s="24"/>
      <c r="E133" s="24"/>
      <c r="F133" s="24"/>
      <c r="G133" s="129"/>
      <c r="H133" s="24"/>
      <c r="I133" s="24"/>
      <c r="J133" s="24"/>
      <c r="K133" s="26"/>
      <c r="R133" s="142"/>
      <c r="S133" s="142"/>
      <c r="T133" s="149"/>
      <c r="U133" s="142"/>
      <c r="V133" s="24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</row>
    <row r="134" customHeight="1" spans="1:44">
      <c r="A134" s="82"/>
      <c r="B134" s="24"/>
      <c r="C134" s="24"/>
      <c r="D134" s="24"/>
      <c r="E134" s="24"/>
      <c r="F134" s="24"/>
      <c r="G134" s="129"/>
      <c r="H134" s="24"/>
      <c r="I134" s="24"/>
      <c r="J134" s="24"/>
      <c r="K134" s="26"/>
      <c r="L134" s="151"/>
      <c r="M134" s="151"/>
      <c r="N134" s="151"/>
      <c r="O134" s="154"/>
      <c r="P134" s="44"/>
      <c r="Q134" s="44"/>
      <c r="R134" s="142"/>
      <c r="S134" s="142"/>
      <c r="T134" s="149"/>
      <c r="U134" s="142"/>
      <c r="V134" s="24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</row>
    <row r="135" customHeight="1" spans="1:44">
      <c r="A135" s="82"/>
      <c r="B135" s="24"/>
      <c r="C135" s="24"/>
      <c r="D135" s="24"/>
      <c r="E135" s="24"/>
      <c r="F135" s="24"/>
      <c r="G135" s="129"/>
      <c r="H135" s="24"/>
      <c r="I135" s="24"/>
      <c r="J135" s="24"/>
      <c r="K135" s="26"/>
      <c r="L135" s="26"/>
      <c r="M135" s="26"/>
      <c r="N135" s="26"/>
      <c r="O135" s="142"/>
      <c r="P135" s="149"/>
      <c r="Q135" s="149"/>
      <c r="R135" s="142"/>
      <c r="S135" s="142"/>
      <c r="T135" s="149"/>
      <c r="U135" s="142"/>
      <c r="V135" s="24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</row>
    <row r="136" customHeight="1" spans="1:44">
      <c r="A136" s="82"/>
      <c r="B136" s="24"/>
      <c r="C136" s="24"/>
      <c r="D136" s="24"/>
      <c r="E136" s="24"/>
      <c r="F136" s="24"/>
      <c r="G136" s="129"/>
      <c r="H136" s="24"/>
      <c r="I136" s="24"/>
      <c r="J136" s="24"/>
      <c r="K136" s="26"/>
      <c r="L136" s="26"/>
      <c r="M136" s="26"/>
      <c r="N136" s="26"/>
      <c r="O136" s="142"/>
      <c r="P136" s="149"/>
      <c r="Q136" s="149"/>
      <c r="R136" s="142"/>
      <c r="S136" s="142"/>
      <c r="T136" s="149"/>
      <c r="U136" s="14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</row>
    <row r="137" customHeight="1" spans="1:44">
      <c r="A137" s="82"/>
      <c r="B137" s="24"/>
      <c r="C137" s="24"/>
      <c r="D137" s="24"/>
      <c r="E137" s="24"/>
      <c r="F137" s="24"/>
      <c r="G137" s="129"/>
      <c r="H137" s="24"/>
      <c r="I137" s="24"/>
      <c r="J137" s="24"/>
      <c r="K137" s="26"/>
      <c r="L137" s="26"/>
      <c r="M137" s="26"/>
      <c r="N137" s="26"/>
      <c r="O137" s="142"/>
      <c r="P137" s="149"/>
      <c r="Q137" s="149"/>
      <c r="R137" s="142"/>
      <c r="S137" s="142"/>
      <c r="T137" s="149"/>
      <c r="U137" s="142"/>
      <c r="V137" s="24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</row>
    <row r="138" customHeight="1" spans="1:44">
      <c r="A138" s="82"/>
      <c r="L138" s="26"/>
      <c r="M138" s="26"/>
      <c r="N138" s="26"/>
      <c r="O138" s="142"/>
      <c r="P138" s="149"/>
      <c r="Q138" s="149"/>
      <c r="T138" s="149"/>
      <c r="U138" s="14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</row>
    <row r="139" customHeight="1" spans="1:44">
      <c r="A139" s="82"/>
      <c r="B139" s="24"/>
      <c r="C139" s="24"/>
      <c r="D139" s="24"/>
      <c r="E139" s="24"/>
      <c r="F139" s="24"/>
      <c r="G139" s="129"/>
      <c r="H139" s="24"/>
      <c r="I139" s="24"/>
      <c r="J139" s="24"/>
      <c r="K139" s="26"/>
      <c r="L139" s="26"/>
      <c r="M139" s="26"/>
      <c r="N139" s="26"/>
      <c r="O139" s="142"/>
      <c r="P139" s="149"/>
      <c r="Q139" s="149"/>
      <c r="R139" s="142"/>
      <c r="S139" s="142"/>
      <c r="T139" s="149"/>
      <c r="U139" s="142"/>
      <c r="V139" s="24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</row>
    <row r="140" customHeight="1" spans="1:44">
      <c r="A140" s="82"/>
      <c r="B140" s="24"/>
      <c r="C140" s="24"/>
      <c r="D140" s="24"/>
      <c r="E140" s="24"/>
      <c r="F140" s="24"/>
      <c r="G140" s="129"/>
      <c r="H140" s="24"/>
      <c r="I140" s="24"/>
      <c r="J140" s="24"/>
      <c r="K140" s="26"/>
      <c r="R140" s="142"/>
      <c r="S140" s="142"/>
      <c r="T140" s="149"/>
      <c r="U140" s="142"/>
      <c r="V140" s="24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</row>
    <row r="141" customHeight="1" spans="1:44">
      <c r="A141" s="82"/>
      <c r="L141" s="26"/>
      <c r="M141" s="26"/>
      <c r="N141" s="26"/>
      <c r="O141" s="142"/>
      <c r="P141" s="149"/>
      <c r="Q141" s="149"/>
      <c r="T141" s="149"/>
      <c r="U141" s="14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  <c r="AR141" s="82"/>
    </row>
    <row r="142" customHeight="1" spans="1:44">
      <c r="A142" s="82"/>
      <c r="B142" s="24"/>
      <c r="C142" s="24"/>
      <c r="D142" s="24"/>
      <c r="E142" s="24"/>
      <c r="F142" s="24"/>
      <c r="G142" s="129"/>
      <c r="H142" s="24"/>
      <c r="I142" s="24"/>
      <c r="J142" s="24"/>
      <c r="K142" s="26"/>
      <c r="L142" s="26"/>
      <c r="M142" s="26"/>
      <c r="N142" s="26"/>
      <c r="O142" s="142"/>
      <c r="P142" s="149"/>
      <c r="Q142" s="149"/>
      <c r="R142" s="142"/>
      <c r="S142" s="142"/>
      <c r="T142" s="149"/>
      <c r="U142" s="142"/>
      <c r="V142" s="24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</row>
    <row r="143" customHeight="1" spans="1:44">
      <c r="A143" s="82"/>
      <c r="B143" s="24"/>
      <c r="C143" s="24"/>
      <c r="D143" s="24"/>
      <c r="E143" s="24"/>
      <c r="F143" s="24"/>
      <c r="G143" s="129"/>
      <c r="H143" s="24"/>
      <c r="I143" s="24"/>
      <c r="J143" s="24"/>
      <c r="K143" s="26"/>
      <c r="R143" s="142"/>
      <c r="S143" s="142"/>
      <c r="T143" s="149"/>
      <c r="U143" s="142"/>
      <c r="V143" s="24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</row>
    <row r="144" customHeight="1" spans="1:44">
      <c r="A144" s="82"/>
      <c r="B144" s="24"/>
      <c r="C144" s="24"/>
      <c r="D144" s="24"/>
      <c r="E144" s="24"/>
      <c r="F144" s="24"/>
      <c r="G144" s="129"/>
      <c r="H144" s="24"/>
      <c r="I144" s="24"/>
      <c r="J144" s="24"/>
      <c r="K144" s="26"/>
      <c r="L144" s="26"/>
      <c r="M144" s="26"/>
      <c r="N144" s="26"/>
      <c r="O144" s="142"/>
      <c r="P144" s="149"/>
      <c r="Q144" s="149"/>
      <c r="R144" s="142"/>
      <c r="S144" s="142"/>
      <c r="T144" s="149"/>
      <c r="U144" s="142"/>
      <c r="V144" s="24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</row>
    <row r="145" customHeight="1" spans="1:44">
      <c r="A145" s="82"/>
      <c r="L145" s="26"/>
      <c r="M145" s="26"/>
      <c r="N145" s="26"/>
      <c r="O145" s="142"/>
      <c r="P145" s="149"/>
      <c r="Q145" s="149"/>
      <c r="T145" s="149"/>
      <c r="U145" s="14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</row>
    <row r="146" customHeight="1" spans="1:44">
      <c r="A146" s="82"/>
      <c r="B146" s="24"/>
      <c r="C146" s="24"/>
      <c r="D146" s="24"/>
      <c r="E146" s="24"/>
      <c r="F146" s="24"/>
      <c r="G146" s="129"/>
      <c r="H146" s="24"/>
      <c r="I146" s="24"/>
      <c r="J146" s="24"/>
      <c r="K146" s="26"/>
      <c r="L146" s="26"/>
      <c r="M146" s="26"/>
      <c r="N146" s="26"/>
      <c r="O146" s="142"/>
      <c r="P146" s="149"/>
      <c r="Q146" s="149"/>
      <c r="R146" s="142"/>
      <c r="S146" s="142"/>
      <c r="T146" s="149"/>
      <c r="U146" s="142"/>
      <c r="V146" s="24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</row>
    <row r="147" customHeight="1" spans="1:44">
      <c r="A147" s="82"/>
      <c r="B147" s="24"/>
      <c r="C147" s="24"/>
      <c r="D147" s="24"/>
      <c r="E147" s="24"/>
      <c r="F147" s="24"/>
      <c r="G147" s="129"/>
      <c r="H147" s="24"/>
      <c r="I147" s="24"/>
      <c r="J147" s="24"/>
      <c r="K147" s="26"/>
      <c r="R147" s="142"/>
      <c r="S147" s="142"/>
      <c r="T147" s="149"/>
      <c r="U147" s="142"/>
      <c r="V147" s="24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</row>
    <row r="148" customHeight="1" spans="1:44">
      <c r="A148" s="82"/>
      <c r="B148" s="24"/>
      <c r="C148" s="24"/>
      <c r="D148" s="24"/>
      <c r="E148" s="24"/>
      <c r="F148" s="24"/>
      <c r="G148" s="129"/>
      <c r="H148" s="24"/>
      <c r="I148" s="24"/>
      <c r="J148" s="24"/>
      <c r="K148" s="26"/>
      <c r="L148" s="26"/>
      <c r="M148" s="26"/>
      <c r="N148" s="26"/>
      <c r="O148" s="142"/>
      <c r="P148" s="149"/>
      <c r="Q148" s="149"/>
      <c r="R148" s="142"/>
      <c r="S148" s="142"/>
      <c r="T148" s="149"/>
      <c r="U148" s="142"/>
      <c r="V148" s="24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</row>
    <row r="149" customHeight="1" spans="1:44">
      <c r="A149" s="82"/>
      <c r="B149" s="24"/>
      <c r="C149" s="24"/>
      <c r="D149" s="24"/>
      <c r="E149" s="24"/>
      <c r="F149" s="24"/>
      <c r="G149" s="129"/>
      <c r="H149" s="24"/>
      <c r="I149" s="24"/>
      <c r="J149" s="24"/>
      <c r="K149" s="26"/>
      <c r="L149" s="26"/>
      <c r="M149" s="26"/>
      <c r="N149" s="26"/>
      <c r="O149" s="142"/>
      <c r="P149" s="149"/>
      <c r="Q149" s="149"/>
      <c r="R149" s="142"/>
      <c r="S149" s="142"/>
      <c r="T149" s="149"/>
      <c r="U149" s="142"/>
      <c r="V149" s="24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</row>
    <row r="150" customHeight="1" spans="1:44">
      <c r="A150" s="82"/>
      <c r="B150" s="24"/>
      <c r="C150" s="24"/>
      <c r="D150" s="24"/>
      <c r="E150" s="24"/>
      <c r="F150" s="24"/>
      <c r="G150" s="129"/>
      <c r="H150" s="24"/>
      <c r="I150" s="24"/>
      <c r="J150" s="24"/>
      <c r="K150" s="26"/>
      <c r="L150" s="26"/>
      <c r="M150" s="26"/>
      <c r="N150" s="26"/>
      <c r="O150" s="142"/>
      <c r="P150" s="149"/>
      <c r="Q150" s="149"/>
      <c r="R150" s="142"/>
      <c r="S150" s="142"/>
      <c r="T150" s="149"/>
      <c r="U150" s="142"/>
      <c r="V150" s="24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</row>
    <row r="151" customHeight="1" spans="1:44">
      <c r="A151" s="82"/>
      <c r="B151" s="24"/>
      <c r="C151" s="24"/>
      <c r="D151" s="24"/>
      <c r="E151" s="24"/>
      <c r="F151" s="24"/>
      <c r="G151" s="129"/>
      <c r="H151" s="24"/>
      <c r="I151" s="24"/>
      <c r="J151" s="24"/>
      <c r="K151" s="26"/>
      <c r="L151" s="26"/>
      <c r="M151" s="26"/>
      <c r="N151" s="26"/>
      <c r="O151" s="142"/>
      <c r="P151" s="149"/>
      <c r="Q151" s="149"/>
      <c r="R151" s="142"/>
      <c r="S151" s="142"/>
      <c r="T151" s="149"/>
      <c r="U151" s="142"/>
      <c r="V151" s="24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</row>
    <row r="152" customHeight="1" spans="1:44">
      <c r="A152" s="82"/>
      <c r="B152" s="24"/>
      <c r="C152" s="24"/>
      <c r="D152" s="24"/>
      <c r="E152" s="24"/>
      <c r="F152" s="24"/>
      <c r="G152" s="129"/>
      <c r="H152" s="24"/>
      <c r="I152" s="24"/>
      <c r="J152" s="24"/>
      <c r="K152" s="26"/>
      <c r="L152" s="26"/>
      <c r="M152" s="26"/>
      <c r="N152" s="26"/>
      <c r="O152" s="142"/>
      <c r="P152" s="149"/>
      <c r="Q152" s="149"/>
      <c r="R152" s="142"/>
      <c r="S152" s="142"/>
      <c r="T152" s="149"/>
      <c r="U152" s="142"/>
      <c r="V152" s="24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</row>
    <row r="153" customHeight="1" spans="1:44">
      <c r="A153" s="82"/>
      <c r="B153" s="24"/>
      <c r="C153" s="24"/>
      <c r="D153" s="24"/>
      <c r="E153" s="24"/>
      <c r="F153" s="24"/>
      <c r="G153" s="129"/>
      <c r="H153" s="24"/>
      <c r="I153" s="24"/>
      <c r="J153" s="24"/>
      <c r="K153" s="26"/>
      <c r="L153" s="26"/>
      <c r="M153" s="26"/>
      <c r="N153" s="26"/>
      <c r="O153" s="142"/>
      <c r="P153" s="149"/>
      <c r="Q153" s="149"/>
      <c r="R153" s="142"/>
      <c r="S153" s="142"/>
      <c r="T153" s="149"/>
      <c r="U153" s="142"/>
      <c r="V153" s="24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</row>
    <row r="154" customHeight="1" spans="1:44">
      <c r="A154" s="82"/>
      <c r="B154" s="24"/>
      <c r="C154" s="24"/>
      <c r="D154" s="24"/>
      <c r="E154" s="24"/>
      <c r="F154" s="24"/>
      <c r="G154" s="129"/>
      <c r="H154" s="24"/>
      <c r="I154" s="24"/>
      <c r="J154" s="24"/>
      <c r="K154" s="26"/>
      <c r="L154" s="26"/>
      <c r="M154" s="26"/>
      <c r="N154" s="26"/>
      <c r="O154" s="142"/>
      <c r="P154" s="149"/>
      <c r="Q154" s="149"/>
      <c r="R154" s="142"/>
      <c r="S154" s="142"/>
      <c r="T154" s="149"/>
      <c r="U154" s="142"/>
      <c r="V154" s="24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</row>
    <row r="155" customHeight="1" spans="1:44">
      <c r="A155" s="82"/>
      <c r="B155" s="24"/>
      <c r="C155" s="24"/>
      <c r="D155" s="24"/>
      <c r="E155" s="24"/>
      <c r="F155" s="24"/>
      <c r="G155" s="129"/>
      <c r="H155" s="24"/>
      <c r="I155" s="24"/>
      <c r="J155" s="24"/>
      <c r="K155" s="26"/>
      <c r="L155" s="26"/>
      <c r="M155" s="26"/>
      <c r="N155" s="26"/>
      <c r="O155" s="142"/>
      <c r="P155" s="149"/>
      <c r="Q155" s="149"/>
      <c r="R155" s="142"/>
      <c r="S155" s="142"/>
      <c r="T155" s="149"/>
      <c r="U155" s="142"/>
      <c r="V155" s="24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</row>
    <row r="156" customHeight="1" spans="1:44">
      <c r="A156" s="82"/>
      <c r="B156" s="24"/>
      <c r="C156" s="24"/>
      <c r="D156" s="24"/>
      <c r="E156" s="24"/>
      <c r="F156" s="24"/>
      <c r="G156" s="129"/>
      <c r="H156" s="24"/>
      <c r="I156" s="24"/>
      <c r="J156" s="24"/>
      <c r="K156" s="26"/>
      <c r="L156" s="26"/>
      <c r="M156" s="26"/>
      <c r="N156" s="26"/>
      <c r="O156" s="142"/>
      <c r="P156" s="149"/>
      <c r="Q156" s="149"/>
      <c r="R156" s="142"/>
      <c r="S156" s="142"/>
      <c r="T156" s="149"/>
      <c r="U156" s="142"/>
      <c r="V156" s="24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</row>
    <row r="157" customHeight="1" spans="1:44">
      <c r="A157" s="82"/>
      <c r="L157" s="26"/>
      <c r="M157" s="26"/>
      <c r="N157" s="26"/>
      <c r="O157" s="142"/>
      <c r="P157" s="149"/>
      <c r="Q157" s="149"/>
      <c r="T157" s="149"/>
      <c r="U157" s="14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</row>
    <row r="158" customHeight="1" spans="1:44">
      <c r="A158" s="82"/>
      <c r="B158" s="24"/>
      <c r="C158" s="24"/>
      <c r="D158" s="24"/>
      <c r="E158" s="24"/>
      <c r="F158" s="24"/>
      <c r="G158" s="129"/>
      <c r="H158" s="24"/>
      <c r="I158" s="24"/>
      <c r="J158" s="24"/>
      <c r="K158" s="26"/>
      <c r="L158" s="26"/>
      <c r="M158" s="26"/>
      <c r="N158" s="26"/>
      <c r="O158" s="142"/>
      <c r="P158" s="149"/>
      <c r="Q158" s="149"/>
      <c r="R158" s="142"/>
      <c r="S158" s="142"/>
      <c r="T158" s="149"/>
      <c r="U158" s="142"/>
      <c r="V158" s="24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82"/>
      <c r="AO158" s="82"/>
      <c r="AP158" s="82"/>
      <c r="AQ158" s="82"/>
      <c r="AR158" s="82"/>
    </row>
    <row r="159" customHeight="1" spans="1:44">
      <c r="A159" s="82"/>
      <c r="T159" s="149"/>
      <c r="U159" s="14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</row>
    <row r="160" customHeight="1" spans="1:44">
      <c r="A160" s="82"/>
      <c r="B160" s="24"/>
      <c r="C160" s="24"/>
      <c r="D160" s="24"/>
      <c r="E160" s="24"/>
      <c r="F160" s="24"/>
      <c r="G160" s="129"/>
      <c r="H160" s="24"/>
      <c r="I160" s="24"/>
      <c r="J160" s="24"/>
      <c r="K160" s="26"/>
      <c r="L160" s="26"/>
      <c r="M160" s="26"/>
      <c r="N160" s="26"/>
      <c r="O160" s="142"/>
      <c r="P160" s="149"/>
      <c r="Q160" s="149"/>
      <c r="R160" s="142"/>
      <c r="S160" s="142"/>
      <c r="T160" s="149"/>
      <c r="U160" s="142"/>
      <c r="V160" s="24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  <c r="AN160" s="82"/>
      <c r="AO160" s="82"/>
      <c r="AP160" s="82"/>
      <c r="AQ160" s="82"/>
      <c r="AR160" s="82"/>
    </row>
    <row r="161" customHeight="1" spans="1:44">
      <c r="A161" s="82"/>
      <c r="T161" s="149"/>
      <c r="U161" s="14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82"/>
      <c r="AO161" s="82"/>
      <c r="AP161" s="82"/>
      <c r="AQ161" s="82"/>
      <c r="AR161" s="82"/>
    </row>
    <row r="162" customHeight="1" spans="1:44">
      <c r="A162" s="82"/>
      <c r="B162" s="147"/>
      <c r="C162" s="147"/>
      <c r="D162" s="147"/>
      <c r="E162" s="147"/>
      <c r="F162" s="147"/>
      <c r="G162" s="148"/>
      <c r="H162" s="147"/>
      <c r="I162" s="147"/>
      <c r="J162" s="147"/>
      <c r="K162" s="151"/>
      <c r="L162" s="26"/>
      <c r="M162" s="26"/>
      <c r="N162" s="26"/>
      <c r="O162" s="142"/>
      <c r="P162" s="149"/>
      <c r="Q162" s="149"/>
      <c r="R162" s="154"/>
      <c r="S162" s="154"/>
      <c r="T162" s="44"/>
      <c r="U162" s="154"/>
      <c r="V162" s="147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  <c r="AN162" s="82"/>
      <c r="AO162" s="82"/>
      <c r="AP162" s="82"/>
      <c r="AQ162" s="82"/>
      <c r="AR162" s="82"/>
    </row>
    <row r="163" customHeight="1" spans="1:44">
      <c r="A163" s="82"/>
      <c r="B163" s="147"/>
      <c r="C163" s="147"/>
      <c r="D163" s="147"/>
      <c r="E163" s="147"/>
      <c r="F163" s="147"/>
      <c r="G163" s="148"/>
      <c r="H163" s="147"/>
      <c r="I163" s="147"/>
      <c r="J163" s="147"/>
      <c r="K163" s="151"/>
      <c r="R163" s="154"/>
      <c r="S163" s="154"/>
      <c r="U163" s="154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  <c r="AN163" s="82"/>
      <c r="AO163" s="82"/>
      <c r="AP163" s="82"/>
      <c r="AQ163" s="82"/>
      <c r="AR163" s="82"/>
    </row>
    <row r="164" customHeight="1" spans="1:44">
      <c r="A164" s="82"/>
      <c r="B164" s="147"/>
      <c r="C164" s="147"/>
      <c r="D164" s="147"/>
      <c r="E164" s="147"/>
      <c r="F164" s="147"/>
      <c r="G164" s="148"/>
      <c r="H164" s="147"/>
      <c r="I164" s="147"/>
      <c r="J164" s="147"/>
      <c r="K164" s="151"/>
      <c r="L164" s="151"/>
      <c r="M164" s="151"/>
      <c r="N164" s="151"/>
      <c r="O164" s="154"/>
      <c r="P164" s="44"/>
      <c r="Q164" s="44"/>
      <c r="R164" s="154"/>
      <c r="S164" s="154"/>
      <c r="T164" s="44"/>
      <c r="U164" s="154"/>
      <c r="V164" s="147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2"/>
      <c r="AR164" s="82"/>
    </row>
    <row r="165" customHeight="1" spans="1:44">
      <c r="A165" s="82"/>
      <c r="B165" s="147"/>
      <c r="C165" s="147"/>
      <c r="D165" s="147"/>
      <c r="E165" s="147"/>
      <c r="F165" s="147"/>
      <c r="G165" s="148"/>
      <c r="H165" s="147"/>
      <c r="I165" s="147"/>
      <c r="J165" s="147"/>
      <c r="K165" s="151"/>
      <c r="L165" s="151"/>
      <c r="M165" s="151"/>
      <c r="N165" s="151"/>
      <c r="O165" s="154"/>
      <c r="R165" s="154"/>
      <c r="S165" s="154"/>
      <c r="T165" s="44"/>
      <c r="U165" s="154"/>
      <c r="V165" s="147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</row>
    <row r="166" customHeight="1" spans="1:44">
      <c r="A166" s="82"/>
      <c r="B166" s="147"/>
      <c r="C166" s="147"/>
      <c r="D166" s="147"/>
      <c r="E166" s="147"/>
      <c r="F166" s="147"/>
      <c r="G166" s="148"/>
      <c r="H166" s="147"/>
      <c r="I166" s="147"/>
      <c r="J166" s="147"/>
      <c r="K166" s="151"/>
      <c r="L166" s="151"/>
      <c r="M166" s="151"/>
      <c r="N166" s="151"/>
      <c r="O166" s="154"/>
      <c r="P166" s="44"/>
      <c r="Q166" s="44"/>
      <c r="R166" s="154"/>
      <c r="S166" s="154"/>
      <c r="T166" s="44"/>
      <c r="U166" s="154"/>
      <c r="V166" s="147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</row>
    <row r="167" customHeight="1" spans="1:44">
      <c r="A167" s="82"/>
      <c r="B167" s="147"/>
      <c r="C167" s="147"/>
      <c r="D167" s="147"/>
      <c r="E167" s="147"/>
      <c r="F167" s="147"/>
      <c r="G167" s="148"/>
      <c r="H167" s="147"/>
      <c r="I167" s="147"/>
      <c r="J167" s="147"/>
      <c r="K167" s="151"/>
      <c r="L167" s="151"/>
      <c r="M167" s="151"/>
      <c r="N167" s="151"/>
      <c r="O167" s="154"/>
      <c r="P167" s="44"/>
      <c r="Q167" s="44"/>
      <c r="R167" s="154"/>
      <c r="S167" s="154"/>
      <c r="T167" s="44"/>
      <c r="U167" s="154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</row>
    <row r="168" customHeight="1" spans="1:44">
      <c r="A168" s="82"/>
      <c r="B168" s="24"/>
      <c r="C168" s="24"/>
      <c r="D168" s="24"/>
      <c r="E168" s="24"/>
      <c r="F168" s="24"/>
      <c r="G168" s="129"/>
      <c r="H168" s="24"/>
      <c r="I168" s="24"/>
      <c r="J168" s="24"/>
      <c r="K168" s="26"/>
      <c r="L168" s="151"/>
      <c r="M168" s="151"/>
      <c r="N168" s="151"/>
      <c r="O168" s="154"/>
      <c r="P168" s="44"/>
      <c r="Q168" s="44"/>
      <c r="R168" s="142"/>
      <c r="S168" s="142"/>
      <c r="T168" s="149"/>
      <c r="U168" s="142"/>
      <c r="V168" s="24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</row>
    <row r="169" customHeight="1" spans="1:44">
      <c r="A169" s="82"/>
      <c r="B169" s="24"/>
      <c r="C169" s="24"/>
      <c r="D169" s="24"/>
      <c r="E169" s="24"/>
      <c r="F169" s="24"/>
      <c r="G169" s="129"/>
      <c r="H169" s="24"/>
      <c r="I169" s="24"/>
      <c r="J169" s="24"/>
      <c r="K169" s="26"/>
      <c r="L169" s="151"/>
      <c r="M169" s="151"/>
      <c r="N169" s="151"/>
      <c r="O169" s="154"/>
      <c r="P169" s="44"/>
      <c r="Q169" s="44"/>
      <c r="R169" s="142"/>
      <c r="S169" s="142"/>
      <c r="T169" s="149"/>
      <c r="U169" s="142"/>
      <c r="V169" s="24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  <c r="AR169" s="82"/>
    </row>
    <row r="170" customHeight="1" spans="1:44">
      <c r="A170" s="82"/>
      <c r="L170" s="26"/>
      <c r="M170" s="26"/>
      <c r="N170" s="26"/>
      <c r="O170" s="142"/>
      <c r="P170" s="149"/>
      <c r="Q170" s="149"/>
      <c r="T170" s="149"/>
      <c r="U170" s="14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</row>
    <row r="171" customHeight="1" spans="1:44">
      <c r="A171" s="82"/>
      <c r="L171" s="26"/>
      <c r="M171" s="26"/>
      <c r="N171" s="26"/>
      <c r="O171" s="142"/>
      <c r="P171" s="149"/>
      <c r="Q171" s="149"/>
      <c r="T171" s="149"/>
      <c r="U171" s="14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</row>
    <row r="172" customHeight="1" spans="1:44">
      <c r="A172" s="82"/>
      <c r="B172" s="24"/>
      <c r="C172" s="24"/>
      <c r="D172" s="24"/>
      <c r="E172" s="24"/>
      <c r="F172" s="24"/>
      <c r="G172" s="129"/>
      <c r="H172" s="24"/>
      <c r="I172" s="24"/>
      <c r="J172" s="24"/>
      <c r="K172" s="26"/>
      <c r="R172" s="142"/>
      <c r="S172" s="142"/>
      <c r="T172" s="149"/>
      <c r="U172" s="142"/>
      <c r="V172" s="24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  <c r="AR172" s="82"/>
    </row>
    <row r="173" customHeight="1" spans="1:44">
      <c r="A173" s="82"/>
      <c r="T173" s="149"/>
      <c r="U173" s="14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</row>
    <row r="174" customHeight="1" spans="1:44">
      <c r="A174" s="82"/>
      <c r="B174" s="24"/>
      <c r="C174" s="24"/>
      <c r="D174" s="24"/>
      <c r="E174" s="24"/>
      <c r="F174" s="24"/>
      <c r="G174" s="129"/>
      <c r="H174" s="24"/>
      <c r="I174" s="24"/>
      <c r="J174" s="24"/>
      <c r="K174" s="26"/>
      <c r="L174" s="26"/>
      <c r="M174" s="26"/>
      <c r="N174" s="26"/>
      <c r="O174" s="142"/>
      <c r="P174" s="149"/>
      <c r="Q174" s="149"/>
      <c r="R174" s="142"/>
      <c r="S174" s="142"/>
      <c r="T174" s="149"/>
      <c r="U174" s="142"/>
      <c r="V174" s="24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</row>
    <row r="175" customHeight="1" spans="1:44">
      <c r="A175" s="82"/>
      <c r="B175" s="24"/>
      <c r="C175" s="24"/>
      <c r="D175" s="24"/>
      <c r="E175" s="24"/>
      <c r="F175" s="24"/>
      <c r="G175" s="129"/>
      <c r="H175" s="24"/>
      <c r="I175" s="24"/>
      <c r="J175" s="24"/>
      <c r="K175" s="26"/>
      <c r="R175" s="142"/>
      <c r="S175" s="142"/>
      <c r="T175" s="149"/>
      <c r="U175" s="142"/>
      <c r="V175" s="24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</row>
    <row r="176" customHeight="1" spans="1:44">
      <c r="A176" s="82"/>
      <c r="L176" s="26"/>
      <c r="M176" s="26"/>
      <c r="N176" s="26"/>
      <c r="O176" s="142"/>
      <c r="P176" s="149"/>
      <c r="Q176" s="149"/>
      <c r="T176" s="149"/>
      <c r="U176" s="14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2"/>
      <c r="AQ176" s="82"/>
      <c r="AR176" s="82"/>
    </row>
    <row r="177" customHeight="1" spans="1:44">
      <c r="A177" s="82"/>
      <c r="B177" s="24"/>
      <c r="C177" s="24"/>
      <c r="D177" s="24"/>
      <c r="E177" s="24"/>
      <c r="F177" s="24"/>
      <c r="G177" s="129"/>
      <c r="H177" s="24"/>
      <c r="I177" s="24"/>
      <c r="J177" s="24"/>
      <c r="K177" s="26"/>
      <c r="L177" s="26"/>
      <c r="M177" s="26"/>
      <c r="N177" s="26"/>
      <c r="O177" s="142"/>
      <c r="P177" s="149"/>
      <c r="Q177" s="149"/>
      <c r="R177" s="142"/>
      <c r="S177" s="142"/>
      <c r="T177" s="149"/>
      <c r="U177" s="142"/>
      <c r="V177" s="24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  <c r="AR177" s="82"/>
    </row>
    <row r="178" customHeight="1" spans="1:44">
      <c r="A178" s="82"/>
      <c r="B178" s="24"/>
      <c r="C178" s="24"/>
      <c r="D178" s="24"/>
      <c r="E178" s="24"/>
      <c r="F178" s="24"/>
      <c r="G178" s="129"/>
      <c r="H178" s="24"/>
      <c r="I178" s="24"/>
      <c r="J178" s="24"/>
      <c r="K178" s="26"/>
      <c r="R178" s="142"/>
      <c r="S178" s="142"/>
      <c r="T178" s="149"/>
      <c r="U178" s="142"/>
      <c r="V178" s="24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  <c r="AR178" s="82"/>
    </row>
    <row r="179" customHeight="1" spans="1:44">
      <c r="A179" s="82"/>
      <c r="L179" s="26"/>
      <c r="M179" s="26"/>
      <c r="N179" s="26"/>
      <c r="O179" s="142"/>
      <c r="P179" s="149"/>
      <c r="Q179" s="149"/>
      <c r="T179" s="149"/>
      <c r="U179" s="14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</row>
    <row r="180" customHeight="1" spans="1:44">
      <c r="A180" s="82"/>
      <c r="B180" s="24"/>
      <c r="C180" s="24"/>
      <c r="D180" s="24"/>
      <c r="E180" s="24"/>
      <c r="F180" s="24"/>
      <c r="G180" s="129"/>
      <c r="H180" s="24"/>
      <c r="I180" s="24"/>
      <c r="J180" s="24"/>
      <c r="K180" s="26"/>
      <c r="L180" s="26"/>
      <c r="M180" s="26"/>
      <c r="N180" s="26"/>
      <c r="O180" s="142"/>
      <c r="P180" s="149"/>
      <c r="Q180" s="149"/>
      <c r="R180" s="142"/>
      <c r="S180" s="142"/>
      <c r="T180" s="149"/>
      <c r="U180" s="142"/>
      <c r="V180" s="24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2"/>
      <c r="AQ180" s="82"/>
      <c r="AR180" s="82"/>
    </row>
    <row r="181" customHeight="1" spans="1:44">
      <c r="A181" s="82"/>
      <c r="B181" s="24"/>
      <c r="C181" s="24"/>
      <c r="D181" s="24"/>
      <c r="E181" s="24"/>
      <c r="F181" s="24"/>
      <c r="G181" s="129"/>
      <c r="H181" s="24"/>
      <c r="I181" s="24"/>
      <c r="J181" s="24"/>
      <c r="K181" s="26"/>
      <c r="R181" s="142"/>
      <c r="S181" s="142"/>
      <c r="T181" s="149"/>
      <c r="U181" s="14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  <c r="AN181" s="82"/>
      <c r="AO181" s="82"/>
      <c r="AP181" s="82"/>
      <c r="AQ181" s="82"/>
      <c r="AR181" s="82"/>
    </row>
    <row r="182" customHeight="1" spans="1:44">
      <c r="A182" s="82"/>
      <c r="B182" s="24"/>
      <c r="C182" s="24"/>
      <c r="D182" s="24"/>
      <c r="E182" s="24"/>
      <c r="F182" s="24"/>
      <c r="G182" s="129"/>
      <c r="H182" s="24"/>
      <c r="I182" s="24"/>
      <c r="J182" s="24"/>
      <c r="K182" s="26"/>
      <c r="L182" s="26"/>
      <c r="M182" s="26"/>
      <c r="N182" s="26"/>
      <c r="O182" s="142"/>
      <c r="P182" s="149"/>
      <c r="Q182" s="149"/>
      <c r="R182" s="142"/>
      <c r="S182" s="142"/>
      <c r="T182" s="149"/>
      <c r="U182" s="142"/>
      <c r="V182" s="24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  <c r="AM182" s="82"/>
      <c r="AN182" s="82"/>
      <c r="AO182" s="82"/>
      <c r="AP182" s="82"/>
      <c r="AQ182" s="82"/>
      <c r="AR182" s="82"/>
    </row>
    <row r="183" customHeight="1" spans="1:44">
      <c r="A183" s="82"/>
      <c r="B183" s="24"/>
      <c r="C183" s="24"/>
      <c r="D183" s="24"/>
      <c r="E183" s="24"/>
      <c r="F183" s="24"/>
      <c r="G183" s="129"/>
      <c r="H183" s="24"/>
      <c r="I183" s="24"/>
      <c r="J183" s="24"/>
      <c r="K183" s="26"/>
      <c r="L183" s="26"/>
      <c r="M183" s="26"/>
      <c r="N183" s="26"/>
      <c r="O183" s="142"/>
      <c r="P183" s="149"/>
      <c r="Q183" s="149"/>
      <c r="R183" s="142"/>
      <c r="S183" s="142"/>
      <c r="T183" s="149"/>
      <c r="U183" s="142"/>
      <c r="V183" s="24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  <c r="AM183" s="82"/>
      <c r="AN183" s="82"/>
      <c r="AO183" s="82"/>
      <c r="AP183" s="82"/>
      <c r="AQ183" s="82"/>
      <c r="AR183" s="82"/>
    </row>
    <row r="184" customHeight="1" spans="1:44">
      <c r="A184" s="82"/>
      <c r="B184" s="24"/>
      <c r="C184" s="24"/>
      <c r="D184" s="24"/>
      <c r="E184" s="24"/>
      <c r="F184" s="24"/>
      <c r="G184" s="129"/>
      <c r="H184" s="24"/>
      <c r="I184" s="24"/>
      <c r="J184" s="24"/>
      <c r="K184" s="26"/>
      <c r="L184" s="26"/>
      <c r="M184" s="26"/>
      <c r="N184" s="26"/>
      <c r="O184" s="142"/>
      <c r="P184" s="149"/>
      <c r="Q184" s="149"/>
      <c r="R184" s="142"/>
      <c r="S184" s="142"/>
      <c r="T184" s="149"/>
      <c r="U184" s="142"/>
      <c r="V184" s="24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  <c r="AM184" s="82"/>
      <c r="AN184" s="82"/>
      <c r="AO184" s="82"/>
      <c r="AP184" s="82"/>
      <c r="AQ184" s="82"/>
      <c r="AR184" s="82"/>
    </row>
    <row r="185" customHeight="1" spans="1:44">
      <c r="A185" s="82"/>
      <c r="B185" s="24"/>
      <c r="C185" s="24"/>
      <c r="D185" s="24"/>
      <c r="E185" s="24"/>
      <c r="F185" s="24"/>
      <c r="G185" s="129"/>
      <c r="H185" s="24"/>
      <c r="I185" s="24"/>
      <c r="J185" s="24"/>
      <c r="K185" s="26"/>
      <c r="L185" s="26"/>
      <c r="M185" s="26"/>
      <c r="N185" s="26"/>
      <c r="O185" s="142"/>
      <c r="P185" s="142"/>
      <c r="Q185" s="149"/>
      <c r="R185" s="142"/>
      <c r="S185" s="142"/>
      <c r="T185" s="149"/>
      <c r="U185" s="142"/>
      <c r="V185" s="24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  <c r="AM185" s="82"/>
      <c r="AN185" s="82"/>
      <c r="AO185" s="82"/>
      <c r="AP185" s="82"/>
      <c r="AQ185" s="82"/>
      <c r="AR185" s="82"/>
    </row>
    <row r="186" customHeight="1" spans="1:44">
      <c r="A186" s="82"/>
      <c r="B186" s="24"/>
      <c r="C186" s="24"/>
      <c r="D186" s="24"/>
      <c r="E186" s="24"/>
      <c r="F186" s="24"/>
      <c r="G186" s="129"/>
      <c r="H186" s="24"/>
      <c r="I186" s="24"/>
      <c r="J186" s="24"/>
      <c r="K186" s="26"/>
      <c r="L186" s="26"/>
      <c r="M186" s="26"/>
      <c r="N186" s="26"/>
      <c r="O186" s="142"/>
      <c r="P186" s="149"/>
      <c r="Q186" s="149"/>
      <c r="R186" s="142"/>
      <c r="S186" s="142"/>
      <c r="T186" s="149"/>
      <c r="U186" s="142"/>
      <c r="V186" s="24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  <c r="AN186" s="82"/>
      <c r="AO186" s="82"/>
      <c r="AP186" s="82"/>
      <c r="AQ186" s="82"/>
      <c r="AR186" s="82"/>
    </row>
    <row r="187" customHeight="1" spans="1:44">
      <c r="A187" s="82"/>
      <c r="B187" s="24"/>
      <c r="C187" s="24"/>
      <c r="D187" s="24"/>
      <c r="E187" s="24"/>
      <c r="F187" s="24"/>
      <c r="G187" s="129"/>
      <c r="H187" s="24"/>
      <c r="I187" s="24"/>
      <c r="J187" s="24"/>
      <c r="K187" s="26"/>
      <c r="L187" s="26"/>
      <c r="M187" s="26"/>
      <c r="N187" s="26"/>
      <c r="O187" s="142"/>
      <c r="P187" s="149"/>
      <c r="Q187" s="149"/>
      <c r="R187" s="142"/>
      <c r="S187" s="142"/>
      <c r="T187" s="149"/>
      <c r="U187" s="142"/>
      <c r="V187" s="24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  <c r="AM187" s="82"/>
      <c r="AN187" s="82"/>
      <c r="AO187" s="82"/>
      <c r="AP187" s="82"/>
      <c r="AQ187" s="82"/>
      <c r="AR187" s="82"/>
    </row>
    <row r="188" customHeight="1" spans="1:44">
      <c r="A188" s="82"/>
      <c r="B188" s="24"/>
      <c r="C188" s="24"/>
      <c r="D188" s="24"/>
      <c r="E188" s="24"/>
      <c r="F188" s="24"/>
      <c r="G188" s="129"/>
      <c r="H188" s="24"/>
      <c r="I188" s="24"/>
      <c r="J188" s="24"/>
      <c r="K188" s="26"/>
      <c r="L188" s="26"/>
      <c r="M188" s="26"/>
      <c r="N188" s="26"/>
      <c r="O188" s="142"/>
      <c r="P188" s="149"/>
      <c r="Q188" s="149"/>
      <c r="R188" s="142"/>
      <c r="S188" s="142"/>
      <c r="T188" s="149"/>
      <c r="U188" s="142"/>
      <c r="V188" s="24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  <c r="AM188" s="82"/>
      <c r="AN188" s="82"/>
      <c r="AO188" s="82"/>
      <c r="AP188" s="82"/>
      <c r="AQ188" s="82"/>
      <c r="AR188" s="82"/>
    </row>
    <row r="189" customHeight="1" spans="1:44">
      <c r="A189" s="82"/>
      <c r="B189" s="24"/>
      <c r="C189" s="24"/>
      <c r="D189" s="24"/>
      <c r="E189" s="24"/>
      <c r="F189" s="24"/>
      <c r="G189" s="129"/>
      <c r="H189" s="24"/>
      <c r="I189" s="24"/>
      <c r="J189" s="24"/>
      <c r="K189" s="26"/>
      <c r="L189" s="26"/>
      <c r="M189" s="26"/>
      <c r="N189" s="26"/>
      <c r="O189" s="142"/>
      <c r="P189" s="149"/>
      <c r="Q189" s="149"/>
      <c r="R189" s="142"/>
      <c r="S189" s="142"/>
      <c r="T189" s="149"/>
      <c r="U189" s="142"/>
      <c r="V189" s="24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  <c r="AM189" s="82"/>
      <c r="AN189" s="82"/>
      <c r="AO189" s="82"/>
      <c r="AP189" s="82"/>
      <c r="AQ189" s="82"/>
      <c r="AR189" s="82"/>
    </row>
    <row r="190" customHeight="1" spans="1:44">
      <c r="A190" s="82"/>
      <c r="B190" s="24"/>
      <c r="C190" s="24"/>
      <c r="D190" s="24"/>
      <c r="E190" s="24"/>
      <c r="F190" s="24"/>
      <c r="G190" s="129"/>
      <c r="H190" s="24"/>
      <c r="I190" s="24"/>
      <c r="J190" s="24"/>
      <c r="K190" s="26"/>
      <c r="L190" s="26"/>
      <c r="M190" s="26"/>
      <c r="N190" s="26"/>
      <c r="O190" s="142"/>
      <c r="P190" s="149"/>
      <c r="Q190" s="149"/>
      <c r="R190" s="142"/>
      <c r="S190" s="142"/>
      <c r="T190" s="149"/>
      <c r="U190" s="142"/>
      <c r="V190" s="24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  <c r="AM190" s="82"/>
      <c r="AN190" s="82"/>
      <c r="AO190" s="82"/>
      <c r="AP190" s="82"/>
      <c r="AQ190" s="82"/>
      <c r="AR190" s="82"/>
    </row>
    <row r="191" customHeight="1" spans="1:44">
      <c r="A191" s="82"/>
      <c r="B191" s="24"/>
      <c r="C191" s="24"/>
      <c r="D191" s="24"/>
      <c r="E191" s="24"/>
      <c r="F191" s="24"/>
      <c r="G191" s="129"/>
      <c r="H191" s="24"/>
      <c r="I191" s="24"/>
      <c r="J191" s="24"/>
      <c r="K191" s="26"/>
      <c r="L191" s="26"/>
      <c r="M191" s="26"/>
      <c r="N191" s="26"/>
      <c r="O191" s="142"/>
      <c r="P191" s="149"/>
      <c r="Q191" s="149"/>
      <c r="R191" s="142"/>
      <c r="S191" s="142"/>
      <c r="T191" s="149"/>
      <c r="U191" s="142"/>
      <c r="V191" s="24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  <c r="AN191" s="82"/>
      <c r="AO191" s="82"/>
      <c r="AP191" s="82"/>
      <c r="AQ191" s="82"/>
      <c r="AR191" s="82"/>
    </row>
    <row r="192" customHeight="1" spans="1:44">
      <c r="A192" s="82"/>
      <c r="B192" s="24"/>
      <c r="C192" s="24"/>
      <c r="D192" s="24"/>
      <c r="E192" s="24"/>
      <c r="F192" s="24"/>
      <c r="G192" s="129"/>
      <c r="H192" s="24"/>
      <c r="I192" s="24"/>
      <c r="J192" s="24"/>
      <c r="K192" s="26"/>
      <c r="L192" s="26"/>
      <c r="M192" s="26"/>
      <c r="N192" s="26"/>
      <c r="O192" s="142"/>
      <c r="P192" s="149"/>
      <c r="Q192" s="149"/>
      <c r="R192" s="142"/>
      <c r="S192" s="142"/>
      <c r="T192" s="149"/>
      <c r="U192" s="142"/>
      <c r="V192" s="24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82"/>
      <c r="AO192" s="82"/>
      <c r="AP192" s="82"/>
      <c r="AQ192" s="82"/>
      <c r="AR192" s="82"/>
    </row>
    <row r="193" customHeight="1" spans="1:44">
      <c r="A193" s="82"/>
      <c r="B193" s="24"/>
      <c r="C193" s="24"/>
      <c r="D193" s="24"/>
      <c r="E193" s="24"/>
      <c r="F193" s="129"/>
      <c r="G193" s="129"/>
      <c r="H193" s="24"/>
      <c r="I193" s="24"/>
      <c r="J193" s="24"/>
      <c r="K193" s="26"/>
      <c r="L193" s="26"/>
      <c r="M193" s="26"/>
      <c r="N193" s="26"/>
      <c r="O193" s="142"/>
      <c r="P193" s="149"/>
      <c r="Q193" s="149"/>
      <c r="R193" s="142"/>
      <c r="S193" s="142"/>
      <c r="T193" s="142"/>
      <c r="U193" s="142"/>
      <c r="V193" s="24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  <c r="AM193" s="82"/>
      <c r="AN193" s="82"/>
      <c r="AO193" s="82"/>
      <c r="AP193" s="82"/>
      <c r="AQ193" s="82"/>
      <c r="AR193" s="82"/>
    </row>
    <row r="194" customHeight="1" spans="1:44">
      <c r="A194" s="82"/>
      <c r="L194" s="26"/>
      <c r="M194" s="26"/>
      <c r="N194" s="26"/>
      <c r="O194" s="142"/>
      <c r="P194" s="149"/>
      <c r="Q194" s="149"/>
      <c r="S194" s="149"/>
      <c r="T194" s="14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  <c r="AM194" s="82"/>
      <c r="AN194" s="82"/>
      <c r="AO194" s="82"/>
      <c r="AP194" s="82"/>
      <c r="AQ194" s="82"/>
      <c r="AR194" s="82"/>
    </row>
    <row r="195" customHeight="1" spans="1:44">
      <c r="A195" s="82"/>
      <c r="B195" s="24"/>
      <c r="C195" s="24"/>
      <c r="D195" s="24"/>
      <c r="E195" s="24"/>
      <c r="F195" s="24"/>
      <c r="G195" s="129"/>
      <c r="H195" s="24"/>
      <c r="I195" s="24"/>
      <c r="J195" s="24"/>
      <c r="K195" s="26"/>
      <c r="L195" s="26"/>
      <c r="M195" s="26"/>
      <c r="N195" s="26"/>
      <c r="O195" s="142"/>
      <c r="P195" s="149"/>
      <c r="Q195" s="142"/>
      <c r="R195" s="142"/>
      <c r="S195" s="142"/>
      <c r="T195" s="142"/>
      <c r="U195" s="142"/>
      <c r="V195" s="24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  <c r="AM195" s="82"/>
      <c r="AN195" s="82"/>
      <c r="AO195" s="82"/>
      <c r="AP195" s="82"/>
      <c r="AQ195" s="82"/>
      <c r="AR195" s="82"/>
    </row>
    <row r="196" customHeight="1" spans="1:44">
      <c r="A196" s="82"/>
      <c r="T196" s="142"/>
      <c r="U196" s="14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  <c r="AM196" s="82"/>
      <c r="AN196" s="82"/>
      <c r="AO196" s="82"/>
      <c r="AP196" s="82"/>
      <c r="AQ196" s="82"/>
      <c r="AR196" s="82"/>
    </row>
    <row r="197" customHeight="1" spans="1:44">
      <c r="A197" s="82"/>
      <c r="B197" s="24"/>
      <c r="C197" s="24"/>
      <c r="D197" s="24"/>
      <c r="E197" s="24"/>
      <c r="F197" s="24"/>
      <c r="G197" s="129"/>
      <c r="H197" s="24"/>
      <c r="I197" s="24"/>
      <c r="J197" s="24"/>
      <c r="K197" s="26"/>
      <c r="L197" s="26"/>
      <c r="M197" s="26"/>
      <c r="N197" s="26"/>
      <c r="O197" s="142"/>
      <c r="P197" s="149"/>
      <c r="Q197" s="149"/>
      <c r="R197" s="142"/>
      <c r="S197" s="142"/>
      <c r="T197" s="149"/>
      <c r="U197" s="142"/>
      <c r="V197" s="24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  <c r="AM197" s="82"/>
      <c r="AN197" s="82"/>
      <c r="AO197" s="82"/>
      <c r="AP197" s="82"/>
      <c r="AQ197" s="82"/>
      <c r="AR197" s="82"/>
    </row>
    <row r="198" customHeight="1" spans="1:44">
      <c r="A198" s="82"/>
      <c r="B198" s="24"/>
      <c r="C198" s="24"/>
      <c r="D198" s="24"/>
      <c r="E198" s="24"/>
      <c r="F198" s="24"/>
      <c r="G198" s="129"/>
      <c r="H198" s="24"/>
      <c r="I198" s="24"/>
      <c r="J198" s="24"/>
      <c r="K198" s="26"/>
      <c r="R198" s="142"/>
      <c r="S198" s="142"/>
      <c r="T198" s="142"/>
      <c r="U198" s="142"/>
      <c r="V198" s="24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  <c r="AM198" s="82"/>
      <c r="AN198" s="82"/>
      <c r="AO198" s="82"/>
      <c r="AP198" s="82"/>
      <c r="AQ198" s="82"/>
      <c r="AR198" s="82"/>
    </row>
    <row r="199" customHeight="1" spans="1:44">
      <c r="A199" s="82"/>
      <c r="L199" s="26"/>
      <c r="M199" s="26"/>
      <c r="N199" s="26"/>
      <c r="O199" s="142"/>
      <c r="P199" s="149"/>
      <c r="Q199" s="149"/>
      <c r="T199" s="142"/>
      <c r="U199" s="14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  <c r="AM199" s="82"/>
      <c r="AN199" s="82"/>
      <c r="AO199" s="82"/>
      <c r="AP199" s="82"/>
      <c r="AQ199" s="82"/>
      <c r="AR199" s="82"/>
    </row>
    <row r="200" customHeight="1" spans="1:44">
      <c r="A200" s="82"/>
      <c r="B200" s="24"/>
      <c r="C200" s="24"/>
      <c r="D200" s="24"/>
      <c r="E200" s="24"/>
      <c r="F200" s="24"/>
      <c r="G200" s="129"/>
      <c r="H200" s="24"/>
      <c r="I200" s="24"/>
      <c r="J200" s="24"/>
      <c r="K200" s="26"/>
      <c r="L200" s="26"/>
      <c r="M200" s="26"/>
      <c r="N200" s="26"/>
      <c r="O200" s="142"/>
      <c r="P200" s="149"/>
      <c r="Q200" s="149"/>
      <c r="R200" s="142"/>
      <c r="S200" s="142"/>
      <c r="T200" s="149"/>
      <c r="U200" s="142"/>
      <c r="V200" s="24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  <c r="AM200" s="82"/>
      <c r="AN200" s="82"/>
      <c r="AO200" s="82"/>
      <c r="AP200" s="82"/>
      <c r="AQ200" s="82"/>
      <c r="AR200" s="82"/>
    </row>
    <row r="201" customHeight="1" spans="1:44">
      <c r="A201" s="82"/>
      <c r="B201" s="24"/>
      <c r="C201" s="24"/>
      <c r="D201" s="24"/>
      <c r="E201" s="24"/>
      <c r="F201" s="24"/>
      <c r="G201" s="129"/>
      <c r="H201" s="24"/>
      <c r="I201" s="24"/>
      <c r="J201" s="24"/>
      <c r="K201" s="26"/>
      <c r="R201" s="142"/>
      <c r="S201" s="142"/>
      <c r="T201" s="149"/>
      <c r="U201" s="142"/>
      <c r="V201" s="24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  <c r="AM201" s="82"/>
      <c r="AN201" s="82"/>
      <c r="AO201" s="82"/>
      <c r="AP201" s="82"/>
      <c r="AQ201" s="82"/>
      <c r="AR201" s="82"/>
    </row>
    <row r="202" customHeight="1" spans="1:44">
      <c r="A202" s="82"/>
      <c r="L202" s="26"/>
      <c r="M202" s="26"/>
      <c r="N202" s="26"/>
      <c r="O202" s="142"/>
      <c r="P202" s="149"/>
      <c r="Q202" s="149"/>
      <c r="T202" s="149"/>
      <c r="U202" s="14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  <c r="AM202" s="82"/>
      <c r="AN202" s="82"/>
      <c r="AO202" s="82"/>
      <c r="AP202" s="82"/>
      <c r="AQ202" s="82"/>
      <c r="AR202" s="82"/>
    </row>
    <row r="203" customHeight="1" spans="1:44">
      <c r="A203" s="82"/>
      <c r="B203" s="24"/>
      <c r="C203" s="24"/>
      <c r="D203" s="24"/>
      <c r="E203" s="24"/>
      <c r="F203" s="24"/>
      <c r="G203" s="129"/>
      <c r="H203" s="24"/>
      <c r="I203" s="24"/>
      <c r="J203" s="24"/>
      <c r="K203" s="26"/>
      <c r="L203" s="26"/>
      <c r="M203" s="26"/>
      <c r="N203" s="26"/>
      <c r="O203" s="142"/>
      <c r="P203" s="149"/>
      <c r="Q203" s="149"/>
      <c r="R203" s="142"/>
      <c r="S203" s="142"/>
      <c r="T203" s="149"/>
      <c r="U203" s="14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  <c r="AM203" s="82"/>
      <c r="AN203" s="82"/>
      <c r="AO203" s="82"/>
      <c r="AP203" s="82"/>
      <c r="AQ203" s="82"/>
      <c r="AR203" s="82"/>
    </row>
    <row r="204" customHeight="1" spans="1:44">
      <c r="A204" s="82"/>
      <c r="T204" s="149"/>
      <c r="U204" s="14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  <c r="AN204" s="82"/>
      <c r="AO204" s="82"/>
      <c r="AP204" s="82"/>
      <c r="AQ204" s="82"/>
      <c r="AR204" s="82"/>
    </row>
    <row r="205" customHeight="1" spans="1:44">
      <c r="A205" s="82"/>
      <c r="B205" s="24"/>
      <c r="C205" s="24"/>
      <c r="D205" s="24"/>
      <c r="E205" s="24"/>
      <c r="F205" s="24"/>
      <c r="G205" s="129"/>
      <c r="H205" s="24"/>
      <c r="I205" s="24"/>
      <c r="J205" s="24"/>
      <c r="K205" s="26"/>
      <c r="L205" s="26"/>
      <c r="M205" s="26"/>
      <c r="N205" s="26"/>
      <c r="O205" s="142"/>
      <c r="R205" s="142"/>
      <c r="S205" s="142"/>
      <c r="T205" s="149"/>
      <c r="U205" s="142"/>
      <c r="V205" s="24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82"/>
      <c r="AO205" s="82"/>
      <c r="AP205" s="82"/>
      <c r="AQ205" s="82"/>
      <c r="AR205" s="82"/>
    </row>
    <row r="206" customHeight="1" spans="1:44">
      <c r="A206" s="82"/>
      <c r="B206" s="24"/>
      <c r="C206" s="24"/>
      <c r="D206" s="24"/>
      <c r="E206" s="24"/>
      <c r="F206" s="24"/>
      <c r="G206" s="129"/>
      <c r="H206" s="24"/>
      <c r="I206" s="24"/>
      <c r="J206" s="24"/>
      <c r="K206" s="26"/>
      <c r="R206" s="142"/>
      <c r="S206" s="142"/>
      <c r="T206" s="149"/>
      <c r="U206" s="142"/>
      <c r="V206" s="24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  <c r="AN206" s="82"/>
      <c r="AO206" s="82"/>
      <c r="AP206" s="82"/>
      <c r="AQ206" s="82"/>
      <c r="AR206" s="82"/>
    </row>
    <row r="207" customHeight="1" spans="1:44">
      <c r="A207" s="82"/>
      <c r="L207" s="26"/>
      <c r="M207" s="26"/>
      <c r="N207" s="26"/>
      <c r="O207" s="142"/>
      <c r="P207" s="142"/>
      <c r="Q207" s="149"/>
      <c r="T207" s="149"/>
      <c r="U207" s="14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  <c r="AR207" s="82"/>
    </row>
    <row r="208" customHeight="1" spans="1:44">
      <c r="A208" s="82"/>
      <c r="B208" s="24"/>
      <c r="C208" s="24"/>
      <c r="D208" s="24"/>
      <c r="E208" s="24"/>
      <c r="F208" s="24"/>
      <c r="G208" s="129"/>
      <c r="H208" s="24"/>
      <c r="I208" s="24"/>
      <c r="J208" s="24"/>
      <c r="K208" s="26"/>
      <c r="L208" s="26"/>
      <c r="M208" s="26"/>
      <c r="N208" s="26"/>
      <c r="O208" s="142"/>
      <c r="P208" s="149"/>
      <c r="Q208" s="149"/>
      <c r="R208" s="142"/>
      <c r="S208" s="142"/>
      <c r="T208" s="149"/>
      <c r="U208" s="142"/>
      <c r="V208" s="24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  <c r="AM208" s="82"/>
      <c r="AN208" s="82"/>
      <c r="AO208" s="82"/>
      <c r="AP208" s="82"/>
      <c r="AQ208" s="82"/>
      <c r="AR208" s="82"/>
    </row>
    <row r="209" customHeight="1" spans="1:44">
      <c r="A209" s="82"/>
      <c r="B209" s="24"/>
      <c r="C209" s="24"/>
      <c r="D209" s="24"/>
      <c r="E209" s="24"/>
      <c r="F209" s="24"/>
      <c r="G209" s="129"/>
      <c r="H209" s="24"/>
      <c r="I209" s="24"/>
      <c r="J209" s="24"/>
      <c r="K209" s="26"/>
      <c r="R209" s="142"/>
      <c r="S209" s="142"/>
      <c r="T209" s="149"/>
      <c r="U209" s="142"/>
      <c r="V209" s="24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  <c r="AM209" s="82"/>
      <c r="AN209" s="82"/>
      <c r="AO209" s="82"/>
      <c r="AP209" s="82"/>
      <c r="AQ209" s="82"/>
      <c r="AR209" s="82"/>
    </row>
    <row r="210" customHeight="1" spans="1:44">
      <c r="A210" s="82"/>
      <c r="L210" s="26"/>
      <c r="M210" s="26"/>
      <c r="N210" s="26"/>
      <c r="O210" s="142"/>
      <c r="P210" s="142"/>
      <c r="Q210" s="149"/>
      <c r="T210" s="149"/>
      <c r="U210" s="14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</row>
    <row r="211" customHeight="1" spans="1:44">
      <c r="A211" s="82"/>
      <c r="B211" s="24"/>
      <c r="C211" s="24"/>
      <c r="D211" s="24"/>
      <c r="E211" s="24"/>
      <c r="F211" s="24"/>
      <c r="G211" s="129"/>
      <c r="H211" s="24"/>
      <c r="I211" s="24"/>
      <c r="J211" s="24"/>
      <c r="K211" s="26"/>
      <c r="L211" s="26"/>
      <c r="M211" s="26"/>
      <c r="N211" s="26"/>
      <c r="O211" s="142"/>
      <c r="P211" s="149"/>
      <c r="Q211" s="149"/>
      <c r="R211" s="142"/>
      <c r="S211" s="142"/>
      <c r="T211" s="149"/>
      <c r="U211" s="142"/>
      <c r="V211" s="24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82"/>
    </row>
    <row r="212" customHeight="1" spans="1:44">
      <c r="A212" s="82"/>
      <c r="T212" s="149"/>
      <c r="U212" s="14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  <c r="AR212" s="82"/>
    </row>
    <row r="213" customHeight="1" spans="1:44">
      <c r="A213" s="82"/>
      <c r="B213" s="24"/>
      <c r="C213" s="24"/>
      <c r="D213" s="24"/>
      <c r="E213" s="24"/>
      <c r="F213" s="24"/>
      <c r="G213" s="129"/>
      <c r="H213" s="24"/>
      <c r="I213" s="24"/>
      <c r="J213" s="24"/>
      <c r="K213" s="26"/>
      <c r="L213" s="26"/>
      <c r="M213" s="26"/>
      <c r="N213" s="26"/>
      <c r="O213" s="142"/>
      <c r="P213" s="149"/>
      <c r="Q213" s="149"/>
      <c r="R213" s="142"/>
      <c r="S213" s="142"/>
      <c r="T213" s="149"/>
      <c r="U213" s="142"/>
      <c r="V213" s="24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82"/>
      <c r="AQ213" s="82"/>
      <c r="AR213" s="82"/>
    </row>
    <row r="214" customHeight="1" spans="1:44">
      <c r="A214" s="82"/>
      <c r="B214" s="24"/>
      <c r="C214" s="24"/>
      <c r="D214" s="24"/>
      <c r="E214" s="24"/>
      <c r="F214" s="24"/>
      <c r="G214" s="129"/>
      <c r="H214" s="24"/>
      <c r="I214" s="24"/>
      <c r="J214" s="24"/>
      <c r="K214" s="26"/>
      <c r="R214" s="142"/>
      <c r="S214" s="142"/>
      <c r="T214" s="149"/>
      <c r="U214" s="142"/>
      <c r="V214" s="24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</row>
    <row r="215" customHeight="1" spans="1:44">
      <c r="A215" s="82"/>
      <c r="L215" s="26"/>
      <c r="M215" s="26"/>
      <c r="N215" s="26"/>
      <c r="O215" s="142"/>
      <c r="P215" s="149"/>
      <c r="Q215" s="149"/>
      <c r="T215" s="149"/>
      <c r="U215" s="14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  <c r="AR215" s="82"/>
    </row>
    <row r="216" customHeight="1" spans="1:44">
      <c r="A216" s="82"/>
      <c r="B216" s="24"/>
      <c r="C216" s="24"/>
      <c r="D216" s="24"/>
      <c r="E216" s="24"/>
      <c r="F216" s="24"/>
      <c r="G216" s="129"/>
      <c r="H216" s="24"/>
      <c r="I216" s="24"/>
      <c r="J216" s="24"/>
      <c r="K216" s="26"/>
      <c r="L216" s="26"/>
      <c r="M216" s="26"/>
      <c r="N216" s="26"/>
      <c r="O216" s="142"/>
      <c r="P216" s="149"/>
      <c r="Q216" s="149"/>
      <c r="R216" s="142"/>
      <c r="S216" s="142"/>
      <c r="T216" s="149"/>
      <c r="U216" s="142"/>
      <c r="V216" s="24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  <c r="AR216" s="82"/>
    </row>
    <row r="217" customHeight="1" spans="1:44">
      <c r="A217" s="82"/>
      <c r="T217" s="149"/>
      <c r="U217" s="14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  <c r="AR217" s="82"/>
    </row>
    <row r="218" customHeight="1" spans="1:44">
      <c r="A218" s="82"/>
      <c r="B218" s="24"/>
      <c r="C218" s="24"/>
      <c r="D218" s="24"/>
      <c r="E218" s="24"/>
      <c r="F218" s="24"/>
      <c r="G218" s="129"/>
      <c r="H218" s="24"/>
      <c r="I218" s="24"/>
      <c r="J218" s="24"/>
      <c r="K218" s="26"/>
      <c r="L218" s="26"/>
      <c r="M218" s="26"/>
      <c r="N218" s="26"/>
      <c r="O218" s="142"/>
      <c r="P218" s="149"/>
      <c r="Q218" s="149"/>
      <c r="R218" s="142"/>
      <c r="S218" s="142"/>
      <c r="T218" s="149"/>
      <c r="U218" s="142"/>
      <c r="V218" s="24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</row>
    <row r="219" customHeight="1" spans="1:44">
      <c r="A219" s="82"/>
      <c r="T219" s="149"/>
      <c r="U219" s="14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  <c r="AR219" s="82"/>
    </row>
    <row r="220" customHeight="1" spans="1:44">
      <c r="A220" s="82"/>
      <c r="L220" s="26"/>
      <c r="M220" s="26"/>
      <c r="N220" s="26"/>
      <c r="O220" s="142"/>
      <c r="P220" s="149"/>
      <c r="Q220" s="149"/>
      <c r="T220" s="149"/>
      <c r="U220" s="14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  <c r="AM220" s="82"/>
      <c r="AN220" s="82"/>
      <c r="AO220" s="82"/>
      <c r="AP220" s="82"/>
      <c r="AQ220" s="82"/>
      <c r="AR220" s="82"/>
    </row>
    <row r="221" customHeight="1" spans="1:44">
      <c r="A221" s="82"/>
      <c r="B221" s="24"/>
      <c r="C221" s="24"/>
      <c r="D221" s="24"/>
      <c r="E221" s="24"/>
      <c r="F221" s="24"/>
      <c r="G221" s="129"/>
      <c r="H221" s="24"/>
      <c r="I221" s="24"/>
      <c r="J221" s="24"/>
      <c r="K221" s="26"/>
      <c r="R221" s="142"/>
      <c r="S221" s="142"/>
      <c r="T221" s="149"/>
      <c r="U221" s="142"/>
      <c r="V221" s="24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  <c r="AM221" s="82"/>
      <c r="AN221" s="82"/>
      <c r="AO221" s="82"/>
      <c r="AP221" s="82"/>
      <c r="AQ221" s="82"/>
      <c r="AR221" s="82"/>
    </row>
    <row r="222" customHeight="1" spans="1:44">
      <c r="A222" s="82"/>
      <c r="T222" s="149"/>
      <c r="U222" s="14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  <c r="AM222" s="82"/>
      <c r="AN222" s="82"/>
      <c r="AO222" s="82"/>
      <c r="AP222" s="82"/>
      <c r="AQ222" s="82"/>
      <c r="AR222" s="82"/>
    </row>
    <row r="223" customHeight="1" spans="1:44">
      <c r="A223" s="82"/>
      <c r="B223" s="24"/>
      <c r="C223" s="24"/>
      <c r="D223" s="24"/>
      <c r="E223" s="24"/>
      <c r="F223" s="24"/>
      <c r="G223" s="129"/>
      <c r="H223" s="24"/>
      <c r="I223" s="24"/>
      <c r="J223" s="24"/>
      <c r="K223" s="26"/>
      <c r="L223" s="26"/>
      <c r="M223" s="26"/>
      <c r="N223" s="26"/>
      <c r="O223" s="142"/>
      <c r="P223" s="149"/>
      <c r="Q223" s="149"/>
      <c r="R223" s="142"/>
      <c r="S223" s="142"/>
      <c r="T223" s="149"/>
      <c r="U223" s="142"/>
      <c r="V223" s="24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  <c r="AM223" s="82"/>
      <c r="AN223" s="82"/>
      <c r="AO223" s="82"/>
      <c r="AP223" s="82"/>
      <c r="AQ223" s="82"/>
      <c r="AR223" s="82"/>
    </row>
    <row r="224" customHeight="1" spans="1:44">
      <c r="A224" s="82"/>
      <c r="T224" s="149"/>
      <c r="U224" s="14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  <c r="AM224" s="82"/>
      <c r="AN224" s="82"/>
      <c r="AO224" s="82"/>
      <c r="AP224" s="82"/>
      <c r="AQ224" s="82"/>
      <c r="AR224" s="82"/>
    </row>
    <row r="225" customHeight="1" spans="1:44">
      <c r="A225" s="82"/>
      <c r="B225" s="24"/>
      <c r="C225" s="24"/>
      <c r="D225" s="24"/>
      <c r="E225" s="24"/>
      <c r="F225" s="24"/>
      <c r="G225" s="129"/>
      <c r="H225" s="24"/>
      <c r="I225" s="24"/>
      <c r="J225" s="24"/>
      <c r="K225" s="26"/>
      <c r="L225" s="26"/>
      <c r="M225" s="26"/>
      <c r="N225" s="26"/>
      <c r="O225" s="142"/>
      <c r="P225" s="149"/>
      <c r="Q225" s="149"/>
      <c r="R225" s="142"/>
      <c r="S225" s="142"/>
      <c r="T225" s="149"/>
      <c r="U225" s="142"/>
      <c r="V225" s="24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  <c r="AM225" s="82"/>
      <c r="AN225" s="82"/>
      <c r="AO225" s="82"/>
      <c r="AP225" s="82"/>
      <c r="AQ225" s="82"/>
      <c r="AR225" s="82"/>
    </row>
    <row r="226" customHeight="1" spans="1:44">
      <c r="A226" s="82"/>
      <c r="T226" s="149"/>
      <c r="U226" s="14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  <c r="AN226" s="82"/>
      <c r="AO226" s="82"/>
      <c r="AP226" s="82"/>
      <c r="AQ226" s="82"/>
      <c r="AR226" s="82"/>
    </row>
    <row r="227" customHeight="1" spans="1:44">
      <c r="A227" s="82"/>
      <c r="B227" s="24"/>
      <c r="C227" s="24"/>
      <c r="D227" s="24"/>
      <c r="E227" s="24"/>
      <c r="F227" s="24"/>
      <c r="G227" s="129"/>
      <c r="H227" s="24"/>
      <c r="I227" s="24"/>
      <c r="J227" s="24"/>
      <c r="K227" s="26"/>
      <c r="L227" s="26"/>
      <c r="M227" s="26"/>
      <c r="N227" s="26"/>
      <c r="O227" s="142"/>
      <c r="P227" s="149"/>
      <c r="Q227" s="149"/>
      <c r="R227" s="142"/>
      <c r="S227" s="142"/>
      <c r="T227" s="149"/>
      <c r="U227" s="142"/>
      <c r="V227" s="24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  <c r="AN227" s="82"/>
      <c r="AO227" s="82"/>
      <c r="AP227" s="82"/>
      <c r="AQ227" s="82"/>
      <c r="AR227" s="82"/>
    </row>
    <row r="228" customHeight="1" spans="1:44">
      <c r="A228" s="82"/>
      <c r="B228" s="24"/>
      <c r="C228" s="24"/>
      <c r="D228" s="24"/>
      <c r="E228" s="24"/>
      <c r="F228" s="24"/>
      <c r="G228" s="129"/>
      <c r="H228" s="24"/>
      <c r="I228" s="24"/>
      <c r="J228" s="24"/>
      <c r="K228" s="26"/>
      <c r="R228" s="142"/>
      <c r="S228" s="142"/>
      <c r="T228" s="149"/>
      <c r="U228" s="142"/>
      <c r="V228" s="24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  <c r="AM228" s="82"/>
      <c r="AN228" s="82"/>
      <c r="AO228" s="82"/>
      <c r="AP228" s="82"/>
      <c r="AQ228" s="82"/>
      <c r="AR228" s="82"/>
    </row>
    <row r="229" customHeight="1" spans="1:44">
      <c r="A229" s="82"/>
      <c r="B229" s="24"/>
      <c r="C229" s="24"/>
      <c r="D229" s="24"/>
      <c r="E229" s="24"/>
      <c r="F229" s="24"/>
      <c r="G229" s="129"/>
      <c r="H229" s="24"/>
      <c r="I229" s="24"/>
      <c r="J229" s="24"/>
      <c r="K229" s="26"/>
      <c r="L229" s="26"/>
      <c r="M229" s="26"/>
      <c r="N229" s="26"/>
      <c r="O229" s="142"/>
      <c r="P229" s="149"/>
      <c r="Q229" s="149"/>
      <c r="R229" s="142"/>
      <c r="S229" s="142"/>
      <c r="T229" s="149"/>
      <c r="U229" s="142"/>
      <c r="V229" s="24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  <c r="AM229" s="82"/>
      <c r="AN229" s="82"/>
      <c r="AO229" s="82"/>
      <c r="AP229" s="82"/>
      <c r="AQ229" s="82"/>
      <c r="AR229" s="82"/>
    </row>
    <row r="230" customHeight="1" spans="1:44">
      <c r="A230" s="82"/>
      <c r="B230" s="24"/>
      <c r="C230" s="24"/>
      <c r="D230" s="24"/>
      <c r="E230" s="24"/>
      <c r="F230" s="24"/>
      <c r="G230" s="129"/>
      <c r="H230" s="24"/>
      <c r="I230" s="24"/>
      <c r="J230" s="24"/>
      <c r="K230" s="26"/>
      <c r="L230" s="26"/>
      <c r="M230" s="26"/>
      <c r="N230" s="26"/>
      <c r="O230" s="142"/>
      <c r="P230" s="149"/>
      <c r="Q230" s="149"/>
      <c r="R230" s="142"/>
      <c r="S230" s="142"/>
      <c r="T230" s="149"/>
      <c r="U230" s="142"/>
      <c r="V230" s="24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  <c r="AM230" s="82"/>
      <c r="AN230" s="82"/>
      <c r="AO230" s="82"/>
      <c r="AP230" s="82"/>
      <c r="AQ230" s="82"/>
      <c r="AR230" s="82"/>
    </row>
    <row r="231" customHeight="1" spans="1:44">
      <c r="A231" s="82"/>
      <c r="L231" s="26"/>
      <c r="M231" s="26"/>
      <c r="N231" s="26"/>
      <c r="O231" s="142"/>
      <c r="P231" s="149"/>
      <c r="Q231" s="149"/>
      <c r="T231" s="149"/>
      <c r="U231" s="14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  <c r="AM231" s="82"/>
      <c r="AN231" s="82"/>
      <c r="AO231" s="82"/>
      <c r="AP231" s="82"/>
      <c r="AQ231" s="82"/>
      <c r="AR231" s="82"/>
    </row>
    <row r="232" customHeight="1" spans="1:44">
      <c r="A232" s="82"/>
      <c r="B232" s="24"/>
      <c r="C232" s="24"/>
      <c r="D232" s="24"/>
      <c r="E232" s="24"/>
      <c r="F232" s="24"/>
      <c r="G232" s="129"/>
      <c r="H232" s="24"/>
      <c r="I232" s="24"/>
      <c r="J232" s="24"/>
      <c r="K232" s="26"/>
      <c r="L232" s="26"/>
      <c r="M232" s="26"/>
      <c r="N232" s="26"/>
      <c r="O232" s="142"/>
      <c r="P232" s="149"/>
      <c r="Q232" s="149"/>
      <c r="R232" s="142"/>
      <c r="S232" s="142"/>
      <c r="T232" s="149"/>
      <c r="U232" s="142"/>
      <c r="V232" s="24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  <c r="AM232" s="82"/>
      <c r="AN232" s="82"/>
      <c r="AO232" s="82"/>
      <c r="AP232" s="82"/>
      <c r="AQ232" s="82"/>
      <c r="AR232" s="82"/>
    </row>
    <row r="233" customHeight="1" spans="1:44">
      <c r="A233" s="82"/>
      <c r="T233" s="149"/>
      <c r="U233" s="14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  <c r="AM233" s="82"/>
      <c r="AN233" s="82"/>
      <c r="AO233" s="82"/>
      <c r="AP233" s="82"/>
      <c r="AQ233" s="82"/>
      <c r="AR233" s="82"/>
    </row>
    <row r="234" customHeight="1" spans="1:44">
      <c r="A234" s="82"/>
      <c r="L234" s="26"/>
      <c r="M234" s="26"/>
      <c r="N234" s="26"/>
      <c r="O234" s="142"/>
      <c r="P234" s="149"/>
      <c r="Q234" s="149"/>
      <c r="T234" s="149"/>
      <c r="U234" s="14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  <c r="AM234" s="82"/>
      <c r="AN234" s="82"/>
      <c r="AO234" s="82"/>
      <c r="AP234" s="82"/>
      <c r="AQ234" s="82"/>
      <c r="AR234" s="82"/>
    </row>
    <row r="235" customHeight="1" spans="1:44">
      <c r="A235" s="82"/>
      <c r="B235" s="24"/>
      <c r="C235" s="24"/>
      <c r="D235" s="24"/>
      <c r="E235" s="24"/>
      <c r="F235" s="24"/>
      <c r="G235" s="129"/>
      <c r="H235" s="24"/>
      <c r="I235" s="24"/>
      <c r="J235" s="24"/>
      <c r="K235" s="26"/>
      <c r="R235" s="142"/>
      <c r="S235" s="142"/>
      <c r="T235" s="149"/>
      <c r="U235" s="14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  <c r="AM235" s="82"/>
      <c r="AN235" s="82"/>
      <c r="AO235" s="82"/>
      <c r="AP235" s="82"/>
      <c r="AQ235" s="82"/>
      <c r="AR235" s="82"/>
    </row>
    <row r="236" customHeight="1" spans="1:44">
      <c r="A236" s="82"/>
      <c r="T236" s="149"/>
      <c r="U236" s="14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  <c r="AN236" s="82"/>
      <c r="AO236" s="82"/>
      <c r="AP236" s="82"/>
      <c r="AQ236" s="82"/>
      <c r="AR236" s="82"/>
    </row>
    <row r="237" customHeight="1" spans="1:44">
      <c r="A237" s="82"/>
      <c r="L237" s="26"/>
      <c r="M237" s="26"/>
      <c r="N237" s="26"/>
      <c r="O237" s="142"/>
      <c r="P237" s="149"/>
      <c r="Q237" s="149"/>
      <c r="T237" s="149"/>
      <c r="U237" s="14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  <c r="AM237" s="82"/>
      <c r="AN237" s="82"/>
      <c r="AO237" s="82"/>
      <c r="AP237" s="82"/>
      <c r="AQ237" s="82"/>
      <c r="AR237" s="82"/>
    </row>
    <row r="238" customHeight="1" spans="1:44">
      <c r="A238" s="82"/>
      <c r="B238" s="24"/>
      <c r="C238" s="24"/>
      <c r="D238" s="24"/>
      <c r="E238" s="24"/>
      <c r="F238" s="24"/>
      <c r="G238" s="129"/>
      <c r="H238" s="24"/>
      <c r="I238" s="24"/>
      <c r="J238" s="24"/>
      <c r="K238" s="26"/>
      <c r="R238" s="142"/>
      <c r="S238" s="142"/>
      <c r="T238" s="149"/>
      <c r="U238" s="14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  <c r="AM238" s="82"/>
      <c r="AN238" s="82"/>
      <c r="AO238" s="82"/>
      <c r="AP238" s="82"/>
      <c r="AQ238" s="82"/>
      <c r="AR238" s="82"/>
    </row>
    <row r="239" customHeight="1" spans="1:44">
      <c r="A239" s="82"/>
      <c r="T239" s="149"/>
      <c r="U239" s="14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  <c r="AM239" s="82"/>
      <c r="AN239" s="82"/>
      <c r="AO239" s="82"/>
      <c r="AP239" s="82"/>
      <c r="AQ239" s="82"/>
      <c r="AR239" s="82"/>
    </row>
    <row r="240" customHeight="1" spans="1:44">
      <c r="A240" s="82"/>
      <c r="L240" s="26"/>
      <c r="M240" s="26"/>
      <c r="N240" s="26"/>
      <c r="O240" s="142"/>
      <c r="P240" s="149"/>
      <c r="Q240" s="149"/>
      <c r="T240" s="149"/>
      <c r="U240" s="14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  <c r="AM240" s="82"/>
      <c r="AN240" s="82"/>
      <c r="AO240" s="82"/>
      <c r="AP240" s="82"/>
      <c r="AQ240" s="82"/>
      <c r="AR240" s="82"/>
    </row>
    <row r="241" customHeight="1" spans="1:44">
      <c r="A241" s="82"/>
      <c r="B241" s="24"/>
      <c r="C241" s="24"/>
      <c r="D241" s="24"/>
      <c r="E241" s="24"/>
      <c r="F241" s="24"/>
      <c r="G241" s="129"/>
      <c r="H241" s="24"/>
      <c r="I241" s="24"/>
      <c r="J241" s="24"/>
      <c r="K241" s="26"/>
      <c r="R241" s="142"/>
      <c r="S241" s="142"/>
      <c r="T241" s="149"/>
      <c r="U241" s="142"/>
      <c r="V241" s="24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  <c r="AM241" s="82"/>
      <c r="AN241" s="82"/>
      <c r="AO241" s="82"/>
      <c r="AP241" s="82"/>
      <c r="AQ241" s="82"/>
      <c r="AR241" s="82"/>
    </row>
    <row r="242" customHeight="1" spans="1:44">
      <c r="A242" s="82"/>
      <c r="T242" s="149"/>
      <c r="U242" s="14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  <c r="AM242" s="82"/>
      <c r="AN242" s="82"/>
      <c r="AO242" s="82"/>
      <c r="AP242" s="82"/>
      <c r="AQ242" s="82"/>
      <c r="AR242" s="82"/>
    </row>
    <row r="243" customHeight="1" spans="1:44">
      <c r="A243" s="82"/>
      <c r="B243" s="24"/>
      <c r="C243" s="24"/>
      <c r="D243" s="24"/>
      <c r="E243" s="24"/>
      <c r="F243" s="24"/>
      <c r="G243" s="129"/>
      <c r="H243" s="24"/>
      <c r="I243" s="24"/>
      <c r="J243" s="24"/>
      <c r="K243" s="26"/>
      <c r="L243" s="26"/>
      <c r="M243" s="26"/>
      <c r="N243" s="26"/>
      <c r="O243" s="142"/>
      <c r="P243" s="149"/>
      <c r="Q243" s="149"/>
      <c r="R243" s="142"/>
      <c r="S243" s="142"/>
      <c r="T243" s="149"/>
      <c r="U243" s="142"/>
      <c r="V243" s="24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  <c r="AM243" s="82"/>
      <c r="AN243" s="82"/>
      <c r="AO243" s="82"/>
      <c r="AP243" s="82"/>
      <c r="AQ243" s="82"/>
      <c r="AR243" s="82"/>
    </row>
    <row r="244" customHeight="1" spans="1:44">
      <c r="A244" s="82"/>
      <c r="T244" s="149"/>
      <c r="U244" s="14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  <c r="AM244" s="82"/>
      <c r="AN244" s="82"/>
      <c r="AO244" s="82"/>
      <c r="AP244" s="82"/>
      <c r="AQ244" s="82"/>
      <c r="AR244" s="82"/>
    </row>
    <row r="245" customHeight="1" spans="1:44">
      <c r="A245" s="82"/>
      <c r="L245" s="26"/>
      <c r="M245" s="26"/>
      <c r="N245" s="26"/>
      <c r="O245" s="142"/>
      <c r="P245" s="149"/>
      <c r="Q245" s="149"/>
      <c r="T245" s="149"/>
      <c r="U245" s="14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  <c r="AM245" s="82"/>
      <c r="AN245" s="82"/>
      <c r="AO245" s="82"/>
      <c r="AP245" s="82"/>
      <c r="AQ245" s="82"/>
      <c r="AR245" s="82"/>
    </row>
    <row r="246" customHeight="1" spans="1:44">
      <c r="A246" s="82"/>
      <c r="T246" s="149"/>
      <c r="U246" s="14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  <c r="AM246" s="82"/>
      <c r="AN246" s="82"/>
      <c r="AO246" s="82"/>
      <c r="AP246" s="82"/>
      <c r="AQ246" s="82"/>
      <c r="AR246" s="82"/>
    </row>
    <row r="247" customHeight="1" spans="1:44">
      <c r="A247" s="82"/>
      <c r="B247" s="24"/>
      <c r="C247" s="24"/>
      <c r="D247" s="24"/>
      <c r="E247" s="24"/>
      <c r="F247" s="24"/>
      <c r="G247" s="129"/>
      <c r="H247" s="24"/>
      <c r="I247" s="24"/>
      <c r="J247" s="24"/>
      <c r="K247" s="26"/>
      <c r="R247" s="142"/>
      <c r="S247" s="142"/>
      <c r="T247" s="149"/>
      <c r="U247" s="14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  <c r="AM247" s="82"/>
      <c r="AN247" s="82"/>
      <c r="AO247" s="82"/>
      <c r="AP247" s="82"/>
      <c r="AQ247" s="82"/>
      <c r="AR247" s="82"/>
    </row>
    <row r="248" customHeight="1" spans="1:44">
      <c r="A248" s="82"/>
      <c r="T248" s="149"/>
      <c r="U248" s="14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  <c r="AM248" s="82"/>
      <c r="AN248" s="82"/>
      <c r="AO248" s="82"/>
      <c r="AP248" s="82"/>
      <c r="AQ248" s="82"/>
      <c r="AR248" s="82"/>
    </row>
    <row r="249" customHeight="1" spans="1:44">
      <c r="A249" s="82"/>
      <c r="L249" s="26"/>
      <c r="M249" s="26"/>
      <c r="N249" s="26"/>
      <c r="O249" s="142"/>
      <c r="P249" s="149"/>
      <c r="Q249" s="149"/>
      <c r="T249" s="149"/>
      <c r="U249" s="14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  <c r="AM249" s="82"/>
      <c r="AN249" s="82"/>
      <c r="AO249" s="82"/>
      <c r="AP249" s="82"/>
      <c r="AQ249" s="82"/>
      <c r="AR249" s="82"/>
    </row>
    <row r="250" customHeight="1" spans="1:44">
      <c r="A250" s="82"/>
      <c r="T250" s="149"/>
      <c r="U250" s="14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  <c r="AM250" s="82"/>
      <c r="AN250" s="82"/>
      <c r="AO250" s="82"/>
      <c r="AP250" s="82"/>
      <c r="AQ250" s="82"/>
      <c r="AR250" s="82"/>
    </row>
    <row r="251" customHeight="1" spans="1:44">
      <c r="A251" s="82"/>
      <c r="B251" s="24"/>
      <c r="C251" s="24"/>
      <c r="D251" s="24"/>
      <c r="E251" s="24"/>
      <c r="F251" s="24"/>
      <c r="G251" s="129"/>
      <c r="H251" s="24"/>
      <c r="I251" s="24"/>
      <c r="J251" s="24"/>
      <c r="K251" s="26"/>
      <c r="R251" s="142"/>
      <c r="S251" s="142"/>
      <c r="T251" s="149"/>
      <c r="U251" s="14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  <c r="AR251" s="82"/>
    </row>
    <row r="252" customHeight="1" spans="1:44">
      <c r="A252" s="82"/>
      <c r="T252" s="149"/>
      <c r="U252" s="14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82"/>
      <c r="AN252" s="82"/>
      <c r="AO252" s="82"/>
      <c r="AP252" s="82"/>
      <c r="AQ252" s="82"/>
      <c r="AR252" s="82"/>
    </row>
    <row r="253" customHeight="1" spans="1:44">
      <c r="A253" s="82"/>
      <c r="L253" s="26"/>
      <c r="M253" s="26"/>
      <c r="N253" s="26"/>
      <c r="O253" s="142"/>
      <c r="P253" s="149"/>
      <c r="Q253" s="149"/>
      <c r="T253" s="149"/>
      <c r="U253" s="14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82"/>
      <c r="AN253" s="82"/>
      <c r="AO253" s="82"/>
      <c r="AP253" s="82"/>
      <c r="AQ253" s="82"/>
      <c r="AR253" s="82"/>
    </row>
    <row r="254" customHeight="1" spans="1:44">
      <c r="A254" s="82"/>
      <c r="T254" s="149"/>
      <c r="U254" s="14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  <c r="AM254" s="82"/>
      <c r="AN254" s="82"/>
      <c r="AO254" s="82"/>
      <c r="AP254" s="82"/>
      <c r="AQ254" s="82"/>
      <c r="AR254" s="82"/>
    </row>
    <row r="255" customHeight="1" spans="1:44">
      <c r="A255" s="82"/>
      <c r="B255" s="24"/>
      <c r="C255" s="24"/>
      <c r="D255" s="24"/>
      <c r="E255" s="24"/>
      <c r="F255" s="24"/>
      <c r="G255" s="129"/>
      <c r="H255" s="24"/>
      <c r="I255" s="24"/>
      <c r="J255" s="24"/>
      <c r="K255" s="26"/>
      <c r="R255" s="142"/>
      <c r="S255" s="142"/>
      <c r="T255" s="149"/>
      <c r="U255" s="14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  <c r="AM255" s="82"/>
      <c r="AN255" s="82"/>
      <c r="AO255" s="82"/>
      <c r="AP255" s="82"/>
      <c r="AQ255" s="82"/>
      <c r="AR255" s="82"/>
    </row>
    <row r="256" customHeight="1" spans="1:44">
      <c r="A256" s="82"/>
      <c r="T256" s="149"/>
      <c r="U256" s="14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  <c r="AM256" s="82"/>
      <c r="AN256" s="82"/>
      <c r="AO256" s="82"/>
      <c r="AP256" s="82"/>
      <c r="AQ256" s="82"/>
      <c r="AR256" s="82"/>
    </row>
    <row r="257" customHeight="1" spans="1:44">
      <c r="A257" s="82"/>
      <c r="L257" s="26"/>
      <c r="M257" s="26"/>
      <c r="N257" s="26"/>
      <c r="O257" s="142"/>
      <c r="P257" s="149"/>
      <c r="Q257" s="149"/>
      <c r="T257" s="149"/>
      <c r="U257" s="14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82"/>
      <c r="AN257" s="82"/>
      <c r="AO257" s="82"/>
      <c r="AP257" s="82"/>
      <c r="AQ257" s="82"/>
      <c r="AR257" s="82"/>
    </row>
    <row r="258" customHeight="1" spans="1:44">
      <c r="A258" s="82"/>
      <c r="T258" s="149"/>
      <c r="U258" s="14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  <c r="AN258" s="82"/>
      <c r="AO258" s="82"/>
      <c r="AP258" s="82"/>
      <c r="AQ258" s="82"/>
      <c r="AR258" s="82"/>
    </row>
    <row r="259" customHeight="1" spans="1:44">
      <c r="A259" s="82"/>
      <c r="B259" s="24"/>
      <c r="C259" s="24"/>
      <c r="D259" s="24"/>
      <c r="E259" s="24"/>
      <c r="F259" s="24"/>
      <c r="G259" s="129"/>
      <c r="H259" s="24"/>
      <c r="I259" s="24"/>
      <c r="J259" s="24"/>
      <c r="K259" s="26"/>
      <c r="R259" s="142"/>
      <c r="S259" s="142"/>
      <c r="T259" s="149"/>
      <c r="U259" s="142"/>
      <c r="V259" s="24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  <c r="AM259" s="82"/>
      <c r="AN259" s="82"/>
      <c r="AO259" s="82"/>
      <c r="AP259" s="82"/>
      <c r="AQ259" s="82"/>
      <c r="AR259" s="82"/>
    </row>
    <row r="260" customHeight="1" spans="1:44">
      <c r="A260" s="82"/>
      <c r="B260" s="24"/>
      <c r="C260" s="24"/>
      <c r="D260" s="24"/>
      <c r="E260" s="24"/>
      <c r="F260" s="24"/>
      <c r="G260" s="129"/>
      <c r="H260" s="24"/>
      <c r="I260" s="24"/>
      <c r="J260" s="24"/>
      <c r="K260" s="26"/>
      <c r="R260" s="142"/>
      <c r="S260" s="142"/>
      <c r="T260" s="149"/>
      <c r="U260" s="142"/>
      <c r="V260" s="24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  <c r="AM260" s="82"/>
      <c r="AN260" s="82"/>
      <c r="AO260" s="82"/>
      <c r="AP260" s="82"/>
      <c r="AQ260" s="82"/>
      <c r="AR260" s="82"/>
    </row>
    <row r="261" customHeight="1" spans="1:44">
      <c r="A261" s="82"/>
      <c r="B261" s="24"/>
      <c r="C261" s="24"/>
      <c r="D261" s="24"/>
      <c r="E261" s="24"/>
      <c r="F261" s="24"/>
      <c r="G261" s="129"/>
      <c r="H261" s="24"/>
      <c r="I261" s="24"/>
      <c r="J261" s="24"/>
      <c r="K261" s="26"/>
      <c r="L261" s="26"/>
      <c r="M261" s="26"/>
      <c r="N261" s="26"/>
      <c r="O261" s="142"/>
      <c r="P261" s="149"/>
      <c r="Q261" s="149"/>
      <c r="R261" s="142"/>
      <c r="S261" s="142"/>
      <c r="T261" s="149"/>
      <c r="U261" s="142"/>
      <c r="V261" s="24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  <c r="AM261" s="82"/>
      <c r="AN261" s="82"/>
      <c r="AO261" s="82"/>
      <c r="AP261" s="82"/>
      <c r="AQ261" s="82"/>
      <c r="AR261" s="82"/>
    </row>
    <row r="262" customHeight="1" spans="1:44">
      <c r="A262" s="82"/>
      <c r="B262" s="24"/>
      <c r="C262" s="24"/>
      <c r="D262" s="24"/>
      <c r="E262" s="24"/>
      <c r="F262" s="24"/>
      <c r="G262" s="129"/>
      <c r="H262" s="24"/>
      <c r="I262" s="24"/>
      <c r="J262" s="24"/>
      <c r="K262" s="26"/>
      <c r="L262" s="26"/>
      <c r="M262" s="26"/>
      <c r="N262" s="26"/>
      <c r="O262" s="142"/>
      <c r="P262" s="149"/>
      <c r="Q262" s="149"/>
      <c r="R262" s="142"/>
      <c r="S262" s="142"/>
      <c r="T262" s="149"/>
      <c r="U262" s="142"/>
      <c r="V262" s="24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  <c r="AM262" s="82"/>
      <c r="AN262" s="82"/>
      <c r="AO262" s="82"/>
      <c r="AP262" s="82"/>
      <c r="AQ262" s="82"/>
      <c r="AR262" s="82"/>
    </row>
    <row r="263" customHeight="1" spans="1:44">
      <c r="A263" s="82"/>
      <c r="B263" s="24"/>
      <c r="C263" s="24"/>
      <c r="D263" s="24"/>
      <c r="E263" s="24"/>
      <c r="F263" s="24"/>
      <c r="G263" s="129"/>
      <c r="H263" s="24"/>
      <c r="I263" s="24"/>
      <c r="J263" s="24"/>
      <c r="K263" s="26"/>
      <c r="L263" s="26"/>
      <c r="M263" s="26"/>
      <c r="N263" s="26"/>
      <c r="O263" s="142"/>
      <c r="P263" s="149"/>
      <c r="Q263" s="149"/>
      <c r="R263" s="142"/>
      <c r="S263" s="142"/>
      <c r="T263" s="149"/>
      <c r="U263" s="142"/>
      <c r="V263" s="24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  <c r="AM263" s="82"/>
      <c r="AN263" s="82"/>
      <c r="AO263" s="82"/>
      <c r="AP263" s="82"/>
      <c r="AQ263" s="82"/>
      <c r="AR263" s="82"/>
    </row>
    <row r="264" customHeight="1" spans="1:44">
      <c r="A264" s="82"/>
      <c r="B264" s="24"/>
      <c r="C264" s="24"/>
      <c r="D264" s="24"/>
      <c r="E264" s="24"/>
      <c r="F264" s="24"/>
      <c r="G264" s="129"/>
      <c r="H264" s="24"/>
      <c r="I264" s="24"/>
      <c r="J264" s="24"/>
      <c r="K264" s="26"/>
      <c r="L264" s="26"/>
      <c r="M264" s="26"/>
      <c r="N264" s="26"/>
      <c r="O264" s="142"/>
      <c r="P264" s="149"/>
      <c r="Q264" s="149"/>
      <c r="R264" s="142"/>
      <c r="S264" s="142"/>
      <c r="T264" s="149"/>
      <c r="U264" s="142"/>
      <c r="V264" s="24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  <c r="AM264" s="82"/>
      <c r="AN264" s="82"/>
      <c r="AO264" s="82"/>
      <c r="AP264" s="82"/>
      <c r="AQ264" s="82"/>
      <c r="AR264" s="82"/>
    </row>
    <row r="265" customHeight="1" spans="1:44">
      <c r="A265" s="82"/>
      <c r="B265" s="24"/>
      <c r="C265" s="24"/>
      <c r="D265" s="24"/>
      <c r="E265" s="24"/>
      <c r="F265" s="24"/>
      <c r="G265" s="129"/>
      <c r="H265" s="24"/>
      <c r="I265" s="24"/>
      <c r="J265" s="24"/>
      <c r="K265" s="26"/>
      <c r="L265" s="26"/>
      <c r="M265" s="26"/>
      <c r="N265" s="26"/>
      <c r="O265" s="142"/>
      <c r="P265" s="149"/>
      <c r="Q265" s="149"/>
      <c r="R265" s="142"/>
      <c r="S265" s="142"/>
      <c r="T265" s="149"/>
      <c r="U265" s="142"/>
      <c r="V265" s="24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  <c r="AM265" s="82"/>
      <c r="AN265" s="82"/>
      <c r="AO265" s="82"/>
      <c r="AP265" s="82"/>
      <c r="AQ265" s="82"/>
      <c r="AR265" s="82"/>
    </row>
    <row r="266" customHeight="1" spans="1:44">
      <c r="A266" s="82"/>
      <c r="B266" s="24"/>
      <c r="C266" s="24"/>
      <c r="D266" s="24"/>
      <c r="E266" s="24"/>
      <c r="F266" s="24"/>
      <c r="G266" s="129"/>
      <c r="H266" s="24"/>
      <c r="I266" s="24"/>
      <c r="J266" s="24"/>
      <c r="K266" s="26"/>
      <c r="L266" s="26"/>
      <c r="M266" s="26"/>
      <c r="N266" s="26"/>
      <c r="O266" s="142"/>
      <c r="P266" s="149"/>
      <c r="Q266" s="149"/>
      <c r="R266" s="142"/>
      <c r="S266" s="142"/>
      <c r="T266" s="149"/>
      <c r="U266" s="142"/>
      <c r="V266" s="24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  <c r="AM266" s="82"/>
      <c r="AN266" s="82"/>
      <c r="AO266" s="82"/>
      <c r="AP266" s="82"/>
      <c r="AQ266" s="82"/>
      <c r="AR266" s="82"/>
    </row>
    <row r="267" customHeight="1" spans="1:44">
      <c r="A267" s="82"/>
      <c r="B267" s="24"/>
      <c r="C267" s="24"/>
      <c r="D267" s="24"/>
      <c r="E267" s="24"/>
      <c r="F267" s="24"/>
      <c r="G267" s="129"/>
      <c r="H267" s="24"/>
      <c r="I267" s="24"/>
      <c r="J267" s="24"/>
      <c r="K267" s="26"/>
      <c r="L267" s="26"/>
      <c r="M267" s="26"/>
      <c r="N267" s="26"/>
      <c r="O267" s="142"/>
      <c r="P267" s="149"/>
      <c r="Q267" s="149"/>
      <c r="R267" s="142"/>
      <c r="S267" s="142"/>
      <c r="T267" s="149"/>
      <c r="U267" s="142"/>
      <c r="V267" s="24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  <c r="AM267" s="82"/>
      <c r="AN267" s="82"/>
      <c r="AO267" s="82"/>
      <c r="AP267" s="82"/>
      <c r="AQ267" s="82"/>
      <c r="AR267" s="82"/>
    </row>
    <row r="268" customHeight="1" spans="1:44">
      <c r="A268" s="82"/>
      <c r="B268" s="24"/>
      <c r="C268" s="24"/>
      <c r="D268" s="24"/>
      <c r="E268" s="24"/>
      <c r="F268" s="24"/>
      <c r="G268" s="129"/>
      <c r="H268" s="24"/>
      <c r="I268" s="24"/>
      <c r="J268" s="24"/>
      <c r="K268" s="26"/>
      <c r="L268" s="26"/>
      <c r="M268" s="26"/>
      <c r="N268" s="26"/>
      <c r="O268" s="142"/>
      <c r="P268" s="149"/>
      <c r="Q268" s="149"/>
      <c r="R268" s="142"/>
      <c r="S268" s="142"/>
      <c r="T268" s="149"/>
      <c r="U268" s="142"/>
      <c r="V268" s="24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  <c r="AM268" s="82"/>
      <c r="AN268" s="82"/>
      <c r="AO268" s="82"/>
      <c r="AP268" s="82"/>
      <c r="AQ268" s="82"/>
      <c r="AR268" s="82"/>
    </row>
    <row r="269" customHeight="1" spans="1:44">
      <c r="A269" s="82"/>
      <c r="L269" s="26"/>
      <c r="M269" s="26"/>
      <c r="N269" s="26"/>
      <c r="O269" s="142"/>
      <c r="P269" s="149"/>
      <c r="Q269" s="149"/>
      <c r="T269" s="149"/>
      <c r="U269" s="14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  <c r="AM269" s="82"/>
      <c r="AN269" s="82"/>
      <c r="AO269" s="82"/>
      <c r="AP269" s="82"/>
      <c r="AQ269" s="82"/>
      <c r="AR269" s="82"/>
    </row>
    <row r="270" customHeight="1" spans="1:44">
      <c r="A270" s="82"/>
      <c r="B270" s="24"/>
      <c r="C270" s="24"/>
      <c r="D270" s="24"/>
      <c r="E270" s="24"/>
      <c r="F270" s="24"/>
      <c r="G270" s="129"/>
      <c r="H270" s="24"/>
      <c r="I270" s="24"/>
      <c r="J270" s="24"/>
      <c r="K270" s="26"/>
      <c r="L270" s="26"/>
      <c r="M270" s="26"/>
      <c r="N270" s="26"/>
      <c r="O270" s="142"/>
      <c r="P270" s="149"/>
      <c r="Q270" s="149"/>
      <c r="R270" s="142"/>
      <c r="S270" s="142"/>
      <c r="T270" s="149"/>
      <c r="U270" s="142"/>
      <c r="V270" s="24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  <c r="AM270" s="82"/>
      <c r="AN270" s="82"/>
      <c r="AO270" s="82"/>
      <c r="AP270" s="82"/>
      <c r="AQ270" s="82"/>
      <c r="AR270" s="82"/>
    </row>
    <row r="271" customHeight="1" spans="1:44">
      <c r="A271" s="82"/>
      <c r="B271" s="24"/>
      <c r="C271" s="24"/>
      <c r="D271" s="24"/>
      <c r="E271" s="24"/>
      <c r="F271" s="24"/>
      <c r="G271" s="129"/>
      <c r="H271" s="24"/>
      <c r="I271" s="24"/>
      <c r="J271" s="24"/>
      <c r="K271" s="26"/>
      <c r="R271" s="142"/>
      <c r="S271" s="142"/>
      <c r="T271" s="149"/>
      <c r="U271" s="142"/>
      <c r="V271" s="24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  <c r="AM271" s="82"/>
      <c r="AN271" s="82"/>
      <c r="AO271" s="82"/>
      <c r="AP271" s="82"/>
      <c r="AQ271" s="82"/>
      <c r="AR271" s="82"/>
    </row>
    <row r="272" customHeight="1" spans="1:44">
      <c r="A272" s="82"/>
      <c r="L272" s="26"/>
      <c r="M272" s="26"/>
      <c r="N272" s="26"/>
      <c r="O272" s="142"/>
      <c r="P272" s="149"/>
      <c r="Q272" s="149"/>
      <c r="T272" s="149"/>
      <c r="U272" s="14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  <c r="AM272" s="82"/>
      <c r="AN272" s="82"/>
      <c r="AO272" s="82"/>
      <c r="AP272" s="82"/>
      <c r="AQ272" s="82"/>
      <c r="AR272" s="82"/>
    </row>
    <row r="273" customHeight="1" spans="1:44">
      <c r="A273" s="82"/>
      <c r="B273" s="24"/>
      <c r="C273" s="24"/>
      <c r="D273" s="24"/>
      <c r="E273" s="24"/>
      <c r="F273" s="24"/>
      <c r="G273" s="129"/>
      <c r="H273" s="24"/>
      <c r="I273" s="24"/>
      <c r="J273" s="24"/>
      <c r="K273" s="26"/>
      <c r="L273" s="26"/>
      <c r="M273" s="26"/>
      <c r="N273" s="26"/>
      <c r="O273" s="142"/>
      <c r="P273" s="149"/>
      <c r="Q273" s="149"/>
      <c r="R273" s="142"/>
      <c r="S273" s="142"/>
      <c r="T273" s="149"/>
      <c r="U273" s="142"/>
      <c r="V273" s="24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  <c r="AM273" s="82"/>
      <c r="AN273" s="82"/>
      <c r="AO273" s="82"/>
      <c r="AP273" s="82"/>
      <c r="AQ273" s="82"/>
      <c r="AR273" s="82"/>
    </row>
    <row r="274" customHeight="1" spans="1:44">
      <c r="A274" s="82"/>
      <c r="B274" s="24"/>
      <c r="C274" s="24"/>
      <c r="D274" s="24"/>
      <c r="E274" s="24"/>
      <c r="F274" s="24"/>
      <c r="G274" s="129"/>
      <c r="H274" s="24"/>
      <c r="I274" s="24"/>
      <c r="J274" s="24"/>
      <c r="K274" s="26"/>
      <c r="R274" s="142"/>
      <c r="S274" s="142"/>
      <c r="T274" s="149"/>
      <c r="U274" s="142"/>
      <c r="V274" s="24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  <c r="AM274" s="82"/>
      <c r="AN274" s="82"/>
      <c r="AO274" s="82"/>
      <c r="AP274" s="82"/>
      <c r="AQ274" s="82"/>
      <c r="AR274" s="82"/>
    </row>
    <row r="275" customHeight="1" spans="1:44">
      <c r="A275" s="82"/>
      <c r="L275" s="26"/>
      <c r="M275" s="26"/>
      <c r="N275" s="26"/>
      <c r="O275" s="142"/>
      <c r="P275" s="149"/>
      <c r="Q275" s="149"/>
      <c r="T275" s="149"/>
      <c r="U275" s="14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  <c r="AM275" s="82"/>
      <c r="AN275" s="82"/>
      <c r="AO275" s="82"/>
      <c r="AP275" s="82"/>
      <c r="AQ275" s="82"/>
      <c r="AR275" s="82"/>
    </row>
    <row r="276" customHeight="1" spans="1:44">
      <c r="A276" s="82"/>
      <c r="B276" s="24"/>
      <c r="C276" s="24"/>
      <c r="D276" s="24"/>
      <c r="E276" s="24"/>
      <c r="F276" s="24"/>
      <c r="G276" s="129"/>
      <c r="H276" s="24"/>
      <c r="I276" s="24"/>
      <c r="J276" s="24"/>
      <c r="K276" s="26"/>
      <c r="L276" s="26"/>
      <c r="M276" s="26"/>
      <c r="N276" s="26"/>
      <c r="O276" s="142"/>
      <c r="P276" s="149"/>
      <c r="Q276" s="149"/>
      <c r="R276" s="142"/>
      <c r="S276" s="142"/>
      <c r="T276" s="149"/>
      <c r="U276" s="142"/>
      <c r="V276" s="24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  <c r="AM276" s="82"/>
      <c r="AN276" s="82"/>
      <c r="AO276" s="82"/>
      <c r="AP276" s="82"/>
      <c r="AQ276" s="82"/>
      <c r="AR276" s="82"/>
    </row>
    <row r="277" customHeight="1" spans="1:44">
      <c r="A277" s="82"/>
      <c r="B277" s="24"/>
      <c r="C277" s="24"/>
      <c r="D277" s="24"/>
      <c r="E277" s="24"/>
      <c r="F277" s="24"/>
      <c r="G277" s="129"/>
      <c r="H277" s="24"/>
      <c r="I277" s="24"/>
      <c r="J277" s="24"/>
      <c r="K277" s="26"/>
      <c r="O277" s="142"/>
      <c r="P277" s="149"/>
      <c r="Q277" s="149"/>
      <c r="R277" s="142"/>
      <c r="S277" s="142"/>
      <c r="T277" s="149"/>
      <c r="U277" s="142"/>
      <c r="V277" s="24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  <c r="AM277" s="82"/>
      <c r="AN277" s="82"/>
      <c r="AO277" s="82"/>
      <c r="AP277" s="82"/>
      <c r="AQ277" s="82"/>
      <c r="AR277" s="82"/>
    </row>
    <row r="278" customHeight="1" spans="1:44">
      <c r="A278" s="82"/>
      <c r="B278" s="24"/>
      <c r="C278" s="24"/>
      <c r="D278" s="24"/>
      <c r="E278" s="24"/>
      <c r="F278" s="24"/>
      <c r="G278" s="129"/>
      <c r="H278" s="24"/>
      <c r="I278" s="24"/>
      <c r="J278" s="24"/>
      <c r="K278" s="26"/>
      <c r="L278" s="26"/>
      <c r="M278" s="26"/>
      <c r="N278" s="26"/>
      <c r="O278" s="142"/>
      <c r="P278" s="149"/>
      <c r="Q278" s="149"/>
      <c r="R278" s="142"/>
      <c r="S278" s="142"/>
      <c r="T278" s="149"/>
      <c r="U278" s="142"/>
      <c r="V278" s="24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  <c r="AM278" s="82"/>
      <c r="AN278" s="82"/>
      <c r="AO278" s="82"/>
      <c r="AP278" s="82"/>
      <c r="AQ278" s="82"/>
      <c r="AR278" s="82"/>
    </row>
    <row r="279" customHeight="1" spans="1:44">
      <c r="A279" s="82"/>
      <c r="B279" s="24"/>
      <c r="C279" s="24"/>
      <c r="D279" s="24"/>
      <c r="E279" s="24"/>
      <c r="F279" s="24"/>
      <c r="G279" s="129"/>
      <c r="H279" s="24"/>
      <c r="I279" s="24"/>
      <c r="J279" s="24"/>
      <c r="K279" s="26"/>
      <c r="L279" s="26"/>
      <c r="M279" s="26"/>
      <c r="N279" s="26"/>
      <c r="O279" s="142"/>
      <c r="P279" s="149"/>
      <c r="Q279" s="149"/>
      <c r="R279" s="142"/>
      <c r="S279" s="142"/>
      <c r="T279" s="149"/>
      <c r="U279" s="142"/>
      <c r="V279" s="24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  <c r="AM279" s="82"/>
      <c r="AN279" s="82"/>
      <c r="AO279" s="82"/>
      <c r="AP279" s="82"/>
      <c r="AQ279" s="82"/>
      <c r="AR279" s="82"/>
    </row>
    <row r="280" customHeight="1" spans="1:44">
      <c r="A280" s="82"/>
      <c r="B280" s="24"/>
      <c r="C280" s="24"/>
      <c r="D280" s="24"/>
      <c r="E280" s="24"/>
      <c r="F280" s="24"/>
      <c r="G280" s="129"/>
      <c r="H280" s="24"/>
      <c r="I280" s="24"/>
      <c r="J280" s="24"/>
      <c r="K280" s="26"/>
      <c r="L280" s="26"/>
      <c r="M280" s="26"/>
      <c r="N280" s="26"/>
      <c r="O280" s="142"/>
      <c r="P280" s="149"/>
      <c r="Q280" s="149"/>
      <c r="R280" s="142"/>
      <c r="S280" s="142"/>
      <c r="T280" s="149"/>
      <c r="U280" s="142"/>
      <c r="V280" s="24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  <c r="AM280" s="82"/>
      <c r="AN280" s="82"/>
      <c r="AO280" s="82"/>
      <c r="AP280" s="82"/>
      <c r="AQ280" s="82"/>
      <c r="AR280" s="82"/>
    </row>
    <row r="281" customHeight="1" spans="1:44">
      <c r="A281" s="82"/>
      <c r="L281" s="26"/>
      <c r="M281" s="26"/>
      <c r="N281" s="26"/>
      <c r="O281" s="142"/>
      <c r="P281" s="149"/>
      <c r="Q281" s="149"/>
      <c r="T281" s="149"/>
      <c r="U281" s="14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  <c r="AM281" s="82"/>
      <c r="AN281" s="82"/>
      <c r="AO281" s="82"/>
      <c r="AP281" s="82"/>
      <c r="AQ281" s="82"/>
      <c r="AR281" s="82"/>
    </row>
    <row r="282" customHeight="1" spans="1:44">
      <c r="A282" s="82"/>
      <c r="B282" s="24"/>
      <c r="C282" s="24"/>
      <c r="D282" s="24"/>
      <c r="E282" s="24"/>
      <c r="F282" s="24"/>
      <c r="G282" s="129"/>
      <c r="H282" s="24"/>
      <c r="I282" s="24"/>
      <c r="J282" s="24"/>
      <c r="K282" s="26"/>
      <c r="L282" s="26"/>
      <c r="M282" s="26"/>
      <c r="N282" s="26"/>
      <c r="O282" s="142"/>
      <c r="P282" s="149"/>
      <c r="Q282" s="149"/>
      <c r="R282" s="142"/>
      <c r="S282" s="142"/>
      <c r="T282" s="149"/>
      <c r="U282" s="142"/>
      <c r="V282" s="24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  <c r="AM282" s="82"/>
      <c r="AN282" s="82"/>
      <c r="AO282" s="82"/>
      <c r="AP282" s="82"/>
      <c r="AQ282" s="82"/>
      <c r="AR282" s="82"/>
    </row>
    <row r="283" customHeight="1" spans="1:44">
      <c r="A283" s="82"/>
      <c r="T283" s="149"/>
      <c r="U283" s="14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  <c r="AM283" s="82"/>
      <c r="AN283" s="82"/>
      <c r="AO283" s="82"/>
      <c r="AP283" s="82"/>
      <c r="AQ283" s="82"/>
      <c r="AR283" s="82"/>
    </row>
    <row r="284" customHeight="1" spans="1:44">
      <c r="A284" s="82"/>
      <c r="B284" s="24"/>
      <c r="C284" s="24"/>
      <c r="D284" s="24"/>
      <c r="E284" s="24"/>
      <c r="F284" s="24"/>
      <c r="G284" s="129"/>
      <c r="H284" s="24"/>
      <c r="I284" s="24"/>
      <c r="J284" s="24"/>
      <c r="K284" s="26"/>
      <c r="L284" s="26"/>
      <c r="M284" s="26"/>
      <c r="N284" s="26"/>
      <c r="O284" s="142"/>
      <c r="P284" s="149"/>
      <c r="Q284" s="149"/>
      <c r="R284" s="142"/>
      <c r="S284" s="142"/>
      <c r="T284" s="149"/>
      <c r="U284" s="142"/>
      <c r="V284" s="24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  <c r="AM284" s="82"/>
      <c r="AN284" s="82"/>
      <c r="AO284" s="82"/>
      <c r="AP284" s="82"/>
      <c r="AQ284" s="82"/>
      <c r="AR284" s="82"/>
    </row>
    <row r="285" customHeight="1" spans="1:44">
      <c r="A285" s="82"/>
      <c r="T285" s="149"/>
      <c r="U285" s="14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  <c r="AM285" s="82"/>
      <c r="AN285" s="82"/>
      <c r="AO285" s="82"/>
      <c r="AP285" s="82"/>
      <c r="AQ285" s="82"/>
      <c r="AR285" s="82"/>
    </row>
    <row r="286" customHeight="1" spans="1:44">
      <c r="A286" s="82"/>
      <c r="B286" s="24"/>
      <c r="C286" s="24"/>
      <c r="D286" s="24"/>
      <c r="E286" s="24"/>
      <c r="F286" s="24"/>
      <c r="G286" s="129"/>
      <c r="H286" s="24"/>
      <c r="I286" s="24"/>
      <c r="J286" s="24"/>
      <c r="K286" s="26"/>
      <c r="L286" s="26"/>
      <c r="M286" s="26"/>
      <c r="N286" s="26"/>
      <c r="O286" s="142"/>
      <c r="P286" s="149"/>
      <c r="Q286" s="149"/>
      <c r="R286" s="142"/>
      <c r="S286" s="142"/>
      <c r="T286" s="149"/>
      <c r="U286" s="142"/>
      <c r="V286" s="24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  <c r="AM286" s="82"/>
      <c r="AN286" s="82"/>
      <c r="AO286" s="82"/>
      <c r="AP286" s="82"/>
      <c r="AQ286" s="82"/>
      <c r="AR286" s="82"/>
    </row>
    <row r="287" customHeight="1" spans="1:44">
      <c r="A287" s="82"/>
      <c r="B287" s="24"/>
      <c r="C287" s="24"/>
      <c r="D287" s="24"/>
      <c r="E287" s="24"/>
      <c r="F287" s="24"/>
      <c r="G287" s="129"/>
      <c r="H287" s="24"/>
      <c r="I287" s="24"/>
      <c r="J287" s="24"/>
      <c r="K287" s="26"/>
      <c r="R287" s="142"/>
      <c r="S287" s="142"/>
      <c r="T287" s="149"/>
      <c r="U287" s="142"/>
      <c r="V287" s="24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  <c r="AM287" s="82"/>
      <c r="AN287" s="82"/>
      <c r="AO287" s="82"/>
      <c r="AP287" s="82"/>
      <c r="AQ287" s="82"/>
      <c r="AR287" s="82"/>
    </row>
    <row r="288" customHeight="1" spans="1:44">
      <c r="A288" s="82"/>
      <c r="B288" s="24"/>
      <c r="C288" s="24"/>
      <c r="D288" s="24"/>
      <c r="E288" s="24"/>
      <c r="F288" s="24"/>
      <c r="G288" s="129"/>
      <c r="H288" s="24"/>
      <c r="I288" s="24"/>
      <c r="J288" s="24"/>
      <c r="K288" s="26"/>
      <c r="L288" s="26"/>
      <c r="M288" s="26"/>
      <c r="N288" s="26"/>
      <c r="O288" s="142"/>
      <c r="P288" s="149"/>
      <c r="Q288" s="149"/>
      <c r="R288" s="142"/>
      <c r="S288" s="142"/>
      <c r="T288" s="142"/>
      <c r="U288" s="142"/>
      <c r="V288" s="24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  <c r="AM288" s="82"/>
      <c r="AN288" s="82"/>
      <c r="AO288" s="82"/>
      <c r="AP288" s="82"/>
      <c r="AQ288" s="82"/>
      <c r="AR288" s="82"/>
    </row>
    <row r="289" customHeight="1" spans="1:44">
      <c r="A289" s="82"/>
      <c r="L289" s="26"/>
      <c r="M289" s="26"/>
      <c r="N289" s="26"/>
      <c r="O289" s="142"/>
      <c r="P289" s="149"/>
      <c r="Q289" s="149"/>
      <c r="T289" s="142"/>
      <c r="U289" s="14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  <c r="AM289" s="82"/>
      <c r="AN289" s="82"/>
      <c r="AO289" s="82"/>
      <c r="AP289" s="82"/>
      <c r="AQ289" s="82"/>
      <c r="AR289" s="82"/>
    </row>
    <row r="290" customHeight="1" spans="1:44">
      <c r="A290" s="82"/>
      <c r="L290" s="26"/>
      <c r="M290" s="26"/>
      <c r="N290" s="26"/>
      <c r="O290" s="142"/>
      <c r="P290" s="149"/>
      <c r="Q290" s="149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  <c r="AM290" s="82"/>
      <c r="AN290" s="82"/>
      <c r="AO290" s="82"/>
      <c r="AP290" s="82"/>
      <c r="AQ290" s="82"/>
      <c r="AR290" s="82"/>
    </row>
    <row r="291" customHeight="1" spans="1:44">
      <c r="A291" s="82"/>
      <c r="B291" s="24"/>
      <c r="C291" s="24"/>
      <c r="D291" s="24"/>
      <c r="E291" s="24"/>
      <c r="F291" s="24"/>
      <c r="G291" s="129"/>
      <c r="H291" s="24"/>
      <c r="I291" s="24"/>
      <c r="J291" s="24"/>
      <c r="K291" s="26"/>
      <c r="O291" s="142"/>
      <c r="P291" s="149"/>
      <c r="Q291" s="149"/>
      <c r="R291" s="142"/>
      <c r="S291" s="142"/>
      <c r="T291" s="149"/>
      <c r="U291" s="142"/>
      <c r="V291" s="24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  <c r="AM291" s="82"/>
      <c r="AN291" s="82"/>
      <c r="AO291" s="82"/>
      <c r="AP291" s="82"/>
      <c r="AQ291" s="82"/>
      <c r="AR291" s="82"/>
    </row>
    <row r="292" customHeight="1" spans="1:44">
      <c r="A292" s="82"/>
      <c r="B292" s="147"/>
      <c r="C292" s="147"/>
      <c r="D292" s="147"/>
      <c r="E292" s="147"/>
      <c r="F292" s="147"/>
      <c r="G292" s="148"/>
      <c r="H292" s="147"/>
      <c r="I292" s="147"/>
      <c r="J292" s="147"/>
      <c r="K292" s="151"/>
      <c r="R292" s="154"/>
      <c r="S292" s="154"/>
      <c r="T292" s="44"/>
      <c r="U292" s="154"/>
      <c r="V292" s="147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  <c r="AM292" s="82"/>
      <c r="AN292" s="82"/>
      <c r="AO292" s="82"/>
      <c r="AP292" s="82"/>
      <c r="AQ292" s="82"/>
      <c r="AR292" s="82"/>
    </row>
    <row r="293" customHeight="1" spans="1:44">
      <c r="A293" s="82"/>
      <c r="B293" s="147"/>
      <c r="C293" s="147"/>
      <c r="D293" s="147"/>
      <c r="E293" s="147"/>
      <c r="F293" s="147"/>
      <c r="G293" s="148"/>
      <c r="H293" s="147"/>
      <c r="I293" s="147"/>
      <c r="J293" s="147"/>
      <c r="K293" s="151"/>
      <c r="L293" s="26"/>
      <c r="M293" s="26"/>
      <c r="N293" s="26"/>
      <c r="R293" s="154"/>
      <c r="S293" s="154"/>
      <c r="T293" s="44"/>
      <c r="U293" s="154"/>
      <c r="V293" s="147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  <c r="AM293" s="82"/>
      <c r="AN293" s="82"/>
      <c r="AO293" s="82"/>
      <c r="AP293" s="82"/>
      <c r="AQ293" s="82"/>
      <c r="AR293" s="82"/>
    </row>
    <row r="294" customHeight="1" spans="1:44">
      <c r="A294" s="82"/>
      <c r="B294" s="24"/>
      <c r="C294" s="24"/>
      <c r="D294" s="24"/>
      <c r="E294" s="24"/>
      <c r="F294" s="24"/>
      <c r="G294" s="129"/>
      <c r="H294" s="24"/>
      <c r="I294" s="24"/>
      <c r="J294" s="24"/>
      <c r="K294" s="26"/>
      <c r="L294" s="151"/>
      <c r="M294" s="151"/>
      <c r="N294" s="151"/>
      <c r="O294" s="154"/>
      <c r="P294" s="44"/>
      <c r="Q294" s="44"/>
      <c r="R294" s="142"/>
      <c r="S294" s="142"/>
      <c r="T294" s="149"/>
      <c r="U294" s="142"/>
      <c r="V294" s="24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  <c r="AM294" s="82"/>
      <c r="AN294" s="82"/>
      <c r="AO294" s="82"/>
      <c r="AP294" s="82"/>
      <c r="AQ294" s="82"/>
      <c r="AR294" s="82"/>
    </row>
    <row r="295" customHeight="1" spans="1:44">
      <c r="A295" s="82"/>
      <c r="B295" s="24"/>
      <c r="C295" s="24"/>
      <c r="D295" s="24"/>
      <c r="E295" s="24"/>
      <c r="F295" s="24"/>
      <c r="G295" s="129"/>
      <c r="H295" s="24"/>
      <c r="I295" s="24"/>
      <c r="J295" s="24"/>
      <c r="K295" s="26"/>
      <c r="L295" s="151"/>
      <c r="M295" s="151"/>
      <c r="N295" s="151"/>
      <c r="O295" s="154"/>
      <c r="P295" s="44"/>
      <c r="Q295" s="44"/>
      <c r="R295" s="142"/>
      <c r="S295" s="142"/>
      <c r="T295" s="149"/>
      <c r="U295" s="142"/>
      <c r="V295" s="24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  <c r="AM295" s="82"/>
      <c r="AN295" s="82"/>
      <c r="AO295" s="82"/>
      <c r="AP295" s="82"/>
      <c r="AQ295" s="82"/>
      <c r="AR295" s="82"/>
    </row>
    <row r="296" customHeight="1" spans="1:44">
      <c r="A296" s="82"/>
      <c r="B296" s="24"/>
      <c r="C296" s="24"/>
      <c r="D296" s="24"/>
      <c r="E296" s="24"/>
      <c r="F296" s="24"/>
      <c r="G296" s="129"/>
      <c r="H296" s="24"/>
      <c r="I296" s="24"/>
      <c r="J296" s="24"/>
      <c r="K296" s="26"/>
      <c r="L296" s="26"/>
      <c r="M296" s="26"/>
      <c r="N296" s="26"/>
      <c r="O296" s="142"/>
      <c r="P296" s="149"/>
      <c r="Q296" s="149"/>
      <c r="R296" s="142"/>
      <c r="S296" s="142"/>
      <c r="T296" s="149"/>
      <c r="U296" s="142"/>
      <c r="V296" s="24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  <c r="AM296" s="82"/>
      <c r="AN296" s="82"/>
      <c r="AO296" s="82"/>
      <c r="AP296" s="82"/>
      <c r="AQ296" s="82"/>
      <c r="AR296" s="82"/>
    </row>
    <row r="297" customHeight="1" spans="1:44">
      <c r="A297" s="82"/>
      <c r="B297" s="24"/>
      <c r="C297" s="24"/>
      <c r="D297" s="24"/>
      <c r="E297" s="24"/>
      <c r="F297" s="24"/>
      <c r="G297" s="129"/>
      <c r="H297" s="24"/>
      <c r="I297" s="24"/>
      <c r="J297" s="24"/>
      <c r="K297" s="26"/>
      <c r="L297" s="26"/>
      <c r="M297" s="26"/>
      <c r="N297" s="26"/>
      <c r="O297" s="142"/>
      <c r="P297" s="149"/>
      <c r="Q297" s="149"/>
      <c r="R297" s="142"/>
      <c r="S297" s="142"/>
      <c r="T297" s="149"/>
      <c r="U297" s="142"/>
      <c r="V297" s="24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  <c r="AM297" s="82"/>
      <c r="AN297" s="82"/>
      <c r="AO297" s="82"/>
      <c r="AP297" s="82"/>
      <c r="AQ297" s="82"/>
      <c r="AR297" s="82"/>
    </row>
    <row r="298" customHeight="1" spans="1:44">
      <c r="A298" s="82"/>
      <c r="B298" s="24"/>
      <c r="C298" s="24"/>
      <c r="D298" s="24"/>
      <c r="E298" s="24"/>
      <c r="F298" s="24"/>
      <c r="G298" s="129"/>
      <c r="H298" s="24"/>
      <c r="I298" s="24"/>
      <c r="J298" s="24"/>
      <c r="K298" s="26"/>
      <c r="L298" s="26"/>
      <c r="M298" s="26"/>
      <c r="N298" s="26"/>
      <c r="O298" s="142"/>
      <c r="P298" s="149"/>
      <c r="Q298" s="149"/>
      <c r="R298" s="142"/>
      <c r="S298" s="142"/>
      <c r="T298" s="149"/>
      <c r="U298" s="142"/>
      <c r="V298" s="24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  <c r="AN298" s="82"/>
      <c r="AO298" s="82"/>
      <c r="AP298" s="82"/>
      <c r="AQ298" s="82"/>
      <c r="AR298" s="82"/>
    </row>
    <row r="299" customHeight="1" spans="1:44">
      <c r="A299" s="82"/>
      <c r="B299" s="24"/>
      <c r="C299" s="24"/>
      <c r="D299" s="24"/>
      <c r="E299" s="24"/>
      <c r="F299" s="24"/>
      <c r="G299" s="129"/>
      <c r="H299" s="24"/>
      <c r="I299" s="24"/>
      <c r="J299" s="24"/>
      <c r="K299" s="26"/>
      <c r="L299" s="26"/>
      <c r="M299" s="26"/>
      <c r="N299" s="26"/>
      <c r="O299" s="142"/>
      <c r="P299" s="149"/>
      <c r="Q299" s="149"/>
      <c r="R299" s="142"/>
      <c r="S299" s="142"/>
      <c r="T299" s="149"/>
      <c r="U299" s="142"/>
      <c r="V299" s="24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</row>
    <row r="300" customHeight="1" spans="1:44">
      <c r="A300" s="82"/>
      <c r="L300" s="26"/>
      <c r="M300" s="26"/>
      <c r="N300" s="26"/>
      <c r="O300" s="142"/>
      <c r="P300" s="149"/>
      <c r="Q300" s="149"/>
      <c r="T300" s="149"/>
      <c r="U300" s="14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  <c r="AR300" s="82"/>
    </row>
    <row r="301" customHeight="1" spans="1:44">
      <c r="A301" s="82"/>
      <c r="B301" s="24"/>
      <c r="C301" s="24"/>
      <c r="D301" s="24"/>
      <c r="E301" s="24"/>
      <c r="F301" s="24"/>
      <c r="G301" s="129"/>
      <c r="H301" s="24"/>
      <c r="I301" s="24"/>
      <c r="J301" s="24"/>
      <c r="K301" s="26"/>
      <c r="L301" s="26"/>
      <c r="M301" s="26"/>
      <c r="N301" s="26"/>
      <c r="O301" s="142"/>
      <c r="P301" s="149"/>
      <c r="Q301" s="149"/>
      <c r="R301" s="142"/>
      <c r="S301" s="142"/>
      <c r="T301" s="149"/>
      <c r="U301" s="142"/>
      <c r="V301" s="24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  <c r="AM301" s="82"/>
      <c r="AN301" s="82"/>
      <c r="AO301" s="82"/>
      <c r="AP301" s="82"/>
      <c r="AQ301" s="82"/>
      <c r="AR301" s="82"/>
    </row>
    <row r="302" customHeight="1" spans="1:44">
      <c r="A302" s="82"/>
      <c r="B302" s="24"/>
      <c r="C302" s="24"/>
      <c r="D302" s="24"/>
      <c r="E302" s="24"/>
      <c r="F302" s="24"/>
      <c r="G302" s="129"/>
      <c r="H302" s="24"/>
      <c r="I302" s="24"/>
      <c r="J302" s="24"/>
      <c r="K302" s="26"/>
      <c r="R302" s="142"/>
      <c r="S302" s="142"/>
      <c r="T302" s="149"/>
      <c r="U302" s="142"/>
      <c r="V302" s="24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  <c r="AM302" s="82"/>
      <c r="AN302" s="82"/>
      <c r="AO302" s="82"/>
      <c r="AP302" s="82"/>
      <c r="AQ302" s="82"/>
      <c r="AR302" s="82"/>
    </row>
    <row r="303" customHeight="1" spans="1:44">
      <c r="A303" s="82"/>
      <c r="B303" s="24"/>
      <c r="C303" s="24"/>
      <c r="D303" s="24"/>
      <c r="E303" s="24"/>
      <c r="F303" s="24"/>
      <c r="G303" s="129"/>
      <c r="H303" s="24"/>
      <c r="I303" s="24"/>
      <c r="J303" s="24"/>
      <c r="K303" s="26"/>
      <c r="L303" s="26"/>
      <c r="M303" s="26"/>
      <c r="N303" s="26"/>
      <c r="O303" s="142"/>
      <c r="P303" s="149"/>
      <c r="Q303" s="149"/>
      <c r="R303" s="142"/>
      <c r="S303" s="142"/>
      <c r="T303" s="149"/>
      <c r="U303" s="142"/>
      <c r="V303" s="24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  <c r="AM303" s="82"/>
      <c r="AN303" s="82"/>
      <c r="AO303" s="82"/>
      <c r="AP303" s="82"/>
      <c r="AQ303" s="82"/>
      <c r="AR303" s="82"/>
    </row>
    <row r="304" customHeight="1" spans="1:44">
      <c r="A304" s="82"/>
      <c r="B304" s="147"/>
      <c r="C304" s="147"/>
      <c r="D304" s="147"/>
      <c r="E304" s="147"/>
      <c r="F304" s="147"/>
      <c r="G304" s="148"/>
      <c r="H304" s="147"/>
      <c r="I304" s="147"/>
      <c r="J304" s="147"/>
      <c r="K304" s="151"/>
      <c r="L304" s="26"/>
      <c r="M304" s="26"/>
      <c r="N304" s="26"/>
      <c r="O304" s="142"/>
      <c r="P304" s="149"/>
      <c r="Q304" s="149"/>
      <c r="R304" s="154"/>
      <c r="S304" s="154"/>
      <c r="T304" s="44"/>
      <c r="U304" s="154"/>
      <c r="V304" s="147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  <c r="AM304" s="82"/>
      <c r="AN304" s="82"/>
      <c r="AO304" s="82"/>
      <c r="AP304" s="82"/>
      <c r="AQ304" s="82"/>
      <c r="AR304" s="82"/>
    </row>
    <row r="305" customHeight="1" spans="1:44">
      <c r="A305" s="82"/>
      <c r="B305" s="24"/>
      <c r="C305" s="24"/>
      <c r="D305" s="24"/>
      <c r="E305" s="24"/>
      <c r="F305" s="24"/>
      <c r="G305" s="129"/>
      <c r="H305" s="24"/>
      <c r="I305" s="24"/>
      <c r="J305" s="24"/>
      <c r="K305" s="26"/>
      <c r="L305" s="26"/>
      <c r="M305" s="26"/>
      <c r="N305" s="26"/>
      <c r="O305" s="142"/>
      <c r="P305" s="149"/>
      <c r="Q305" s="149"/>
      <c r="R305" s="142"/>
      <c r="S305" s="142"/>
      <c r="T305" s="149"/>
      <c r="U305" s="142"/>
      <c r="V305" s="24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  <c r="AM305" s="82"/>
      <c r="AN305" s="82"/>
      <c r="AO305" s="82"/>
      <c r="AP305" s="82"/>
      <c r="AQ305" s="82"/>
      <c r="AR305" s="82"/>
    </row>
    <row r="306" customHeight="1" spans="1:44">
      <c r="A306" s="82"/>
      <c r="B306" s="147"/>
      <c r="C306" s="147"/>
      <c r="D306" s="147"/>
      <c r="E306" s="147"/>
      <c r="F306" s="147"/>
      <c r="G306" s="148"/>
      <c r="H306" s="147"/>
      <c r="I306" s="147"/>
      <c r="J306" s="147"/>
      <c r="K306" s="151"/>
      <c r="L306" s="151"/>
      <c r="M306" s="151"/>
      <c r="N306" s="151"/>
      <c r="O306" s="154"/>
      <c r="P306" s="44"/>
      <c r="Q306" s="44"/>
      <c r="R306" s="154"/>
      <c r="S306" s="154"/>
      <c r="T306" s="44"/>
      <c r="U306" s="154"/>
      <c r="V306" s="147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  <c r="AM306" s="82"/>
      <c r="AN306" s="82"/>
      <c r="AO306" s="82"/>
      <c r="AP306" s="82"/>
      <c r="AQ306" s="82"/>
      <c r="AR306" s="82"/>
    </row>
    <row r="307" customHeight="1" spans="1:44">
      <c r="A307" s="82"/>
      <c r="B307" s="24"/>
      <c r="C307" s="24"/>
      <c r="D307" s="24"/>
      <c r="E307" s="24"/>
      <c r="F307" s="24"/>
      <c r="G307" s="129"/>
      <c r="H307" s="24"/>
      <c r="I307" s="24"/>
      <c r="J307" s="24"/>
      <c r="K307" s="26"/>
      <c r="L307" s="26"/>
      <c r="M307" s="26"/>
      <c r="N307" s="26"/>
      <c r="O307" s="142"/>
      <c r="P307" s="149"/>
      <c r="Q307" s="149"/>
      <c r="R307" s="142"/>
      <c r="S307" s="142"/>
      <c r="T307" s="149"/>
      <c r="U307" s="142"/>
      <c r="V307" s="24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K307" s="82"/>
      <c r="AL307" s="82"/>
      <c r="AM307" s="82"/>
      <c r="AN307" s="82"/>
      <c r="AO307" s="82"/>
      <c r="AP307" s="82"/>
      <c r="AQ307" s="82"/>
      <c r="AR307" s="82"/>
    </row>
    <row r="308" customHeight="1" spans="1:44">
      <c r="A308" s="82"/>
      <c r="B308" s="24"/>
      <c r="C308" s="24"/>
      <c r="D308" s="24"/>
      <c r="E308" s="24"/>
      <c r="F308" s="24"/>
      <c r="G308" s="129"/>
      <c r="H308" s="24"/>
      <c r="I308" s="24"/>
      <c r="J308" s="24"/>
      <c r="K308" s="26"/>
      <c r="L308" s="151"/>
      <c r="M308" s="151"/>
      <c r="N308" s="151"/>
      <c r="O308" s="154"/>
      <c r="P308" s="44"/>
      <c r="Q308" s="44"/>
      <c r="R308" s="142"/>
      <c r="S308" s="142"/>
      <c r="T308" s="149"/>
      <c r="U308" s="142"/>
      <c r="V308" s="24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K308" s="82"/>
      <c r="AL308" s="82"/>
      <c r="AM308" s="82"/>
      <c r="AN308" s="82"/>
      <c r="AO308" s="82"/>
      <c r="AP308" s="82"/>
      <c r="AQ308" s="82"/>
      <c r="AR308" s="82"/>
    </row>
    <row r="309" customHeight="1" spans="1:44">
      <c r="A309" s="82"/>
      <c r="L309" s="26"/>
      <c r="M309" s="26"/>
      <c r="N309" s="26"/>
      <c r="O309" s="142"/>
      <c r="P309" s="149"/>
      <c r="Q309" s="149"/>
      <c r="T309" s="149"/>
      <c r="U309" s="14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  <c r="AL309" s="82"/>
      <c r="AM309" s="82"/>
      <c r="AN309" s="82"/>
      <c r="AO309" s="82"/>
      <c r="AP309" s="82"/>
      <c r="AQ309" s="82"/>
      <c r="AR309" s="82"/>
    </row>
    <row r="310" customHeight="1" spans="1:44">
      <c r="A310" s="82"/>
      <c r="B310" s="24"/>
      <c r="C310" s="24"/>
      <c r="D310" s="24"/>
      <c r="E310" s="24"/>
      <c r="F310" s="24"/>
      <c r="G310" s="129"/>
      <c r="H310" s="24"/>
      <c r="I310" s="24"/>
      <c r="J310" s="24"/>
      <c r="K310" s="26"/>
      <c r="L310" s="26"/>
      <c r="M310" s="26"/>
      <c r="N310" s="26"/>
      <c r="O310" s="142"/>
      <c r="P310" s="149"/>
      <c r="Q310" s="149"/>
      <c r="R310" s="142"/>
      <c r="S310" s="142"/>
      <c r="T310" s="149"/>
      <c r="U310" s="142"/>
      <c r="V310" s="24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  <c r="AM310" s="82"/>
      <c r="AN310" s="82"/>
      <c r="AO310" s="82"/>
      <c r="AP310" s="82"/>
      <c r="AQ310" s="82"/>
      <c r="AR310" s="82"/>
    </row>
    <row r="311" customHeight="1" spans="1:44">
      <c r="A311" s="82"/>
      <c r="T311" s="149"/>
      <c r="U311" s="14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  <c r="AM311" s="82"/>
      <c r="AN311" s="82"/>
      <c r="AO311" s="82"/>
      <c r="AP311" s="82"/>
      <c r="AQ311" s="82"/>
      <c r="AR311" s="82"/>
    </row>
    <row r="312" customHeight="1" spans="1:44">
      <c r="A312" s="82"/>
      <c r="B312" s="24"/>
      <c r="C312" s="24"/>
      <c r="D312" s="24"/>
      <c r="E312" s="24"/>
      <c r="F312" s="24"/>
      <c r="G312" s="129"/>
      <c r="H312" s="24"/>
      <c r="I312" s="24"/>
      <c r="J312" s="24"/>
      <c r="K312" s="26"/>
      <c r="L312" s="26"/>
      <c r="M312" s="26"/>
      <c r="N312" s="26"/>
      <c r="O312" s="142"/>
      <c r="P312" s="149"/>
      <c r="Q312" s="149"/>
      <c r="R312" s="142"/>
      <c r="S312" s="142"/>
      <c r="T312" s="149"/>
      <c r="U312" s="142"/>
      <c r="V312" s="24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K312" s="82"/>
      <c r="AL312" s="82"/>
      <c r="AM312" s="82"/>
      <c r="AN312" s="82"/>
      <c r="AO312" s="82"/>
      <c r="AP312" s="82"/>
      <c r="AQ312" s="82"/>
      <c r="AR312" s="82"/>
    </row>
    <row r="313" customHeight="1" spans="1:44">
      <c r="A313" s="82"/>
      <c r="T313" s="149"/>
      <c r="U313" s="14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K313" s="82"/>
      <c r="AL313" s="82"/>
      <c r="AM313" s="82"/>
      <c r="AN313" s="82"/>
      <c r="AO313" s="82"/>
      <c r="AP313" s="82"/>
      <c r="AQ313" s="82"/>
      <c r="AR313" s="82"/>
    </row>
    <row r="314" customHeight="1" spans="1:44">
      <c r="A314" s="82"/>
      <c r="B314" s="24"/>
      <c r="C314" s="24"/>
      <c r="D314" s="24"/>
      <c r="E314" s="24"/>
      <c r="F314" s="24"/>
      <c r="G314" s="129"/>
      <c r="H314" s="24"/>
      <c r="I314" s="24"/>
      <c r="J314" s="24"/>
      <c r="K314" s="26"/>
      <c r="L314" s="26"/>
      <c r="M314" s="26"/>
      <c r="N314" s="26"/>
      <c r="O314" s="142"/>
      <c r="P314" s="149"/>
      <c r="Q314" s="149"/>
      <c r="R314" s="142"/>
      <c r="S314" s="142"/>
      <c r="T314" s="149"/>
      <c r="U314" s="142"/>
      <c r="V314" s="24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  <c r="AM314" s="82"/>
      <c r="AN314" s="82"/>
      <c r="AO314" s="82"/>
      <c r="AP314" s="82"/>
      <c r="AQ314" s="82"/>
      <c r="AR314" s="82"/>
    </row>
    <row r="315" customHeight="1" spans="1:44">
      <c r="A315" s="82"/>
      <c r="T315" s="149"/>
      <c r="U315" s="14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  <c r="AM315" s="82"/>
      <c r="AN315" s="82"/>
      <c r="AO315" s="82"/>
      <c r="AP315" s="82"/>
      <c r="AQ315" s="82"/>
      <c r="AR315" s="82"/>
    </row>
    <row r="316" customHeight="1" spans="1:44">
      <c r="A316" s="82"/>
      <c r="B316" s="24"/>
      <c r="C316" s="24"/>
      <c r="D316" s="24"/>
      <c r="E316" s="24"/>
      <c r="F316" s="24"/>
      <c r="G316" s="129"/>
      <c r="H316" s="24"/>
      <c r="I316" s="24"/>
      <c r="J316" s="24"/>
      <c r="K316" s="26"/>
      <c r="L316" s="26"/>
      <c r="M316" s="26"/>
      <c r="N316" s="26"/>
      <c r="O316" s="142"/>
      <c r="P316" s="149"/>
      <c r="Q316" s="149"/>
      <c r="R316" s="149"/>
      <c r="S316" s="149"/>
      <c r="T316" s="149"/>
      <c r="U316" s="149"/>
      <c r="V316" s="24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  <c r="AM316" s="82"/>
      <c r="AN316" s="82"/>
      <c r="AO316" s="82"/>
      <c r="AP316" s="82"/>
      <c r="AQ316" s="82"/>
      <c r="AR316" s="82"/>
    </row>
    <row r="317" customHeight="1" spans="1:44">
      <c r="A317" s="82"/>
      <c r="T317" s="149"/>
      <c r="U317" s="149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  <c r="AM317" s="82"/>
      <c r="AN317" s="82"/>
      <c r="AO317" s="82"/>
      <c r="AP317" s="82"/>
      <c r="AQ317" s="82"/>
      <c r="AR317" s="82"/>
    </row>
    <row r="318" customHeight="1" spans="1:44">
      <c r="A318" s="82"/>
      <c r="B318" s="82"/>
      <c r="C318" s="82"/>
      <c r="D318" s="82"/>
      <c r="E318" s="82"/>
      <c r="F318" s="82"/>
      <c r="G318" s="129"/>
      <c r="H318" s="82"/>
      <c r="I318" s="82"/>
      <c r="J318" s="82"/>
      <c r="K318" s="83"/>
      <c r="L318" s="26"/>
      <c r="M318" s="26"/>
      <c r="N318" s="26"/>
      <c r="O318" s="149"/>
      <c r="P318" s="149"/>
      <c r="Q318" s="149"/>
      <c r="R318" s="149"/>
      <c r="S318" s="149"/>
      <c r="T318" s="149"/>
      <c r="U318" s="142"/>
      <c r="V318" s="24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K318" s="82"/>
      <c r="AL318" s="82"/>
      <c r="AM318" s="82"/>
      <c r="AN318" s="82"/>
      <c r="AO318" s="82"/>
      <c r="AP318" s="82"/>
      <c r="AQ318" s="82"/>
      <c r="AR318" s="82"/>
    </row>
    <row r="319" customHeight="1" spans="1:44">
      <c r="A319" s="82"/>
      <c r="T319" s="149"/>
      <c r="U319" s="14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  <c r="AK319" s="82"/>
      <c r="AL319" s="82"/>
      <c r="AM319" s="82"/>
      <c r="AN319" s="82"/>
      <c r="AO319" s="82"/>
      <c r="AP319" s="82"/>
      <c r="AQ319" s="82"/>
      <c r="AR319" s="82"/>
    </row>
    <row r="320" customHeight="1" spans="1:44">
      <c r="A320" s="82"/>
      <c r="L320" s="83"/>
      <c r="M320" s="83"/>
      <c r="N320" s="83"/>
      <c r="O320" s="142"/>
      <c r="P320" s="149"/>
      <c r="Q320" s="149"/>
      <c r="T320" s="149"/>
      <c r="U320" s="14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  <c r="AM320" s="82"/>
      <c r="AN320" s="82"/>
      <c r="AO320" s="82"/>
      <c r="AP320" s="82"/>
      <c r="AQ320" s="82"/>
      <c r="AR320" s="82"/>
    </row>
    <row r="321" customHeight="1" spans="1:44">
      <c r="A321" s="82"/>
      <c r="B321" s="24"/>
      <c r="C321" s="24"/>
      <c r="D321" s="24"/>
      <c r="E321" s="24"/>
      <c r="F321" s="24"/>
      <c r="G321" s="129"/>
      <c r="H321" s="24"/>
      <c r="I321" s="24"/>
      <c r="J321" s="24"/>
      <c r="K321" s="26"/>
      <c r="O321" s="142"/>
      <c r="P321" s="149"/>
      <c r="Q321" s="149"/>
      <c r="R321" s="142"/>
      <c r="S321" s="142"/>
      <c r="T321" s="149"/>
      <c r="U321" s="142"/>
      <c r="V321" s="24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  <c r="AM321" s="82"/>
      <c r="AN321" s="82"/>
      <c r="AO321" s="82"/>
      <c r="AP321" s="82"/>
      <c r="AQ321" s="82"/>
      <c r="AR321" s="82"/>
    </row>
    <row r="322" customHeight="1" spans="1:44">
      <c r="A322" s="82"/>
      <c r="B322" s="24"/>
      <c r="C322" s="24"/>
      <c r="D322" s="24"/>
      <c r="E322" s="24"/>
      <c r="F322" s="24"/>
      <c r="G322" s="129"/>
      <c r="H322" s="24"/>
      <c r="I322" s="24"/>
      <c r="J322" s="24"/>
      <c r="K322" s="26"/>
      <c r="R322" s="142"/>
      <c r="S322" s="142"/>
      <c r="T322" s="149"/>
      <c r="U322" s="142"/>
      <c r="V322" s="24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  <c r="AM322" s="82"/>
      <c r="AN322" s="82"/>
      <c r="AO322" s="82"/>
      <c r="AP322" s="82"/>
      <c r="AQ322" s="82"/>
      <c r="AR322" s="82"/>
    </row>
    <row r="323" customHeight="1" spans="1:44">
      <c r="A323" s="82"/>
      <c r="B323" s="24"/>
      <c r="C323" s="24"/>
      <c r="D323" s="24"/>
      <c r="E323" s="24"/>
      <c r="F323" s="24"/>
      <c r="G323" s="129"/>
      <c r="H323" s="24"/>
      <c r="I323" s="24"/>
      <c r="J323" s="24"/>
      <c r="K323" s="26"/>
      <c r="L323" s="26"/>
      <c r="M323" s="26"/>
      <c r="N323" s="26"/>
      <c r="O323" s="149"/>
      <c r="P323" s="149"/>
      <c r="Q323" s="149"/>
      <c r="R323" s="149"/>
      <c r="S323" s="149"/>
      <c r="T323" s="149"/>
      <c r="U323" s="149"/>
      <c r="V323" s="24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  <c r="AR323" s="82"/>
    </row>
    <row r="324" customHeight="1" spans="1:44">
      <c r="A324" s="82"/>
      <c r="B324" s="147"/>
      <c r="C324" s="147"/>
      <c r="D324" s="147"/>
      <c r="E324" s="147"/>
      <c r="F324" s="147"/>
      <c r="G324" s="148"/>
      <c r="H324" s="147"/>
      <c r="I324" s="147"/>
      <c r="J324" s="147"/>
      <c r="K324" s="151"/>
      <c r="L324" s="26"/>
      <c r="M324" s="26"/>
      <c r="N324" s="26"/>
      <c r="O324" s="149"/>
      <c r="P324" s="149"/>
      <c r="Q324" s="149"/>
      <c r="R324" s="154"/>
      <c r="S324" s="154"/>
      <c r="T324" s="44"/>
      <c r="U324" s="154"/>
      <c r="V324" s="147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  <c r="AR324" s="82"/>
    </row>
    <row r="325" customHeight="1" spans="1:44">
      <c r="A325" s="82"/>
      <c r="B325" s="147"/>
      <c r="C325" s="147"/>
      <c r="E325" s="147"/>
      <c r="K325" s="151"/>
      <c r="L325" s="26"/>
      <c r="M325" s="26"/>
      <c r="N325" s="26"/>
      <c r="O325" s="149"/>
      <c r="P325" s="149"/>
      <c r="Q325" s="149"/>
      <c r="R325" s="154"/>
      <c r="S325" s="154"/>
      <c r="U325" s="154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  <c r="AR325" s="82"/>
    </row>
    <row r="326" customHeight="1" spans="1:44">
      <c r="A326" s="82"/>
      <c r="B326" s="24"/>
      <c r="C326" s="24"/>
      <c r="D326" s="24"/>
      <c r="E326" s="24"/>
      <c r="F326" s="24"/>
      <c r="G326" s="129"/>
      <c r="H326" s="24"/>
      <c r="I326" s="24"/>
      <c r="J326" s="24"/>
      <c r="K326" s="26"/>
      <c r="L326" s="151"/>
      <c r="M326" s="151"/>
      <c r="N326" s="151"/>
      <c r="O326" s="154"/>
      <c r="P326" s="44"/>
      <c r="Q326" s="44"/>
      <c r="R326" s="142"/>
      <c r="S326" s="142"/>
      <c r="T326" s="149"/>
      <c r="U326" s="142"/>
      <c r="V326" s="24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</row>
    <row r="327" customHeight="1" spans="1:44">
      <c r="A327" s="82"/>
      <c r="B327" s="24"/>
      <c r="C327" s="24"/>
      <c r="D327" s="24"/>
      <c r="E327" s="24"/>
      <c r="K327" s="26"/>
      <c r="L327" s="151"/>
      <c r="M327" s="151"/>
      <c r="N327" s="151"/>
      <c r="O327" s="154"/>
      <c r="R327" s="142"/>
      <c r="S327" s="142"/>
      <c r="U327" s="14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</row>
    <row r="328" customHeight="1" spans="1:44">
      <c r="A328" s="82"/>
      <c r="B328" s="147"/>
      <c r="C328" s="147"/>
      <c r="D328" s="147"/>
      <c r="E328" s="147"/>
      <c r="F328" s="147"/>
      <c r="G328" s="148"/>
      <c r="H328" s="147"/>
      <c r="I328" s="147"/>
      <c r="J328" s="147"/>
      <c r="K328" s="151"/>
      <c r="L328" s="26"/>
      <c r="M328" s="26"/>
      <c r="N328" s="26"/>
      <c r="O328" s="142"/>
      <c r="P328" s="149"/>
      <c r="Q328" s="149"/>
      <c r="R328" s="154"/>
      <c r="S328" s="154"/>
      <c r="T328" s="44"/>
      <c r="U328" s="154"/>
      <c r="V328" s="147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  <c r="AM328" s="82"/>
      <c r="AN328" s="82"/>
      <c r="AO328" s="82"/>
      <c r="AP328" s="82"/>
      <c r="AQ328" s="82"/>
      <c r="AR328" s="82"/>
    </row>
    <row r="329" customHeight="1" spans="1:44">
      <c r="A329" s="82"/>
      <c r="B329" s="147"/>
      <c r="C329" s="147"/>
      <c r="E329" s="147"/>
      <c r="K329" s="151"/>
      <c r="L329" s="26"/>
      <c r="M329" s="26"/>
      <c r="N329" s="26"/>
      <c r="O329" s="142"/>
      <c r="R329" s="154"/>
      <c r="S329" s="154"/>
      <c r="U329" s="154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82"/>
      <c r="AL329" s="82"/>
      <c r="AM329" s="82"/>
      <c r="AN329" s="82"/>
      <c r="AO329" s="82"/>
      <c r="AP329" s="82"/>
      <c r="AQ329" s="82"/>
      <c r="AR329" s="82"/>
    </row>
    <row r="330" customHeight="1" spans="1:44">
      <c r="A330" s="82"/>
      <c r="B330" s="24"/>
      <c r="C330" s="24"/>
      <c r="D330" s="24"/>
      <c r="E330" s="24"/>
      <c r="F330" s="24"/>
      <c r="G330" s="129"/>
      <c r="H330" s="24"/>
      <c r="I330" s="24"/>
      <c r="J330" s="24"/>
      <c r="K330" s="26"/>
      <c r="L330" s="151"/>
      <c r="M330" s="147"/>
      <c r="N330" s="151"/>
      <c r="O330" s="154"/>
      <c r="P330" s="44"/>
      <c r="Q330" s="44"/>
      <c r="R330" s="142"/>
      <c r="S330" s="142"/>
      <c r="T330" s="149"/>
      <c r="U330" s="142"/>
      <c r="V330" s="24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</row>
    <row r="331" customHeight="1" spans="1:44">
      <c r="A331" s="82"/>
      <c r="B331" s="24"/>
      <c r="C331" s="24"/>
      <c r="E331" s="24"/>
      <c r="K331" s="26"/>
      <c r="L331" s="151"/>
      <c r="M331" s="147"/>
      <c r="N331" s="151"/>
      <c r="O331" s="154"/>
      <c r="R331" s="142"/>
      <c r="S331" s="142"/>
      <c r="U331" s="14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</row>
    <row r="332" customHeight="1" spans="1:44">
      <c r="A332" s="82"/>
      <c r="B332" s="24"/>
      <c r="C332" s="24"/>
      <c r="E332" s="24"/>
      <c r="K332" s="26"/>
      <c r="L332" s="26"/>
      <c r="M332" s="26"/>
      <c r="N332" s="26"/>
      <c r="O332" s="142"/>
      <c r="P332" s="149"/>
      <c r="Q332" s="149"/>
      <c r="R332" s="142"/>
      <c r="S332" s="142"/>
      <c r="U332" s="14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  <c r="AR332" s="82"/>
    </row>
    <row r="333" customHeight="1" spans="1:44">
      <c r="A333" s="82"/>
      <c r="B333" s="147"/>
      <c r="C333" s="147"/>
      <c r="D333" s="147"/>
      <c r="E333" s="147"/>
      <c r="F333" s="147"/>
      <c r="G333" s="148"/>
      <c r="H333" s="147"/>
      <c r="I333" s="147"/>
      <c r="J333" s="147"/>
      <c r="K333" s="151"/>
      <c r="L333" s="26"/>
      <c r="M333" s="26"/>
      <c r="N333" s="26"/>
      <c r="O333" s="142"/>
      <c r="R333" s="154"/>
      <c r="S333" s="154"/>
      <c r="T333" s="44"/>
      <c r="U333" s="154"/>
      <c r="V333" s="147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  <c r="AM333" s="82"/>
      <c r="AN333" s="82"/>
      <c r="AO333" s="82"/>
      <c r="AP333" s="82"/>
      <c r="AQ333" s="82"/>
      <c r="AR333" s="82"/>
    </row>
    <row r="334" customHeight="1" spans="1:44">
      <c r="A334" s="82"/>
      <c r="B334" s="24"/>
      <c r="C334" s="24"/>
      <c r="D334" s="24"/>
      <c r="E334" s="24"/>
      <c r="F334" s="24"/>
      <c r="G334" s="129"/>
      <c r="H334" s="24"/>
      <c r="I334" s="24"/>
      <c r="J334" s="24"/>
      <c r="K334" s="26"/>
      <c r="L334" s="26"/>
      <c r="M334" s="26"/>
      <c r="N334" s="26"/>
      <c r="O334" s="142"/>
      <c r="R334" s="142"/>
      <c r="S334" s="142"/>
      <c r="T334" s="149"/>
      <c r="U334" s="142"/>
      <c r="V334" s="24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  <c r="AM334" s="82"/>
      <c r="AN334" s="82"/>
      <c r="AO334" s="82"/>
      <c r="AP334" s="82"/>
      <c r="AQ334" s="82"/>
      <c r="AR334" s="82"/>
    </row>
    <row r="335" customHeight="1" spans="1:44">
      <c r="A335" s="82"/>
      <c r="B335" s="147"/>
      <c r="C335" s="147"/>
      <c r="D335" s="147"/>
      <c r="E335" s="147"/>
      <c r="F335" s="147"/>
      <c r="G335" s="148"/>
      <c r="H335" s="147"/>
      <c r="I335" s="147"/>
      <c r="J335" s="147"/>
      <c r="K335" s="151"/>
      <c r="L335" s="151"/>
      <c r="M335" s="151"/>
      <c r="N335" s="151"/>
      <c r="O335" s="154"/>
      <c r="P335" s="44"/>
      <c r="Q335" s="44"/>
      <c r="R335" s="154"/>
      <c r="S335" s="154"/>
      <c r="T335" s="44"/>
      <c r="U335" s="154"/>
      <c r="V335" s="147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  <c r="AM335" s="82"/>
      <c r="AN335" s="82"/>
      <c r="AO335" s="82"/>
      <c r="AP335" s="82"/>
      <c r="AQ335" s="82"/>
      <c r="AR335" s="82"/>
    </row>
    <row r="336" customHeight="1" spans="1:44">
      <c r="A336" s="82"/>
      <c r="B336" s="24"/>
      <c r="C336" s="24"/>
      <c r="D336" s="24"/>
      <c r="E336" s="24"/>
      <c r="F336" s="24"/>
      <c r="G336" s="129"/>
      <c r="H336" s="24"/>
      <c r="I336" s="24"/>
      <c r="J336" s="24"/>
      <c r="K336" s="26"/>
      <c r="L336" s="26"/>
      <c r="M336" s="26"/>
      <c r="N336" s="26"/>
      <c r="O336" s="142"/>
      <c r="P336" s="149"/>
      <c r="Q336" s="149"/>
      <c r="R336" s="142"/>
      <c r="S336" s="142"/>
      <c r="T336" s="149"/>
      <c r="U336" s="142"/>
      <c r="V336" s="24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  <c r="AM336" s="82"/>
      <c r="AN336" s="82"/>
      <c r="AO336" s="82"/>
      <c r="AP336" s="82"/>
      <c r="AQ336" s="82"/>
      <c r="AR336" s="82"/>
    </row>
    <row r="337" customHeight="1" spans="1:44">
      <c r="A337" s="82"/>
      <c r="B337" s="147"/>
      <c r="C337" s="147"/>
      <c r="D337" s="147"/>
      <c r="E337" s="147"/>
      <c r="F337" s="147"/>
      <c r="G337" s="148"/>
      <c r="H337" s="147"/>
      <c r="I337" s="147"/>
      <c r="J337" s="147"/>
      <c r="K337" s="151"/>
      <c r="L337" s="151"/>
      <c r="M337" s="151"/>
      <c r="N337" s="151"/>
      <c r="O337" s="154"/>
      <c r="P337" s="44"/>
      <c r="Q337" s="44"/>
      <c r="R337" s="154"/>
      <c r="S337" s="154"/>
      <c r="T337" s="44"/>
      <c r="U337" s="154"/>
      <c r="V337" s="147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  <c r="AM337" s="82"/>
      <c r="AN337" s="82"/>
      <c r="AO337" s="82"/>
      <c r="AP337" s="82"/>
      <c r="AQ337" s="82"/>
      <c r="AR337" s="82"/>
    </row>
    <row r="338" customHeight="1" spans="1:44">
      <c r="A338" s="82"/>
      <c r="B338" s="24"/>
      <c r="C338" s="24"/>
      <c r="D338" s="24"/>
      <c r="E338" s="24"/>
      <c r="F338" s="24"/>
      <c r="G338" s="129"/>
      <c r="H338" s="24"/>
      <c r="I338" s="24"/>
      <c r="J338" s="24"/>
      <c r="K338" s="26"/>
      <c r="L338" s="26"/>
      <c r="M338" s="26"/>
      <c r="N338" s="26"/>
      <c r="O338" s="142"/>
      <c r="P338" s="149"/>
      <c r="Q338" s="149"/>
      <c r="R338" s="142"/>
      <c r="S338" s="142"/>
      <c r="T338" s="149"/>
      <c r="U338" s="142"/>
      <c r="V338" s="24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  <c r="AM338" s="82"/>
      <c r="AN338" s="82"/>
      <c r="AO338" s="82"/>
      <c r="AP338" s="82"/>
      <c r="AQ338" s="82"/>
      <c r="AR338" s="82"/>
    </row>
    <row r="339" customHeight="1" spans="1:44">
      <c r="A339" s="82"/>
      <c r="L339" s="151"/>
      <c r="M339" s="151"/>
      <c r="N339" s="151"/>
      <c r="O339" s="154"/>
      <c r="P339" s="44"/>
      <c r="Q339" s="44"/>
      <c r="T339" s="149"/>
      <c r="U339" s="14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  <c r="AN339" s="82"/>
      <c r="AO339" s="82"/>
      <c r="AP339" s="82"/>
      <c r="AQ339" s="82"/>
      <c r="AR339" s="82"/>
    </row>
    <row r="340" customHeight="1" spans="1:44">
      <c r="A340" s="82"/>
      <c r="B340" s="147"/>
      <c r="C340" s="147"/>
      <c r="D340" s="147"/>
      <c r="E340" s="147"/>
      <c r="F340" s="147"/>
      <c r="G340" s="148"/>
      <c r="H340" s="147"/>
      <c r="I340" s="147"/>
      <c r="J340" s="147"/>
      <c r="K340" s="151"/>
      <c r="L340" s="26"/>
      <c r="M340" s="26"/>
      <c r="N340" s="26"/>
      <c r="O340" s="142"/>
      <c r="P340" s="149"/>
      <c r="Q340" s="149"/>
      <c r="R340" s="154"/>
      <c r="S340" s="154"/>
      <c r="T340" s="44"/>
      <c r="U340" s="154"/>
      <c r="V340" s="147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K340" s="82"/>
      <c r="AL340" s="82"/>
      <c r="AM340" s="82"/>
      <c r="AN340" s="82"/>
      <c r="AO340" s="82"/>
      <c r="AP340" s="82"/>
      <c r="AQ340" s="82"/>
      <c r="AR340" s="82"/>
    </row>
    <row r="341" customHeight="1" spans="1:44">
      <c r="A341" s="82"/>
      <c r="B341" s="147"/>
      <c r="C341" s="147"/>
      <c r="D341" s="147"/>
      <c r="E341" s="147"/>
      <c r="F341" s="147"/>
      <c r="G341" s="148"/>
      <c r="H341" s="147"/>
      <c r="I341" s="147"/>
      <c r="J341" s="147"/>
      <c r="K341" s="151"/>
      <c r="R341" s="154"/>
      <c r="S341" s="154"/>
      <c r="T341" s="44"/>
      <c r="U341" s="154"/>
      <c r="V341" s="147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  <c r="AL341" s="82"/>
      <c r="AM341" s="82"/>
      <c r="AN341" s="82"/>
      <c r="AO341" s="82"/>
      <c r="AP341" s="82"/>
      <c r="AQ341" s="82"/>
      <c r="AR341" s="82"/>
    </row>
    <row r="342" customHeight="1" spans="1:44">
      <c r="A342" s="82"/>
      <c r="B342" s="24"/>
      <c r="C342" s="24"/>
      <c r="D342" s="24"/>
      <c r="E342" s="24"/>
      <c r="F342" s="24"/>
      <c r="G342" s="129"/>
      <c r="H342" s="24"/>
      <c r="I342" s="24"/>
      <c r="J342" s="24"/>
      <c r="K342" s="26"/>
      <c r="L342" s="151"/>
      <c r="M342" s="151"/>
      <c r="N342" s="151"/>
      <c r="O342" s="154"/>
      <c r="P342" s="44"/>
      <c r="Q342" s="44"/>
      <c r="R342" s="142"/>
      <c r="S342" s="142"/>
      <c r="T342" s="149"/>
      <c r="U342" s="142"/>
      <c r="V342" s="24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  <c r="AM342" s="82"/>
      <c r="AN342" s="82"/>
      <c r="AO342" s="82"/>
      <c r="AP342" s="82"/>
      <c r="AQ342" s="82"/>
      <c r="AR342" s="82"/>
    </row>
    <row r="343" customHeight="1" spans="1:44">
      <c r="A343" s="82"/>
      <c r="L343" s="151"/>
      <c r="M343" s="151"/>
      <c r="N343" s="151"/>
      <c r="O343" s="154"/>
      <c r="P343" s="44"/>
      <c r="Q343" s="44"/>
      <c r="T343" s="149"/>
      <c r="U343" s="14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  <c r="AL343" s="82"/>
      <c r="AM343" s="82"/>
      <c r="AN343" s="82"/>
      <c r="AO343" s="82"/>
      <c r="AP343" s="82"/>
      <c r="AQ343" s="82"/>
      <c r="AR343" s="82"/>
    </row>
    <row r="344" customHeight="1" spans="1:44">
      <c r="A344" s="82"/>
      <c r="B344" s="24"/>
      <c r="C344" s="24"/>
      <c r="D344" s="24"/>
      <c r="E344" s="24"/>
      <c r="F344" s="24"/>
      <c r="G344" s="129"/>
      <c r="H344" s="24"/>
      <c r="I344" s="24"/>
      <c r="J344" s="24"/>
      <c r="K344" s="26"/>
      <c r="L344" s="26"/>
      <c r="M344" s="26"/>
      <c r="N344" s="26"/>
      <c r="O344" s="142"/>
      <c r="P344" s="149"/>
      <c r="Q344" s="149"/>
      <c r="R344" s="142"/>
      <c r="S344" s="142"/>
      <c r="T344" s="149"/>
      <c r="U344" s="142"/>
      <c r="V344" s="24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  <c r="AL344" s="82"/>
      <c r="AM344" s="82"/>
      <c r="AN344" s="82"/>
      <c r="AO344" s="82"/>
      <c r="AP344" s="82"/>
      <c r="AQ344" s="82"/>
      <c r="AR344" s="82"/>
    </row>
    <row r="345" customHeight="1" spans="1:44">
      <c r="A345" s="82"/>
      <c r="T345" s="149"/>
      <c r="U345" s="14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K345" s="82"/>
      <c r="AL345" s="82"/>
      <c r="AM345" s="82"/>
      <c r="AN345" s="82"/>
      <c r="AO345" s="82"/>
      <c r="AP345" s="82"/>
      <c r="AQ345" s="82"/>
      <c r="AR345" s="82"/>
    </row>
    <row r="346" customHeight="1" spans="1:44">
      <c r="A346" s="82"/>
      <c r="B346" s="24"/>
      <c r="C346" s="24"/>
      <c r="D346" s="24"/>
      <c r="E346" s="24"/>
      <c r="F346" s="24"/>
      <c r="G346" s="129"/>
      <c r="H346" s="24"/>
      <c r="I346" s="24"/>
      <c r="J346" s="24"/>
      <c r="K346" s="26"/>
      <c r="L346" s="26"/>
      <c r="M346" s="26"/>
      <c r="N346" s="26"/>
      <c r="O346" s="142"/>
      <c r="P346" s="149"/>
      <c r="Q346" s="149"/>
      <c r="R346" s="149"/>
      <c r="S346" s="149"/>
      <c r="T346" s="149"/>
      <c r="U346" s="149"/>
      <c r="V346" s="24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  <c r="AL346" s="82"/>
      <c r="AM346" s="82"/>
      <c r="AN346" s="82"/>
      <c r="AO346" s="82"/>
      <c r="AP346" s="82"/>
      <c r="AQ346" s="82"/>
      <c r="AR346" s="82"/>
    </row>
    <row r="347" customHeight="1" spans="1:44">
      <c r="A347" s="82"/>
      <c r="B347" s="24"/>
      <c r="C347" s="24"/>
      <c r="D347" s="24"/>
      <c r="E347" s="24"/>
      <c r="F347" s="24"/>
      <c r="G347" s="129"/>
      <c r="H347" s="24"/>
      <c r="I347" s="24"/>
      <c r="J347" s="24"/>
      <c r="K347" s="26"/>
      <c r="R347" s="149"/>
      <c r="S347" s="149"/>
      <c r="T347" s="149"/>
      <c r="U347" s="149"/>
      <c r="V347" s="24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  <c r="AL347" s="82"/>
      <c r="AM347" s="82"/>
      <c r="AN347" s="82"/>
      <c r="AO347" s="82"/>
      <c r="AP347" s="82"/>
      <c r="AQ347" s="82"/>
      <c r="AR347" s="82"/>
    </row>
    <row r="348" customHeight="1" spans="1:44">
      <c r="A348" s="82"/>
      <c r="B348" s="24"/>
      <c r="C348" s="24"/>
      <c r="D348" s="24"/>
      <c r="E348" s="24"/>
      <c r="F348" s="24"/>
      <c r="G348" s="129"/>
      <c r="H348" s="24"/>
      <c r="I348" s="24"/>
      <c r="J348" s="24"/>
      <c r="K348" s="26"/>
      <c r="L348" s="26"/>
      <c r="M348" s="26"/>
      <c r="N348" s="26"/>
      <c r="O348" s="142"/>
      <c r="P348" s="149"/>
      <c r="Q348" s="149"/>
      <c r="R348" s="149"/>
      <c r="S348" s="149"/>
      <c r="T348" s="149"/>
      <c r="U348" s="149"/>
      <c r="V348" s="24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  <c r="AM348" s="82"/>
      <c r="AN348" s="82"/>
      <c r="AO348" s="82"/>
      <c r="AP348" s="82"/>
      <c r="AQ348" s="82"/>
      <c r="AR348" s="82"/>
    </row>
    <row r="349" customHeight="1" spans="1:44">
      <c r="A349" s="82"/>
      <c r="B349" s="24"/>
      <c r="C349" s="24"/>
      <c r="D349" s="24"/>
      <c r="E349" s="24"/>
      <c r="F349" s="24"/>
      <c r="G349" s="129"/>
      <c r="H349" s="24"/>
      <c r="I349" s="24"/>
      <c r="J349" s="24"/>
      <c r="K349" s="26"/>
      <c r="L349" s="26"/>
      <c r="M349" s="26"/>
      <c r="N349" s="26"/>
      <c r="O349" s="142"/>
      <c r="P349" s="149"/>
      <c r="Q349" s="149"/>
      <c r="R349" s="149"/>
      <c r="S349" s="149"/>
      <c r="T349" s="149"/>
      <c r="U349" s="149"/>
      <c r="V349" s="24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  <c r="AL349" s="82"/>
      <c r="AM349" s="82"/>
      <c r="AN349" s="82"/>
      <c r="AO349" s="82"/>
      <c r="AP349" s="82"/>
      <c r="AQ349" s="82"/>
      <c r="AR349" s="82"/>
    </row>
    <row r="350" customHeight="1" spans="1:44">
      <c r="A350" s="82"/>
      <c r="B350" s="24"/>
      <c r="C350" s="24"/>
      <c r="D350" s="24"/>
      <c r="E350" s="24"/>
      <c r="F350" s="24"/>
      <c r="G350" s="129"/>
      <c r="H350" s="24"/>
      <c r="I350" s="24"/>
      <c r="J350" s="24"/>
      <c r="K350" s="26"/>
      <c r="L350" s="26"/>
      <c r="M350" s="26"/>
      <c r="N350" s="26"/>
      <c r="O350" s="142"/>
      <c r="P350" s="149"/>
      <c r="Q350" s="149"/>
      <c r="R350" s="142"/>
      <c r="S350" s="142"/>
      <c r="T350" s="149"/>
      <c r="U350" s="142"/>
      <c r="V350" s="24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K350" s="82"/>
      <c r="AL350" s="82"/>
      <c r="AM350" s="82"/>
      <c r="AN350" s="82"/>
      <c r="AO350" s="82"/>
      <c r="AP350" s="82"/>
      <c r="AQ350" s="82"/>
      <c r="AR350" s="82"/>
    </row>
    <row r="351" customHeight="1" spans="1:44">
      <c r="A351" s="82"/>
      <c r="L351" s="26"/>
      <c r="M351" s="26"/>
      <c r="N351" s="26"/>
      <c r="O351" s="142"/>
      <c r="P351" s="149"/>
      <c r="Q351" s="149"/>
      <c r="T351" s="149"/>
      <c r="U351" s="14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K351" s="82"/>
      <c r="AL351" s="82"/>
      <c r="AM351" s="82"/>
      <c r="AN351" s="82"/>
      <c r="AO351" s="82"/>
      <c r="AP351" s="82"/>
      <c r="AQ351" s="82"/>
      <c r="AR351" s="82"/>
    </row>
    <row r="352" customHeight="1" spans="1:44">
      <c r="A352" s="82"/>
      <c r="B352" s="24"/>
      <c r="C352" s="24"/>
      <c r="D352" s="24"/>
      <c r="E352" s="24"/>
      <c r="F352" s="24"/>
      <c r="G352" s="129"/>
      <c r="H352" s="24"/>
      <c r="I352" s="24"/>
      <c r="J352" s="24"/>
      <c r="K352" s="26"/>
      <c r="L352" s="26"/>
      <c r="M352" s="26"/>
      <c r="N352" s="26"/>
      <c r="O352" s="142"/>
      <c r="P352" s="149"/>
      <c r="Q352" s="149"/>
      <c r="R352" s="149"/>
      <c r="S352" s="149"/>
      <c r="T352" s="149"/>
      <c r="U352" s="149"/>
      <c r="V352" s="24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  <c r="AM352" s="82"/>
      <c r="AN352" s="82"/>
      <c r="AO352" s="82"/>
      <c r="AP352" s="82"/>
      <c r="AQ352" s="82"/>
      <c r="AR352" s="82"/>
    </row>
    <row r="353" customHeight="1" spans="1:44">
      <c r="A353" s="82"/>
      <c r="B353" s="24"/>
      <c r="C353" s="24"/>
      <c r="D353" s="24"/>
      <c r="E353" s="24"/>
      <c r="F353" s="24"/>
      <c r="G353" s="129"/>
      <c r="H353" s="24"/>
      <c r="I353" s="24"/>
      <c r="J353" s="24"/>
      <c r="K353" s="26"/>
      <c r="R353" s="142"/>
      <c r="S353" s="142"/>
      <c r="T353" s="149"/>
      <c r="U353" s="142"/>
      <c r="V353" s="24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K353" s="82"/>
      <c r="AL353" s="82"/>
      <c r="AM353" s="82"/>
      <c r="AN353" s="82"/>
      <c r="AO353" s="82"/>
      <c r="AP353" s="82"/>
      <c r="AQ353" s="82"/>
      <c r="AR353" s="82"/>
    </row>
    <row r="354" customHeight="1" spans="1:44">
      <c r="A354" s="82"/>
      <c r="L354" s="26"/>
      <c r="M354" s="26"/>
      <c r="N354" s="26"/>
      <c r="O354" s="142"/>
      <c r="P354" s="149"/>
      <c r="Q354" s="149"/>
      <c r="T354" s="149"/>
      <c r="U354" s="14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  <c r="AL354" s="82"/>
      <c r="AM354" s="82"/>
      <c r="AN354" s="82"/>
      <c r="AO354" s="82"/>
      <c r="AP354" s="82"/>
      <c r="AQ354" s="82"/>
      <c r="AR354" s="82"/>
    </row>
    <row r="355" customHeight="1" spans="1:44">
      <c r="A355" s="82"/>
      <c r="B355" s="24"/>
      <c r="C355" s="24"/>
      <c r="D355" s="24"/>
      <c r="E355" s="24"/>
      <c r="F355" s="24"/>
      <c r="G355" s="129"/>
      <c r="H355" s="24"/>
      <c r="I355" s="24"/>
      <c r="J355" s="24"/>
      <c r="K355" s="26"/>
      <c r="L355" s="26"/>
      <c r="M355" s="26"/>
      <c r="N355" s="26"/>
      <c r="O355" s="142"/>
      <c r="P355" s="149"/>
      <c r="Q355" s="149"/>
      <c r="R355" s="149"/>
      <c r="S355" s="149"/>
      <c r="T355" s="149"/>
      <c r="U355" s="149"/>
      <c r="V355" s="24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  <c r="AL355" s="82"/>
      <c r="AM355" s="82"/>
      <c r="AN355" s="82"/>
      <c r="AO355" s="82"/>
      <c r="AP355" s="82"/>
      <c r="AQ355" s="82"/>
      <c r="AR355" s="82"/>
    </row>
    <row r="356" customHeight="1" spans="1:44">
      <c r="A356" s="82"/>
      <c r="B356" s="24"/>
      <c r="C356" s="24"/>
      <c r="D356" s="24"/>
      <c r="E356" s="24"/>
      <c r="F356" s="24"/>
      <c r="G356" s="129"/>
      <c r="H356" s="24"/>
      <c r="I356" s="24"/>
      <c r="J356" s="24"/>
      <c r="K356" s="26"/>
      <c r="R356" s="149"/>
      <c r="S356" s="149"/>
      <c r="T356" s="149"/>
      <c r="U356" s="149"/>
      <c r="V356" s="24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  <c r="AM356" s="82"/>
      <c r="AN356" s="82"/>
      <c r="AO356" s="82"/>
      <c r="AP356" s="82"/>
      <c r="AQ356" s="82"/>
      <c r="AR356" s="82"/>
    </row>
    <row r="357" customHeight="1" spans="1:44">
      <c r="A357" s="155"/>
      <c r="B357" s="147"/>
      <c r="C357" s="147"/>
      <c r="D357" s="147"/>
      <c r="E357" s="147"/>
      <c r="F357" s="147"/>
      <c r="G357" s="148"/>
      <c r="H357" s="147"/>
      <c r="I357" s="147"/>
      <c r="J357" s="147"/>
      <c r="K357" s="151"/>
      <c r="L357" s="26"/>
      <c r="M357" s="26"/>
      <c r="N357" s="26"/>
      <c r="O357" s="142"/>
      <c r="P357" s="149"/>
      <c r="Q357" s="149"/>
      <c r="R357" s="149"/>
      <c r="S357" s="149"/>
      <c r="T357" s="44"/>
      <c r="U357" s="149"/>
      <c r="V357" s="147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155"/>
      <c r="AI357" s="155"/>
      <c r="AJ357" s="155"/>
      <c r="AK357" s="155"/>
      <c r="AL357" s="155"/>
      <c r="AM357" s="155"/>
      <c r="AN357" s="155"/>
      <c r="AO357" s="155"/>
      <c r="AP357" s="155"/>
      <c r="AQ357" s="155"/>
      <c r="AR357" s="155"/>
    </row>
    <row r="358" customHeight="1" spans="1:44">
      <c r="A358" s="82"/>
      <c r="B358" s="24"/>
      <c r="C358" s="24"/>
      <c r="D358" s="24"/>
      <c r="E358" s="24"/>
      <c r="F358" s="24"/>
      <c r="G358" s="129"/>
      <c r="H358" s="24"/>
      <c r="I358" s="24"/>
      <c r="J358" s="24"/>
      <c r="K358" s="26"/>
      <c r="L358" s="26"/>
      <c r="M358" s="26"/>
      <c r="N358" s="26"/>
      <c r="O358" s="142"/>
      <c r="P358" s="149"/>
      <c r="Q358" s="149"/>
      <c r="R358" s="149"/>
      <c r="S358" s="149"/>
      <c r="T358" s="149"/>
      <c r="U358" s="149"/>
      <c r="V358" s="24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  <c r="AM358" s="82"/>
      <c r="AN358" s="82"/>
      <c r="AO358" s="82"/>
      <c r="AP358" s="82"/>
      <c r="AQ358" s="82"/>
      <c r="AR358" s="82"/>
    </row>
    <row r="359" customHeight="1" spans="1:44">
      <c r="A359" s="82"/>
      <c r="B359" s="24"/>
      <c r="C359" s="24"/>
      <c r="D359" s="24"/>
      <c r="E359" s="24"/>
      <c r="F359" s="24"/>
      <c r="G359" s="129"/>
      <c r="H359" s="24"/>
      <c r="I359" s="24"/>
      <c r="J359" s="24"/>
      <c r="K359" s="26"/>
      <c r="L359" s="151"/>
      <c r="M359" s="151"/>
      <c r="N359" s="151"/>
      <c r="O359" s="142"/>
      <c r="P359" s="44"/>
      <c r="Q359" s="149"/>
      <c r="R359" s="149"/>
      <c r="S359" s="149"/>
      <c r="T359" s="149"/>
      <c r="U359" s="149"/>
      <c r="V359" s="24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  <c r="AL359" s="82"/>
      <c r="AM359" s="82"/>
      <c r="AN359" s="82"/>
      <c r="AO359" s="82"/>
      <c r="AP359" s="82"/>
      <c r="AQ359" s="82"/>
      <c r="AR359" s="82"/>
    </row>
    <row r="360" customHeight="1" spans="1:44">
      <c r="A360" s="82"/>
      <c r="B360" s="24"/>
      <c r="C360" s="24"/>
      <c r="D360" s="24"/>
      <c r="E360" s="24"/>
      <c r="F360" s="24"/>
      <c r="G360" s="129"/>
      <c r="H360" s="24"/>
      <c r="I360" s="24"/>
      <c r="J360" s="24"/>
      <c r="K360" s="26"/>
      <c r="L360" s="26"/>
      <c r="M360" s="26"/>
      <c r="N360" s="26"/>
      <c r="O360" s="142"/>
      <c r="P360" s="149"/>
      <c r="Q360" s="149"/>
      <c r="R360" s="149"/>
      <c r="S360" s="149"/>
      <c r="T360" s="149"/>
      <c r="U360" s="149"/>
      <c r="V360" s="24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</row>
    <row r="361" customHeight="1" spans="1:44">
      <c r="A361" s="82"/>
      <c r="B361" s="24"/>
      <c r="C361" s="24"/>
      <c r="D361" s="24"/>
      <c r="E361" s="24"/>
      <c r="F361" s="24"/>
      <c r="G361" s="129"/>
      <c r="H361" s="24"/>
      <c r="I361" s="24"/>
      <c r="J361" s="24"/>
      <c r="K361" s="26"/>
      <c r="L361" s="26"/>
      <c r="M361" s="26"/>
      <c r="N361" s="26"/>
      <c r="O361" s="142"/>
      <c r="P361" s="149"/>
      <c r="Q361" s="149"/>
      <c r="R361" s="149"/>
      <c r="S361" s="149"/>
      <c r="T361" s="149"/>
      <c r="U361" s="149"/>
      <c r="V361" s="24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  <c r="AN361" s="82"/>
      <c r="AO361" s="82"/>
      <c r="AP361" s="82"/>
      <c r="AQ361" s="82"/>
      <c r="AR361" s="82"/>
    </row>
    <row r="362" customHeight="1" spans="1:44">
      <c r="A362" s="155"/>
      <c r="B362" s="147"/>
      <c r="C362" s="147"/>
      <c r="D362" s="147"/>
      <c r="E362" s="147"/>
      <c r="F362" s="147"/>
      <c r="G362" s="148"/>
      <c r="H362" s="147"/>
      <c r="I362" s="147"/>
      <c r="J362" s="147"/>
      <c r="K362" s="151"/>
      <c r="L362" s="26"/>
      <c r="M362" s="26"/>
      <c r="N362" s="26"/>
      <c r="O362" s="142"/>
      <c r="P362" s="149"/>
      <c r="Q362" s="149"/>
      <c r="R362" s="44"/>
      <c r="S362" s="44"/>
      <c r="T362" s="44"/>
      <c r="U362" s="44"/>
      <c r="V362" s="147"/>
      <c r="W362" s="155"/>
      <c r="X362" s="155"/>
      <c r="Y362" s="155"/>
      <c r="Z362" s="155"/>
      <c r="AA362" s="155"/>
      <c r="AB362" s="155"/>
      <c r="AC362" s="155"/>
      <c r="AD362" s="155"/>
      <c r="AE362" s="155"/>
      <c r="AF362" s="155"/>
      <c r="AG362" s="155"/>
      <c r="AH362" s="155"/>
      <c r="AI362" s="155"/>
      <c r="AJ362" s="155"/>
      <c r="AK362" s="155"/>
      <c r="AL362" s="155"/>
      <c r="AM362" s="155"/>
      <c r="AN362" s="155"/>
      <c r="AO362" s="155"/>
      <c r="AP362" s="155"/>
      <c r="AQ362" s="155"/>
      <c r="AR362" s="155"/>
    </row>
    <row r="363" customHeight="1" spans="1:44">
      <c r="A363" s="82"/>
      <c r="B363" s="24"/>
      <c r="C363" s="24"/>
      <c r="D363" s="24"/>
      <c r="E363" s="24"/>
      <c r="F363" s="24"/>
      <c r="G363" s="129"/>
      <c r="H363" s="24"/>
      <c r="I363" s="24"/>
      <c r="J363" s="24"/>
      <c r="K363" s="26"/>
      <c r="L363" s="26"/>
      <c r="M363" s="26"/>
      <c r="N363" s="26"/>
      <c r="O363" s="142"/>
      <c r="P363" s="149"/>
      <c r="Q363" s="149"/>
      <c r="R363" s="149"/>
      <c r="S363" s="149"/>
      <c r="T363" s="149"/>
      <c r="U363" s="149"/>
      <c r="V363" s="24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2"/>
      <c r="AQ363" s="82"/>
      <c r="AR363" s="82"/>
    </row>
    <row r="364" customHeight="1" spans="1:44">
      <c r="A364" s="82"/>
      <c r="B364" s="24"/>
      <c r="C364" s="24"/>
      <c r="D364" s="24"/>
      <c r="E364" s="24"/>
      <c r="F364" s="24"/>
      <c r="G364" s="129"/>
      <c r="H364" s="24"/>
      <c r="I364" s="24"/>
      <c r="J364" s="24"/>
      <c r="K364" s="26"/>
      <c r="L364" s="151"/>
      <c r="M364" s="151"/>
      <c r="N364" s="151"/>
      <c r="O364" s="154"/>
      <c r="P364" s="44"/>
      <c r="Q364" s="44"/>
      <c r="R364" s="149"/>
      <c r="S364" s="149"/>
      <c r="T364" s="149"/>
      <c r="U364" s="149"/>
      <c r="V364" s="24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  <c r="AN364" s="82"/>
      <c r="AO364" s="82"/>
      <c r="AP364" s="82"/>
      <c r="AQ364" s="82"/>
      <c r="AR364" s="82"/>
    </row>
    <row r="365" customHeight="1" spans="1:44">
      <c r="A365" s="82"/>
      <c r="B365" s="24"/>
      <c r="C365" s="24"/>
      <c r="D365" s="24"/>
      <c r="E365" s="24"/>
      <c r="F365" s="24"/>
      <c r="G365" s="129"/>
      <c r="H365" s="24"/>
      <c r="I365" s="24"/>
      <c r="J365" s="24"/>
      <c r="K365" s="26"/>
      <c r="L365" s="26"/>
      <c r="M365" s="26"/>
      <c r="N365" s="26"/>
      <c r="O365" s="142"/>
      <c r="P365" s="149"/>
      <c r="Q365" s="149"/>
      <c r="R365" s="142"/>
      <c r="S365" s="142"/>
      <c r="T365" s="149"/>
      <c r="U365" s="142"/>
      <c r="V365" s="24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2"/>
      <c r="AP365" s="82"/>
      <c r="AQ365" s="82"/>
      <c r="AR365" s="82"/>
    </row>
    <row r="366" customHeight="1" spans="1:44">
      <c r="A366" s="82"/>
      <c r="L366" s="26"/>
      <c r="M366" s="26"/>
      <c r="N366" s="26"/>
      <c r="O366" s="142"/>
      <c r="P366" s="149"/>
      <c r="Q366" s="149"/>
      <c r="T366" s="149"/>
      <c r="U366" s="14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  <c r="AR366" s="82"/>
    </row>
    <row r="367" customHeight="1" spans="1:44">
      <c r="A367" s="82"/>
      <c r="B367" s="24"/>
      <c r="C367" s="24"/>
      <c r="D367" s="24"/>
      <c r="E367" s="24"/>
      <c r="F367" s="24"/>
      <c r="G367" s="129"/>
      <c r="H367" s="24"/>
      <c r="I367" s="24"/>
      <c r="J367" s="24"/>
      <c r="K367" s="26"/>
      <c r="L367" s="26"/>
      <c r="M367" s="26"/>
      <c r="N367" s="26"/>
      <c r="O367" s="142"/>
      <c r="P367" s="149"/>
      <c r="Q367" s="149"/>
      <c r="R367" s="149"/>
      <c r="S367" s="149"/>
      <c r="T367" s="149"/>
      <c r="U367" s="149"/>
      <c r="V367" s="24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82"/>
      <c r="AR367" s="82"/>
    </row>
    <row r="368" customHeight="1" spans="1:44">
      <c r="A368" s="82"/>
      <c r="B368" s="24"/>
      <c r="C368" s="24"/>
      <c r="D368" s="24"/>
      <c r="E368" s="24"/>
      <c r="F368" s="24"/>
      <c r="G368" s="129"/>
      <c r="H368" s="24"/>
      <c r="I368" s="24"/>
      <c r="J368" s="24"/>
      <c r="K368" s="26"/>
      <c r="R368" s="149"/>
      <c r="S368" s="149"/>
      <c r="T368" s="149"/>
      <c r="U368" s="149"/>
      <c r="V368" s="24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  <c r="AN368" s="82"/>
      <c r="AO368" s="82"/>
      <c r="AP368" s="82"/>
      <c r="AQ368" s="82"/>
      <c r="AR368" s="82"/>
    </row>
    <row r="369" customHeight="1" spans="1:44">
      <c r="A369" s="82"/>
      <c r="B369" s="24"/>
      <c r="C369" s="24"/>
      <c r="D369" s="24"/>
      <c r="E369" s="24"/>
      <c r="F369" s="24"/>
      <c r="G369" s="129"/>
      <c r="H369" s="24"/>
      <c r="I369" s="24"/>
      <c r="J369" s="24"/>
      <c r="K369" s="26"/>
      <c r="L369" s="26"/>
      <c r="M369" s="26"/>
      <c r="N369" s="26"/>
      <c r="O369" s="142"/>
      <c r="P369" s="149"/>
      <c r="Q369" s="149"/>
      <c r="R369" s="149"/>
      <c r="S369" s="149"/>
      <c r="T369" s="149"/>
      <c r="U369" s="149"/>
      <c r="V369" s="24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  <c r="AN369" s="82"/>
      <c r="AO369" s="82"/>
      <c r="AP369" s="82"/>
      <c r="AQ369" s="82"/>
      <c r="AR369" s="82"/>
    </row>
    <row r="370" customHeight="1" spans="1:44">
      <c r="A370" s="82"/>
      <c r="B370" s="24"/>
      <c r="C370" s="24"/>
      <c r="D370" s="24"/>
      <c r="E370" s="24"/>
      <c r="F370" s="24"/>
      <c r="G370" s="129"/>
      <c r="H370" s="24"/>
      <c r="I370" s="24"/>
      <c r="J370" s="24"/>
      <c r="K370" s="26"/>
      <c r="L370" s="26"/>
      <c r="M370" s="26"/>
      <c r="N370" s="26"/>
      <c r="O370" s="142"/>
      <c r="P370" s="149"/>
      <c r="Q370" s="149"/>
      <c r="R370" s="149"/>
      <c r="S370" s="149"/>
      <c r="T370" s="149"/>
      <c r="U370" s="149"/>
      <c r="V370" s="24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</row>
    <row r="371" customHeight="1" spans="1:44">
      <c r="A371" s="82"/>
      <c r="B371" s="24"/>
      <c r="C371" s="24"/>
      <c r="D371" s="24"/>
      <c r="E371" s="24"/>
      <c r="F371" s="24"/>
      <c r="G371" s="129"/>
      <c r="H371" s="24"/>
      <c r="I371" s="24"/>
      <c r="J371" s="24"/>
      <c r="K371" s="26"/>
      <c r="L371" s="26"/>
      <c r="M371" s="26"/>
      <c r="N371" s="26"/>
      <c r="O371" s="142"/>
      <c r="P371" s="149"/>
      <c r="Q371" s="149"/>
      <c r="R371" s="149"/>
      <c r="S371" s="149"/>
      <c r="T371" s="149"/>
      <c r="U371" s="149"/>
      <c r="V371" s="24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2"/>
      <c r="AR371" s="82"/>
    </row>
    <row r="372" customHeight="1" spans="1:44">
      <c r="A372" s="82"/>
      <c r="B372" s="24"/>
      <c r="C372" s="24"/>
      <c r="D372" s="24"/>
      <c r="E372" s="24"/>
      <c r="F372" s="24"/>
      <c r="G372" s="129"/>
      <c r="H372" s="24"/>
      <c r="I372" s="24"/>
      <c r="J372" s="24"/>
      <c r="K372" s="26"/>
      <c r="L372" s="26"/>
      <c r="M372" s="26"/>
      <c r="N372" s="26"/>
      <c r="O372" s="142"/>
      <c r="P372" s="149"/>
      <c r="Q372" s="149"/>
      <c r="R372" s="142"/>
      <c r="S372" s="142"/>
      <c r="T372" s="149"/>
      <c r="U372" s="142"/>
      <c r="V372" s="24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</row>
    <row r="373" customHeight="1" spans="1:44">
      <c r="A373" s="82"/>
      <c r="L373" s="26"/>
      <c r="M373" s="26"/>
      <c r="N373" s="26"/>
      <c r="O373" s="142"/>
      <c r="P373" s="149"/>
      <c r="Q373" s="149"/>
      <c r="T373" s="149"/>
      <c r="U373" s="14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</row>
    <row r="374" customHeight="1" spans="1:44">
      <c r="A374" s="82"/>
      <c r="B374" s="24"/>
      <c r="C374" s="24"/>
      <c r="D374" s="24"/>
      <c r="E374" s="24"/>
      <c r="F374" s="24"/>
      <c r="G374" s="129"/>
      <c r="H374" s="24"/>
      <c r="I374" s="24"/>
      <c r="J374" s="24"/>
      <c r="K374" s="26"/>
      <c r="L374" s="26"/>
      <c r="M374" s="26"/>
      <c r="N374" s="26"/>
      <c r="O374" s="142"/>
      <c r="P374" s="149"/>
      <c r="Q374" s="149"/>
      <c r="R374" s="142"/>
      <c r="S374" s="142"/>
      <c r="T374" s="149"/>
      <c r="U374" s="142"/>
      <c r="V374" s="24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</row>
    <row r="375" customHeight="1" spans="1:44">
      <c r="A375" s="82"/>
      <c r="T375" s="149"/>
      <c r="U375" s="14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  <c r="AR375" s="82"/>
    </row>
    <row r="376" customHeight="1" spans="1:44">
      <c r="A376" s="82"/>
      <c r="B376" s="24"/>
      <c r="C376" s="24"/>
      <c r="D376" s="24"/>
      <c r="E376" s="24"/>
      <c r="F376" s="24"/>
      <c r="G376" s="129"/>
      <c r="H376" s="24"/>
      <c r="I376" s="24"/>
      <c r="J376" s="24"/>
      <c r="K376" s="26"/>
      <c r="L376" s="26"/>
      <c r="M376" s="26"/>
      <c r="N376" s="26"/>
      <c r="O376" s="142"/>
      <c r="P376" s="149"/>
      <c r="Q376" s="149"/>
      <c r="R376" s="149"/>
      <c r="S376" s="149"/>
      <c r="T376" s="149"/>
      <c r="U376" s="149"/>
      <c r="V376" s="24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</row>
    <row r="377" customHeight="1" spans="1:44">
      <c r="A377" s="82"/>
      <c r="B377" s="24"/>
      <c r="C377" s="24"/>
      <c r="D377" s="24"/>
      <c r="E377" s="24"/>
      <c r="F377" s="24"/>
      <c r="G377" s="129"/>
      <c r="H377" s="24"/>
      <c r="I377" s="24"/>
      <c r="J377" s="24"/>
      <c r="K377" s="26"/>
      <c r="R377" s="149"/>
      <c r="S377" s="149"/>
      <c r="T377" s="149"/>
      <c r="U377" s="149"/>
      <c r="V377" s="24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82"/>
      <c r="AR377" s="82"/>
    </row>
    <row r="378" customHeight="1" spans="1:44">
      <c r="A378" s="82"/>
      <c r="B378" s="24"/>
      <c r="C378" s="24"/>
      <c r="D378" s="24"/>
      <c r="E378" s="24"/>
      <c r="F378" s="24"/>
      <c r="G378" s="129"/>
      <c r="H378" s="24"/>
      <c r="I378" s="24"/>
      <c r="J378" s="24"/>
      <c r="K378" s="26"/>
      <c r="L378" s="26"/>
      <c r="M378" s="26"/>
      <c r="N378" s="26"/>
      <c r="O378" s="142"/>
      <c r="P378" s="149"/>
      <c r="Q378" s="149"/>
      <c r="R378" s="149"/>
      <c r="S378" s="149"/>
      <c r="T378" s="149"/>
      <c r="U378" s="149"/>
      <c r="V378" s="24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82"/>
      <c r="AR378" s="82"/>
    </row>
    <row r="379" customHeight="1" spans="1:44">
      <c r="A379" s="82"/>
      <c r="B379" s="24"/>
      <c r="C379" s="24"/>
      <c r="D379" s="24"/>
      <c r="E379" s="24"/>
      <c r="F379" s="24"/>
      <c r="G379" s="129"/>
      <c r="H379" s="24"/>
      <c r="I379" s="24"/>
      <c r="J379" s="24"/>
      <c r="K379" s="26"/>
      <c r="L379" s="26"/>
      <c r="M379" s="26"/>
      <c r="N379" s="26"/>
      <c r="O379" s="142"/>
      <c r="P379" s="149"/>
      <c r="Q379" s="149"/>
      <c r="R379" s="149"/>
      <c r="S379" s="149"/>
      <c r="T379" s="149"/>
      <c r="U379" s="149"/>
      <c r="V379" s="24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</row>
    <row r="380" customHeight="1" spans="1:44">
      <c r="A380" s="82"/>
      <c r="B380" s="24"/>
      <c r="C380" s="24"/>
      <c r="D380" s="24"/>
      <c r="E380" s="24"/>
      <c r="F380" s="24"/>
      <c r="G380" s="129"/>
      <c r="H380" s="24"/>
      <c r="I380" s="24"/>
      <c r="J380" s="24"/>
      <c r="K380" s="26"/>
      <c r="L380" s="26"/>
      <c r="M380" s="26"/>
      <c r="N380" s="26"/>
      <c r="O380" s="142"/>
      <c r="P380" s="149"/>
      <c r="Q380" s="149"/>
      <c r="R380" s="149"/>
      <c r="S380" s="149"/>
      <c r="T380" s="149"/>
      <c r="U380" s="149"/>
      <c r="V380" s="24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</row>
    <row r="381" customHeight="1" spans="1:44">
      <c r="A381" s="155"/>
      <c r="B381" s="147"/>
      <c r="C381" s="147"/>
      <c r="D381" s="147"/>
      <c r="E381" s="147"/>
      <c r="F381" s="147"/>
      <c r="G381" s="148"/>
      <c r="H381" s="147"/>
      <c r="I381" s="147"/>
      <c r="J381" s="147"/>
      <c r="K381" s="151"/>
      <c r="L381" s="26"/>
      <c r="M381" s="26"/>
      <c r="N381" s="26"/>
      <c r="O381" s="142"/>
      <c r="P381" s="149"/>
      <c r="Q381" s="149"/>
      <c r="R381" s="44"/>
      <c r="S381" s="44"/>
      <c r="T381" s="44"/>
      <c r="U381" s="44"/>
      <c r="V381" s="147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</row>
    <row r="382" customHeight="1" spans="1:44">
      <c r="A382" s="82"/>
      <c r="B382" s="24"/>
      <c r="C382" s="24"/>
      <c r="D382" s="24"/>
      <c r="E382" s="24"/>
      <c r="F382" s="24"/>
      <c r="G382" s="129"/>
      <c r="H382" s="24"/>
      <c r="I382" s="24"/>
      <c r="J382" s="24"/>
      <c r="K382" s="26"/>
      <c r="L382" s="26"/>
      <c r="M382" s="26"/>
      <c r="N382" s="26"/>
      <c r="O382" s="142"/>
      <c r="P382" s="149"/>
      <c r="Q382" s="149"/>
      <c r="R382" s="149"/>
      <c r="S382" s="149"/>
      <c r="T382" s="149"/>
      <c r="U382" s="149"/>
      <c r="V382" s="24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  <c r="AR382" s="82"/>
    </row>
    <row r="383" customHeight="1" spans="1:44">
      <c r="A383" s="82"/>
      <c r="L383" s="151"/>
      <c r="M383" s="151"/>
      <c r="N383" s="151"/>
      <c r="O383" s="154"/>
      <c r="P383" s="44"/>
      <c r="Q383" s="44"/>
      <c r="T383" s="149"/>
      <c r="U383" s="149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2"/>
      <c r="AQ383" s="82"/>
      <c r="AR383" s="82"/>
    </row>
    <row r="384" customHeight="1" spans="1:44">
      <c r="A384" s="82"/>
      <c r="B384" s="24"/>
      <c r="C384" s="24"/>
      <c r="D384" s="24"/>
      <c r="E384" s="24"/>
      <c r="F384" s="24"/>
      <c r="G384" s="129"/>
      <c r="H384" s="24"/>
      <c r="I384" s="24"/>
      <c r="J384" s="24"/>
      <c r="K384" s="26"/>
      <c r="L384" s="26"/>
      <c r="M384" s="26"/>
      <c r="N384" s="26"/>
      <c r="O384" s="142"/>
      <c r="P384" s="149"/>
      <c r="Q384" s="149"/>
      <c r="R384" s="142"/>
      <c r="S384" s="142"/>
      <c r="T384" s="149"/>
      <c r="U384" s="142"/>
      <c r="V384" s="24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82"/>
      <c r="AR384" s="82"/>
    </row>
    <row r="385" customHeight="1" spans="1:44">
      <c r="A385" s="82"/>
      <c r="T385" s="149"/>
      <c r="U385" s="14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</row>
    <row r="386" customHeight="1" spans="1:44">
      <c r="A386" s="82"/>
      <c r="B386" s="24"/>
      <c r="C386" s="24"/>
      <c r="D386" s="24"/>
      <c r="E386" s="24"/>
      <c r="F386" s="24"/>
      <c r="G386" s="129"/>
      <c r="H386" s="24"/>
      <c r="I386" s="24"/>
      <c r="J386" s="24"/>
      <c r="K386" s="26"/>
      <c r="L386" s="26"/>
      <c r="M386" s="26"/>
      <c r="N386" s="26"/>
      <c r="O386" s="142"/>
      <c r="P386" s="149"/>
      <c r="Q386" s="149"/>
      <c r="R386" s="149"/>
      <c r="S386" s="149"/>
      <c r="T386" s="149"/>
      <c r="U386" s="149"/>
      <c r="V386" s="24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</row>
    <row r="387" customHeight="1" spans="1:44">
      <c r="A387" s="82"/>
      <c r="B387" s="24"/>
      <c r="C387" s="24"/>
      <c r="D387" s="24"/>
      <c r="E387" s="24"/>
      <c r="F387" s="24"/>
      <c r="G387" s="129"/>
      <c r="H387" s="24"/>
      <c r="I387" s="24"/>
      <c r="J387" s="24"/>
      <c r="K387" s="26"/>
      <c r="R387" s="149"/>
      <c r="S387" s="149"/>
      <c r="T387" s="149"/>
      <c r="U387" s="149"/>
      <c r="V387" s="24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</row>
    <row r="388" customHeight="1" spans="1:44">
      <c r="A388" s="82"/>
      <c r="B388" s="24"/>
      <c r="C388" s="24"/>
      <c r="D388" s="24"/>
      <c r="E388" s="24"/>
      <c r="F388" s="24"/>
      <c r="G388" s="129"/>
      <c r="H388" s="24"/>
      <c r="I388" s="24"/>
      <c r="J388" s="24"/>
      <c r="K388" s="26"/>
      <c r="L388" s="26"/>
      <c r="M388" s="26"/>
      <c r="N388" s="26"/>
      <c r="O388" s="142"/>
      <c r="P388" s="149"/>
      <c r="Q388" s="149"/>
      <c r="R388" s="149"/>
      <c r="S388" s="149"/>
      <c r="T388" s="149"/>
      <c r="U388" s="149"/>
      <c r="V388" s="24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  <c r="AR388" s="82"/>
    </row>
    <row r="389" customHeight="1" spans="1:44">
      <c r="A389" s="82"/>
      <c r="B389" s="24"/>
      <c r="C389" s="24"/>
      <c r="D389" s="24"/>
      <c r="E389" s="24"/>
      <c r="F389" s="24"/>
      <c r="G389" s="129"/>
      <c r="H389" s="24"/>
      <c r="I389" s="24"/>
      <c r="J389" s="24"/>
      <c r="K389" s="26"/>
      <c r="L389" s="26"/>
      <c r="M389" s="26"/>
      <c r="N389" s="26"/>
      <c r="O389" s="142"/>
      <c r="P389" s="149"/>
      <c r="Q389" s="149"/>
      <c r="R389" s="149"/>
      <c r="S389" s="149"/>
      <c r="T389" s="149"/>
      <c r="U389" s="149"/>
      <c r="V389" s="24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  <c r="AN389" s="82"/>
      <c r="AO389" s="82"/>
      <c r="AP389" s="82"/>
      <c r="AQ389" s="82"/>
      <c r="AR389" s="82"/>
    </row>
    <row r="390" customHeight="1" spans="1:44">
      <c r="A390" s="82"/>
      <c r="B390" s="24"/>
      <c r="C390" s="24"/>
      <c r="D390" s="24"/>
      <c r="E390" s="24"/>
      <c r="F390" s="24"/>
      <c r="G390" s="129"/>
      <c r="H390" s="24"/>
      <c r="I390" s="24"/>
      <c r="J390" s="24"/>
      <c r="K390" s="26"/>
      <c r="L390" s="26"/>
      <c r="M390" s="26"/>
      <c r="N390" s="26"/>
      <c r="O390" s="142"/>
      <c r="P390" s="149"/>
      <c r="Q390" s="149"/>
      <c r="R390" s="149"/>
      <c r="S390" s="149"/>
      <c r="T390" s="149"/>
      <c r="U390" s="149"/>
      <c r="V390" s="24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  <c r="AN390" s="82"/>
      <c r="AO390" s="82"/>
      <c r="AP390" s="82"/>
      <c r="AQ390" s="82"/>
      <c r="AR390" s="82"/>
    </row>
    <row r="391" customHeight="1" spans="1:44">
      <c r="A391" s="82"/>
      <c r="B391" s="24"/>
      <c r="C391" s="24"/>
      <c r="D391" s="24"/>
      <c r="E391" s="24"/>
      <c r="F391" s="24"/>
      <c r="G391" s="129"/>
      <c r="H391" s="24"/>
      <c r="I391" s="24"/>
      <c r="J391" s="24"/>
      <c r="K391" s="26"/>
      <c r="L391" s="26"/>
      <c r="M391" s="26"/>
      <c r="N391" s="26"/>
      <c r="O391" s="142"/>
      <c r="P391" s="149"/>
      <c r="Q391" s="149"/>
      <c r="R391" s="149"/>
      <c r="S391" s="149"/>
      <c r="T391" s="149"/>
      <c r="U391" s="149"/>
      <c r="V391" s="24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</row>
    <row r="392" customHeight="1" spans="1:44">
      <c r="A392" s="82"/>
      <c r="B392" s="24"/>
      <c r="C392" s="24"/>
      <c r="D392" s="24"/>
      <c r="E392" s="24"/>
      <c r="F392" s="24"/>
      <c r="G392" s="129"/>
      <c r="H392" s="24"/>
      <c r="I392" s="24"/>
      <c r="J392" s="24"/>
      <c r="K392" s="26"/>
      <c r="L392" s="26"/>
      <c r="M392" s="26"/>
      <c r="N392" s="26"/>
      <c r="O392" s="142"/>
      <c r="P392" s="149"/>
      <c r="Q392" s="149"/>
      <c r="R392" s="149"/>
      <c r="S392" s="149"/>
      <c r="T392" s="149"/>
      <c r="U392" s="149"/>
      <c r="V392" s="24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</row>
    <row r="393" customHeight="1" spans="1:44">
      <c r="A393" s="82"/>
      <c r="B393" s="24"/>
      <c r="C393" s="24"/>
      <c r="D393" s="24"/>
      <c r="E393" s="24"/>
      <c r="F393" s="24"/>
      <c r="G393" s="129"/>
      <c r="H393" s="24"/>
      <c r="I393" s="24"/>
      <c r="J393" s="24"/>
      <c r="K393" s="26"/>
      <c r="L393" s="26"/>
      <c r="M393" s="26"/>
      <c r="N393" s="26"/>
      <c r="O393" s="142"/>
      <c r="P393" s="149"/>
      <c r="Q393" s="149"/>
      <c r="R393" s="142"/>
      <c r="S393" s="142"/>
      <c r="T393" s="149"/>
      <c r="U393" s="142"/>
      <c r="V393" s="24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  <c r="AR393" s="82"/>
    </row>
    <row r="394" customHeight="1" spans="1:44">
      <c r="A394" s="82"/>
      <c r="L394" s="26"/>
      <c r="M394" s="26"/>
      <c r="N394" s="26"/>
      <c r="O394" s="142"/>
      <c r="P394" s="149"/>
      <c r="Q394" s="149"/>
      <c r="T394" s="149"/>
      <c r="U394" s="14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  <c r="AR394" s="82"/>
    </row>
    <row r="395" customHeight="1" spans="1:44">
      <c r="A395" s="82"/>
      <c r="B395" s="24"/>
      <c r="C395" s="24"/>
      <c r="D395" s="24"/>
      <c r="E395" s="24"/>
      <c r="F395" s="24"/>
      <c r="G395" s="129"/>
      <c r="H395" s="24"/>
      <c r="I395" s="24"/>
      <c r="J395" s="24"/>
      <c r="K395" s="26"/>
      <c r="L395" s="26"/>
      <c r="M395" s="26"/>
      <c r="N395" s="26"/>
      <c r="O395" s="142"/>
      <c r="P395" s="149"/>
      <c r="Q395" s="149"/>
      <c r="R395" s="142"/>
      <c r="S395" s="142"/>
      <c r="T395" s="149"/>
      <c r="U395" s="142"/>
      <c r="V395" s="24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</row>
    <row r="396" customHeight="1" spans="1:44">
      <c r="A396" s="82"/>
      <c r="T396" s="149"/>
      <c r="U396" s="14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  <c r="AR396" s="82"/>
    </row>
    <row r="397" customHeight="1" spans="1:44">
      <c r="A397" s="82"/>
      <c r="B397" s="24"/>
      <c r="C397" s="24"/>
      <c r="D397" s="24"/>
      <c r="E397" s="24"/>
      <c r="F397" s="24"/>
      <c r="G397" s="129"/>
      <c r="H397" s="24"/>
      <c r="I397" s="24"/>
      <c r="J397" s="24"/>
      <c r="K397" s="26"/>
      <c r="L397" s="26"/>
      <c r="M397" s="26"/>
      <c r="N397" s="26"/>
      <c r="O397" s="142"/>
      <c r="P397" s="149"/>
      <c r="Q397" s="149"/>
      <c r="R397" s="149"/>
      <c r="S397" s="149"/>
      <c r="T397" s="149"/>
      <c r="U397" s="149"/>
      <c r="V397" s="24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  <c r="AR397" s="82"/>
    </row>
    <row r="398" customHeight="1" spans="1:44">
      <c r="A398" s="82"/>
      <c r="B398" s="24"/>
      <c r="C398" s="24"/>
      <c r="D398" s="24"/>
      <c r="E398" s="24"/>
      <c r="F398" s="24"/>
      <c r="G398" s="129"/>
      <c r="H398" s="24"/>
      <c r="I398" s="24"/>
      <c r="J398" s="24"/>
      <c r="K398" s="24"/>
      <c r="R398" s="149"/>
      <c r="S398" s="149"/>
      <c r="T398" s="149"/>
      <c r="U398" s="149"/>
      <c r="V398" s="24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  <c r="AR398" s="82"/>
    </row>
    <row r="399" customHeight="1" spans="1:44">
      <c r="A399" s="82"/>
      <c r="B399" s="24"/>
      <c r="C399" s="24"/>
      <c r="D399" s="24"/>
      <c r="E399" s="24"/>
      <c r="F399" s="24"/>
      <c r="G399" s="129"/>
      <c r="H399" s="24"/>
      <c r="I399" s="24"/>
      <c r="J399" s="24"/>
      <c r="K399" s="24"/>
      <c r="L399" s="26"/>
      <c r="M399" s="26"/>
      <c r="N399" s="26"/>
      <c r="O399" s="142"/>
      <c r="P399" s="149"/>
      <c r="Q399" s="149"/>
      <c r="R399" s="149"/>
      <c r="S399" s="149"/>
      <c r="T399" s="149"/>
      <c r="U399" s="149"/>
      <c r="V399" s="24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  <c r="AR399" s="82"/>
    </row>
    <row r="400" customHeight="1" spans="1:44">
      <c r="A400" s="82"/>
      <c r="B400" s="24"/>
      <c r="C400" s="24"/>
      <c r="D400" s="24"/>
      <c r="E400" s="24"/>
      <c r="F400" s="24"/>
      <c r="G400" s="129"/>
      <c r="H400" s="24"/>
      <c r="I400" s="24"/>
      <c r="J400" s="24"/>
      <c r="K400" s="24"/>
      <c r="L400" s="26"/>
      <c r="M400" s="26"/>
      <c r="N400" s="26"/>
      <c r="O400" s="142"/>
      <c r="P400" s="149"/>
      <c r="Q400" s="149"/>
      <c r="R400" s="149"/>
      <c r="S400" s="149"/>
      <c r="T400" s="149"/>
      <c r="U400" s="149"/>
      <c r="V400" s="24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</row>
    <row r="401" customHeight="1" spans="1:44">
      <c r="A401" s="82"/>
      <c r="B401" s="24"/>
      <c r="C401" s="24"/>
      <c r="D401" s="24"/>
      <c r="E401" s="24"/>
      <c r="F401" s="24"/>
      <c r="G401" s="129"/>
      <c r="H401" s="24"/>
      <c r="I401" s="24"/>
      <c r="J401" s="24"/>
      <c r="K401" s="24"/>
      <c r="L401" s="26"/>
      <c r="M401" s="26"/>
      <c r="N401" s="26"/>
      <c r="O401" s="142"/>
      <c r="P401" s="149"/>
      <c r="Q401" s="149"/>
      <c r="R401" s="149"/>
      <c r="S401" s="149"/>
      <c r="T401" s="149"/>
      <c r="U401" s="149"/>
      <c r="V401" s="24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</row>
    <row r="402" customHeight="1" spans="1:44">
      <c r="A402" s="82"/>
      <c r="B402" s="24"/>
      <c r="C402" s="24"/>
      <c r="D402" s="24"/>
      <c r="E402" s="24"/>
      <c r="F402" s="24"/>
      <c r="G402" s="129"/>
      <c r="H402" s="24"/>
      <c r="I402" s="24"/>
      <c r="J402" s="24"/>
      <c r="K402" s="24"/>
      <c r="L402" s="26"/>
      <c r="M402" s="26"/>
      <c r="N402" s="26"/>
      <c r="O402" s="142"/>
      <c r="P402" s="149"/>
      <c r="Q402" s="149"/>
      <c r="R402" s="149"/>
      <c r="S402" s="149"/>
      <c r="T402" s="149"/>
      <c r="U402" s="149"/>
      <c r="V402" s="24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  <c r="AR402" s="82"/>
    </row>
    <row r="403" customHeight="1" spans="1:44">
      <c r="A403" s="82"/>
      <c r="B403" s="24"/>
      <c r="C403" s="24"/>
      <c r="D403" s="24"/>
      <c r="E403" s="24"/>
      <c r="F403" s="24"/>
      <c r="G403" s="129"/>
      <c r="H403" s="24"/>
      <c r="I403" s="24"/>
      <c r="J403" s="24"/>
      <c r="K403" s="24"/>
      <c r="L403" s="26"/>
      <c r="M403" s="26"/>
      <c r="N403" s="26"/>
      <c r="O403" s="142"/>
      <c r="P403" s="149"/>
      <c r="Q403" s="149"/>
      <c r="R403" s="149"/>
      <c r="S403" s="149"/>
      <c r="T403" s="149"/>
      <c r="U403" s="149"/>
      <c r="V403" s="24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  <c r="AR403" s="82"/>
    </row>
    <row r="404" customHeight="1" spans="1:44">
      <c r="A404" s="82"/>
      <c r="B404" s="24"/>
      <c r="C404" s="24"/>
      <c r="D404" s="24"/>
      <c r="E404" s="24"/>
      <c r="F404" s="24"/>
      <c r="G404" s="129"/>
      <c r="H404" s="24"/>
      <c r="I404" s="24"/>
      <c r="J404" s="24"/>
      <c r="K404" s="24"/>
      <c r="L404" s="26"/>
      <c r="M404" s="26"/>
      <c r="N404" s="26"/>
      <c r="O404" s="142"/>
      <c r="P404" s="149"/>
      <c r="Q404" s="149"/>
      <c r="R404" s="149"/>
      <c r="S404" s="149"/>
      <c r="T404" s="149"/>
      <c r="U404" s="149"/>
      <c r="V404" s="24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  <c r="AR404" s="82"/>
    </row>
    <row r="405" customHeight="1" spans="1:44">
      <c r="A405" s="82"/>
      <c r="B405" s="24"/>
      <c r="C405" s="24"/>
      <c r="D405" s="24"/>
      <c r="E405" s="24"/>
      <c r="F405" s="24"/>
      <c r="G405" s="129"/>
      <c r="H405" s="24"/>
      <c r="I405" s="24"/>
      <c r="J405" s="24"/>
      <c r="K405" s="24"/>
      <c r="L405" s="26"/>
      <c r="M405" s="26"/>
      <c r="N405" s="26"/>
      <c r="O405" s="142"/>
      <c r="P405" s="149"/>
      <c r="Q405" s="149"/>
      <c r="R405" s="149"/>
      <c r="S405" s="149"/>
      <c r="T405" s="149"/>
      <c r="U405" s="149"/>
      <c r="V405" s="24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  <c r="AR405" s="82"/>
    </row>
    <row r="406" customHeight="1" spans="1:44">
      <c r="A406" s="82"/>
      <c r="B406" s="24"/>
      <c r="C406" s="24"/>
      <c r="D406" s="24"/>
      <c r="E406" s="24"/>
      <c r="F406" s="24"/>
      <c r="G406" s="129"/>
      <c r="H406" s="24"/>
      <c r="I406" s="24"/>
      <c r="J406" s="24"/>
      <c r="K406" s="24"/>
      <c r="L406" s="26"/>
      <c r="M406" s="26"/>
      <c r="N406" s="26"/>
      <c r="O406" s="142"/>
      <c r="P406" s="149"/>
      <c r="Q406" s="149"/>
      <c r="R406" s="149"/>
      <c r="S406" s="149"/>
      <c r="T406" s="149"/>
      <c r="U406" s="149"/>
      <c r="V406" s="24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</row>
    <row r="407" customHeight="1" spans="1:44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26"/>
      <c r="M407" s="26"/>
      <c r="N407" s="26"/>
      <c r="O407" s="142"/>
      <c r="P407" s="149"/>
      <c r="Q407" s="149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</row>
    <row r="408" customHeight="1" spans="1:44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26"/>
      <c r="M408" s="26"/>
      <c r="N408" s="26"/>
      <c r="O408" s="142"/>
      <c r="P408" s="149"/>
      <c r="Q408" s="149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</row>
    <row r="409" customHeight="1" spans="1:44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</row>
    <row r="410" customHeight="1" spans="1:44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</row>
    <row r="411" customHeight="1" spans="1:44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</row>
    <row r="412" customHeight="1" spans="1:44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</row>
    <row r="413" customHeight="1" spans="1:44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</row>
    <row r="414" customHeight="1" spans="1:4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</row>
    <row r="415" customHeight="1" spans="1:44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</row>
    <row r="416" customHeight="1" spans="1:44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</row>
    <row r="417" customHeight="1" spans="1:44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</row>
    <row r="418" customHeight="1" spans="1:44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</row>
    <row r="419" customHeight="1" spans="1:44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</row>
    <row r="420" customHeight="1" spans="1:44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</row>
    <row r="421" customHeight="1" spans="1:44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</row>
    <row r="422" customHeight="1" spans="1:44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</row>
    <row r="423" customHeight="1" spans="1:44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</row>
    <row r="424" customHeight="1" spans="1:4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</row>
    <row r="425" customHeight="1" spans="1:44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</row>
    <row r="426" customHeight="1" spans="1:44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</row>
    <row r="427" customHeight="1" spans="1:44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</row>
    <row r="428" customHeight="1" spans="1:44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</row>
    <row r="429" customHeight="1" spans="1:44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</row>
    <row r="430" customHeight="1" spans="1:44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</row>
    <row r="431" customHeight="1" spans="1:44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</row>
    <row r="432" customHeight="1" spans="1:44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</row>
    <row r="433" customHeight="1" spans="1:44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</row>
    <row r="434" customHeight="1" spans="1:4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</row>
    <row r="435" customHeight="1" spans="1:44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</row>
    <row r="436" customHeight="1" spans="1:44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</row>
    <row r="437" customHeight="1" spans="1:44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</row>
    <row r="438" customHeight="1" spans="1:44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</row>
    <row r="439" customHeight="1" spans="1:44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</row>
    <row r="440" customHeight="1" spans="1:44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</row>
    <row r="441" customHeight="1" spans="1:44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  <c r="AR441" s="82"/>
    </row>
    <row r="442" customHeight="1" spans="1:44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  <c r="AR442" s="82"/>
    </row>
    <row r="443" customHeight="1" spans="1:44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</row>
    <row r="444" customHeight="1" spans="1: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  <c r="AR444" s="82"/>
    </row>
    <row r="445" customHeight="1" spans="1:44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  <c r="AR445" s="82"/>
    </row>
    <row r="446" customHeight="1" spans="1:44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</row>
    <row r="447" customHeight="1" spans="1:44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</row>
    <row r="448" customHeight="1" spans="1:44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</row>
    <row r="449" customHeight="1" spans="1:44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</row>
    <row r="450" customHeight="1" spans="1:44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</row>
    <row r="451" customHeight="1" spans="1:44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</row>
    <row r="452" customHeight="1" spans="1:44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</row>
    <row r="453" customHeight="1" spans="1:44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</row>
    <row r="454" customHeight="1" spans="1:4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</row>
    <row r="455" customHeight="1" spans="1:44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</row>
    <row r="456" customHeight="1" spans="1:44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</row>
    <row r="457" customHeight="1" spans="1:44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</row>
    <row r="458" customHeight="1" spans="1:44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</row>
    <row r="459" customHeight="1" spans="1:44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</row>
    <row r="460" customHeight="1" spans="1:44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  <c r="AR460" s="82"/>
    </row>
    <row r="461" customHeight="1" spans="1:44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  <c r="AR461" s="82"/>
    </row>
    <row r="462" customHeight="1" spans="1:44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  <c r="AR462" s="82"/>
    </row>
    <row r="463" customHeight="1" spans="1:44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  <c r="AR463" s="82"/>
    </row>
    <row r="464" customHeight="1" spans="1:4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  <c r="AR464" s="82"/>
    </row>
    <row r="465" customHeight="1" spans="1:44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  <c r="AR465" s="82"/>
    </row>
    <row r="466" customHeight="1" spans="1:44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</row>
    <row r="467" customHeight="1" spans="1:44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  <c r="AR467" s="82"/>
    </row>
    <row r="468" customHeight="1" spans="1:44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</row>
    <row r="469" customHeight="1" spans="1:44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</row>
    <row r="470" customHeight="1" spans="1:44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</row>
    <row r="471" customHeight="1" spans="1:44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</row>
    <row r="472" customHeight="1" spans="1:44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</row>
    <row r="473" customHeight="1" spans="1:44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</row>
    <row r="474" customHeight="1" spans="1:4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  <c r="AR474" s="82"/>
    </row>
    <row r="475" customHeight="1" spans="1:44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  <c r="AR475" s="82"/>
    </row>
    <row r="476" customHeight="1" spans="1:44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  <c r="AR476" s="82"/>
    </row>
    <row r="477" customHeight="1" spans="1:44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  <c r="AR477" s="82"/>
    </row>
    <row r="478" customHeight="1" spans="1:44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  <c r="AR478" s="82"/>
    </row>
    <row r="479" customHeight="1" spans="1:44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</row>
    <row r="480" customHeight="1" spans="1:44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</row>
    <row r="481" customHeight="1" spans="1:44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  <c r="AR481" s="82"/>
    </row>
    <row r="482" customHeight="1" spans="1:44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  <c r="AR482" s="82"/>
    </row>
    <row r="483" customHeight="1" spans="1:44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  <c r="AR483" s="82"/>
    </row>
    <row r="484" customHeight="1" spans="1:4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  <c r="AR484" s="82"/>
    </row>
    <row r="485" customHeight="1" spans="1:44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  <c r="AR485" s="82"/>
    </row>
    <row r="486" customHeight="1" spans="1:44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</row>
    <row r="487" customHeight="1" spans="1:44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</row>
    <row r="488" customHeight="1" spans="1:44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  <c r="AR488" s="82"/>
    </row>
    <row r="489" customHeight="1" spans="1:44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  <c r="AR489" s="82"/>
    </row>
    <row r="490" customHeight="1" spans="1:44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</row>
    <row r="491" customHeight="1" spans="1:44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</row>
    <row r="492" customHeight="1" spans="1:44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</row>
    <row r="493" customHeight="1" spans="1:44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</row>
    <row r="494" customHeight="1" spans="1:4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</row>
    <row r="495" customHeight="1" spans="1:44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</row>
    <row r="496" customHeight="1" spans="1:44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</row>
    <row r="497" customHeight="1" spans="1:44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</row>
    <row r="498" customHeight="1" spans="1:44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</row>
    <row r="499" customHeight="1" spans="1:44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</row>
    <row r="500" customHeight="1" spans="1:44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  <c r="AR500" s="82"/>
    </row>
    <row r="501" customHeight="1" spans="1:44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  <c r="AR501" s="82"/>
    </row>
    <row r="502" customHeight="1" spans="1:44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  <c r="AR502" s="82"/>
    </row>
    <row r="503" customHeight="1" spans="1:44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  <c r="AR503" s="82"/>
    </row>
    <row r="504" customHeight="1" spans="1:4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  <c r="AR504" s="82"/>
    </row>
    <row r="505" customHeight="1" spans="1:44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</row>
    <row r="506" customHeight="1" spans="1:44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  <c r="AN506" s="82"/>
      <c r="AO506" s="82"/>
      <c r="AP506" s="82"/>
      <c r="AQ506" s="82"/>
      <c r="AR506" s="82"/>
    </row>
    <row r="507" customHeight="1" spans="1:44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  <c r="AN507" s="82"/>
      <c r="AO507" s="82"/>
      <c r="AP507" s="82"/>
      <c r="AQ507" s="82"/>
      <c r="AR507" s="82"/>
    </row>
    <row r="508" customHeight="1" spans="1:44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  <c r="AN508" s="82"/>
      <c r="AO508" s="82"/>
      <c r="AP508" s="82"/>
      <c r="AQ508" s="82"/>
      <c r="AR508" s="82"/>
    </row>
    <row r="509" customHeight="1" spans="1:44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  <c r="AN509" s="82"/>
      <c r="AO509" s="82"/>
      <c r="AP509" s="82"/>
      <c r="AQ509" s="82"/>
      <c r="AR509" s="82"/>
    </row>
    <row r="510" customHeight="1" spans="1:44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  <c r="AP510" s="82"/>
      <c r="AQ510" s="82"/>
      <c r="AR510" s="82"/>
    </row>
    <row r="511" customHeight="1" spans="1:44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  <c r="AN511" s="82"/>
      <c r="AO511" s="82"/>
      <c r="AP511" s="82"/>
      <c r="AQ511" s="82"/>
      <c r="AR511" s="82"/>
    </row>
    <row r="512" customHeight="1" spans="1:44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  <c r="AN512" s="82"/>
      <c r="AO512" s="82"/>
      <c r="AP512" s="82"/>
      <c r="AQ512" s="82"/>
      <c r="AR512" s="82"/>
    </row>
    <row r="513" customHeight="1" spans="1:44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  <c r="AM513" s="82"/>
      <c r="AN513" s="82"/>
      <c r="AO513" s="82"/>
      <c r="AP513" s="82"/>
      <c r="AQ513" s="82"/>
      <c r="AR513" s="82"/>
    </row>
    <row r="514" customHeight="1" spans="1:4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  <c r="AR514" s="82"/>
    </row>
    <row r="515" customHeight="1" spans="1:44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</row>
    <row r="516" customHeight="1" spans="1:44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  <c r="AR516" s="82"/>
    </row>
    <row r="517" customHeight="1" spans="1:44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  <c r="AR517" s="82"/>
    </row>
    <row r="518" customHeight="1" spans="1:44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  <c r="AR518" s="82"/>
    </row>
    <row r="519" customHeight="1" spans="1:44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  <c r="AR519" s="82"/>
    </row>
    <row r="520" customHeight="1" spans="1:44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  <c r="AR520" s="82"/>
    </row>
    <row r="521" customHeight="1" spans="1:44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  <c r="AR521" s="82"/>
    </row>
    <row r="522" customHeight="1" spans="1:44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  <c r="AR522" s="82"/>
    </row>
    <row r="523" customHeight="1" spans="1:44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  <c r="AR523" s="82"/>
    </row>
    <row r="524" customHeight="1" spans="1:4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  <c r="AR524" s="82"/>
    </row>
    <row r="525" customHeight="1" spans="1:44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</row>
    <row r="526" customHeight="1" spans="1:44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</row>
    <row r="527" customHeight="1" spans="1:44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</row>
    <row r="528" customHeight="1" spans="1:44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  <c r="AR528" s="82"/>
    </row>
    <row r="529" customHeight="1" spans="1:44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  <c r="AR529" s="82"/>
    </row>
    <row r="530" customHeight="1" spans="1:44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</row>
    <row r="531" customHeight="1" spans="1:44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</row>
    <row r="532" customHeight="1" spans="1:44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</row>
    <row r="533" customHeight="1" spans="1:44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</row>
    <row r="534" customHeight="1" spans="1:4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</row>
    <row r="535" customHeight="1" spans="1:44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</row>
    <row r="536" customHeight="1" spans="1:44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</row>
    <row r="537" customHeight="1" spans="1:44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</row>
    <row r="538" customHeight="1" spans="1:44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</row>
    <row r="539" customHeight="1" spans="1:44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</row>
    <row r="540" customHeight="1" spans="1:44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</row>
    <row r="541" customHeight="1" spans="1:44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</row>
    <row r="542" customHeight="1" spans="1:44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  <c r="AM542" s="82"/>
      <c r="AN542" s="82"/>
      <c r="AO542" s="82"/>
      <c r="AP542" s="82"/>
      <c r="AQ542" s="82"/>
      <c r="AR542" s="82"/>
    </row>
    <row r="543" customHeight="1" spans="1:44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  <c r="AM543" s="82"/>
      <c r="AN543" s="82"/>
      <c r="AO543" s="82"/>
      <c r="AP543" s="82"/>
      <c r="AQ543" s="82"/>
      <c r="AR543" s="82"/>
    </row>
    <row r="544" customHeight="1" spans="1: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  <c r="AM544" s="82"/>
      <c r="AN544" s="82"/>
      <c r="AO544" s="82"/>
      <c r="AP544" s="82"/>
      <c r="AQ544" s="82"/>
      <c r="AR544" s="82"/>
    </row>
    <row r="545" customHeight="1" spans="1:44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  <c r="AM545" s="82"/>
      <c r="AN545" s="82"/>
      <c r="AO545" s="82"/>
      <c r="AP545" s="82"/>
      <c r="AQ545" s="82"/>
      <c r="AR545" s="82"/>
    </row>
    <row r="546" customHeight="1" spans="1:44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  <c r="AN546" s="82"/>
      <c r="AO546" s="82"/>
      <c r="AP546" s="82"/>
      <c r="AQ546" s="82"/>
      <c r="AR546" s="82"/>
    </row>
    <row r="547" customHeight="1" spans="1:44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  <c r="AR547" s="82"/>
    </row>
    <row r="548" customHeight="1" spans="1:44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  <c r="AM548" s="82"/>
      <c r="AN548" s="82"/>
      <c r="AO548" s="82"/>
      <c r="AP548" s="82"/>
      <c r="AQ548" s="82"/>
      <c r="AR548" s="82"/>
    </row>
    <row r="549" customHeight="1" spans="1:44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  <c r="AM549" s="82"/>
      <c r="AN549" s="82"/>
      <c r="AO549" s="82"/>
      <c r="AP549" s="82"/>
      <c r="AQ549" s="82"/>
      <c r="AR549" s="82"/>
    </row>
    <row r="550" customHeight="1" spans="1:44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  <c r="AR550" s="82"/>
    </row>
    <row r="551" customHeight="1" spans="1:44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  <c r="AR551" s="82"/>
    </row>
    <row r="552" customHeight="1" spans="1:44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  <c r="AR552" s="82"/>
    </row>
    <row r="553" customHeight="1" spans="1:44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  <c r="AR553" s="82"/>
    </row>
    <row r="554" customHeight="1" spans="1:4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  <c r="AR554" s="82"/>
    </row>
    <row r="555" customHeight="1" spans="1:44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  <c r="AR555" s="82"/>
    </row>
    <row r="556" customHeight="1" spans="1:44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  <c r="AR556" s="82"/>
    </row>
    <row r="557" customHeight="1" spans="1:44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  <c r="AM557" s="82"/>
      <c r="AN557" s="82"/>
      <c r="AO557" s="82"/>
      <c r="AP557" s="82"/>
      <c r="AQ557" s="82"/>
      <c r="AR557" s="82"/>
    </row>
    <row r="558" customHeight="1" spans="1:44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  <c r="AM558" s="82"/>
      <c r="AN558" s="82"/>
      <c r="AO558" s="82"/>
      <c r="AP558" s="82"/>
      <c r="AQ558" s="82"/>
      <c r="AR558" s="82"/>
    </row>
    <row r="559" customHeight="1" spans="1:44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  <c r="AM559" s="82"/>
      <c r="AN559" s="82"/>
      <c r="AO559" s="82"/>
      <c r="AP559" s="82"/>
      <c r="AQ559" s="82"/>
      <c r="AR559" s="82"/>
    </row>
    <row r="560" customHeight="1" spans="1:44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  <c r="AM560" s="82"/>
      <c r="AN560" s="82"/>
      <c r="AO560" s="82"/>
      <c r="AP560" s="82"/>
      <c r="AQ560" s="82"/>
      <c r="AR560" s="82"/>
    </row>
    <row r="561" customHeight="1" spans="1:44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  <c r="AM561" s="82"/>
      <c r="AN561" s="82"/>
      <c r="AO561" s="82"/>
      <c r="AP561" s="82"/>
      <c r="AQ561" s="82"/>
      <c r="AR561" s="82"/>
    </row>
    <row r="562" customHeight="1" spans="1:44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  <c r="AM562" s="82"/>
      <c r="AN562" s="82"/>
      <c r="AO562" s="82"/>
      <c r="AP562" s="82"/>
      <c r="AQ562" s="82"/>
      <c r="AR562" s="82"/>
    </row>
    <row r="563" customHeight="1" spans="1:44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  <c r="AM563" s="82"/>
      <c r="AN563" s="82"/>
      <c r="AO563" s="82"/>
      <c r="AP563" s="82"/>
      <c r="AQ563" s="82"/>
      <c r="AR563" s="82"/>
    </row>
    <row r="564" customHeight="1" spans="1:4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  <c r="AN564" s="82"/>
      <c r="AO564" s="82"/>
      <c r="AP564" s="82"/>
      <c r="AQ564" s="82"/>
      <c r="AR564" s="82"/>
    </row>
    <row r="565" customHeight="1" spans="1:44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  <c r="AM565" s="82"/>
      <c r="AN565" s="82"/>
      <c r="AO565" s="82"/>
      <c r="AP565" s="82"/>
      <c r="AQ565" s="82"/>
      <c r="AR565" s="82"/>
    </row>
    <row r="566" customHeight="1" spans="1:44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</row>
    <row r="567" customHeight="1" spans="1:44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</row>
    <row r="568" customHeight="1" spans="1:44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  <c r="AR568" s="82"/>
    </row>
    <row r="569" customHeight="1" spans="1:44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  <c r="AR569" s="82"/>
    </row>
    <row r="570" customHeight="1" spans="1:44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</row>
    <row r="571" customHeight="1" spans="1:44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</row>
    <row r="572" customHeight="1" spans="1:44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</row>
    <row r="573" customHeight="1" spans="1:44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</row>
    <row r="574" customHeight="1" spans="1:4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</row>
    <row r="575" customHeight="1" spans="1:44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</row>
    <row r="576" customHeight="1" spans="1:44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</row>
    <row r="577" customHeight="1" spans="1:44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</row>
    <row r="578" customHeight="1" spans="1:44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</row>
    <row r="579" customHeight="1" spans="1:44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</row>
    <row r="580" customHeight="1" spans="1:44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  <c r="AM580" s="82"/>
      <c r="AN580" s="82"/>
      <c r="AO580" s="82"/>
      <c r="AP580" s="82"/>
      <c r="AQ580" s="82"/>
      <c r="AR580" s="82"/>
    </row>
    <row r="581" customHeight="1" spans="1:44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  <c r="AM581" s="82"/>
      <c r="AN581" s="82"/>
      <c r="AO581" s="82"/>
      <c r="AP581" s="82"/>
      <c r="AQ581" s="82"/>
      <c r="AR581" s="82"/>
    </row>
    <row r="582" customHeight="1" spans="1:44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  <c r="AN582" s="82"/>
      <c r="AO582" s="82"/>
      <c r="AP582" s="82"/>
      <c r="AQ582" s="82"/>
      <c r="AR582" s="82"/>
    </row>
    <row r="583" customHeight="1" spans="1:44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  <c r="AN583" s="82"/>
      <c r="AO583" s="82"/>
      <c r="AP583" s="82"/>
      <c r="AQ583" s="82"/>
      <c r="AR583" s="82"/>
    </row>
    <row r="584" customHeight="1" spans="1:4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  <c r="AM584" s="82"/>
      <c r="AN584" s="82"/>
      <c r="AO584" s="82"/>
      <c r="AP584" s="82"/>
      <c r="AQ584" s="82"/>
      <c r="AR584" s="82"/>
    </row>
    <row r="585" customHeight="1" spans="1:44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  <c r="AR585" s="82"/>
    </row>
    <row r="586" customHeight="1" spans="1:44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  <c r="AR586" s="82"/>
    </row>
    <row r="587" customHeight="1" spans="1:44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  <c r="AM587" s="82"/>
      <c r="AN587" s="82"/>
      <c r="AO587" s="82"/>
      <c r="AP587" s="82"/>
      <c r="AQ587" s="82"/>
      <c r="AR587" s="82"/>
    </row>
    <row r="588" customHeight="1" spans="1:44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  <c r="AR588" s="82"/>
    </row>
    <row r="589" customHeight="1" spans="1:44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  <c r="AM589" s="82"/>
      <c r="AN589" s="82"/>
      <c r="AO589" s="82"/>
      <c r="AP589" s="82"/>
      <c r="AQ589" s="82"/>
      <c r="AR589" s="82"/>
    </row>
    <row r="590" customHeight="1" spans="1:44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  <c r="AR590" s="82"/>
    </row>
    <row r="591" customHeight="1" spans="1:44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  <c r="AN591" s="82"/>
      <c r="AO591" s="82"/>
      <c r="AP591" s="82"/>
      <c r="AQ591" s="82"/>
      <c r="AR591" s="82"/>
    </row>
    <row r="592" customHeight="1" spans="1:44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  <c r="AM592" s="82"/>
      <c r="AN592" s="82"/>
      <c r="AO592" s="82"/>
      <c r="AP592" s="82"/>
      <c r="AQ592" s="82"/>
      <c r="AR592" s="82"/>
    </row>
    <row r="593" customHeight="1" spans="1:44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  <c r="AM593" s="82"/>
      <c r="AN593" s="82"/>
      <c r="AO593" s="82"/>
      <c r="AP593" s="82"/>
      <c r="AQ593" s="82"/>
      <c r="AR593" s="82"/>
    </row>
    <row r="594" customHeight="1" spans="1:4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  <c r="AM594" s="82"/>
      <c r="AN594" s="82"/>
      <c r="AO594" s="82"/>
      <c r="AP594" s="82"/>
      <c r="AQ594" s="82"/>
      <c r="AR594" s="82"/>
    </row>
    <row r="595" customHeight="1" spans="1:44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  <c r="AM595" s="82"/>
      <c r="AN595" s="82"/>
      <c r="AO595" s="82"/>
      <c r="AP595" s="82"/>
      <c r="AQ595" s="82"/>
      <c r="AR595" s="82"/>
    </row>
    <row r="596" customHeight="1" spans="1:44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  <c r="AM596" s="82"/>
      <c r="AN596" s="82"/>
      <c r="AO596" s="82"/>
      <c r="AP596" s="82"/>
      <c r="AQ596" s="82"/>
      <c r="AR596" s="82"/>
    </row>
    <row r="597" customHeight="1" spans="1:44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  <c r="AM597" s="82"/>
      <c r="AN597" s="82"/>
      <c r="AO597" s="82"/>
      <c r="AP597" s="82"/>
      <c r="AQ597" s="82"/>
      <c r="AR597" s="82"/>
    </row>
    <row r="598" customHeight="1" spans="1:44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  <c r="AM598" s="82"/>
      <c r="AN598" s="82"/>
      <c r="AO598" s="82"/>
      <c r="AP598" s="82"/>
      <c r="AQ598" s="82"/>
      <c r="AR598" s="82"/>
    </row>
    <row r="599" customHeight="1" spans="1:44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  <c r="AR599" s="82"/>
    </row>
    <row r="600" customHeight="1" spans="1:44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  <c r="AN600" s="82"/>
      <c r="AO600" s="82"/>
      <c r="AP600" s="82"/>
      <c r="AQ600" s="82"/>
      <c r="AR600" s="82"/>
    </row>
    <row r="601" customHeight="1" spans="1:44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  <c r="AM601" s="82"/>
      <c r="AN601" s="82"/>
      <c r="AO601" s="82"/>
      <c r="AP601" s="82"/>
      <c r="AQ601" s="82"/>
      <c r="AR601" s="82"/>
    </row>
    <row r="602" customHeight="1" spans="1:44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  <c r="AM602" s="82"/>
      <c r="AN602" s="82"/>
      <c r="AO602" s="82"/>
      <c r="AP602" s="82"/>
      <c r="AQ602" s="82"/>
      <c r="AR602" s="82"/>
    </row>
    <row r="603" customHeight="1" spans="1:44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  <c r="AM603" s="82"/>
      <c r="AN603" s="82"/>
      <c r="AO603" s="82"/>
      <c r="AP603" s="82"/>
      <c r="AQ603" s="82"/>
      <c r="AR603" s="82"/>
    </row>
    <row r="604" customHeight="1" spans="1:4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  <c r="AM604" s="82"/>
      <c r="AN604" s="82"/>
      <c r="AO604" s="82"/>
      <c r="AP604" s="82"/>
      <c r="AQ604" s="82"/>
      <c r="AR604" s="82"/>
    </row>
    <row r="605" customHeight="1" spans="1:44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  <c r="AM605" s="82"/>
      <c r="AN605" s="82"/>
      <c r="AO605" s="82"/>
      <c r="AP605" s="82"/>
      <c r="AQ605" s="82"/>
      <c r="AR605" s="82"/>
    </row>
    <row r="606" customHeight="1" spans="1:44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</row>
    <row r="607" customHeight="1" spans="1:44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</row>
    <row r="608" customHeight="1" spans="1:44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  <c r="AR608" s="82"/>
    </row>
    <row r="609" customHeight="1" spans="1:44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  <c r="AN609" s="82"/>
      <c r="AO609" s="82"/>
      <c r="AP609" s="82"/>
      <c r="AQ609" s="82"/>
      <c r="AR609" s="82"/>
    </row>
    <row r="610" customHeight="1" spans="1:44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</row>
    <row r="611" customHeight="1" spans="1:44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</row>
    <row r="612" customHeight="1" spans="1:44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</row>
    <row r="613" customHeight="1" spans="1:44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</row>
    <row r="614" customHeight="1" spans="1:4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</row>
    <row r="615" customHeight="1" spans="1:44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</row>
    <row r="616" customHeight="1" spans="1:44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</row>
    <row r="617" customHeight="1" spans="1:44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</row>
    <row r="618" customHeight="1" spans="1:44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</row>
    <row r="619" customHeight="1" spans="1:44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</row>
    <row r="620" customHeight="1" spans="1:44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  <c r="AR620" s="82"/>
    </row>
    <row r="621" customHeight="1" spans="1:44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  <c r="AM621" s="82"/>
      <c r="AN621" s="82"/>
      <c r="AO621" s="82"/>
      <c r="AP621" s="82"/>
      <c r="AQ621" s="82"/>
      <c r="AR621" s="82"/>
    </row>
    <row r="622" customHeight="1" spans="1:44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  <c r="AM622" s="82"/>
      <c r="AN622" s="82"/>
      <c r="AO622" s="82"/>
      <c r="AP622" s="82"/>
      <c r="AQ622" s="82"/>
      <c r="AR622" s="82"/>
    </row>
    <row r="623" customHeight="1" spans="1:44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  <c r="AM623" s="82"/>
      <c r="AN623" s="82"/>
      <c r="AO623" s="82"/>
      <c r="AP623" s="82"/>
      <c r="AQ623" s="82"/>
      <c r="AR623" s="82"/>
    </row>
    <row r="624" customHeight="1" spans="1:4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  <c r="AM624" s="82"/>
      <c r="AN624" s="82"/>
      <c r="AO624" s="82"/>
      <c r="AP624" s="82"/>
      <c r="AQ624" s="82"/>
      <c r="AR624" s="82"/>
    </row>
    <row r="625" customHeight="1" spans="1:44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  <c r="AR625" s="82"/>
    </row>
    <row r="626" customHeight="1" spans="1:44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  <c r="AM626" s="82"/>
      <c r="AN626" s="82"/>
      <c r="AO626" s="82"/>
      <c r="AP626" s="82"/>
      <c r="AQ626" s="82"/>
      <c r="AR626" s="82"/>
    </row>
    <row r="627" customHeight="1" spans="1:44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  <c r="AR627" s="82"/>
    </row>
    <row r="628" customHeight="1" spans="1:44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  <c r="AM628" s="82"/>
      <c r="AN628" s="82"/>
      <c r="AO628" s="82"/>
      <c r="AP628" s="82"/>
      <c r="AQ628" s="82"/>
      <c r="AR628" s="82"/>
    </row>
    <row r="629" customHeight="1" spans="1:44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  <c r="AM629" s="82"/>
      <c r="AN629" s="82"/>
      <c r="AO629" s="82"/>
      <c r="AP629" s="82"/>
      <c r="AQ629" s="82"/>
      <c r="AR629" s="82"/>
    </row>
    <row r="630" customHeight="1" spans="1:44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  <c r="AM630" s="82"/>
      <c r="AN630" s="82"/>
      <c r="AO630" s="82"/>
      <c r="AP630" s="82"/>
      <c r="AQ630" s="82"/>
      <c r="AR630" s="82"/>
    </row>
    <row r="631" customHeight="1" spans="1:44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  <c r="AM631" s="82"/>
      <c r="AN631" s="82"/>
      <c r="AO631" s="82"/>
      <c r="AP631" s="82"/>
      <c r="AQ631" s="82"/>
      <c r="AR631" s="82"/>
    </row>
    <row r="632" customHeight="1" spans="1:44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  <c r="AM632" s="82"/>
      <c r="AN632" s="82"/>
      <c r="AO632" s="82"/>
      <c r="AP632" s="82"/>
      <c r="AQ632" s="82"/>
      <c r="AR632" s="82"/>
    </row>
    <row r="633" customHeight="1" spans="1:44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  <c r="AR633" s="82"/>
    </row>
    <row r="634" customHeight="1" spans="1:4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  <c r="AR634" s="82"/>
    </row>
    <row r="635" customHeight="1" spans="1:44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  <c r="AM635" s="82"/>
      <c r="AN635" s="82"/>
      <c r="AO635" s="82"/>
      <c r="AP635" s="82"/>
      <c r="AQ635" s="82"/>
      <c r="AR635" s="82"/>
    </row>
    <row r="636" customHeight="1" spans="1:44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  <c r="AN636" s="82"/>
      <c r="AO636" s="82"/>
      <c r="AP636" s="82"/>
      <c r="AQ636" s="82"/>
      <c r="AR636" s="82"/>
    </row>
    <row r="637" customHeight="1" spans="1:44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  <c r="AM637" s="82"/>
      <c r="AN637" s="82"/>
      <c r="AO637" s="82"/>
      <c r="AP637" s="82"/>
      <c r="AQ637" s="82"/>
      <c r="AR637" s="82"/>
    </row>
    <row r="638" customHeight="1" spans="1:44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  <c r="AM638" s="82"/>
      <c r="AN638" s="82"/>
      <c r="AO638" s="82"/>
      <c r="AP638" s="82"/>
      <c r="AQ638" s="82"/>
      <c r="AR638" s="82"/>
    </row>
    <row r="639" customHeight="1" spans="1:44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  <c r="AR639" s="82"/>
    </row>
    <row r="640" customHeight="1" spans="1:44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  <c r="AR640" s="82"/>
    </row>
    <row r="641" customHeight="1" spans="1:44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  <c r="AR641" s="82"/>
    </row>
    <row r="642" customHeight="1" spans="1:44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  <c r="AR642" s="82"/>
    </row>
    <row r="643" customHeight="1" spans="1:44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  <c r="AR643" s="82"/>
    </row>
    <row r="644" customHeight="1" spans="1: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  <c r="AR644" s="82"/>
    </row>
    <row r="645" customHeight="1" spans="1:44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  <c r="AR645" s="82"/>
    </row>
    <row r="646" customHeight="1" spans="1:44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</row>
    <row r="647" customHeight="1" spans="1:44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</row>
    <row r="648" customHeight="1" spans="1:44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  <c r="AM648" s="82"/>
      <c r="AN648" s="82"/>
      <c r="AO648" s="82"/>
      <c r="AP648" s="82"/>
      <c r="AQ648" s="82"/>
      <c r="AR648" s="82"/>
    </row>
    <row r="649" customHeight="1" spans="1:44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  <c r="AM649" s="82"/>
      <c r="AN649" s="82"/>
      <c r="AO649" s="82"/>
      <c r="AP649" s="82"/>
      <c r="AQ649" s="82"/>
      <c r="AR649" s="82"/>
    </row>
    <row r="650" customHeight="1" spans="1:44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</row>
    <row r="651" customHeight="1" spans="1:44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</row>
    <row r="652" customHeight="1" spans="1:44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</row>
    <row r="653" customHeight="1" spans="1:44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</row>
    <row r="654" customHeight="1" spans="1:4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</row>
    <row r="655" customHeight="1" spans="1:44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</row>
    <row r="656" customHeight="1" spans="1:44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</row>
    <row r="657" customHeight="1" spans="1:44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</row>
    <row r="658" customHeight="1" spans="1:44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</row>
    <row r="659" customHeight="1" spans="1:44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</row>
    <row r="660" customHeight="1" spans="1:44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  <c r="AM660" s="82"/>
      <c r="AN660" s="82"/>
      <c r="AO660" s="82"/>
      <c r="AP660" s="82"/>
      <c r="AQ660" s="82"/>
      <c r="AR660" s="82"/>
    </row>
    <row r="661" customHeight="1" spans="1:44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  <c r="AM661" s="82"/>
      <c r="AN661" s="82"/>
      <c r="AO661" s="82"/>
      <c r="AP661" s="82"/>
      <c r="AQ661" s="82"/>
      <c r="AR661" s="82"/>
    </row>
    <row r="662" customHeight="1" spans="1:44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  <c r="AM662" s="82"/>
      <c r="AN662" s="82"/>
      <c r="AO662" s="82"/>
      <c r="AP662" s="82"/>
      <c r="AQ662" s="82"/>
      <c r="AR662" s="82"/>
    </row>
    <row r="663" customHeight="1" spans="1:44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  <c r="AM663" s="82"/>
      <c r="AN663" s="82"/>
      <c r="AO663" s="82"/>
      <c r="AP663" s="82"/>
      <c r="AQ663" s="82"/>
      <c r="AR663" s="82"/>
    </row>
    <row r="664" customHeight="1" spans="1:4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  <c r="AM664" s="82"/>
      <c r="AN664" s="82"/>
      <c r="AO664" s="82"/>
      <c r="AP664" s="82"/>
      <c r="AQ664" s="82"/>
      <c r="AR664" s="82"/>
    </row>
    <row r="665" customHeight="1" spans="1:44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  <c r="AM665" s="82"/>
      <c r="AN665" s="82"/>
      <c r="AO665" s="82"/>
      <c r="AP665" s="82"/>
      <c r="AQ665" s="82"/>
      <c r="AR665" s="82"/>
    </row>
    <row r="666" customHeight="1" spans="1:44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  <c r="AM666" s="82"/>
      <c r="AN666" s="82"/>
      <c r="AO666" s="82"/>
      <c r="AP666" s="82"/>
      <c r="AQ666" s="82"/>
      <c r="AR666" s="82"/>
    </row>
    <row r="667" customHeight="1" spans="1:44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  <c r="AR667" s="82"/>
    </row>
    <row r="668" customHeight="1" spans="1:44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  <c r="AR668" s="82"/>
    </row>
    <row r="669" customHeight="1" spans="1:44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  <c r="AR669" s="82"/>
    </row>
    <row r="670" customHeight="1" spans="1:44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  <c r="AR670" s="82"/>
    </row>
    <row r="671" customHeight="1" spans="1:44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  <c r="AR671" s="82"/>
    </row>
    <row r="672" customHeight="1" spans="1:44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  <c r="AR672" s="82"/>
    </row>
    <row r="673" customHeight="1" spans="1:44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  <c r="AR673" s="82"/>
    </row>
    <row r="674" customHeight="1" spans="1:4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  <c r="AM674" s="82"/>
      <c r="AN674" s="82"/>
      <c r="AO674" s="82"/>
      <c r="AP674" s="82"/>
      <c r="AQ674" s="82"/>
      <c r="AR674" s="82"/>
    </row>
    <row r="675" customHeight="1" spans="1:44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  <c r="AM675" s="82"/>
      <c r="AN675" s="82"/>
      <c r="AO675" s="82"/>
      <c r="AP675" s="82"/>
      <c r="AQ675" s="82"/>
      <c r="AR675" s="82"/>
    </row>
    <row r="676" customHeight="1" spans="1:44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  <c r="AM676" s="82"/>
      <c r="AN676" s="82"/>
      <c r="AO676" s="82"/>
      <c r="AP676" s="82"/>
      <c r="AQ676" s="82"/>
      <c r="AR676" s="82"/>
    </row>
    <row r="677" customHeight="1" spans="1:44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  <c r="AR677" s="82"/>
    </row>
    <row r="678" customHeight="1" spans="1:44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  <c r="AM678" s="82"/>
      <c r="AN678" s="82"/>
      <c r="AO678" s="82"/>
      <c r="AP678" s="82"/>
      <c r="AQ678" s="82"/>
      <c r="AR678" s="82"/>
    </row>
    <row r="679" customHeight="1" spans="1:44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  <c r="AM679" s="82"/>
      <c r="AN679" s="82"/>
      <c r="AO679" s="82"/>
      <c r="AP679" s="82"/>
      <c r="AQ679" s="82"/>
      <c r="AR679" s="82"/>
    </row>
    <row r="680" customHeight="1" spans="1:44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  <c r="AM680" s="82"/>
      <c r="AN680" s="82"/>
      <c r="AO680" s="82"/>
      <c r="AP680" s="82"/>
      <c r="AQ680" s="82"/>
      <c r="AR680" s="82"/>
    </row>
    <row r="681" customHeight="1" spans="1:44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  <c r="AM681" s="82"/>
      <c r="AN681" s="82"/>
      <c r="AO681" s="82"/>
      <c r="AP681" s="82"/>
      <c r="AQ681" s="82"/>
      <c r="AR681" s="82"/>
    </row>
    <row r="682" customHeight="1" spans="1:44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  <c r="AM682" s="82"/>
      <c r="AN682" s="82"/>
      <c r="AO682" s="82"/>
      <c r="AP682" s="82"/>
      <c r="AQ682" s="82"/>
      <c r="AR682" s="82"/>
    </row>
    <row r="683" customHeight="1" spans="1:44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  <c r="AM683" s="82"/>
      <c r="AN683" s="82"/>
      <c r="AO683" s="82"/>
      <c r="AP683" s="82"/>
      <c r="AQ683" s="82"/>
      <c r="AR683" s="82"/>
    </row>
    <row r="684" customHeight="1" spans="1:4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  <c r="AR684" s="82"/>
    </row>
    <row r="685" customHeight="1" spans="1:44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  <c r="AR685" s="82"/>
    </row>
    <row r="686" customHeight="1" spans="1:44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</row>
    <row r="687" customHeight="1" spans="1:44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</row>
    <row r="688" customHeight="1" spans="1:44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  <c r="AM688" s="82"/>
      <c r="AN688" s="82"/>
      <c r="AO688" s="82"/>
      <c r="AP688" s="82"/>
      <c r="AQ688" s="82"/>
      <c r="AR688" s="82"/>
    </row>
    <row r="689" customHeight="1" spans="1:44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  <c r="AM689" s="82"/>
      <c r="AN689" s="82"/>
      <c r="AO689" s="82"/>
      <c r="AP689" s="82"/>
      <c r="AQ689" s="82"/>
      <c r="AR689" s="82"/>
    </row>
    <row r="690" customHeight="1" spans="1:44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</row>
    <row r="691" customHeight="1" spans="1:44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</row>
    <row r="692" customHeight="1" spans="1:44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</row>
    <row r="693" customHeight="1" spans="1:44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</row>
    <row r="694" customHeight="1" spans="1:4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</row>
    <row r="695" customHeight="1" spans="1:44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</row>
    <row r="696" customHeight="1" spans="1:44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</row>
    <row r="697" customHeight="1" spans="1:44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</row>
    <row r="698" customHeight="1" spans="1:44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</row>
    <row r="699" customHeight="1" spans="1:44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</row>
    <row r="700" customHeight="1" spans="1:44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  <c r="AM700" s="82"/>
      <c r="AN700" s="82"/>
      <c r="AO700" s="82"/>
      <c r="AP700" s="82"/>
      <c r="AQ700" s="82"/>
      <c r="AR700" s="82"/>
    </row>
    <row r="701" customHeight="1" spans="1:44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  <c r="AM701" s="82"/>
      <c r="AN701" s="82"/>
      <c r="AO701" s="82"/>
      <c r="AP701" s="82"/>
      <c r="AQ701" s="82"/>
      <c r="AR701" s="82"/>
    </row>
    <row r="702" customHeight="1" spans="1:44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  <c r="AM702" s="82"/>
      <c r="AN702" s="82"/>
      <c r="AO702" s="82"/>
      <c r="AP702" s="82"/>
      <c r="AQ702" s="82"/>
      <c r="AR702" s="82"/>
    </row>
    <row r="703" customHeight="1" spans="1:44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  <c r="AM703" s="82"/>
      <c r="AN703" s="82"/>
      <c r="AO703" s="82"/>
      <c r="AP703" s="82"/>
      <c r="AQ703" s="82"/>
      <c r="AR703" s="82"/>
    </row>
    <row r="704" customHeight="1" spans="1:4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  <c r="AM704" s="82"/>
      <c r="AN704" s="82"/>
      <c r="AO704" s="82"/>
      <c r="AP704" s="82"/>
      <c r="AQ704" s="82"/>
      <c r="AR704" s="82"/>
    </row>
    <row r="705" customHeight="1" spans="1:44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  <c r="AM705" s="82"/>
      <c r="AN705" s="82"/>
      <c r="AO705" s="82"/>
      <c r="AP705" s="82"/>
      <c r="AQ705" s="82"/>
      <c r="AR705" s="82"/>
    </row>
    <row r="706" customHeight="1" spans="1:44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  <c r="AM706" s="82"/>
      <c r="AN706" s="82"/>
      <c r="AO706" s="82"/>
      <c r="AP706" s="82"/>
      <c r="AQ706" s="82"/>
      <c r="AR706" s="82"/>
    </row>
    <row r="707" customHeight="1" spans="1:44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  <c r="AM707" s="82"/>
      <c r="AN707" s="82"/>
      <c r="AO707" s="82"/>
      <c r="AP707" s="82"/>
      <c r="AQ707" s="82"/>
      <c r="AR707" s="82"/>
    </row>
    <row r="708" customHeight="1" spans="1:44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82"/>
      <c r="AQ708" s="82"/>
      <c r="AR708" s="82"/>
    </row>
    <row r="709" customHeight="1" spans="1:44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  <c r="AM709" s="82"/>
      <c r="AN709" s="82"/>
      <c r="AO709" s="82"/>
      <c r="AP709" s="82"/>
      <c r="AQ709" s="82"/>
      <c r="AR709" s="82"/>
    </row>
    <row r="710" customHeight="1" spans="1:44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  <c r="AM710" s="82"/>
      <c r="AN710" s="82"/>
      <c r="AO710" s="82"/>
      <c r="AP710" s="82"/>
      <c r="AQ710" s="82"/>
      <c r="AR710" s="82"/>
    </row>
    <row r="711" customHeight="1" spans="1:44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  <c r="AM711" s="82"/>
      <c r="AN711" s="82"/>
      <c r="AO711" s="82"/>
      <c r="AP711" s="82"/>
      <c r="AQ711" s="82"/>
      <c r="AR711" s="82"/>
    </row>
    <row r="712" customHeight="1" spans="1:44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  <c r="AM712" s="82"/>
      <c r="AN712" s="82"/>
      <c r="AO712" s="82"/>
      <c r="AP712" s="82"/>
      <c r="AQ712" s="82"/>
      <c r="AR712" s="82"/>
    </row>
    <row r="713" customHeight="1" spans="1:44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  <c r="AM713" s="82"/>
      <c r="AN713" s="82"/>
      <c r="AO713" s="82"/>
      <c r="AP713" s="82"/>
      <c r="AQ713" s="82"/>
      <c r="AR713" s="82"/>
    </row>
    <row r="714" customHeight="1" spans="1:4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  <c r="AM714" s="82"/>
      <c r="AN714" s="82"/>
      <c r="AO714" s="82"/>
      <c r="AP714" s="82"/>
      <c r="AQ714" s="82"/>
      <c r="AR714" s="82"/>
    </row>
    <row r="715" customHeight="1" spans="1:44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  <c r="AM715" s="82"/>
      <c r="AN715" s="82"/>
      <c r="AO715" s="82"/>
      <c r="AP715" s="82"/>
      <c r="AQ715" s="82"/>
      <c r="AR715" s="82"/>
    </row>
    <row r="716" customHeight="1" spans="1:44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  <c r="AM716" s="82"/>
      <c r="AN716" s="82"/>
      <c r="AO716" s="82"/>
      <c r="AP716" s="82"/>
      <c r="AQ716" s="82"/>
      <c r="AR716" s="82"/>
    </row>
    <row r="717" customHeight="1" spans="1:44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  <c r="AM717" s="82"/>
      <c r="AN717" s="82"/>
      <c r="AO717" s="82"/>
      <c r="AP717" s="82"/>
      <c r="AQ717" s="82"/>
      <c r="AR717" s="82"/>
    </row>
    <row r="718" customHeight="1" spans="1:44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  <c r="AM718" s="82"/>
      <c r="AN718" s="82"/>
      <c r="AO718" s="82"/>
      <c r="AP718" s="82"/>
      <c r="AQ718" s="82"/>
      <c r="AR718" s="82"/>
    </row>
    <row r="719" customHeight="1" spans="1:44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  <c r="AM719" s="82"/>
      <c r="AN719" s="82"/>
      <c r="AO719" s="82"/>
      <c r="AP719" s="82"/>
      <c r="AQ719" s="82"/>
      <c r="AR719" s="82"/>
    </row>
    <row r="720" customHeight="1" spans="1:44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  <c r="AM720" s="82"/>
      <c r="AN720" s="82"/>
      <c r="AO720" s="82"/>
      <c r="AP720" s="82"/>
      <c r="AQ720" s="82"/>
      <c r="AR720" s="82"/>
    </row>
    <row r="721" customHeight="1" spans="1:44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  <c r="AM721" s="82"/>
      <c r="AN721" s="82"/>
      <c r="AO721" s="82"/>
      <c r="AP721" s="82"/>
      <c r="AQ721" s="82"/>
      <c r="AR721" s="82"/>
    </row>
    <row r="722" customHeight="1" spans="1:44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  <c r="AM722" s="82"/>
      <c r="AN722" s="82"/>
      <c r="AO722" s="82"/>
      <c r="AP722" s="82"/>
      <c r="AQ722" s="82"/>
      <c r="AR722" s="82"/>
    </row>
    <row r="723" customHeight="1" spans="1:44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  <c r="AM723" s="82"/>
      <c r="AN723" s="82"/>
      <c r="AO723" s="82"/>
      <c r="AP723" s="82"/>
      <c r="AQ723" s="82"/>
      <c r="AR723" s="82"/>
    </row>
    <row r="724" customHeight="1" spans="1:4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  <c r="AM724" s="82"/>
      <c r="AN724" s="82"/>
      <c r="AO724" s="82"/>
      <c r="AP724" s="82"/>
      <c r="AQ724" s="82"/>
      <c r="AR724" s="82"/>
    </row>
    <row r="725" customHeight="1" spans="1:44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  <c r="AM725" s="82"/>
      <c r="AN725" s="82"/>
      <c r="AO725" s="82"/>
      <c r="AP725" s="82"/>
      <c r="AQ725" s="82"/>
      <c r="AR725" s="82"/>
    </row>
    <row r="726" customHeight="1" spans="1:44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</row>
    <row r="727" customHeight="1" spans="1:44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</row>
    <row r="728" customHeight="1" spans="1:44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  <c r="AM728" s="82"/>
      <c r="AN728" s="82"/>
      <c r="AO728" s="82"/>
      <c r="AP728" s="82"/>
      <c r="AQ728" s="82"/>
      <c r="AR728" s="82"/>
    </row>
    <row r="729" customHeight="1" spans="1:44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  <c r="AR729" s="82"/>
    </row>
    <row r="730" customHeight="1" spans="1:44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</row>
    <row r="731" customHeight="1" spans="1:44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</row>
    <row r="732" customHeight="1" spans="1:44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</row>
    <row r="733" customHeight="1" spans="1:44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</row>
    <row r="734" customHeight="1" spans="1:4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</row>
    <row r="735" customHeight="1" spans="1:44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</row>
    <row r="736" customHeight="1" spans="1:44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</row>
    <row r="737" customHeight="1" spans="1:44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</row>
    <row r="738" customHeight="1" spans="1:44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</row>
    <row r="739" customHeight="1" spans="1:44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</row>
    <row r="740" customHeight="1" spans="1:44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  <c r="AR740" s="82"/>
    </row>
    <row r="741" customHeight="1" spans="1:44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  <c r="AM741" s="82"/>
      <c r="AN741" s="82"/>
      <c r="AO741" s="82"/>
      <c r="AP741" s="82"/>
      <c r="AQ741" s="82"/>
      <c r="AR741" s="82"/>
    </row>
    <row r="742" customHeight="1" spans="1:44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  <c r="AM742" s="82"/>
      <c r="AN742" s="82"/>
      <c r="AO742" s="82"/>
      <c r="AP742" s="82"/>
      <c r="AQ742" s="82"/>
      <c r="AR742" s="82"/>
    </row>
    <row r="743" customHeight="1" spans="1:44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  <c r="AM743" s="82"/>
      <c r="AN743" s="82"/>
      <c r="AO743" s="82"/>
      <c r="AP743" s="82"/>
      <c r="AQ743" s="82"/>
      <c r="AR743" s="82"/>
    </row>
    <row r="744" customHeight="1" spans="1: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  <c r="AM744" s="82"/>
      <c r="AN744" s="82"/>
      <c r="AO744" s="82"/>
      <c r="AP744" s="82"/>
      <c r="AQ744" s="82"/>
      <c r="AR744" s="82"/>
    </row>
    <row r="745" customHeight="1" spans="1:44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  <c r="AM745" s="82"/>
      <c r="AN745" s="82"/>
      <c r="AO745" s="82"/>
      <c r="AP745" s="82"/>
      <c r="AQ745" s="82"/>
      <c r="AR745" s="82"/>
    </row>
    <row r="746" customHeight="1" spans="1:44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  <c r="AM746" s="82"/>
      <c r="AN746" s="82"/>
      <c r="AO746" s="82"/>
      <c r="AP746" s="82"/>
      <c r="AQ746" s="82"/>
      <c r="AR746" s="82"/>
    </row>
    <row r="747" customHeight="1" spans="1:44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  <c r="AM747" s="82"/>
      <c r="AN747" s="82"/>
      <c r="AO747" s="82"/>
      <c r="AP747" s="82"/>
      <c r="AQ747" s="82"/>
      <c r="AR747" s="82"/>
    </row>
    <row r="748" customHeight="1" spans="1:44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  <c r="AM748" s="82"/>
      <c r="AN748" s="82"/>
      <c r="AO748" s="82"/>
      <c r="AP748" s="82"/>
      <c r="AQ748" s="82"/>
      <c r="AR748" s="82"/>
    </row>
    <row r="749" customHeight="1" spans="1:44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  <c r="AM749" s="82"/>
      <c r="AN749" s="82"/>
      <c r="AO749" s="82"/>
      <c r="AP749" s="82"/>
      <c r="AQ749" s="82"/>
      <c r="AR749" s="82"/>
    </row>
    <row r="750" customHeight="1" spans="1:44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  <c r="AM750" s="82"/>
      <c r="AN750" s="82"/>
      <c r="AO750" s="82"/>
      <c r="AP750" s="82"/>
      <c r="AQ750" s="82"/>
      <c r="AR750" s="82"/>
    </row>
    <row r="751" customHeight="1" spans="1:44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  <c r="AR751" s="82"/>
    </row>
    <row r="752" customHeight="1" spans="1:44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  <c r="AM752" s="82"/>
      <c r="AN752" s="82"/>
      <c r="AO752" s="82"/>
      <c r="AP752" s="82"/>
      <c r="AQ752" s="82"/>
      <c r="AR752" s="82"/>
    </row>
    <row r="753" customHeight="1" spans="1:44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  <c r="AR753" s="82"/>
    </row>
    <row r="754" customHeight="1" spans="1:4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  <c r="AM754" s="82"/>
      <c r="AN754" s="82"/>
      <c r="AO754" s="82"/>
      <c r="AP754" s="82"/>
      <c r="AQ754" s="82"/>
      <c r="AR754" s="82"/>
    </row>
    <row r="755" customHeight="1" spans="1:44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  <c r="AR755" s="82"/>
    </row>
    <row r="756" customHeight="1" spans="1:44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  <c r="AM756" s="82"/>
      <c r="AN756" s="82"/>
      <c r="AO756" s="82"/>
      <c r="AP756" s="82"/>
      <c r="AQ756" s="82"/>
      <c r="AR756" s="82"/>
    </row>
    <row r="757" customHeight="1" spans="1:44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  <c r="AR757" s="82"/>
    </row>
    <row r="758" customHeight="1" spans="1:44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  <c r="AR758" s="82"/>
    </row>
    <row r="759" customHeight="1" spans="1:44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  <c r="AR759" s="82"/>
    </row>
    <row r="760" customHeight="1" spans="1:44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  <c r="AR760" s="82"/>
    </row>
    <row r="761" customHeight="1" spans="1:44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  <c r="AR761" s="82"/>
    </row>
    <row r="762" customHeight="1" spans="1:44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  <c r="AR762" s="82"/>
    </row>
    <row r="763" customHeight="1" spans="1:44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  <c r="AR763" s="82"/>
    </row>
    <row r="764" customHeight="1" spans="1:4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  <c r="AM764" s="82"/>
      <c r="AN764" s="82"/>
      <c r="AO764" s="82"/>
      <c r="AP764" s="82"/>
      <c r="AQ764" s="82"/>
      <c r="AR764" s="82"/>
    </row>
    <row r="765" customHeight="1" spans="1:44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  <c r="AM765" s="82"/>
      <c r="AN765" s="82"/>
      <c r="AO765" s="82"/>
      <c r="AP765" s="82"/>
      <c r="AQ765" s="82"/>
      <c r="AR765" s="82"/>
    </row>
    <row r="766" customHeight="1" spans="1:44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</row>
    <row r="767" customHeight="1" spans="1:44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</row>
    <row r="768" customHeight="1" spans="1:44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  <c r="AM768" s="82"/>
      <c r="AN768" s="82"/>
      <c r="AO768" s="82"/>
      <c r="AP768" s="82"/>
      <c r="AQ768" s="82"/>
      <c r="AR768" s="82"/>
    </row>
    <row r="769" customHeight="1" spans="1:44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  <c r="AM769" s="82"/>
      <c r="AN769" s="82"/>
      <c r="AO769" s="82"/>
      <c r="AP769" s="82"/>
      <c r="AQ769" s="82"/>
      <c r="AR769" s="82"/>
    </row>
    <row r="770" customHeight="1" spans="1:44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</row>
    <row r="771" customHeight="1" spans="1:44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</row>
    <row r="772" customHeight="1" spans="1:44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</row>
    <row r="773" customHeight="1" spans="1:44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</row>
    <row r="774" customHeight="1" spans="1:4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</row>
    <row r="775" customHeight="1" spans="1:44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</row>
    <row r="776" customHeight="1" spans="1:44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</row>
    <row r="777" customHeight="1" spans="1:44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</row>
    <row r="778" customHeight="1" spans="1:44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</row>
    <row r="779" customHeight="1" spans="1:44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</row>
    <row r="780" customHeight="1" spans="1:44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  <c r="AM780" s="82"/>
      <c r="AN780" s="82"/>
      <c r="AO780" s="82"/>
      <c r="AP780" s="82"/>
      <c r="AQ780" s="82"/>
      <c r="AR780" s="82"/>
    </row>
    <row r="781" customHeight="1" spans="1:44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  <c r="AM781" s="82"/>
      <c r="AN781" s="82"/>
      <c r="AO781" s="82"/>
      <c r="AP781" s="82"/>
      <c r="AQ781" s="82"/>
      <c r="AR781" s="82"/>
    </row>
    <row r="782" customHeight="1" spans="1:44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  <c r="AM782" s="82"/>
      <c r="AN782" s="82"/>
      <c r="AO782" s="82"/>
      <c r="AP782" s="82"/>
      <c r="AQ782" s="82"/>
      <c r="AR782" s="82"/>
    </row>
    <row r="783" customHeight="1" spans="1:44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  <c r="AM783" s="82"/>
      <c r="AN783" s="82"/>
      <c r="AO783" s="82"/>
      <c r="AP783" s="82"/>
      <c r="AQ783" s="82"/>
      <c r="AR783" s="82"/>
    </row>
    <row r="784" customHeight="1" spans="1:4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  <c r="AM784" s="82"/>
      <c r="AN784" s="82"/>
      <c r="AO784" s="82"/>
      <c r="AP784" s="82"/>
      <c r="AQ784" s="82"/>
      <c r="AR784" s="82"/>
    </row>
    <row r="785" customHeight="1" spans="1:44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  <c r="AM785" s="82"/>
      <c r="AN785" s="82"/>
      <c r="AO785" s="82"/>
      <c r="AP785" s="82"/>
      <c r="AQ785" s="82"/>
      <c r="AR785" s="82"/>
    </row>
    <row r="786" customHeight="1" spans="1:44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  <c r="AM786" s="82"/>
      <c r="AN786" s="82"/>
      <c r="AO786" s="82"/>
      <c r="AP786" s="82"/>
      <c r="AQ786" s="82"/>
      <c r="AR786" s="82"/>
    </row>
    <row r="787" customHeight="1" spans="1:44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  <c r="AM787" s="82"/>
      <c r="AN787" s="82"/>
      <c r="AO787" s="82"/>
      <c r="AP787" s="82"/>
      <c r="AQ787" s="82"/>
      <c r="AR787" s="82"/>
    </row>
    <row r="788" customHeight="1" spans="1:44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  <c r="AM788" s="82"/>
      <c r="AN788" s="82"/>
      <c r="AO788" s="82"/>
      <c r="AP788" s="82"/>
      <c r="AQ788" s="82"/>
      <c r="AR788" s="82"/>
    </row>
    <row r="789" customHeight="1" spans="1:44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  <c r="AM789" s="82"/>
      <c r="AN789" s="82"/>
      <c r="AO789" s="82"/>
      <c r="AP789" s="82"/>
      <c r="AQ789" s="82"/>
      <c r="AR789" s="82"/>
    </row>
    <row r="790" customHeight="1" spans="1:44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  <c r="AM790" s="82"/>
      <c r="AN790" s="82"/>
      <c r="AO790" s="82"/>
      <c r="AP790" s="82"/>
      <c r="AQ790" s="82"/>
      <c r="AR790" s="82"/>
    </row>
    <row r="791" customHeight="1" spans="1:44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  <c r="AM791" s="82"/>
      <c r="AN791" s="82"/>
      <c r="AO791" s="82"/>
      <c r="AP791" s="82"/>
      <c r="AQ791" s="82"/>
      <c r="AR791" s="82"/>
    </row>
    <row r="792" customHeight="1" spans="1:44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  <c r="AM792" s="82"/>
      <c r="AN792" s="82"/>
      <c r="AO792" s="82"/>
      <c r="AP792" s="82"/>
      <c r="AQ792" s="82"/>
      <c r="AR792" s="82"/>
    </row>
    <row r="793" customHeight="1" spans="1:44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  <c r="AM793" s="82"/>
      <c r="AN793" s="82"/>
      <c r="AO793" s="82"/>
      <c r="AP793" s="82"/>
      <c r="AQ793" s="82"/>
      <c r="AR793" s="82"/>
    </row>
    <row r="794" customHeight="1" spans="1:4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  <c r="AM794" s="82"/>
      <c r="AN794" s="82"/>
      <c r="AO794" s="82"/>
      <c r="AP794" s="82"/>
      <c r="AQ794" s="82"/>
      <c r="AR794" s="82"/>
    </row>
    <row r="795" customHeight="1" spans="1:44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  <c r="AM795" s="82"/>
      <c r="AN795" s="82"/>
      <c r="AO795" s="82"/>
      <c r="AP795" s="82"/>
      <c r="AQ795" s="82"/>
      <c r="AR795" s="82"/>
    </row>
    <row r="796" customHeight="1" spans="1:44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  <c r="AM796" s="82"/>
      <c r="AN796" s="82"/>
      <c r="AO796" s="82"/>
      <c r="AP796" s="82"/>
      <c r="AQ796" s="82"/>
      <c r="AR796" s="82"/>
    </row>
    <row r="797" customHeight="1" spans="1:44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  <c r="AM797" s="82"/>
      <c r="AN797" s="82"/>
      <c r="AO797" s="82"/>
      <c r="AP797" s="82"/>
      <c r="AQ797" s="82"/>
      <c r="AR797" s="82"/>
    </row>
    <row r="798" customHeight="1" spans="1:44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  <c r="AM798" s="82"/>
      <c r="AN798" s="82"/>
      <c r="AO798" s="82"/>
      <c r="AP798" s="82"/>
      <c r="AQ798" s="82"/>
      <c r="AR798" s="82"/>
    </row>
    <row r="799" customHeight="1" spans="1:44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  <c r="AM799" s="82"/>
      <c r="AN799" s="82"/>
      <c r="AO799" s="82"/>
      <c r="AP799" s="82"/>
      <c r="AQ799" s="82"/>
      <c r="AR799" s="82"/>
    </row>
    <row r="800" customHeight="1" spans="1:44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  <c r="AM800" s="82"/>
      <c r="AN800" s="82"/>
      <c r="AO800" s="82"/>
      <c r="AP800" s="82"/>
      <c r="AQ800" s="82"/>
      <c r="AR800" s="82"/>
    </row>
    <row r="801" customHeight="1" spans="1:44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  <c r="AM801" s="82"/>
      <c r="AN801" s="82"/>
      <c r="AO801" s="82"/>
      <c r="AP801" s="82"/>
      <c r="AQ801" s="82"/>
      <c r="AR801" s="82"/>
    </row>
    <row r="802" customHeight="1" spans="1:44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  <c r="AM802" s="82"/>
      <c r="AN802" s="82"/>
      <c r="AO802" s="82"/>
      <c r="AP802" s="82"/>
      <c r="AQ802" s="82"/>
      <c r="AR802" s="82"/>
    </row>
    <row r="803" customHeight="1" spans="1:44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  <c r="AM803" s="82"/>
      <c r="AN803" s="82"/>
      <c r="AO803" s="82"/>
      <c r="AP803" s="82"/>
      <c r="AQ803" s="82"/>
      <c r="AR803" s="82"/>
    </row>
    <row r="804" customHeight="1" spans="1:4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  <c r="AM804" s="82"/>
      <c r="AN804" s="82"/>
      <c r="AO804" s="82"/>
      <c r="AP804" s="82"/>
      <c r="AQ804" s="82"/>
      <c r="AR804" s="82"/>
    </row>
    <row r="805" customHeight="1" spans="1:44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  <c r="AM805" s="82"/>
      <c r="AN805" s="82"/>
      <c r="AO805" s="82"/>
      <c r="AP805" s="82"/>
      <c r="AQ805" s="82"/>
      <c r="AR805" s="82"/>
    </row>
    <row r="806" customHeight="1" spans="1:44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</row>
    <row r="807" customHeight="1" spans="1:44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</row>
    <row r="808" customHeight="1" spans="1:44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  <c r="AM808" s="82"/>
      <c r="AN808" s="82"/>
      <c r="AO808" s="82"/>
      <c r="AP808" s="82"/>
      <c r="AQ808" s="82"/>
      <c r="AR808" s="82"/>
    </row>
    <row r="809" customHeight="1" spans="1:44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  <c r="AM809" s="82"/>
      <c r="AN809" s="82"/>
      <c r="AO809" s="82"/>
      <c r="AP809" s="82"/>
      <c r="AQ809" s="82"/>
      <c r="AR809" s="82"/>
    </row>
    <row r="810" customHeight="1" spans="1:44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</row>
    <row r="811" customHeight="1" spans="1:44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</row>
    <row r="812" customHeight="1" spans="1:44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</row>
    <row r="813" customHeight="1" spans="1:44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</row>
    <row r="814" customHeight="1" spans="1:4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</row>
    <row r="815" customHeight="1" spans="1:44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</row>
    <row r="816" customHeight="1" spans="1:44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</row>
    <row r="817" customHeight="1" spans="1:44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</row>
    <row r="818" customHeight="1" spans="1:44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</row>
    <row r="819" customHeight="1" spans="1:44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</row>
    <row r="820" customHeight="1" spans="1:44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  <c r="AM820" s="82"/>
      <c r="AN820" s="82"/>
      <c r="AO820" s="82"/>
      <c r="AP820" s="82"/>
      <c r="AQ820" s="82"/>
      <c r="AR820" s="82"/>
    </row>
    <row r="821" customHeight="1" spans="1:44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  <c r="AM821" s="82"/>
      <c r="AN821" s="82"/>
      <c r="AO821" s="82"/>
      <c r="AP821" s="82"/>
      <c r="AQ821" s="82"/>
      <c r="AR821" s="82"/>
    </row>
    <row r="822" customHeight="1" spans="1:44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  <c r="AM822" s="82"/>
      <c r="AN822" s="82"/>
      <c r="AO822" s="82"/>
      <c r="AP822" s="82"/>
      <c r="AQ822" s="82"/>
      <c r="AR822" s="82"/>
    </row>
    <row r="823" customHeight="1" spans="1:44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  <c r="AM823" s="82"/>
      <c r="AN823" s="82"/>
      <c r="AO823" s="82"/>
      <c r="AP823" s="82"/>
      <c r="AQ823" s="82"/>
      <c r="AR823" s="82"/>
    </row>
    <row r="824" customHeight="1" spans="1:4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  <c r="AM824" s="82"/>
      <c r="AN824" s="82"/>
      <c r="AO824" s="82"/>
      <c r="AP824" s="82"/>
      <c r="AQ824" s="82"/>
      <c r="AR824" s="82"/>
    </row>
    <row r="825" customHeight="1" spans="1:44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82"/>
      <c r="AQ825" s="82"/>
      <c r="AR825" s="82"/>
    </row>
    <row r="826" customHeight="1" spans="1:44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  <c r="AM826" s="82"/>
      <c r="AN826" s="82"/>
      <c r="AO826" s="82"/>
      <c r="AP826" s="82"/>
      <c r="AQ826" s="82"/>
      <c r="AR826" s="82"/>
    </row>
    <row r="827" customHeight="1" spans="1:44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  <c r="AM827" s="82"/>
      <c r="AN827" s="82"/>
      <c r="AO827" s="82"/>
      <c r="AP827" s="82"/>
      <c r="AQ827" s="82"/>
      <c r="AR827" s="82"/>
    </row>
    <row r="828" customHeight="1" spans="1:44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  <c r="AM828" s="82"/>
      <c r="AN828" s="82"/>
      <c r="AO828" s="82"/>
      <c r="AP828" s="82"/>
      <c r="AQ828" s="82"/>
      <c r="AR828" s="82"/>
    </row>
    <row r="829" customHeight="1" spans="1:44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  <c r="AM829" s="82"/>
      <c r="AN829" s="82"/>
      <c r="AO829" s="82"/>
      <c r="AP829" s="82"/>
      <c r="AQ829" s="82"/>
      <c r="AR829" s="82"/>
    </row>
    <row r="830" customHeight="1" spans="1:44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  <c r="AM830" s="82"/>
      <c r="AN830" s="82"/>
      <c r="AO830" s="82"/>
      <c r="AP830" s="82"/>
      <c r="AQ830" s="82"/>
      <c r="AR830" s="82"/>
    </row>
    <row r="831" customHeight="1" spans="1:44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  <c r="AM831" s="82"/>
      <c r="AN831" s="82"/>
      <c r="AO831" s="82"/>
      <c r="AP831" s="82"/>
      <c r="AQ831" s="82"/>
      <c r="AR831" s="82"/>
    </row>
    <row r="832" customHeight="1" spans="1:44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  <c r="AM832" s="82"/>
      <c r="AN832" s="82"/>
      <c r="AO832" s="82"/>
      <c r="AP832" s="82"/>
      <c r="AQ832" s="82"/>
      <c r="AR832" s="82"/>
    </row>
    <row r="833" customHeight="1" spans="1:44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  <c r="AM833" s="82"/>
      <c r="AN833" s="82"/>
      <c r="AO833" s="82"/>
      <c r="AP833" s="82"/>
      <c r="AQ833" s="82"/>
      <c r="AR833" s="82"/>
    </row>
    <row r="834" customHeight="1" spans="1:4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82"/>
      <c r="AQ834" s="82"/>
      <c r="AR834" s="82"/>
    </row>
    <row r="835" customHeight="1" spans="1:44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  <c r="AM835" s="82"/>
      <c r="AN835" s="82"/>
      <c r="AO835" s="82"/>
      <c r="AP835" s="82"/>
      <c r="AQ835" s="82"/>
      <c r="AR835" s="82"/>
    </row>
    <row r="836" customHeight="1" spans="1:44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  <c r="AM836" s="82"/>
      <c r="AN836" s="82"/>
      <c r="AO836" s="82"/>
      <c r="AP836" s="82"/>
      <c r="AQ836" s="82"/>
      <c r="AR836" s="82"/>
    </row>
    <row r="837" customHeight="1" spans="1:44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  <c r="AM837" s="82"/>
      <c r="AN837" s="82"/>
      <c r="AO837" s="82"/>
      <c r="AP837" s="82"/>
      <c r="AQ837" s="82"/>
      <c r="AR837" s="82"/>
    </row>
    <row r="838" customHeight="1" spans="1:44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  <c r="AM838" s="82"/>
      <c r="AN838" s="82"/>
      <c r="AO838" s="82"/>
      <c r="AP838" s="82"/>
      <c r="AQ838" s="82"/>
      <c r="AR838" s="82"/>
    </row>
    <row r="839" customHeight="1" spans="1:44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  <c r="AM839" s="82"/>
      <c r="AN839" s="82"/>
      <c r="AO839" s="82"/>
      <c r="AP839" s="82"/>
      <c r="AQ839" s="82"/>
      <c r="AR839" s="82"/>
    </row>
    <row r="840" customHeight="1" spans="1:44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  <c r="AR840" s="82"/>
    </row>
    <row r="841" customHeight="1" spans="1:44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82"/>
      <c r="AQ841" s="82"/>
      <c r="AR841" s="82"/>
    </row>
    <row r="842" customHeight="1" spans="1:44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82"/>
      <c r="AQ842" s="82"/>
      <c r="AR842" s="82"/>
    </row>
    <row r="843" customHeight="1" spans="1:44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82"/>
      <c r="AQ843" s="82"/>
      <c r="AR843" s="82"/>
    </row>
    <row r="844" customHeight="1" spans="1: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82"/>
      <c r="AQ844" s="82"/>
      <c r="AR844" s="82"/>
    </row>
    <row r="845" customHeight="1" spans="1:44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82"/>
      <c r="AQ845" s="82"/>
      <c r="AR845" s="82"/>
    </row>
    <row r="846" customHeight="1" spans="1:44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</row>
    <row r="847" customHeight="1" spans="1:44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</row>
    <row r="848" customHeight="1" spans="1:44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  <c r="AR848" s="82"/>
    </row>
    <row r="849" customHeight="1" spans="1:44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  <c r="AM849" s="82"/>
      <c r="AN849" s="82"/>
      <c r="AO849" s="82"/>
      <c r="AP849" s="82"/>
      <c r="AQ849" s="82"/>
      <c r="AR849" s="82"/>
    </row>
    <row r="850" customHeight="1" spans="1:44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</row>
    <row r="851" customHeight="1" spans="1:44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</row>
    <row r="852" customHeight="1" spans="1:44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</row>
    <row r="853" customHeight="1" spans="1:44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</row>
    <row r="854" customHeight="1" spans="1:4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</row>
    <row r="855" customHeight="1" spans="1:44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</row>
    <row r="856" customHeight="1" spans="1:44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</row>
    <row r="857" customHeight="1" spans="1:44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</row>
    <row r="858" customHeight="1" spans="1:44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</row>
    <row r="859" customHeight="1" spans="1:44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</row>
    <row r="860" customHeight="1" spans="1:44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  <c r="AM860" s="82"/>
      <c r="AN860" s="82"/>
      <c r="AO860" s="82"/>
      <c r="AP860" s="82"/>
      <c r="AQ860" s="82"/>
      <c r="AR860" s="82"/>
    </row>
    <row r="861" customHeight="1" spans="1:44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82"/>
      <c r="AQ861" s="82"/>
      <c r="AR861" s="82"/>
    </row>
    <row r="862" customHeight="1" spans="1:44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  <c r="AM862" s="82"/>
      <c r="AN862" s="82"/>
      <c r="AO862" s="82"/>
      <c r="AP862" s="82"/>
      <c r="AQ862" s="82"/>
      <c r="AR862" s="82"/>
    </row>
    <row r="863" customHeight="1" spans="1:44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  <c r="AM863" s="82"/>
      <c r="AN863" s="82"/>
      <c r="AO863" s="82"/>
      <c r="AP863" s="82"/>
      <c r="AQ863" s="82"/>
      <c r="AR863" s="82"/>
    </row>
    <row r="864" customHeight="1" spans="1:4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  <c r="AM864" s="82"/>
      <c r="AN864" s="82"/>
      <c r="AO864" s="82"/>
      <c r="AP864" s="82"/>
      <c r="AQ864" s="82"/>
      <c r="AR864" s="82"/>
    </row>
    <row r="865" customHeight="1" spans="1:44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  <c r="AM865" s="82"/>
      <c r="AN865" s="82"/>
      <c r="AO865" s="82"/>
      <c r="AP865" s="82"/>
      <c r="AQ865" s="82"/>
      <c r="AR865" s="82"/>
    </row>
    <row r="866" customHeight="1" spans="1:44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  <c r="AM866" s="82"/>
      <c r="AN866" s="82"/>
      <c r="AO866" s="82"/>
      <c r="AP866" s="82"/>
      <c r="AQ866" s="82"/>
      <c r="AR866" s="82"/>
    </row>
    <row r="867" customHeight="1" spans="1:44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  <c r="AM867" s="82"/>
      <c r="AN867" s="82"/>
      <c r="AO867" s="82"/>
      <c r="AP867" s="82"/>
      <c r="AQ867" s="82"/>
      <c r="AR867" s="82"/>
    </row>
    <row r="868" customHeight="1" spans="1:44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  <c r="AM868" s="82"/>
      <c r="AN868" s="82"/>
      <c r="AO868" s="82"/>
      <c r="AP868" s="82"/>
      <c r="AQ868" s="82"/>
      <c r="AR868" s="82"/>
    </row>
    <row r="869" customHeight="1" spans="1:44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  <c r="AR869" s="82"/>
    </row>
    <row r="870" customHeight="1" spans="1:44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  <c r="AM870" s="82"/>
      <c r="AN870" s="82"/>
      <c r="AO870" s="82"/>
      <c r="AP870" s="82"/>
      <c r="AQ870" s="82"/>
      <c r="AR870" s="82"/>
    </row>
    <row r="871" customHeight="1" spans="1:44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  <c r="AM871" s="82"/>
      <c r="AN871" s="82"/>
      <c r="AO871" s="82"/>
      <c r="AP871" s="82"/>
      <c r="AQ871" s="82"/>
      <c r="AR871" s="82"/>
    </row>
    <row r="872" customHeight="1" spans="1:44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  <c r="AR872" s="82"/>
    </row>
    <row r="873" customHeight="1" spans="1:44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  <c r="AM873" s="82"/>
      <c r="AN873" s="82"/>
      <c r="AO873" s="82"/>
      <c r="AP873" s="82"/>
      <c r="AQ873" s="82"/>
      <c r="AR873" s="82"/>
    </row>
    <row r="874" customHeight="1" spans="1:4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  <c r="AM874" s="82"/>
      <c r="AN874" s="82"/>
      <c r="AO874" s="82"/>
      <c r="AP874" s="82"/>
      <c r="AQ874" s="82"/>
      <c r="AR874" s="82"/>
    </row>
    <row r="875" customHeight="1" spans="1:44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  <c r="AM875" s="82"/>
      <c r="AN875" s="82"/>
      <c r="AO875" s="82"/>
      <c r="AP875" s="82"/>
      <c r="AQ875" s="82"/>
      <c r="AR875" s="82"/>
    </row>
    <row r="876" customHeight="1" spans="1:44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  <c r="AM876" s="82"/>
      <c r="AN876" s="82"/>
      <c r="AO876" s="82"/>
      <c r="AP876" s="82"/>
      <c r="AQ876" s="82"/>
      <c r="AR876" s="82"/>
    </row>
    <row r="877" customHeight="1" spans="1:44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  <c r="AM877" s="82"/>
      <c r="AN877" s="82"/>
      <c r="AO877" s="82"/>
      <c r="AP877" s="82"/>
      <c r="AQ877" s="82"/>
      <c r="AR877" s="82"/>
    </row>
    <row r="878" customHeight="1" spans="1:44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  <c r="AM878" s="82"/>
      <c r="AN878" s="82"/>
      <c r="AO878" s="82"/>
      <c r="AP878" s="82"/>
      <c r="AQ878" s="82"/>
      <c r="AR878" s="82"/>
    </row>
    <row r="879" customHeight="1" spans="1:44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  <c r="AM879" s="82"/>
      <c r="AN879" s="82"/>
      <c r="AO879" s="82"/>
      <c r="AP879" s="82"/>
      <c r="AQ879" s="82"/>
      <c r="AR879" s="82"/>
    </row>
    <row r="880" customHeight="1" spans="1:44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  <c r="AM880" s="82"/>
      <c r="AN880" s="82"/>
      <c r="AO880" s="82"/>
      <c r="AP880" s="82"/>
      <c r="AQ880" s="82"/>
      <c r="AR880" s="82"/>
    </row>
    <row r="881" customHeight="1" spans="1:44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  <c r="AM881" s="82"/>
      <c r="AN881" s="82"/>
      <c r="AO881" s="82"/>
      <c r="AP881" s="82"/>
      <c r="AQ881" s="82"/>
      <c r="AR881" s="82"/>
    </row>
    <row r="882" customHeight="1" spans="1:44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  <c r="AM882" s="82"/>
      <c r="AN882" s="82"/>
      <c r="AO882" s="82"/>
      <c r="AP882" s="82"/>
      <c r="AQ882" s="82"/>
      <c r="AR882" s="82"/>
    </row>
    <row r="883" customHeight="1" spans="1:44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  <c r="AM883" s="82"/>
      <c r="AN883" s="82"/>
      <c r="AO883" s="82"/>
      <c r="AP883" s="82"/>
      <c r="AQ883" s="82"/>
      <c r="AR883" s="82"/>
    </row>
    <row r="884" customHeight="1" spans="1:4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  <c r="AM884" s="82"/>
      <c r="AN884" s="82"/>
      <c r="AO884" s="82"/>
      <c r="AP884" s="82"/>
      <c r="AQ884" s="82"/>
      <c r="AR884" s="82"/>
    </row>
    <row r="885" customHeight="1" spans="1:44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  <c r="AR885" s="82"/>
    </row>
    <row r="886" customHeight="1" spans="1:44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</row>
    <row r="887" customHeight="1" spans="1:44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</row>
    <row r="888" customHeight="1" spans="1:44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  <c r="AM888" s="82"/>
      <c r="AN888" s="82"/>
      <c r="AO888" s="82"/>
      <c r="AP888" s="82"/>
      <c r="AQ888" s="82"/>
      <c r="AR888" s="82"/>
    </row>
    <row r="889" customHeight="1" spans="1:44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  <c r="AR889" s="82"/>
    </row>
    <row r="890" customHeight="1" spans="1:44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</row>
    <row r="891" customHeight="1" spans="1:44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</row>
    <row r="892" customHeight="1" spans="1:44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</row>
    <row r="893" customHeight="1" spans="1:44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</row>
    <row r="894" customHeight="1" spans="1:4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</row>
    <row r="895" customHeight="1" spans="1:44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</row>
    <row r="896" customHeight="1" spans="1:44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</row>
    <row r="897" customHeight="1" spans="1:44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</row>
    <row r="898" customHeight="1" spans="1:44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</row>
    <row r="899" customHeight="1" spans="1:44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</row>
    <row r="900" customHeight="1" spans="1:44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  <c r="AR900" s="82"/>
    </row>
    <row r="901" customHeight="1" spans="1:44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  <c r="AM901" s="82"/>
      <c r="AN901" s="82"/>
      <c r="AO901" s="82"/>
      <c r="AP901" s="82"/>
      <c r="AQ901" s="82"/>
      <c r="AR901" s="82"/>
    </row>
    <row r="902" customHeight="1" spans="1:44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  <c r="AM902" s="82"/>
      <c r="AN902" s="82"/>
      <c r="AO902" s="82"/>
      <c r="AP902" s="82"/>
      <c r="AQ902" s="82"/>
      <c r="AR902" s="82"/>
    </row>
    <row r="903" customHeight="1" spans="1:44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  <c r="AM903" s="82"/>
      <c r="AN903" s="82"/>
      <c r="AO903" s="82"/>
      <c r="AP903" s="82"/>
      <c r="AQ903" s="82"/>
      <c r="AR903" s="82"/>
    </row>
    <row r="904" customHeight="1" spans="1:4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  <c r="AM904" s="82"/>
      <c r="AN904" s="82"/>
      <c r="AO904" s="82"/>
      <c r="AP904" s="82"/>
      <c r="AQ904" s="82"/>
      <c r="AR904" s="82"/>
    </row>
    <row r="905" customHeight="1" spans="1:44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  <c r="AM905" s="82"/>
      <c r="AN905" s="82"/>
      <c r="AO905" s="82"/>
      <c r="AP905" s="82"/>
      <c r="AQ905" s="82"/>
      <c r="AR905" s="82"/>
    </row>
    <row r="906" customHeight="1" spans="1:44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  <c r="AM906" s="82"/>
      <c r="AN906" s="82"/>
      <c r="AO906" s="82"/>
      <c r="AP906" s="82"/>
      <c r="AQ906" s="82"/>
      <c r="AR906" s="82"/>
    </row>
    <row r="907" customHeight="1" spans="1:44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  <c r="AM907" s="82"/>
      <c r="AN907" s="82"/>
      <c r="AO907" s="82"/>
      <c r="AP907" s="82"/>
      <c r="AQ907" s="82"/>
      <c r="AR907" s="82"/>
    </row>
    <row r="908" customHeight="1" spans="1:44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  <c r="AR908" s="82"/>
    </row>
    <row r="909" customHeight="1" spans="1:44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  <c r="AM909" s="82"/>
      <c r="AN909" s="82"/>
      <c r="AO909" s="82"/>
      <c r="AP909" s="82"/>
      <c r="AQ909" s="82"/>
      <c r="AR909" s="82"/>
    </row>
    <row r="910" customHeight="1" spans="1:44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  <c r="AM910" s="82"/>
      <c r="AN910" s="82"/>
      <c r="AO910" s="82"/>
      <c r="AP910" s="82"/>
      <c r="AQ910" s="82"/>
      <c r="AR910" s="82"/>
    </row>
    <row r="911" customHeight="1" spans="1:44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  <c r="AR911" s="82"/>
    </row>
    <row r="912" customHeight="1" spans="1:44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  <c r="AR912" s="82"/>
    </row>
    <row r="913" customHeight="1" spans="1:44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  <c r="AM913" s="82"/>
      <c r="AN913" s="82"/>
      <c r="AO913" s="82"/>
      <c r="AP913" s="82"/>
      <c r="AQ913" s="82"/>
      <c r="AR913" s="82"/>
    </row>
    <row r="914" customHeight="1" spans="1:4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  <c r="AM914" s="82"/>
      <c r="AN914" s="82"/>
      <c r="AO914" s="82"/>
      <c r="AP914" s="82"/>
      <c r="AQ914" s="82"/>
      <c r="AR914" s="82"/>
    </row>
    <row r="915" customHeight="1" spans="1:44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  <c r="AM915" s="82"/>
      <c r="AN915" s="82"/>
      <c r="AO915" s="82"/>
      <c r="AP915" s="82"/>
      <c r="AQ915" s="82"/>
      <c r="AR915" s="82"/>
    </row>
    <row r="916" customHeight="1" spans="1:44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  <c r="AR916" s="82"/>
    </row>
    <row r="917" customHeight="1" spans="1:44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  <c r="AM917" s="82"/>
      <c r="AN917" s="82"/>
      <c r="AO917" s="82"/>
      <c r="AP917" s="82"/>
      <c r="AQ917" s="82"/>
      <c r="AR917" s="82"/>
    </row>
    <row r="918" customHeight="1" spans="1:44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  <c r="AM918" s="82"/>
      <c r="AN918" s="82"/>
      <c r="AO918" s="82"/>
      <c r="AP918" s="82"/>
      <c r="AQ918" s="82"/>
      <c r="AR918" s="82"/>
    </row>
    <row r="919" customHeight="1" spans="1:44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  <c r="AR919" s="82"/>
    </row>
    <row r="920" customHeight="1" spans="1:44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  <c r="AM920" s="82"/>
      <c r="AN920" s="82"/>
      <c r="AO920" s="82"/>
      <c r="AP920" s="82"/>
      <c r="AQ920" s="82"/>
      <c r="AR920" s="82"/>
    </row>
    <row r="921" customHeight="1" spans="1:44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  <c r="AM921" s="82"/>
      <c r="AN921" s="82"/>
      <c r="AO921" s="82"/>
      <c r="AP921" s="82"/>
      <c r="AQ921" s="82"/>
      <c r="AR921" s="82"/>
    </row>
    <row r="922" customHeight="1" spans="1:44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  <c r="AM922" s="82"/>
      <c r="AN922" s="82"/>
      <c r="AO922" s="82"/>
      <c r="AP922" s="82"/>
      <c r="AQ922" s="82"/>
      <c r="AR922" s="82"/>
    </row>
    <row r="923" customHeight="1" spans="1:44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  <c r="AM923" s="82"/>
      <c r="AN923" s="82"/>
      <c r="AO923" s="82"/>
      <c r="AP923" s="82"/>
      <c r="AQ923" s="82"/>
      <c r="AR923" s="82"/>
    </row>
    <row r="924" customHeight="1" spans="1:4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  <c r="AM924" s="82"/>
      <c r="AN924" s="82"/>
      <c r="AO924" s="82"/>
      <c r="AP924" s="82"/>
      <c r="AQ924" s="82"/>
      <c r="AR924" s="82"/>
    </row>
    <row r="925" customHeight="1" spans="1:44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  <c r="AM925" s="82"/>
      <c r="AN925" s="82"/>
      <c r="AO925" s="82"/>
      <c r="AP925" s="82"/>
      <c r="AQ925" s="82"/>
      <c r="AR925" s="82"/>
    </row>
    <row r="926" customHeight="1" spans="1:44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</row>
    <row r="927" customHeight="1" spans="1:44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</row>
    <row r="928" customHeight="1" spans="1:44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  <c r="AM928" s="82"/>
      <c r="AN928" s="82"/>
      <c r="AO928" s="82"/>
      <c r="AP928" s="82"/>
      <c r="AQ928" s="82"/>
      <c r="AR928" s="82"/>
    </row>
    <row r="929" customHeight="1" spans="1:44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  <c r="AM929" s="82"/>
      <c r="AN929" s="82"/>
      <c r="AO929" s="82"/>
      <c r="AP929" s="82"/>
      <c r="AQ929" s="82"/>
      <c r="AR929" s="82"/>
    </row>
    <row r="930" customHeight="1" spans="1:44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</row>
    <row r="931" customHeight="1" spans="1:44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</row>
    <row r="932" customHeight="1" spans="1:44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</row>
    <row r="933" customHeight="1" spans="1:44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</row>
    <row r="934" customHeight="1" spans="1:4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</row>
    <row r="935" customHeight="1" spans="1:44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</row>
    <row r="936" customHeight="1" spans="1:44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</row>
    <row r="937" customHeight="1" spans="1:44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</row>
    <row r="938" customHeight="1" spans="1:44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</row>
    <row r="939" customHeight="1" spans="1:44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</row>
    <row r="940" customHeight="1" spans="1:44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  <c r="AR940" s="82"/>
    </row>
    <row r="941" customHeight="1" spans="1:44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  <c r="AM941" s="82"/>
      <c r="AN941" s="82"/>
      <c r="AO941" s="82"/>
      <c r="AP941" s="82"/>
      <c r="AQ941" s="82"/>
      <c r="AR941" s="82"/>
    </row>
    <row r="942" customHeight="1" spans="1:44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  <c r="AR942" s="82"/>
    </row>
    <row r="943" customHeight="1" spans="1:44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  <c r="AM943" s="82"/>
      <c r="AN943" s="82"/>
      <c r="AO943" s="82"/>
      <c r="AP943" s="82"/>
      <c r="AQ943" s="82"/>
      <c r="AR943" s="82"/>
    </row>
    <row r="944" customHeight="1" spans="1: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  <c r="AM944" s="82"/>
      <c r="AN944" s="82"/>
      <c r="AO944" s="82"/>
      <c r="AP944" s="82"/>
      <c r="AQ944" s="82"/>
      <c r="AR944" s="82"/>
    </row>
    <row r="945" customHeight="1" spans="1:44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  <c r="AM945" s="82"/>
      <c r="AN945" s="82"/>
      <c r="AO945" s="82"/>
      <c r="AP945" s="82"/>
      <c r="AQ945" s="82"/>
      <c r="AR945" s="82"/>
    </row>
    <row r="946" customHeight="1" spans="1:44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  <c r="AM946" s="82"/>
      <c r="AN946" s="82"/>
      <c r="AO946" s="82"/>
      <c r="AP946" s="82"/>
      <c r="AQ946" s="82"/>
      <c r="AR946" s="82"/>
    </row>
    <row r="947" customHeight="1" spans="1:44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  <c r="AM947" s="82"/>
      <c r="AN947" s="82"/>
      <c r="AO947" s="82"/>
      <c r="AP947" s="82"/>
      <c r="AQ947" s="82"/>
      <c r="AR947" s="82"/>
    </row>
    <row r="948" customHeight="1" spans="1:44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  <c r="AM948" s="82"/>
      <c r="AN948" s="82"/>
      <c r="AO948" s="82"/>
      <c r="AP948" s="82"/>
      <c r="AQ948" s="82"/>
      <c r="AR948" s="82"/>
    </row>
    <row r="949" customHeight="1" spans="1:44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  <c r="AM949" s="82"/>
      <c r="AN949" s="82"/>
      <c r="AO949" s="82"/>
      <c r="AP949" s="82"/>
      <c r="AQ949" s="82"/>
      <c r="AR949" s="82"/>
    </row>
    <row r="950" customHeight="1" spans="1:44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  <c r="AM950" s="82"/>
      <c r="AN950" s="82"/>
      <c r="AO950" s="82"/>
      <c r="AP950" s="82"/>
      <c r="AQ950" s="82"/>
      <c r="AR950" s="82"/>
    </row>
    <row r="951" customHeight="1" spans="1:44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  <c r="AM951" s="82"/>
      <c r="AN951" s="82"/>
      <c r="AO951" s="82"/>
      <c r="AP951" s="82"/>
      <c r="AQ951" s="82"/>
      <c r="AR951" s="82"/>
    </row>
    <row r="952" customHeight="1" spans="1:44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  <c r="AM952" s="82"/>
      <c r="AN952" s="82"/>
      <c r="AO952" s="82"/>
      <c r="AP952" s="82"/>
      <c r="AQ952" s="82"/>
      <c r="AR952" s="82"/>
    </row>
    <row r="953" customHeight="1" spans="1:44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  <c r="AM953" s="82"/>
      <c r="AN953" s="82"/>
      <c r="AO953" s="82"/>
      <c r="AP953" s="82"/>
      <c r="AQ953" s="82"/>
      <c r="AR953" s="82"/>
    </row>
    <row r="954" customHeight="1" spans="1:4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  <c r="AR954" s="82"/>
    </row>
    <row r="955" customHeight="1" spans="1:44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  <c r="AM955" s="82"/>
      <c r="AN955" s="82"/>
      <c r="AO955" s="82"/>
      <c r="AP955" s="82"/>
      <c r="AQ955" s="82"/>
      <c r="AR955" s="82"/>
    </row>
    <row r="956" customHeight="1" spans="1:44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  <c r="AM956" s="82"/>
      <c r="AN956" s="82"/>
      <c r="AO956" s="82"/>
      <c r="AP956" s="82"/>
      <c r="AQ956" s="82"/>
      <c r="AR956" s="82"/>
    </row>
    <row r="957" customHeight="1" spans="1:44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  <c r="AM957" s="82"/>
      <c r="AN957" s="82"/>
      <c r="AO957" s="82"/>
      <c r="AP957" s="82"/>
      <c r="AQ957" s="82"/>
      <c r="AR957" s="82"/>
    </row>
    <row r="958" customHeight="1" spans="1:44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  <c r="AM958" s="82"/>
      <c r="AN958" s="82"/>
      <c r="AO958" s="82"/>
      <c r="AP958" s="82"/>
      <c r="AQ958" s="82"/>
      <c r="AR958" s="82"/>
    </row>
    <row r="959" customHeight="1" spans="1:44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  <c r="AM959" s="82"/>
      <c r="AN959" s="82"/>
      <c r="AO959" s="82"/>
      <c r="AP959" s="82"/>
      <c r="AQ959" s="82"/>
      <c r="AR959" s="82"/>
    </row>
    <row r="960" customHeight="1" spans="1:44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  <c r="AM960" s="82"/>
      <c r="AN960" s="82"/>
      <c r="AO960" s="82"/>
      <c r="AP960" s="82"/>
      <c r="AQ960" s="82"/>
      <c r="AR960" s="82"/>
    </row>
    <row r="961" customHeight="1" spans="1:44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  <c r="AM961" s="82"/>
      <c r="AN961" s="82"/>
      <c r="AO961" s="82"/>
      <c r="AP961" s="82"/>
      <c r="AQ961" s="82"/>
      <c r="AR961" s="82"/>
    </row>
    <row r="962" customHeight="1" spans="1:44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  <c r="AM962" s="82"/>
      <c r="AN962" s="82"/>
      <c r="AO962" s="82"/>
      <c r="AP962" s="82"/>
      <c r="AQ962" s="82"/>
      <c r="AR962" s="82"/>
    </row>
    <row r="963" customHeight="1" spans="1:44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  <c r="AM963" s="82"/>
      <c r="AN963" s="82"/>
      <c r="AO963" s="82"/>
      <c r="AP963" s="82"/>
      <c r="AQ963" s="82"/>
      <c r="AR963" s="82"/>
    </row>
    <row r="964" customHeight="1" spans="1:4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  <c r="AM964" s="82"/>
      <c r="AN964" s="82"/>
      <c r="AO964" s="82"/>
      <c r="AP964" s="82"/>
      <c r="AQ964" s="82"/>
      <c r="AR964" s="82"/>
    </row>
    <row r="965" customHeight="1" spans="1:44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  <c r="AM965" s="82"/>
      <c r="AN965" s="82"/>
      <c r="AO965" s="82"/>
      <c r="AP965" s="82"/>
      <c r="AQ965" s="82"/>
      <c r="AR965" s="82"/>
    </row>
    <row r="966" customHeight="1" spans="1:44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  <c r="AR966" s="82"/>
    </row>
    <row r="967" customHeight="1" spans="1:44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  <c r="AR967" s="82"/>
    </row>
    <row r="968" customHeight="1" spans="1:44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  <c r="AM968" s="82"/>
      <c r="AN968" s="82"/>
      <c r="AO968" s="82"/>
      <c r="AP968" s="82"/>
      <c r="AQ968" s="82"/>
      <c r="AR968" s="82"/>
    </row>
    <row r="969" customHeight="1" spans="1:44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  <c r="AM969" s="82"/>
      <c r="AN969" s="82"/>
      <c r="AO969" s="82"/>
      <c r="AP969" s="82"/>
      <c r="AQ969" s="82"/>
      <c r="AR969" s="82"/>
    </row>
    <row r="970" customHeight="1" spans="1:44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  <c r="AR970" s="82"/>
    </row>
    <row r="971" customHeight="1" spans="1:44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  <c r="AR971" s="82"/>
    </row>
    <row r="972" customHeight="1" spans="1:44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  <c r="AR972" s="82"/>
    </row>
    <row r="973" customHeight="1" spans="1:44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  <c r="AR973" s="82"/>
    </row>
    <row r="974" customHeight="1" spans="1:4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</row>
    <row r="975" customHeight="1" spans="1:44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  <c r="AR975" s="82"/>
    </row>
    <row r="976" customHeight="1" spans="1:44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  <c r="AR976" s="82"/>
    </row>
    <row r="977" customHeight="1" spans="1:44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  <c r="AR977" s="82"/>
    </row>
    <row r="978" customHeight="1" spans="1:44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  <c r="AR978" s="82"/>
    </row>
    <row r="979" customHeight="1" spans="1:44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  <c r="AR979" s="82"/>
    </row>
    <row r="980" customHeight="1" spans="1:44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  <c r="AM980" s="82"/>
      <c r="AN980" s="82"/>
      <c r="AO980" s="82"/>
      <c r="AP980" s="82"/>
      <c r="AQ980" s="82"/>
      <c r="AR980" s="82"/>
    </row>
    <row r="981" customHeight="1" spans="1:44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  <c r="AM981" s="82"/>
      <c r="AN981" s="82"/>
      <c r="AO981" s="82"/>
      <c r="AP981" s="82"/>
      <c r="AQ981" s="82"/>
      <c r="AR981" s="82"/>
    </row>
    <row r="982" customHeight="1" spans="1:44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  <c r="AM982" s="82"/>
      <c r="AN982" s="82"/>
      <c r="AO982" s="82"/>
      <c r="AP982" s="82"/>
      <c r="AQ982" s="82"/>
      <c r="AR982" s="82"/>
    </row>
    <row r="983" customHeight="1" spans="1:44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  <c r="AM983" s="82"/>
      <c r="AN983" s="82"/>
      <c r="AO983" s="82"/>
      <c r="AP983" s="82"/>
      <c r="AQ983" s="82"/>
      <c r="AR983" s="82"/>
    </row>
    <row r="984" customHeight="1" spans="1:4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  <c r="AM984" s="82"/>
      <c r="AN984" s="82"/>
      <c r="AO984" s="82"/>
      <c r="AP984" s="82"/>
      <c r="AQ984" s="82"/>
      <c r="AR984" s="82"/>
    </row>
    <row r="985" customHeight="1" spans="1:44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  <c r="AM985" s="82"/>
      <c r="AN985" s="82"/>
      <c r="AO985" s="82"/>
      <c r="AP985" s="82"/>
      <c r="AQ985" s="82"/>
      <c r="AR985" s="82"/>
    </row>
    <row r="986" customHeight="1" spans="1:44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  <c r="AM986" s="82"/>
      <c r="AN986" s="82"/>
      <c r="AO986" s="82"/>
      <c r="AP986" s="82"/>
      <c r="AQ986" s="82"/>
      <c r="AR986" s="82"/>
    </row>
    <row r="987" customHeight="1" spans="1:44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  <c r="AM987" s="82"/>
      <c r="AN987" s="82"/>
      <c r="AO987" s="82"/>
      <c r="AP987" s="82"/>
      <c r="AQ987" s="82"/>
      <c r="AR987" s="82"/>
    </row>
    <row r="988" customHeight="1" spans="1:44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  <c r="AM988" s="82"/>
      <c r="AN988" s="82"/>
      <c r="AO988" s="82"/>
      <c r="AP988" s="82"/>
      <c r="AQ988" s="82"/>
      <c r="AR988" s="82"/>
    </row>
    <row r="989" customHeight="1" spans="1:44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  <c r="AM989" s="82"/>
      <c r="AN989" s="82"/>
      <c r="AO989" s="82"/>
      <c r="AP989" s="82"/>
      <c r="AQ989" s="82"/>
      <c r="AR989" s="82"/>
    </row>
    <row r="990" customHeight="1" spans="1:44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  <c r="AM990" s="82"/>
      <c r="AN990" s="82"/>
      <c r="AO990" s="82"/>
      <c r="AP990" s="82"/>
      <c r="AQ990" s="82"/>
      <c r="AR990" s="82"/>
    </row>
    <row r="991" customHeight="1" spans="1:44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  <c r="AM991" s="82"/>
      <c r="AN991" s="82"/>
      <c r="AO991" s="82"/>
      <c r="AP991" s="82"/>
      <c r="AQ991" s="82"/>
      <c r="AR991" s="82"/>
    </row>
    <row r="992" customHeight="1" spans="1:44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  <c r="AM992" s="82"/>
      <c r="AN992" s="82"/>
      <c r="AO992" s="82"/>
      <c r="AP992" s="82"/>
      <c r="AQ992" s="82"/>
      <c r="AR992" s="82"/>
    </row>
    <row r="993" customHeight="1" spans="1:44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  <c r="AM993" s="82"/>
      <c r="AN993" s="82"/>
      <c r="AO993" s="82"/>
      <c r="AP993" s="82"/>
      <c r="AQ993" s="82"/>
      <c r="AR993" s="82"/>
    </row>
    <row r="994" customHeight="1" spans="1:4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  <c r="AM994" s="82"/>
      <c r="AN994" s="82"/>
      <c r="AO994" s="82"/>
      <c r="AP994" s="82"/>
      <c r="AQ994" s="82"/>
      <c r="AR994" s="82"/>
    </row>
    <row r="995" customHeight="1" spans="1:44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  <c r="AM995" s="82"/>
      <c r="AN995" s="82"/>
      <c r="AO995" s="82"/>
      <c r="AP995" s="82"/>
      <c r="AQ995" s="82"/>
      <c r="AR995" s="82"/>
    </row>
    <row r="996" customHeight="1" spans="1:44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  <c r="AM996" s="82"/>
      <c r="AN996" s="82"/>
      <c r="AO996" s="82"/>
      <c r="AP996" s="82"/>
      <c r="AQ996" s="82"/>
      <c r="AR996" s="82"/>
    </row>
    <row r="997" customHeight="1" spans="1:44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  <c r="AM997" s="82"/>
      <c r="AN997" s="82"/>
      <c r="AO997" s="82"/>
      <c r="AP997" s="82"/>
      <c r="AQ997" s="82"/>
      <c r="AR997" s="82"/>
    </row>
    <row r="998" customHeight="1" spans="1:44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  <c r="AM998" s="82"/>
      <c r="AN998" s="82"/>
      <c r="AO998" s="82"/>
      <c r="AP998" s="82"/>
      <c r="AQ998" s="82"/>
      <c r="AR998" s="82"/>
    </row>
    <row r="999" customHeight="1" spans="1:44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  <c r="AM999" s="82"/>
      <c r="AN999" s="82"/>
      <c r="AO999" s="82"/>
      <c r="AP999" s="82"/>
      <c r="AQ999" s="82"/>
      <c r="AR999" s="82"/>
    </row>
    <row r="1000" customHeight="1" spans="1:44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  <c r="AB1000" s="82"/>
      <c r="AC1000" s="82"/>
      <c r="AD1000" s="82"/>
      <c r="AE1000" s="82"/>
      <c r="AF1000" s="82"/>
      <c r="AG1000" s="82"/>
      <c r="AH1000" s="82"/>
      <c r="AI1000" s="82"/>
      <c r="AJ1000" s="82"/>
      <c r="AK1000" s="82"/>
      <c r="AL1000" s="82"/>
      <c r="AM1000" s="82"/>
      <c r="AN1000" s="82"/>
      <c r="AO1000" s="82"/>
      <c r="AP1000" s="82"/>
      <c r="AQ1000" s="82"/>
      <c r="AR1000" s="82"/>
    </row>
    <row r="1001" customHeight="1" spans="1:44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  <c r="AA1001" s="82"/>
      <c r="AB1001" s="82"/>
      <c r="AC1001" s="82"/>
      <c r="AD1001" s="82"/>
      <c r="AE1001" s="82"/>
      <c r="AF1001" s="82"/>
      <c r="AG1001" s="82"/>
      <c r="AH1001" s="82"/>
      <c r="AI1001" s="82"/>
      <c r="AJ1001" s="82"/>
      <c r="AK1001" s="82"/>
      <c r="AL1001" s="82"/>
      <c r="AM1001" s="82"/>
      <c r="AN1001" s="82"/>
      <c r="AO1001" s="82"/>
      <c r="AP1001" s="82"/>
      <c r="AQ1001" s="82"/>
      <c r="AR1001" s="82"/>
    </row>
    <row r="1002" customHeight="1" spans="1:44">
      <c r="A1002" s="82"/>
      <c r="B1002" s="82"/>
      <c r="C1002" s="82"/>
      <c r="D1002" s="82"/>
      <c r="E1002" s="82"/>
      <c r="F1002" s="82"/>
      <c r="G1002" s="82"/>
      <c r="H1002" s="82"/>
      <c r="I1002" s="82"/>
      <c r="J1002" s="82"/>
      <c r="K1002" s="82"/>
      <c r="L1002" s="82"/>
      <c r="M1002" s="82"/>
      <c r="N1002" s="82"/>
      <c r="O1002" s="82"/>
      <c r="P1002" s="82"/>
      <c r="Q1002" s="82"/>
      <c r="R1002" s="82"/>
      <c r="S1002" s="82"/>
      <c r="T1002" s="82"/>
      <c r="U1002" s="82"/>
      <c r="V1002" s="82"/>
      <c r="W1002" s="82"/>
      <c r="X1002" s="82"/>
      <c r="Y1002" s="82"/>
      <c r="Z1002" s="82"/>
      <c r="AA1002" s="82"/>
      <c r="AB1002" s="82"/>
      <c r="AC1002" s="82"/>
      <c r="AD1002" s="82"/>
      <c r="AE1002" s="82"/>
      <c r="AF1002" s="82"/>
      <c r="AG1002" s="82"/>
      <c r="AH1002" s="82"/>
      <c r="AI1002" s="82"/>
      <c r="AJ1002" s="82"/>
      <c r="AK1002" s="82"/>
      <c r="AL1002" s="82"/>
      <c r="AM1002" s="82"/>
      <c r="AN1002" s="82"/>
      <c r="AO1002" s="82"/>
      <c r="AP1002" s="82"/>
      <c r="AQ1002" s="82"/>
      <c r="AR1002" s="82"/>
    </row>
    <row r="1003" customHeight="1" spans="1:44">
      <c r="A1003" s="82"/>
      <c r="B1003" s="82"/>
      <c r="C1003" s="82"/>
      <c r="D1003" s="82"/>
      <c r="E1003" s="82"/>
      <c r="F1003" s="82"/>
      <c r="G1003" s="82"/>
      <c r="H1003" s="82"/>
      <c r="I1003" s="82"/>
      <c r="J1003" s="82"/>
      <c r="K1003" s="82"/>
      <c r="L1003" s="82"/>
      <c r="M1003" s="82"/>
      <c r="N1003" s="82"/>
      <c r="O1003" s="82"/>
      <c r="P1003" s="82"/>
      <c r="Q1003" s="82"/>
      <c r="R1003" s="82"/>
      <c r="S1003" s="82"/>
      <c r="T1003" s="82"/>
      <c r="U1003" s="82"/>
      <c r="V1003" s="82"/>
      <c r="W1003" s="82"/>
      <c r="X1003" s="82"/>
      <c r="Y1003" s="82"/>
      <c r="Z1003" s="82"/>
      <c r="AA1003" s="82"/>
      <c r="AB1003" s="82"/>
      <c r="AC1003" s="82"/>
      <c r="AD1003" s="82"/>
      <c r="AE1003" s="82"/>
      <c r="AF1003" s="82"/>
      <c r="AG1003" s="82"/>
      <c r="AH1003" s="82"/>
      <c r="AI1003" s="82"/>
      <c r="AJ1003" s="82"/>
      <c r="AK1003" s="82"/>
      <c r="AL1003" s="82"/>
      <c r="AM1003" s="82"/>
      <c r="AN1003" s="82"/>
      <c r="AO1003" s="82"/>
      <c r="AP1003" s="82"/>
      <c r="AQ1003" s="82"/>
      <c r="AR1003" s="82"/>
    </row>
    <row r="1004" customHeight="1" spans="1:44">
      <c r="A1004" s="82"/>
      <c r="B1004" s="82"/>
      <c r="C1004" s="82"/>
      <c r="D1004" s="82"/>
      <c r="E1004" s="82"/>
      <c r="F1004" s="82"/>
      <c r="G1004" s="82"/>
      <c r="H1004" s="82"/>
      <c r="I1004" s="82"/>
      <c r="J1004" s="82"/>
      <c r="K1004" s="82"/>
      <c r="L1004" s="82"/>
      <c r="M1004" s="82"/>
      <c r="N1004" s="82"/>
      <c r="O1004" s="82"/>
      <c r="P1004" s="82"/>
      <c r="Q1004" s="82"/>
      <c r="R1004" s="82"/>
      <c r="S1004" s="82"/>
      <c r="T1004" s="82"/>
      <c r="U1004" s="82"/>
      <c r="V1004" s="82"/>
      <c r="W1004" s="82"/>
      <c r="X1004" s="82"/>
      <c r="Y1004" s="82"/>
      <c r="Z1004" s="82"/>
      <c r="AA1004" s="82"/>
      <c r="AB1004" s="82"/>
      <c r="AC1004" s="82"/>
      <c r="AD1004" s="82"/>
      <c r="AE1004" s="82"/>
      <c r="AF1004" s="82"/>
      <c r="AG1004" s="82"/>
      <c r="AH1004" s="82"/>
      <c r="AI1004" s="82"/>
      <c r="AJ1004" s="82"/>
      <c r="AK1004" s="82"/>
      <c r="AL1004" s="82"/>
      <c r="AM1004" s="82"/>
      <c r="AN1004" s="82"/>
      <c r="AO1004" s="82"/>
      <c r="AP1004" s="82"/>
      <c r="AQ1004" s="82"/>
      <c r="AR1004" s="82"/>
    </row>
    <row r="1005" customHeight="1" spans="1:44">
      <c r="A1005" s="82"/>
      <c r="B1005" s="82"/>
      <c r="C1005" s="82"/>
      <c r="D1005" s="82"/>
      <c r="E1005" s="82"/>
      <c r="F1005" s="82"/>
      <c r="G1005" s="82"/>
      <c r="H1005" s="82"/>
      <c r="I1005" s="82"/>
      <c r="J1005" s="82"/>
      <c r="K1005" s="82"/>
      <c r="L1005" s="82"/>
      <c r="M1005" s="82"/>
      <c r="N1005" s="82"/>
      <c r="O1005" s="82"/>
      <c r="P1005" s="82"/>
      <c r="Q1005" s="82"/>
      <c r="R1005" s="82"/>
      <c r="S1005" s="82"/>
      <c r="T1005" s="82"/>
      <c r="U1005" s="82"/>
      <c r="V1005" s="82"/>
      <c r="W1005" s="82"/>
      <c r="X1005" s="82"/>
      <c r="Y1005" s="82"/>
      <c r="Z1005" s="82"/>
      <c r="AA1005" s="82"/>
      <c r="AB1005" s="82"/>
      <c r="AC1005" s="82"/>
      <c r="AD1005" s="82"/>
      <c r="AE1005" s="82"/>
      <c r="AF1005" s="82"/>
      <c r="AG1005" s="82"/>
      <c r="AH1005" s="82"/>
      <c r="AI1005" s="82"/>
      <c r="AJ1005" s="82"/>
      <c r="AK1005" s="82"/>
      <c r="AL1005" s="82"/>
      <c r="AM1005" s="82"/>
      <c r="AN1005" s="82"/>
      <c r="AO1005" s="82"/>
      <c r="AP1005" s="82"/>
      <c r="AQ1005" s="82"/>
      <c r="AR1005" s="82"/>
    </row>
    <row r="1006" customHeight="1" spans="1:44">
      <c r="A1006" s="82"/>
      <c r="B1006" s="82"/>
      <c r="C1006" s="82"/>
      <c r="D1006" s="82"/>
      <c r="E1006" s="82"/>
      <c r="F1006" s="82"/>
      <c r="G1006" s="82"/>
      <c r="H1006" s="82"/>
      <c r="I1006" s="82"/>
      <c r="J1006" s="82"/>
      <c r="K1006" s="82"/>
      <c r="L1006" s="82"/>
      <c r="M1006" s="82"/>
      <c r="N1006" s="82"/>
      <c r="O1006" s="82"/>
      <c r="P1006" s="82"/>
      <c r="Q1006" s="82"/>
      <c r="R1006" s="82"/>
      <c r="S1006" s="82"/>
      <c r="T1006" s="82"/>
      <c r="U1006" s="82"/>
      <c r="V1006" s="82"/>
      <c r="W1006" s="82"/>
      <c r="X1006" s="82"/>
      <c r="Y1006" s="82"/>
      <c r="Z1006" s="82"/>
      <c r="AA1006" s="82"/>
      <c r="AB1006" s="82"/>
      <c r="AC1006" s="82"/>
      <c r="AD1006" s="82"/>
      <c r="AE1006" s="82"/>
      <c r="AF1006" s="82"/>
      <c r="AG1006" s="82"/>
      <c r="AH1006" s="82"/>
      <c r="AI1006" s="82"/>
      <c r="AJ1006" s="82"/>
      <c r="AK1006" s="82"/>
      <c r="AL1006" s="82"/>
      <c r="AM1006" s="82"/>
      <c r="AN1006" s="82"/>
      <c r="AO1006" s="82"/>
      <c r="AP1006" s="82"/>
      <c r="AQ1006" s="82"/>
      <c r="AR1006" s="82"/>
    </row>
    <row r="1007" customHeight="1" spans="1:44">
      <c r="A1007" s="82"/>
      <c r="B1007" s="82"/>
      <c r="C1007" s="82"/>
      <c r="D1007" s="82"/>
      <c r="E1007" s="82"/>
      <c r="F1007" s="82"/>
      <c r="G1007" s="82"/>
      <c r="H1007" s="82"/>
      <c r="I1007" s="82"/>
      <c r="J1007" s="82"/>
      <c r="K1007" s="82"/>
      <c r="L1007" s="82"/>
      <c r="M1007" s="82"/>
      <c r="N1007" s="82"/>
      <c r="O1007" s="82"/>
      <c r="P1007" s="82"/>
      <c r="Q1007" s="82"/>
      <c r="R1007" s="82"/>
      <c r="S1007" s="82"/>
      <c r="T1007" s="82"/>
      <c r="U1007" s="82"/>
      <c r="V1007" s="82"/>
      <c r="W1007" s="82"/>
      <c r="X1007" s="82"/>
      <c r="Y1007" s="82"/>
      <c r="Z1007" s="82"/>
      <c r="AA1007" s="82"/>
      <c r="AB1007" s="82"/>
      <c r="AC1007" s="82"/>
      <c r="AD1007" s="82"/>
      <c r="AE1007" s="82"/>
      <c r="AF1007" s="82"/>
      <c r="AG1007" s="82"/>
      <c r="AH1007" s="82"/>
      <c r="AI1007" s="82"/>
      <c r="AJ1007" s="82"/>
      <c r="AK1007" s="82"/>
      <c r="AL1007" s="82"/>
      <c r="AM1007" s="82"/>
      <c r="AN1007" s="82"/>
      <c r="AO1007" s="82"/>
      <c r="AP1007" s="82"/>
      <c r="AQ1007" s="82"/>
      <c r="AR1007" s="82"/>
    </row>
    <row r="1008" customHeight="1" spans="1:44">
      <c r="A1008" s="82"/>
      <c r="B1008" s="82"/>
      <c r="C1008" s="82"/>
      <c r="D1008" s="82"/>
      <c r="E1008" s="82"/>
      <c r="F1008" s="82"/>
      <c r="G1008" s="82"/>
      <c r="H1008" s="82"/>
      <c r="I1008" s="82"/>
      <c r="J1008" s="82"/>
      <c r="K1008" s="82"/>
      <c r="L1008" s="82"/>
      <c r="M1008" s="82"/>
      <c r="N1008" s="82"/>
      <c r="O1008" s="82"/>
      <c r="P1008" s="82"/>
      <c r="Q1008" s="82"/>
      <c r="R1008" s="82"/>
      <c r="S1008" s="82"/>
      <c r="T1008" s="82"/>
      <c r="U1008" s="82"/>
      <c r="V1008" s="82"/>
      <c r="W1008" s="82"/>
      <c r="X1008" s="82"/>
      <c r="Y1008" s="82"/>
      <c r="Z1008" s="82"/>
      <c r="AA1008" s="82"/>
      <c r="AB1008" s="82"/>
      <c r="AC1008" s="82"/>
      <c r="AD1008" s="82"/>
      <c r="AE1008" s="82"/>
      <c r="AF1008" s="82"/>
      <c r="AG1008" s="82"/>
      <c r="AH1008" s="82"/>
      <c r="AI1008" s="82"/>
      <c r="AJ1008" s="82"/>
      <c r="AK1008" s="82"/>
      <c r="AL1008" s="82"/>
      <c r="AM1008" s="82"/>
      <c r="AN1008" s="82"/>
      <c r="AO1008" s="82"/>
      <c r="AP1008" s="82"/>
      <c r="AQ1008" s="82"/>
      <c r="AR1008" s="82"/>
    </row>
    <row r="1009" customHeight="1" spans="1:44">
      <c r="A1009" s="82"/>
      <c r="B1009" s="82"/>
      <c r="C1009" s="82"/>
      <c r="D1009" s="82"/>
      <c r="E1009" s="82"/>
      <c r="F1009" s="82"/>
      <c r="G1009" s="82"/>
      <c r="H1009" s="82"/>
      <c r="I1009" s="82"/>
      <c r="J1009" s="82"/>
      <c r="K1009" s="82"/>
      <c r="L1009" s="82"/>
      <c r="M1009" s="82"/>
      <c r="N1009" s="82"/>
      <c r="O1009" s="82"/>
      <c r="P1009" s="82"/>
      <c r="Q1009" s="82"/>
      <c r="R1009" s="82"/>
      <c r="S1009" s="82"/>
      <c r="T1009" s="82"/>
      <c r="U1009" s="82"/>
      <c r="V1009" s="82"/>
      <c r="W1009" s="82"/>
      <c r="X1009" s="82"/>
      <c r="Y1009" s="82"/>
      <c r="Z1009" s="82"/>
      <c r="AA1009" s="82"/>
      <c r="AB1009" s="82"/>
      <c r="AC1009" s="82"/>
      <c r="AD1009" s="82"/>
      <c r="AE1009" s="82"/>
      <c r="AF1009" s="82"/>
      <c r="AG1009" s="82"/>
      <c r="AH1009" s="82"/>
      <c r="AI1009" s="82"/>
      <c r="AJ1009" s="82"/>
      <c r="AK1009" s="82"/>
      <c r="AL1009" s="82"/>
      <c r="AM1009" s="82"/>
      <c r="AN1009" s="82"/>
      <c r="AO1009" s="82"/>
      <c r="AP1009" s="82"/>
      <c r="AQ1009" s="82"/>
      <c r="AR1009" s="82"/>
    </row>
    <row r="1010" customHeight="1" spans="1:44">
      <c r="A1010" s="82"/>
      <c r="B1010" s="82"/>
      <c r="C1010" s="82"/>
      <c r="D1010" s="82"/>
      <c r="E1010" s="82"/>
      <c r="F1010" s="82"/>
      <c r="G1010" s="82"/>
      <c r="H1010" s="82"/>
      <c r="I1010" s="82"/>
      <c r="J1010" s="82"/>
      <c r="K1010" s="82"/>
      <c r="L1010" s="82"/>
      <c r="M1010" s="82"/>
      <c r="N1010" s="82"/>
      <c r="O1010" s="82"/>
      <c r="P1010" s="82"/>
      <c r="Q1010" s="82"/>
      <c r="R1010" s="82"/>
      <c r="S1010" s="82"/>
      <c r="T1010" s="82"/>
      <c r="U1010" s="82"/>
      <c r="V1010" s="82"/>
      <c r="W1010" s="82"/>
      <c r="X1010" s="82"/>
      <c r="Y1010" s="82"/>
      <c r="Z1010" s="82"/>
      <c r="AA1010" s="82"/>
      <c r="AB1010" s="82"/>
      <c r="AC1010" s="82"/>
      <c r="AD1010" s="82"/>
      <c r="AE1010" s="82"/>
      <c r="AF1010" s="82"/>
      <c r="AG1010" s="82"/>
      <c r="AH1010" s="82"/>
      <c r="AI1010" s="82"/>
      <c r="AJ1010" s="82"/>
      <c r="AK1010" s="82"/>
      <c r="AL1010" s="82"/>
      <c r="AM1010" s="82"/>
      <c r="AN1010" s="82"/>
      <c r="AO1010" s="82"/>
      <c r="AP1010" s="82"/>
      <c r="AQ1010" s="82"/>
      <c r="AR1010" s="82"/>
    </row>
    <row r="1011" customHeight="1" spans="1:44">
      <c r="A1011" s="82"/>
      <c r="B1011" s="82"/>
      <c r="C1011" s="82"/>
      <c r="D1011" s="82"/>
      <c r="E1011" s="82"/>
      <c r="F1011" s="82"/>
      <c r="G1011" s="82"/>
      <c r="H1011" s="82"/>
      <c r="I1011" s="82"/>
      <c r="J1011" s="82"/>
      <c r="K1011" s="82"/>
      <c r="L1011" s="82"/>
      <c r="M1011" s="82"/>
      <c r="N1011" s="82"/>
      <c r="O1011" s="82"/>
      <c r="P1011" s="82"/>
      <c r="Q1011" s="82"/>
      <c r="R1011" s="82"/>
      <c r="S1011" s="82"/>
      <c r="T1011" s="82"/>
      <c r="U1011" s="82"/>
      <c r="V1011" s="82"/>
      <c r="W1011" s="82"/>
      <c r="X1011" s="82"/>
      <c r="Y1011" s="82"/>
      <c r="Z1011" s="82"/>
      <c r="AA1011" s="82"/>
      <c r="AB1011" s="82"/>
      <c r="AC1011" s="82"/>
      <c r="AD1011" s="82"/>
      <c r="AE1011" s="82"/>
      <c r="AF1011" s="82"/>
      <c r="AG1011" s="82"/>
      <c r="AH1011" s="82"/>
      <c r="AI1011" s="82"/>
      <c r="AJ1011" s="82"/>
      <c r="AK1011" s="82"/>
      <c r="AL1011" s="82"/>
      <c r="AM1011" s="82"/>
      <c r="AN1011" s="82"/>
      <c r="AO1011" s="82"/>
      <c r="AP1011" s="82"/>
      <c r="AQ1011" s="82"/>
      <c r="AR1011" s="82"/>
    </row>
  </sheetData>
  <mergeCells count="1635">
    <mergeCell ref="B1:K1"/>
    <mergeCell ref="B52:B53"/>
    <mergeCell ref="B54:B55"/>
    <mergeCell ref="B56:B57"/>
    <mergeCell ref="B58:B59"/>
    <mergeCell ref="B62:B63"/>
    <mergeCell ref="B66:B69"/>
    <mergeCell ref="B71:B72"/>
    <mergeCell ref="B74:B75"/>
    <mergeCell ref="B78:B79"/>
    <mergeCell ref="B81:B83"/>
    <mergeCell ref="B84:B86"/>
    <mergeCell ref="B93:B94"/>
    <mergeCell ref="B95:B96"/>
    <mergeCell ref="B97:B98"/>
    <mergeCell ref="B102:B103"/>
    <mergeCell ref="B106:B107"/>
    <mergeCell ref="B114:B115"/>
    <mergeCell ref="B122:B123"/>
    <mergeCell ref="B125:B126"/>
    <mergeCell ref="B130:B131"/>
    <mergeCell ref="B137:B138"/>
    <mergeCell ref="B140:B141"/>
    <mergeCell ref="B144:B145"/>
    <mergeCell ref="B156:B157"/>
    <mergeCell ref="B158:B159"/>
    <mergeCell ref="B160:B161"/>
    <mergeCell ref="B169:B171"/>
    <mergeCell ref="B172:B173"/>
    <mergeCell ref="B175:B176"/>
    <mergeCell ref="B178:B179"/>
    <mergeCell ref="B193:B194"/>
    <mergeCell ref="B195:B196"/>
    <mergeCell ref="B198:B199"/>
    <mergeCell ref="B201:B202"/>
    <mergeCell ref="B203:B204"/>
    <mergeCell ref="B206:B207"/>
    <mergeCell ref="B209:B210"/>
    <mergeCell ref="B211:B212"/>
    <mergeCell ref="B214:B215"/>
    <mergeCell ref="B216:B217"/>
    <mergeCell ref="B218:B220"/>
    <mergeCell ref="B221:B222"/>
    <mergeCell ref="B223:B224"/>
    <mergeCell ref="B225:B226"/>
    <mergeCell ref="B230:B231"/>
    <mergeCell ref="B232:B234"/>
    <mergeCell ref="B235:B237"/>
    <mergeCell ref="B238:B240"/>
    <mergeCell ref="B241:B242"/>
    <mergeCell ref="B243:B246"/>
    <mergeCell ref="B247:B250"/>
    <mergeCell ref="B251:B254"/>
    <mergeCell ref="B255:B258"/>
    <mergeCell ref="B268:B269"/>
    <mergeCell ref="B271:B272"/>
    <mergeCell ref="B274:B275"/>
    <mergeCell ref="B280:B281"/>
    <mergeCell ref="B282:B283"/>
    <mergeCell ref="B284:B285"/>
    <mergeCell ref="B288:B290"/>
    <mergeCell ref="B299:B300"/>
    <mergeCell ref="B308:B309"/>
    <mergeCell ref="B310:B311"/>
    <mergeCell ref="B312:B313"/>
    <mergeCell ref="B314:B315"/>
    <mergeCell ref="B316:B317"/>
    <mergeCell ref="B318:B320"/>
    <mergeCell ref="B338:B339"/>
    <mergeCell ref="B342:B343"/>
    <mergeCell ref="B344:B345"/>
    <mergeCell ref="B350:B351"/>
    <mergeCell ref="B353:B354"/>
    <mergeCell ref="B365:B366"/>
    <mergeCell ref="B372:B373"/>
    <mergeCell ref="B374:B375"/>
    <mergeCell ref="B382:B383"/>
    <mergeCell ref="B384:B385"/>
    <mergeCell ref="B393:B394"/>
    <mergeCell ref="B395:B396"/>
    <mergeCell ref="C52:C53"/>
    <mergeCell ref="C54:C55"/>
    <mergeCell ref="C56:C57"/>
    <mergeCell ref="C58:C59"/>
    <mergeCell ref="C62:C63"/>
    <mergeCell ref="C66:C69"/>
    <mergeCell ref="C71:C72"/>
    <mergeCell ref="C74:C75"/>
    <mergeCell ref="C78:C79"/>
    <mergeCell ref="C81:C83"/>
    <mergeCell ref="C84:C86"/>
    <mergeCell ref="C93:C94"/>
    <mergeCell ref="C95:C96"/>
    <mergeCell ref="C97:C98"/>
    <mergeCell ref="C102:C103"/>
    <mergeCell ref="C106:C107"/>
    <mergeCell ref="C114:C115"/>
    <mergeCell ref="C122:C123"/>
    <mergeCell ref="C125:C126"/>
    <mergeCell ref="C130:C131"/>
    <mergeCell ref="C137:C138"/>
    <mergeCell ref="C140:C141"/>
    <mergeCell ref="C144:C145"/>
    <mergeCell ref="C156:C157"/>
    <mergeCell ref="C158:C159"/>
    <mergeCell ref="C160:C161"/>
    <mergeCell ref="C169:C171"/>
    <mergeCell ref="C172:C173"/>
    <mergeCell ref="C175:C176"/>
    <mergeCell ref="C178:C179"/>
    <mergeCell ref="C193:C194"/>
    <mergeCell ref="C195:C196"/>
    <mergeCell ref="C198:C199"/>
    <mergeCell ref="C201:C202"/>
    <mergeCell ref="C203:C204"/>
    <mergeCell ref="C206:C207"/>
    <mergeCell ref="C209:C210"/>
    <mergeCell ref="C211:C212"/>
    <mergeCell ref="C214:C215"/>
    <mergeCell ref="C216:C217"/>
    <mergeCell ref="C218:C220"/>
    <mergeCell ref="C221:C222"/>
    <mergeCell ref="C223:C224"/>
    <mergeCell ref="C225:C226"/>
    <mergeCell ref="C230:C231"/>
    <mergeCell ref="C232:C234"/>
    <mergeCell ref="C235:C237"/>
    <mergeCell ref="C238:C240"/>
    <mergeCell ref="C241:C242"/>
    <mergeCell ref="C243:C246"/>
    <mergeCell ref="C247:C250"/>
    <mergeCell ref="C251:C254"/>
    <mergeCell ref="C255:C258"/>
    <mergeCell ref="C268:C269"/>
    <mergeCell ref="C271:C272"/>
    <mergeCell ref="C274:C275"/>
    <mergeCell ref="C280:C281"/>
    <mergeCell ref="C282:C283"/>
    <mergeCell ref="C284:C285"/>
    <mergeCell ref="C288:C290"/>
    <mergeCell ref="C299:C300"/>
    <mergeCell ref="C308:C309"/>
    <mergeCell ref="C310:C311"/>
    <mergeCell ref="C312:C313"/>
    <mergeCell ref="C314:C315"/>
    <mergeCell ref="C316:C317"/>
    <mergeCell ref="C318:C320"/>
    <mergeCell ref="C338:C339"/>
    <mergeCell ref="C342:C343"/>
    <mergeCell ref="C344:C345"/>
    <mergeCell ref="C350:C351"/>
    <mergeCell ref="C353:C354"/>
    <mergeCell ref="C365:C366"/>
    <mergeCell ref="C372:C373"/>
    <mergeCell ref="C374:C375"/>
    <mergeCell ref="C382:C383"/>
    <mergeCell ref="C384:C385"/>
    <mergeCell ref="C393:C394"/>
    <mergeCell ref="C395:C396"/>
    <mergeCell ref="D52:D53"/>
    <mergeCell ref="D54:D55"/>
    <mergeCell ref="D56:D57"/>
    <mergeCell ref="D58:D59"/>
    <mergeCell ref="D62:D63"/>
    <mergeCell ref="D66:D69"/>
    <mergeCell ref="D71:D72"/>
    <mergeCell ref="D74:D75"/>
    <mergeCell ref="D78:D79"/>
    <mergeCell ref="D81:D83"/>
    <mergeCell ref="D84:D86"/>
    <mergeCell ref="D93:D94"/>
    <mergeCell ref="D95:D96"/>
    <mergeCell ref="D97:D98"/>
    <mergeCell ref="D102:D103"/>
    <mergeCell ref="D106:D107"/>
    <mergeCell ref="D114:D115"/>
    <mergeCell ref="D122:D123"/>
    <mergeCell ref="D125:D126"/>
    <mergeCell ref="D130:D131"/>
    <mergeCell ref="D137:D138"/>
    <mergeCell ref="D140:D141"/>
    <mergeCell ref="D144:D145"/>
    <mergeCell ref="D156:D157"/>
    <mergeCell ref="D158:D159"/>
    <mergeCell ref="D160:D161"/>
    <mergeCell ref="D169:D171"/>
    <mergeCell ref="D172:D173"/>
    <mergeCell ref="D175:D176"/>
    <mergeCell ref="D178:D179"/>
    <mergeCell ref="D193:D194"/>
    <mergeCell ref="D195:D196"/>
    <mergeCell ref="D198:D199"/>
    <mergeCell ref="D201:D202"/>
    <mergeCell ref="D203:D204"/>
    <mergeCell ref="D206:D207"/>
    <mergeCell ref="D209:D210"/>
    <mergeCell ref="D211:D212"/>
    <mergeCell ref="D214:D215"/>
    <mergeCell ref="D216:D217"/>
    <mergeCell ref="D218:D220"/>
    <mergeCell ref="D221:D222"/>
    <mergeCell ref="D223:D224"/>
    <mergeCell ref="D225:D226"/>
    <mergeCell ref="D230:D231"/>
    <mergeCell ref="D232:D234"/>
    <mergeCell ref="D235:D237"/>
    <mergeCell ref="D238:D240"/>
    <mergeCell ref="D241:D242"/>
    <mergeCell ref="D243:D246"/>
    <mergeCell ref="D247:D250"/>
    <mergeCell ref="D251:D254"/>
    <mergeCell ref="D255:D258"/>
    <mergeCell ref="D268:D269"/>
    <mergeCell ref="D271:D272"/>
    <mergeCell ref="D274:D275"/>
    <mergeCell ref="D280:D281"/>
    <mergeCell ref="D282:D283"/>
    <mergeCell ref="D284:D285"/>
    <mergeCell ref="D288:D290"/>
    <mergeCell ref="D299:D300"/>
    <mergeCell ref="D308:D309"/>
    <mergeCell ref="D310:D311"/>
    <mergeCell ref="D312:D313"/>
    <mergeCell ref="D314:D315"/>
    <mergeCell ref="D316:D317"/>
    <mergeCell ref="D318:D320"/>
    <mergeCell ref="D324:D325"/>
    <mergeCell ref="D328:D329"/>
    <mergeCell ref="D330:D332"/>
    <mergeCell ref="D338:D339"/>
    <mergeCell ref="D342:D343"/>
    <mergeCell ref="D344:D345"/>
    <mergeCell ref="D350:D351"/>
    <mergeCell ref="D353:D354"/>
    <mergeCell ref="D365:D366"/>
    <mergeCell ref="D372:D373"/>
    <mergeCell ref="D374:D375"/>
    <mergeCell ref="D382:D383"/>
    <mergeCell ref="D384:D385"/>
    <mergeCell ref="D393:D394"/>
    <mergeCell ref="D395:D396"/>
    <mergeCell ref="E3:E14"/>
    <mergeCell ref="E15:E26"/>
    <mergeCell ref="E27:E38"/>
    <mergeCell ref="E39:E50"/>
    <mergeCell ref="E52:E53"/>
    <mergeCell ref="E54:E55"/>
    <mergeCell ref="E56:E57"/>
    <mergeCell ref="E58:E59"/>
    <mergeCell ref="E62:E63"/>
    <mergeCell ref="E66:E69"/>
    <mergeCell ref="E71:E72"/>
    <mergeCell ref="E74:E75"/>
    <mergeCell ref="E78:E79"/>
    <mergeCell ref="E81:E83"/>
    <mergeCell ref="E84:E86"/>
    <mergeCell ref="E93:E94"/>
    <mergeCell ref="E95:E96"/>
    <mergeCell ref="E97:E98"/>
    <mergeCell ref="E102:E103"/>
    <mergeCell ref="E106:E107"/>
    <mergeCell ref="E114:E115"/>
    <mergeCell ref="E122:E123"/>
    <mergeCell ref="E125:E126"/>
    <mergeCell ref="E130:E131"/>
    <mergeCell ref="E137:E138"/>
    <mergeCell ref="E140:E141"/>
    <mergeCell ref="E144:E145"/>
    <mergeCell ref="E156:E157"/>
    <mergeCell ref="E158:E159"/>
    <mergeCell ref="E160:E161"/>
    <mergeCell ref="E169:E171"/>
    <mergeCell ref="E172:E173"/>
    <mergeCell ref="E175:E176"/>
    <mergeCell ref="E178:E179"/>
    <mergeCell ref="E193:E194"/>
    <mergeCell ref="E195:E196"/>
    <mergeCell ref="E198:E199"/>
    <mergeCell ref="E201:E202"/>
    <mergeCell ref="E203:E204"/>
    <mergeCell ref="E206:E207"/>
    <mergeCell ref="E209:E210"/>
    <mergeCell ref="E211:E212"/>
    <mergeCell ref="E214:E215"/>
    <mergeCell ref="E216:E217"/>
    <mergeCell ref="E218:E220"/>
    <mergeCell ref="E221:E222"/>
    <mergeCell ref="E223:E224"/>
    <mergeCell ref="E225:E226"/>
    <mergeCell ref="E230:E231"/>
    <mergeCell ref="E232:E234"/>
    <mergeCell ref="E235:E237"/>
    <mergeCell ref="E238:E240"/>
    <mergeCell ref="E241:E242"/>
    <mergeCell ref="E243:E246"/>
    <mergeCell ref="E247:E250"/>
    <mergeCell ref="E251:E254"/>
    <mergeCell ref="E255:E258"/>
    <mergeCell ref="E268:E269"/>
    <mergeCell ref="E271:E272"/>
    <mergeCell ref="E274:E275"/>
    <mergeCell ref="E280:E281"/>
    <mergeCell ref="E282:E283"/>
    <mergeCell ref="E284:E285"/>
    <mergeCell ref="E288:E290"/>
    <mergeCell ref="E299:E300"/>
    <mergeCell ref="E308:E309"/>
    <mergeCell ref="E310:E311"/>
    <mergeCell ref="E312:E313"/>
    <mergeCell ref="E314:E315"/>
    <mergeCell ref="E316:E317"/>
    <mergeCell ref="E318:E320"/>
    <mergeCell ref="E338:E339"/>
    <mergeCell ref="E342:E343"/>
    <mergeCell ref="E344:E345"/>
    <mergeCell ref="E350:E351"/>
    <mergeCell ref="E353:E354"/>
    <mergeCell ref="E365:E366"/>
    <mergeCell ref="E372:E373"/>
    <mergeCell ref="E374:E375"/>
    <mergeCell ref="E382:E383"/>
    <mergeCell ref="E384:E385"/>
    <mergeCell ref="E393:E394"/>
    <mergeCell ref="E395:E396"/>
    <mergeCell ref="F52:F53"/>
    <mergeCell ref="F54:F55"/>
    <mergeCell ref="F56:F57"/>
    <mergeCell ref="F58:F59"/>
    <mergeCell ref="F62:F63"/>
    <mergeCell ref="F66:F69"/>
    <mergeCell ref="F71:F72"/>
    <mergeCell ref="F74:F75"/>
    <mergeCell ref="F78:F79"/>
    <mergeCell ref="F81:F83"/>
    <mergeCell ref="F84:F86"/>
    <mergeCell ref="F93:F94"/>
    <mergeCell ref="F95:F96"/>
    <mergeCell ref="F97:F98"/>
    <mergeCell ref="F102:F103"/>
    <mergeCell ref="F106:F107"/>
    <mergeCell ref="F114:F115"/>
    <mergeCell ref="F122:F123"/>
    <mergeCell ref="F125:F126"/>
    <mergeCell ref="F130:F131"/>
    <mergeCell ref="F137:F138"/>
    <mergeCell ref="F140:F141"/>
    <mergeCell ref="F144:F145"/>
    <mergeCell ref="F156:F157"/>
    <mergeCell ref="F158:F159"/>
    <mergeCell ref="F160:F161"/>
    <mergeCell ref="F169:F171"/>
    <mergeCell ref="F172:F173"/>
    <mergeCell ref="F175:F176"/>
    <mergeCell ref="F178:F179"/>
    <mergeCell ref="F193:F194"/>
    <mergeCell ref="F195:F196"/>
    <mergeCell ref="F198:F199"/>
    <mergeCell ref="F201:F202"/>
    <mergeCell ref="F203:F204"/>
    <mergeCell ref="F206:F207"/>
    <mergeCell ref="F209:F210"/>
    <mergeCell ref="F211:F212"/>
    <mergeCell ref="F214:F215"/>
    <mergeCell ref="F216:F217"/>
    <mergeCell ref="F218:F220"/>
    <mergeCell ref="F221:F222"/>
    <mergeCell ref="F223:F224"/>
    <mergeCell ref="F225:F226"/>
    <mergeCell ref="F230:F231"/>
    <mergeCell ref="F232:F234"/>
    <mergeCell ref="F235:F237"/>
    <mergeCell ref="F238:F240"/>
    <mergeCell ref="F241:F242"/>
    <mergeCell ref="F243:F246"/>
    <mergeCell ref="F247:F250"/>
    <mergeCell ref="F251:F254"/>
    <mergeCell ref="F255:F258"/>
    <mergeCell ref="F268:F269"/>
    <mergeCell ref="F271:F272"/>
    <mergeCell ref="F274:F275"/>
    <mergeCell ref="F280:F281"/>
    <mergeCell ref="F282:F283"/>
    <mergeCell ref="F284:F285"/>
    <mergeCell ref="F288:F290"/>
    <mergeCell ref="F299:F300"/>
    <mergeCell ref="F308:F309"/>
    <mergeCell ref="F310:F311"/>
    <mergeCell ref="F312:F313"/>
    <mergeCell ref="F314:F315"/>
    <mergeCell ref="F316:F317"/>
    <mergeCell ref="F318:F320"/>
    <mergeCell ref="F324:F325"/>
    <mergeCell ref="F326:F327"/>
    <mergeCell ref="F328:F329"/>
    <mergeCell ref="F330:F332"/>
    <mergeCell ref="F338:F339"/>
    <mergeCell ref="F342:F343"/>
    <mergeCell ref="F344:F345"/>
    <mergeCell ref="F350:F351"/>
    <mergeCell ref="F353:F354"/>
    <mergeCell ref="F365:F366"/>
    <mergeCell ref="F372:F373"/>
    <mergeCell ref="F374:F375"/>
    <mergeCell ref="F382:F383"/>
    <mergeCell ref="F384:F385"/>
    <mergeCell ref="F393:F394"/>
    <mergeCell ref="F395:F396"/>
    <mergeCell ref="G52:G53"/>
    <mergeCell ref="G54:G55"/>
    <mergeCell ref="G56:G57"/>
    <mergeCell ref="G58:G59"/>
    <mergeCell ref="G62:G63"/>
    <mergeCell ref="G66:G69"/>
    <mergeCell ref="G71:G72"/>
    <mergeCell ref="G74:G75"/>
    <mergeCell ref="G78:G79"/>
    <mergeCell ref="G81:G83"/>
    <mergeCell ref="G84:G86"/>
    <mergeCell ref="G93:G94"/>
    <mergeCell ref="G95:G96"/>
    <mergeCell ref="G97:G98"/>
    <mergeCell ref="G102:G103"/>
    <mergeCell ref="G106:G107"/>
    <mergeCell ref="G114:G115"/>
    <mergeCell ref="G122:G123"/>
    <mergeCell ref="G125:G126"/>
    <mergeCell ref="G130:G131"/>
    <mergeCell ref="G137:G138"/>
    <mergeCell ref="G140:G141"/>
    <mergeCell ref="G144:G145"/>
    <mergeCell ref="G156:G157"/>
    <mergeCell ref="G158:G159"/>
    <mergeCell ref="G160:G161"/>
    <mergeCell ref="G169:G171"/>
    <mergeCell ref="G172:G173"/>
    <mergeCell ref="G175:G176"/>
    <mergeCell ref="G178:G179"/>
    <mergeCell ref="G193:G194"/>
    <mergeCell ref="G195:G196"/>
    <mergeCell ref="G198:G199"/>
    <mergeCell ref="G201:G202"/>
    <mergeCell ref="G203:G204"/>
    <mergeCell ref="G206:G207"/>
    <mergeCell ref="G209:G210"/>
    <mergeCell ref="G211:G212"/>
    <mergeCell ref="G214:G215"/>
    <mergeCell ref="G216:G217"/>
    <mergeCell ref="G218:G220"/>
    <mergeCell ref="G221:G222"/>
    <mergeCell ref="G223:G224"/>
    <mergeCell ref="G225:G226"/>
    <mergeCell ref="G230:G231"/>
    <mergeCell ref="G232:G234"/>
    <mergeCell ref="G235:G237"/>
    <mergeCell ref="G238:G240"/>
    <mergeCell ref="G241:G242"/>
    <mergeCell ref="G243:G246"/>
    <mergeCell ref="G247:G250"/>
    <mergeCell ref="G251:G254"/>
    <mergeCell ref="G255:G258"/>
    <mergeCell ref="G268:G269"/>
    <mergeCell ref="G271:G272"/>
    <mergeCell ref="G274:G275"/>
    <mergeCell ref="G280:G281"/>
    <mergeCell ref="G282:G283"/>
    <mergeCell ref="G284:G285"/>
    <mergeCell ref="G288:G290"/>
    <mergeCell ref="G299:G300"/>
    <mergeCell ref="G308:G309"/>
    <mergeCell ref="G310:G311"/>
    <mergeCell ref="G312:G313"/>
    <mergeCell ref="G314:G315"/>
    <mergeCell ref="G316:G317"/>
    <mergeCell ref="G318:G320"/>
    <mergeCell ref="G324:G325"/>
    <mergeCell ref="G326:G327"/>
    <mergeCell ref="G328:G329"/>
    <mergeCell ref="G330:G332"/>
    <mergeCell ref="G338:G339"/>
    <mergeCell ref="G342:G343"/>
    <mergeCell ref="G344:G345"/>
    <mergeCell ref="G350:G351"/>
    <mergeCell ref="G353:G354"/>
    <mergeCell ref="G365:G366"/>
    <mergeCell ref="G372:G373"/>
    <mergeCell ref="G374:G375"/>
    <mergeCell ref="G382:G383"/>
    <mergeCell ref="G384:G385"/>
    <mergeCell ref="G393:G394"/>
    <mergeCell ref="G395:G396"/>
    <mergeCell ref="H52:H53"/>
    <mergeCell ref="H54:H55"/>
    <mergeCell ref="H56:H57"/>
    <mergeCell ref="H58:H59"/>
    <mergeCell ref="H62:H63"/>
    <mergeCell ref="H66:H69"/>
    <mergeCell ref="H71:H72"/>
    <mergeCell ref="H74:H75"/>
    <mergeCell ref="H78:H79"/>
    <mergeCell ref="H81:H83"/>
    <mergeCell ref="H84:H86"/>
    <mergeCell ref="H93:H94"/>
    <mergeCell ref="H95:H96"/>
    <mergeCell ref="H97:H98"/>
    <mergeCell ref="H102:H103"/>
    <mergeCell ref="H106:H107"/>
    <mergeCell ref="H114:H115"/>
    <mergeCell ref="H122:H123"/>
    <mergeCell ref="H125:H126"/>
    <mergeCell ref="H130:H131"/>
    <mergeCell ref="H137:H138"/>
    <mergeCell ref="H140:H141"/>
    <mergeCell ref="H144:H145"/>
    <mergeCell ref="H156:H157"/>
    <mergeCell ref="H158:H159"/>
    <mergeCell ref="H160:H161"/>
    <mergeCell ref="H169:H171"/>
    <mergeCell ref="H172:H173"/>
    <mergeCell ref="H175:H176"/>
    <mergeCell ref="H178:H179"/>
    <mergeCell ref="H193:H194"/>
    <mergeCell ref="H195:H196"/>
    <mergeCell ref="H198:H199"/>
    <mergeCell ref="H201:H202"/>
    <mergeCell ref="H203:H204"/>
    <mergeCell ref="H206:H207"/>
    <mergeCell ref="H209:H210"/>
    <mergeCell ref="H211:H212"/>
    <mergeCell ref="H214:H215"/>
    <mergeCell ref="H216:H217"/>
    <mergeCell ref="H218:H220"/>
    <mergeCell ref="H221:H222"/>
    <mergeCell ref="H223:H224"/>
    <mergeCell ref="H225:H226"/>
    <mergeCell ref="H230:H231"/>
    <mergeCell ref="H232:H234"/>
    <mergeCell ref="H235:H237"/>
    <mergeCell ref="H238:H240"/>
    <mergeCell ref="H241:H242"/>
    <mergeCell ref="H243:H246"/>
    <mergeCell ref="H247:H250"/>
    <mergeCell ref="H251:H254"/>
    <mergeCell ref="H255:H258"/>
    <mergeCell ref="H268:H269"/>
    <mergeCell ref="H271:H272"/>
    <mergeCell ref="H274:H275"/>
    <mergeCell ref="H280:H281"/>
    <mergeCell ref="H282:H283"/>
    <mergeCell ref="H284:H285"/>
    <mergeCell ref="H288:H290"/>
    <mergeCell ref="H299:H300"/>
    <mergeCell ref="H308:H309"/>
    <mergeCell ref="H310:H311"/>
    <mergeCell ref="H312:H313"/>
    <mergeCell ref="H314:H315"/>
    <mergeCell ref="H316:H317"/>
    <mergeCell ref="H318:H320"/>
    <mergeCell ref="H324:H325"/>
    <mergeCell ref="H326:H327"/>
    <mergeCell ref="H328:H329"/>
    <mergeCell ref="H330:H332"/>
    <mergeCell ref="H338:H339"/>
    <mergeCell ref="H342:H343"/>
    <mergeCell ref="H344:H345"/>
    <mergeCell ref="H350:H351"/>
    <mergeCell ref="H353:H354"/>
    <mergeCell ref="H365:H366"/>
    <mergeCell ref="H372:H373"/>
    <mergeCell ref="H374:H375"/>
    <mergeCell ref="H382:H383"/>
    <mergeCell ref="H384:H385"/>
    <mergeCell ref="H393:H394"/>
    <mergeCell ref="H395:H396"/>
    <mergeCell ref="I52:I53"/>
    <mergeCell ref="I54:I55"/>
    <mergeCell ref="I56:I57"/>
    <mergeCell ref="I58:I59"/>
    <mergeCell ref="I62:I63"/>
    <mergeCell ref="I66:I69"/>
    <mergeCell ref="I71:I72"/>
    <mergeCell ref="I74:I75"/>
    <mergeCell ref="I78:I79"/>
    <mergeCell ref="I81:I83"/>
    <mergeCell ref="I84:I86"/>
    <mergeCell ref="I93:I94"/>
    <mergeCell ref="I95:I96"/>
    <mergeCell ref="I97:I98"/>
    <mergeCell ref="I102:I103"/>
    <mergeCell ref="I106:I107"/>
    <mergeCell ref="I114:I115"/>
    <mergeCell ref="I122:I123"/>
    <mergeCell ref="I125:I126"/>
    <mergeCell ref="I130:I131"/>
    <mergeCell ref="I137:I138"/>
    <mergeCell ref="I140:I141"/>
    <mergeCell ref="I144:I145"/>
    <mergeCell ref="I156:I157"/>
    <mergeCell ref="I158:I159"/>
    <mergeCell ref="I160:I161"/>
    <mergeCell ref="I169:I171"/>
    <mergeCell ref="I172:I173"/>
    <mergeCell ref="I175:I176"/>
    <mergeCell ref="I178:I179"/>
    <mergeCell ref="I193:I194"/>
    <mergeCell ref="I195:I196"/>
    <mergeCell ref="I198:I199"/>
    <mergeCell ref="I201:I202"/>
    <mergeCell ref="I203:I204"/>
    <mergeCell ref="I206:I207"/>
    <mergeCell ref="I209:I210"/>
    <mergeCell ref="I211:I212"/>
    <mergeCell ref="I214:I215"/>
    <mergeCell ref="I216:I217"/>
    <mergeCell ref="I218:I220"/>
    <mergeCell ref="I221:I222"/>
    <mergeCell ref="I223:I224"/>
    <mergeCell ref="I225:I226"/>
    <mergeCell ref="I230:I231"/>
    <mergeCell ref="I232:I234"/>
    <mergeCell ref="I235:I237"/>
    <mergeCell ref="I238:I240"/>
    <mergeCell ref="I241:I242"/>
    <mergeCell ref="I243:I246"/>
    <mergeCell ref="I247:I250"/>
    <mergeCell ref="I251:I254"/>
    <mergeCell ref="I255:I258"/>
    <mergeCell ref="I268:I269"/>
    <mergeCell ref="I271:I272"/>
    <mergeCell ref="I274:I275"/>
    <mergeCell ref="I280:I281"/>
    <mergeCell ref="I282:I283"/>
    <mergeCell ref="I284:I285"/>
    <mergeCell ref="I288:I290"/>
    <mergeCell ref="I299:I300"/>
    <mergeCell ref="I308:I309"/>
    <mergeCell ref="I310:I311"/>
    <mergeCell ref="I312:I313"/>
    <mergeCell ref="I314:I315"/>
    <mergeCell ref="I316:I317"/>
    <mergeCell ref="I318:I320"/>
    <mergeCell ref="I324:I325"/>
    <mergeCell ref="I326:I327"/>
    <mergeCell ref="I328:I329"/>
    <mergeCell ref="I330:I332"/>
    <mergeCell ref="I338:I339"/>
    <mergeCell ref="I342:I343"/>
    <mergeCell ref="I344:I345"/>
    <mergeCell ref="I350:I351"/>
    <mergeCell ref="I353:I354"/>
    <mergeCell ref="I365:I366"/>
    <mergeCell ref="I372:I373"/>
    <mergeCell ref="I374:I375"/>
    <mergeCell ref="I382:I383"/>
    <mergeCell ref="I384:I385"/>
    <mergeCell ref="I393:I394"/>
    <mergeCell ref="I395:I396"/>
    <mergeCell ref="J52:J53"/>
    <mergeCell ref="J54:J55"/>
    <mergeCell ref="J56:J57"/>
    <mergeCell ref="J58:J59"/>
    <mergeCell ref="J62:J63"/>
    <mergeCell ref="J66:J69"/>
    <mergeCell ref="J71:J72"/>
    <mergeCell ref="J74:J75"/>
    <mergeCell ref="J78:J79"/>
    <mergeCell ref="J81:J83"/>
    <mergeCell ref="J84:J86"/>
    <mergeCell ref="J93:J94"/>
    <mergeCell ref="J95:J96"/>
    <mergeCell ref="J97:J98"/>
    <mergeCell ref="J102:J103"/>
    <mergeCell ref="J106:J107"/>
    <mergeCell ref="J114:J115"/>
    <mergeCell ref="J122:J123"/>
    <mergeCell ref="J125:J126"/>
    <mergeCell ref="J130:J131"/>
    <mergeCell ref="J137:J138"/>
    <mergeCell ref="J140:J141"/>
    <mergeCell ref="J144:J145"/>
    <mergeCell ref="J156:J157"/>
    <mergeCell ref="J158:J159"/>
    <mergeCell ref="J160:J161"/>
    <mergeCell ref="J169:J171"/>
    <mergeCell ref="J172:J173"/>
    <mergeCell ref="J175:J176"/>
    <mergeCell ref="J178:J179"/>
    <mergeCell ref="J193:J194"/>
    <mergeCell ref="J195:J196"/>
    <mergeCell ref="J198:J199"/>
    <mergeCell ref="J201:J202"/>
    <mergeCell ref="J203:J204"/>
    <mergeCell ref="J206:J207"/>
    <mergeCell ref="J209:J210"/>
    <mergeCell ref="J211:J212"/>
    <mergeCell ref="J214:J215"/>
    <mergeCell ref="J216:J217"/>
    <mergeCell ref="J218:J220"/>
    <mergeCell ref="J221:J222"/>
    <mergeCell ref="J223:J224"/>
    <mergeCell ref="J225:J226"/>
    <mergeCell ref="J230:J231"/>
    <mergeCell ref="J232:J234"/>
    <mergeCell ref="J235:J237"/>
    <mergeCell ref="J238:J240"/>
    <mergeCell ref="J241:J242"/>
    <mergeCell ref="J243:J246"/>
    <mergeCell ref="J247:J250"/>
    <mergeCell ref="J251:J254"/>
    <mergeCell ref="J255:J258"/>
    <mergeCell ref="J268:J269"/>
    <mergeCell ref="J271:J272"/>
    <mergeCell ref="J274:J275"/>
    <mergeCell ref="J280:J281"/>
    <mergeCell ref="J282:J283"/>
    <mergeCell ref="J284:J285"/>
    <mergeCell ref="J288:J290"/>
    <mergeCell ref="J299:J300"/>
    <mergeCell ref="J308:J309"/>
    <mergeCell ref="J310:J311"/>
    <mergeCell ref="J312:J313"/>
    <mergeCell ref="J314:J315"/>
    <mergeCell ref="J316:J317"/>
    <mergeCell ref="J318:J320"/>
    <mergeCell ref="J324:J325"/>
    <mergeCell ref="J326:J327"/>
    <mergeCell ref="J328:J329"/>
    <mergeCell ref="J330:J332"/>
    <mergeCell ref="J338:J339"/>
    <mergeCell ref="J342:J343"/>
    <mergeCell ref="J344:J345"/>
    <mergeCell ref="J350:J351"/>
    <mergeCell ref="J353:J354"/>
    <mergeCell ref="J365:J366"/>
    <mergeCell ref="J372:J373"/>
    <mergeCell ref="J374:J375"/>
    <mergeCell ref="J382:J383"/>
    <mergeCell ref="J384:J385"/>
    <mergeCell ref="J393:J394"/>
    <mergeCell ref="J395:J396"/>
    <mergeCell ref="K52:K53"/>
    <mergeCell ref="K54:K55"/>
    <mergeCell ref="K56:K57"/>
    <mergeCell ref="K58:K59"/>
    <mergeCell ref="K62:K63"/>
    <mergeCell ref="K66:K69"/>
    <mergeCell ref="K71:K72"/>
    <mergeCell ref="K74:K75"/>
    <mergeCell ref="K78:K79"/>
    <mergeCell ref="K81:K83"/>
    <mergeCell ref="K84:K86"/>
    <mergeCell ref="K93:K94"/>
    <mergeCell ref="K95:K96"/>
    <mergeCell ref="K97:K98"/>
    <mergeCell ref="K102:K103"/>
    <mergeCell ref="K106:K107"/>
    <mergeCell ref="K114:K115"/>
    <mergeCell ref="K122:K123"/>
    <mergeCell ref="K125:K126"/>
    <mergeCell ref="K130:K131"/>
    <mergeCell ref="K137:K138"/>
    <mergeCell ref="K140:K141"/>
    <mergeCell ref="K144:K145"/>
    <mergeCell ref="K156:K157"/>
    <mergeCell ref="K158:K159"/>
    <mergeCell ref="K160:K161"/>
    <mergeCell ref="K169:K171"/>
    <mergeCell ref="K172:K173"/>
    <mergeCell ref="K175:K176"/>
    <mergeCell ref="K178:K179"/>
    <mergeCell ref="K193:K194"/>
    <mergeCell ref="K195:K196"/>
    <mergeCell ref="K198:K199"/>
    <mergeCell ref="K201:K202"/>
    <mergeCell ref="K203:K204"/>
    <mergeCell ref="K206:K207"/>
    <mergeCell ref="K209:K210"/>
    <mergeCell ref="K211:K212"/>
    <mergeCell ref="K214:K215"/>
    <mergeCell ref="K216:K217"/>
    <mergeCell ref="K218:K220"/>
    <mergeCell ref="K221:K222"/>
    <mergeCell ref="K223:K224"/>
    <mergeCell ref="K225:K226"/>
    <mergeCell ref="K230:K231"/>
    <mergeCell ref="K232:K234"/>
    <mergeCell ref="K235:K237"/>
    <mergeCell ref="K238:K240"/>
    <mergeCell ref="K241:K242"/>
    <mergeCell ref="K243:K246"/>
    <mergeCell ref="K247:K250"/>
    <mergeCell ref="K251:K254"/>
    <mergeCell ref="K255:K258"/>
    <mergeCell ref="K268:K269"/>
    <mergeCell ref="K271:K272"/>
    <mergeCell ref="K274:K275"/>
    <mergeCell ref="K280:K281"/>
    <mergeCell ref="K282:K283"/>
    <mergeCell ref="K284:K285"/>
    <mergeCell ref="K288:K290"/>
    <mergeCell ref="K299:K300"/>
    <mergeCell ref="K308:K309"/>
    <mergeCell ref="K310:K311"/>
    <mergeCell ref="K312:K313"/>
    <mergeCell ref="K314:K315"/>
    <mergeCell ref="K316:K317"/>
    <mergeCell ref="K318:K320"/>
    <mergeCell ref="K338:K339"/>
    <mergeCell ref="K342:K343"/>
    <mergeCell ref="K344:K345"/>
    <mergeCell ref="K350:K351"/>
    <mergeCell ref="K353:K354"/>
    <mergeCell ref="K365:K366"/>
    <mergeCell ref="K372:K373"/>
    <mergeCell ref="K374:K375"/>
    <mergeCell ref="K382:K383"/>
    <mergeCell ref="K384:K385"/>
    <mergeCell ref="K393:K394"/>
    <mergeCell ref="K395:K396"/>
    <mergeCell ref="L19:L20"/>
    <mergeCell ref="L22:L23"/>
    <mergeCell ref="L26:L27"/>
    <mergeCell ref="L28:L29"/>
    <mergeCell ref="L30:L31"/>
    <mergeCell ref="L32:L33"/>
    <mergeCell ref="L34:L35"/>
    <mergeCell ref="L39:L40"/>
    <mergeCell ref="L45:L47"/>
    <mergeCell ref="L49:L50"/>
    <mergeCell ref="L54:L55"/>
    <mergeCell ref="L56:L57"/>
    <mergeCell ref="L58:L59"/>
    <mergeCell ref="L60:L61"/>
    <mergeCell ref="L64:L65"/>
    <mergeCell ref="L68:L71"/>
    <mergeCell ref="L73:L74"/>
    <mergeCell ref="L76:L77"/>
    <mergeCell ref="L80:L81"/>
    <mergeCell ref="L83:L85"/>
    <mergeCell ref="L86:L88"/>
    <mergeCell ref="L95:L96"/>
    <mergeCell ref="L97:L98"/>
    <mergeCell ref="L99:L100"/>
    <mergeCell ref="L104:L105"/>
    <mergeCell ref="L108:L109"/>
    <mergeCell ref="L116:L117"/>
    <mergeCell ref="L124:L125"/>
    <mergeCell ref="L127:L128"/>
    <mergeCell ref="L132:L133"/>
    <mergeCell ref="L139:L140"/>
    <mergeCell ref="L142:L143"/>
    <mergeCell ref="L146:L147"/>
    <mergeCell ref="L158:L159"/>
    <mergeCell ref="L160:L161"/>
    <mergeCell ref="L162:L163"/>
    <mergeCell ref="L171:L173"/>
    <mergeCell ref="L174:L175"/>
    <mergeCell ref="L177:L178"/>
    <mergeCell ref="L180:L181"/>
    <mergeCell ref="L195:L196"/>
    <mergeCell ref="L197:L198"/>
    <mergeCell ref="L200:L201"/>
    <mergeCell ref="L203:L204"/>
    <mergeCell ref="L205:L206"/>
    <mergeCell ref="L208:L209"/>
    <mergeCell ref="L211:L212"/>
    <mergeCell ref="L213:L214"/>
    <mergeCell ref="L216:L217"/>
    <mergeCell ref="L218:L219"/>
    <mergeCell ref="L220:L222"/>
    <mergeCell ref="L223:L224"/>
    <mergeCell ref="L225:L226"/>
    <mergeCell ref="L227:L228"/>
    <mergeCell ref="L232:L233"/>
    <mergeCell ref="L234:L236"/>
    <mergeCell ref="L237:L239"/>
    <mergeCell ref="L240:L242"/>
    <mergeCell ref="L243:L244"/>
    <mergeCell ref="L245:L248"/>
    <mergeCell ref="L249:L252"/>
    <mergeCell ref="L253:L256"/>
    <mergeCell ref="L257:L260"/>
    <mergeCell ref="L270:L271"/>
    <mergeCell ref="L273:L274"/>
    <mergeCell ref="L276:L277"/>
    <mergeCell ref="L282:L283"/>
    <mergeCell ref="L284:L285"/>
    <mergeCell ref="L286:L287"/>
    <mergeCell ref="L290:L292"/>
    <mergeCell ref="L301:L302"/>
    <mergeCell ref="L310:L311"/>
    <mergeCell ref="L312:L313"/>
    <mergeCell ref="L314:L315"/>
    <mergeCell ref="L316:L317"/>
    <mergeCell ref="L318:L319"/>
    <mergeCell ref="L320:L322"/>
    <mergeCell ref="L340:L341"/>
    <mergeCell ref="L344:L345"/>
    <mergeCell ref="L346:L347"/>
    <mergeCell ref="L352:L353"/>
    <mergeCell ref="L355:L356"/>
    <mergeCell ref="L367:L368"/>
    <mergeCell ref="L374:L375"/>
    <mergeCell ref="L376:L377"/>
    <mergeCell ref="L384:L385"/>
    <mergeCell ref="L386:L387"/>
    <mergeCell ref="L395:L396"/>
    <mergeCell ref="L397:L398"/>
    <mergeCell ref="M28:M29"/>
    <mergeCell ref="M30:M31"/>
    <mergeCell ref="M32:M33"/>
    <mergeCell ref="M34:M35"/>
    <mergeCell ref="M39:M40"/>
    <mergeCell ref="M45:M47"/>
    <mergeCell ref="M49:M50"/>
    <mergeCell ref="M54:M55"/>
    <mergeCell ref="M56:M57"/>
    <mergeCell ref="M58:M59"/>
    <mergeCell ref="M60:M61"/>
    <mergeCell ref="M64:M65"/>
    <mergeCell ref="M68:M71"/>
    <mergeCell ref="M73:M74"/>
    <mergeCell ref="M76:M77"/>
    <mergeCell ref="M80:M81"/>
    <mergeCell ref="M83:M85"/>
    <mergeCell ref="M86:M88"/>
    <mergeCell ref="M95:M96"/>
    <mergeCell ref="M97:M98"/>
    <mergeCell ref="M99:M100"/>
    <mergeCell ref="M104:M105"/>
    <mergeCell ref="M108:M109"/>
    <mergeCell ref="M116:M117"/>
    <mergeCell ref="M124:M125"/>
    <mergeCell ref="M127:M128"/>
    <mergeCell ref="M132:M133"/>
    <mergeCell ref="M139:M140"/>
    <mergeCell ref="M142:M143"/>
    <mergeCell ref="M146:M147"/>
    <mergeCell ref="M158:M159"/>
    <mergeCell ref="M160:M161"/>
    <mergeCell ref="M162:M163"/>
    <mergeCell ref="M171:M173"/>
    <mergeCell ref="M174:M175"/>
    <mergeCell ref="M177:M178"/>
    <mergeCell ref="M180:M181"/>
    <mergeCell ref="M195:M196"/>
    <mergeCell ref="M197:M198"/>
    <mergeCell ref="M200:M201"/>
    <mergeCell ref="M203:M204"/>
    <mergeCell ref="M205:M206"/>
    <mergeCell ref="M208:M209"/>
    <mergeCell ref="M211:M212"/>
    <mergeCell ref="M213:M214"/>
    <mergeCell ref="M216:M217"/>
    <mergeCell ref="M218:M219"/>
    <mergeCell ref="M220:M222"/>
    <mergeCell ref="M223:M224"/>
    <mergeCell ref="M225:M226"/>
    <mergeCell ref="M227:M228"/>
    <mergeCell ref="M232:M233"/>
    <mergeCell ref="M234:M236"/>
    <mergeCell ref="M237:M239"/>
    <mergeCell ref="M240:M242"/>
    <mergeCell ref="M243:M244"/>
    <mergeCell ref="M245:M248"/>
    <mergeCell ref="M249:M252"/>
    <mergeCell ref="M253:M256"/>
    <mergeCell ref="M257:M260"/>
    <mergeCell ref="M270:M271"/>
    <mergeCell ref="M273:M274"/>
    <mergeCell ref="M276:M277"/>
    <mergeCell ref="M282:M283"/>
    <mergeCell ref="M284:M285"/>
    <mergeCell ref="M286:M287"/>
    <mergeCell ref="M290:M292"/>
    <mergeCell ref="M301:M302"/>
    <mergeCell ref="M310:M311"/>
    <mergeCell ref="M312:M313"/>
    <mergeCell ref="M314:M315"/>
    <mergeCell ref="M316:M317"/>
    <mergeCell ref="M318:M319"/>
    <mergeCell ref="M320:M322"/>
    <mergeCell ref="M340:M341"/>
    <mergeCell ref="M344:M345"/>
    <mergeCell ref="M346:M347"/>
    <mergeCell ref="M352:M353"/>
    <mergeCell ref="M355:M356"/>
    <mergeCell ref="M367:M368"/>
    <mergeCell ref="M374:M375"/>
    <mergeCell ref="M376:M377"/>
    <mergeCell ref="M384:M385"/>
    <mergeCell ref="M386:M387"/>
    <mergeCell ref="M395:M396"/>
    <mergeCell ref="M397:M398"/>
    <mergeCell ref="N28:N29"/>
    <mergeCell ref="N30:N31"/>
    <mergeCell ref="N32:N33"/>
    <mergeCell ref="N34:N35"/>
    <mergeCell ref="N39:N40"/>
    <mergeCell ref="N45:N47"/>
    <mergeCell ref="N49:N50"/>
    <mergeCell ref="N54:N55"/>
    <mergeCell ref="N56:N57"/>
    <mergeCell ref="N58:N59"/>
    <mergeCell ref="N60:N61"/>
    <mergeCell ref="N64:N65"/>
    <mergeCell ref="N68:N71"/>
    <mergeCell ref="N73:N74"/>
    <mergeCell ref="N76:N77"/>
    <mergeCell ref="N80:N81"/>
    <mergeCell ref="N83:N85"/>
    <mergeCell ref="N86:N88"/>
    <mergeCell ref="N95:N96"/>
    <mergeCell ref="N97:N98"/>
    <mergeCell ref="N99:N100"/>
    <mergeCell ref="N104:N105"/>
    <mergeCell ref="N108:N109"/>
    <mergeCell ref="N116:N117"/>
    <mergeCell ref="N124:N125"/>
    <mergeCell ref="N127:N128"/>
    <mergeCell ref="N132:N133"/>
    <mergeCell ref="N139:N140"/>
    <mergeCell ref="N142:N143"/>
    <mergeCell ref="N146:N147"/>
    <mergeCell ref="N158:N159"/>
    <mergeCell ref="N160:N161"/>
    <mergeCell ref="N162:N163"/>
    <mergeCell ref="N171:N173"/>
    <mergeCell ref="N174:N175"/>
    <mergeCell ref="N177:N178"/>
    <mergeCell ref="N180:N181"/>
    <mergeCell ref="N195:N196"/>
    <mergeCell ref="N197:N198"/>
    <mergeCell ref="N200:N201"/>
    <mergeCell ref="N203:N204"/>
    <mergeCell ref="N205:N206"/>
    <mergeCell ref="N208:N209"/>
    <mergeCell ref="N211:N212"/>
    <mergeCell ref="N213:N214"/>
    <mergeCell ref="N216:N217"/>
    <mergeCell ref="N218:N219"/>
    <mergeCell ref="N220:N222"/>
    <mergeCell ref="N223:N224"/>
    <mergeCell ref="N225:N226"/>
    <mergeCell ref="N227:N228"/>
    <mergeCell ref="N232:N233"/>
    <mergeCell ref="N234:N236"/>
    <mergeCell ref="N237:N239"/>
    <mergeCell ref="N240:N242"/>
    <mergeCell ref="N243:N244"/>
    <mergeCell ref="N245:N248"/>
    <mergeCell ref="N249:N252"/>
    <mergeCell ref="N253:N256"/>
    <mergeCell ref="N257:N260"/>
    <mergeCell ref="N270:N271"/>
    <mergeCell ref="N273:N274"/>
    <mergeCell ref="N276:N277"/>
    <mergeCell ref="N282:N283"/>
    <mergeCell ref="N284:N285"/>
    <mergeCell ref="N286:N287"/>
    <mergeCell ref="N290:N292"/>
    <mergeCell ref="N301:N302"/>
    <mergeCell ref="N310:N311"/>
    <mergeCell ref="N312:N313"/>
    <mergeCell ref="N314:N315"/>
    <mergeCell ref="N316:N317"/>
    <mergeCell ref="N318:N319"/>
    <mergeCell ref="N320:N322"/>
    <mergeCell ref="N340:N341"/>
    <mergeCell ref="N344:N345"/>
    <mergeCell ref="N346:N347"/>
    <mergeCell ref="N352:N353"/>
    <mergeCell ref="N355:N356"/>
    <mergeCell ref="N367:N368"/>
    <mergeCell ref="N374:N375"/>
    <mergeCell ref="N376:N377"/>
    <mergeCell ref="N384:N385"/>
    <mergeCell ref="N386:N387"/>
    <mergeCell ref="N395:N396"/>
    <mergeCell ref="N397:N398"/>
    <mergeCell ref="O28:O29"/>
    <mergeCell ref="O30:O31"/>
    <mergeCell ref="O32:O33"/>
    <mergeCell ref="O34:O35"/>
    <mergeCell ref="O39:O40"/>
    <mergeCell ref="O46:O47"/>
    <mergeCell ref="O49:O50"/>
    <mergeCell ref="O54:O55"/>
    <mergeCell ref="O56:O57"/>
    <mergeCell ref="O58:O59"/>
    <mergeCell ref="O60:O61"/>
    <mergeCell ref="O64:O65"/>
    <mergeCell ref="O68:O71"/>
    <mergeCell ref="O73:O74"/>
    <mergeCell ref="O76:O77"/>
    <mergeCell ref="O80:O81"/>
    <mergeCell ref="O83:O85"/>
    <mergeCell ref="O86:O88"/>
    <mergeCell ref="O95:O96"/>
    <mergeCell ref="O97:O98"/>
    <mergeCell ref="O99:O100"/>
    <mergeCell ref="O104:O105"/>
    <mergeCell ref="O108:O109"/>
    <mergeCell ref="O116:O117"/>
    <mergeCell ref="O124:O125"/>
    <mergeCell ref="O127:O128"/>
    <mergeCell ref="O129:O130"/>
    <mergeCell ref="O132:O133"/>
    <mergeCell ref="O139:O140"/>
    <mergeCell ref="O142:O143"/>
    <mergeCell ref="O146:O147"/>
    <mergeCell ref="O158:O159"/>
    <mergeCell ref="O160:O161"/>
    <mergeCell ref="O162:O163"/>
    <mergeCell ref="O171:O173"/>
    <mergeCell ref="O174:O175"/>
    <mergeCell ref="O177:O178"/>
    <mergeCell ref="O180:O181"/>
    <mergeCell ref="O195:O196"/>
    <mergeCell ref="O197:O198"/>
    <mergeCell ref="O200:O201"/>
    <mergeCell ref="O203:O204"/>
    <mergeCell ref="O205:O206"/>
    <mergeCell ref="O208:O209"/>
    <mergeCell ref="O211:O212"/>
    <mergeCell ref="O213:O214"/>
    <mergeCell ref="O216:O217"/>
    <mergeCell ref="O218:O219"/>
    <mergeCell ref="O220:O222"/>
    <mergeCell ref="O223:O224"/>
    <mergeCell ref="O225:O226"/>
    <mergeCell ref="O227:O228"/>
    <mergeCell ref="O232:O233"/>
    <mergeCell ref="O234:O236"/>
    <mergeCell ref="O237:O239"/>
    <mergeCell ref="O240:O242"/>
    <mergeCell ref="O243:O244"/>
    <mergeCell ref="O245:O248"/>
    <mergeCell ref="O249:O252"/>
    <mergeCell ref="O253:O256"/>
    <mergeCell ref="O257:O260"/>
    <mergeCell ref="O270:O271"/>
    <mergeCell ref="O273:O274"/>
    <mergeCell ref="O282:O283"/>
    <mergeCell ref="O284:O285"/>
    <mergeCell ref="O286:O287"/>
    <mergeCell ref="O291:O293"/>
    <mergeCell ref="O301:O302"/>
    <mergeCell ref="O310:O311"/>
    <mergeCell ref="O312:O313"/>
    <mergeCell ref="O314:O315"/>
    <mergeCell ref="O316:O317"/>
    <mergeCell ref="O318:O319"/>
    <mergeCell ref="O321:O322"/>
    <mergeCell ref="O340:O341"/>
    <mergeCell ref="O344:O345"/>
    <mergeCell ref="O346:O347"/>
    <mergeCell ref="O352:O353"/>
    <mergeCell ref="O355:O356"/>
    <mergeCell ref="O367:O368"/>
    <mergeCell ref="O374:O375"/>
    <mergeCell ref="O376:O377"/>
    <mergeCell ref="O384:O385"/>
    <mergeCell ref="O386:O387"/>
    <mergeCell ref="O395:O396"/>
    <mergeCell ref="O397:O398"/>
    <mergeCell ref="P28:P29"/>
    <mergeCell ref="P30:P31"/>
    <mergeCell ref="P32:P33"/>
    <mergeCell ref="P34:P35"/>
    <mergeCell ref="P39:P40"/>
    <mergeCell ref="P46:P47"/>
    <mergeCell ref="P49:P50"/>
    <mergeCell ref="P54:P55"/>
    <mergeCell ref="P56:P57"/>
    <mergeCell ref="P58:P59"/>
    <mergeCell ref="P60:P61"/>
    <mergeCell ref="P64:P65"/>
    <mergeCell ref="P68:P71"/>
    <mergeCell ref="P73:P74"/>
    <mergeCell ref="P76:P77"/>
    <mergeCell ref="P80:P81"/>
    <mergeCell ref="P83:P85"/>
    <mergeCell ref="P86:P88"/>
    <mergeCell ref="P95:P96"/>
    <mergeCell ref="P97:P98"/>
    <mergeCell ref="P99:P100"/>
    <mergeCell ref="P104:P105"/>
    <mergeCell ref="P108:P109"/>
    <mergeCell ref="P116:P117"/>
    <mergeCell ref="P124:P125"/>
    <mergeCell ref="P127:P128"/>
    <mergeCell ref="P129:P130"/>
    <mergeCell ref="P132:P133"/>
    <mergeCell ref="P139:P140"/>
    <mergeCell ref="P142:P143"/>
    <mergeCell ref="P146:P147"/>
    <mergeCell ref="P158:P159"/>
    <mergeCell ref="P160:P161"/>
    <mergeCell ref="P162:P163"/>
    <mergeCell ref="P164:P165"/>
    <mergeCell ref="P171:P173"/>
    <mergeCell ref="P174:P175"/>
    <mergeCell ref="P177:P178"/>
    <mergeCell ref="P180:P181"/>
    <mergeCell ref="P195:P196"/>
    <mergeCell ref="P197:P198"/>
    <mergeCell ref="P200:P201"/>
    <mergeCell ref="P203:P206"/>
    <mergeCell ref="P208:P209"/>
    <mergeCell ref="P211:P212"/>
    <mergeCell ref="P213:P214"/>
    <mergeCell ref="P216:P217"/>
    <mergeCell ref="P218:P219"/>
    <mergeCell ref="P220:P222"/>
    <mergeCell ref="P223:P224"/>
    <mergeCell ref="P225:P226"/>
    <mergeCell ref="P227:P228"/>
    <mergeCell ref="P232:P233"/>
    <mergeCell ref="P234:P236"/>
    <mergeCell ref="P237:P239"/>
    <mergeCell ref="P240:P242"/>
    <mergeCell ref="P243:P244"/>
    <mergeCell ref="P245:P248"/>
    <mergeCell ref="P249:P252"/>
    <mergeCell ref="P253:P256"/>
    <mergeCell ref="P257:P260"/>
    <mergeCell ref="P270:P271"/>
    <mergeCell ref="P273:P274"/>
    <mergeCell ref="P282:P283"/>
    <mergeCell ref="P284:P285"/>
    <mergeCell ref="P286:P287"/>
    <mergeCell ref="P291:P293"/>
    <mergeCell ref="P301:P302"/>
    <mergeCell ref="P310:P311"/>
    <mergeCell ref="P312:P313"/>
    <mergeCell ref="P314:P315"/>
    <mergeCell ref="P316:P317"/>
    <mergeCell ref="P318:P319"/>
    <mergeCell ref="P321:P322"/>
    <mergeCell ref="P326:P327"/>
    <mergeCell ref="P328:P329"/>
    <mergeCell ref="P330:P331"/>
    <mergeCell ref="P332:P334"/>
    <mergeCell ref="P340:P341"/>
    <mergeCell ref="P344:P345"/>
    <mergeCell ref="P346:P347"/>
    <mergeCell ref="P352:P353"/>
    <mergeCell ref="P355:P356"/>
    <mergeCell ref="P367:P368"/>
    <mergeCell ref="P374:P375"/>
    <mergeCell ref="P376:P377"/>
    <mergeCell ref="P384:P385"/>
    <mergeCell ref="P386:P387"/>
    <mergeCell ref="P395:P396"/>
    <mergeCell ref="P397:P398"/>
    <mergeCell ref="Q28:Q29"/>
    <mergeCell ref="Q30:Q31"/>
    <mergeCell ref="Q32:Q33"/>
    <mergeCell ref="Q34:Q35"/>
    <mergeCell ref="Q39:Q40"/>
    <mergeCell ref="Q46:Q47"/>
    <mergeCell ref="Q49:Q50"/>
    <mergeCell ref="Q54:Q55"/>
    <mergeCell ref="Q56:Q57"/>
    <mergeCell ref="Q58:Q59"/>
    <mergeCell ref="Q60:Q61"/>
    <mergeCell ref="Q64:Q65"/>
    <mergeCell ref="Q68:Q71"/>
    <mergeCell ref="Q73:Q74"/>
    <mergeCell ref="Q76:Q77"/>
    <mergeCell ref="Q80:Q81"/>
    <mergeCell ref="Q83:Q85"/>
    <mergeCell ref="Q86:Q88"/>
    <mergeCell ref="Q95:Q96"/>
    <mergeCell ref="Q97:Q98"/>
    <mergeCell ref="Q99:Q100"/>
    <mergeCell ref="Q104:Q105"/>
    <mergeCell ref="Q108:Q109"/>
    <mergeCell ref="Q116:Q117"/>
    <mergeCell ref="Q124:Q125"/>
    <mergeCell ref="Q127:Q128"/>
    <mergeCell ref="Q129:Q130"/>
    <mergeCell ref="Q132:Q133"/>
    <mergeCell ref="Q139:Q140"/>
    <mergeCell ref="Q142:Q143"/>
    <mergeCell ref="Q146:Q147"/>
    <mergeCell ref="Q158:Q159"/>
    <mergeCell ref="Q160:Q161"/>
    <mergeCell ref="Q162:Q163"/>
    <mergeCell ref="Q164:Q165"/>
    <mergeCell ref="Q171:Q173"/>
    <mergeCell ref="Q174:Q175"/>
    <mergeCell ref="Q177:Q178"/>
    <mergeCell ref="Q180:Q181"/>
    <mergeCell ref="Q195:Q196"/>
    <mergeCell ref="Q197:Q198"/>
    <mergeCell ref="Q200:Q201"/>
    <mergeCell ref="Q203:Q206"/>
    <mergeCell ref="Q208:Q209"/>
    <mergeCell ref="Q211:Q212"/>
    <mergeCell ref="Q213:Q214"/>
    <mergeCell ref="Q216:Q217"/>
    <mergeCell ref="Q218:Q219"/>
    <mergeCell ref="Q220:Q222"/>
    <mergeCell ref="Q223:Q224"/>
    <mergeCell ref="Q225:Q226"/>
    <mergeCell ref="Q227:Q228"/>
    <mergeCell ref="Q232:Q233"/>
    <mergeCell ref="Q234:Q236"/>
    <mergeCell ref="Q237:Q239"/>
    <mergeCell ref="Q240:Q242"/>
    <mergeCell ref="Q243:Q244"/>
    <mergeCell ref="Q245:Q248"/>
    <mergeCell ref="Q249:Q252"/>
    <mergeCell ref="Q253:Q256"/>
    <mergeCell ref="Q257:Q260"/>
    <mergeCell ref="Q270:Q271"/>
    <mergeCell ref="Q273:Q274"/>
    <mergeCell ref="Q282:Q283"/>
    <mergeCell ref="Q284:Q285"/>
    <mergeCell ref="Q286:Q287"/>
    <mergeCell ref="Q291:Q293"/>
    <mergeCell ref="Q301:Q302"/>
    <mergeCell ref="Q310:Q311"/>
    <mergeCell ref="Q312:Q313"/>
    <mergeCell ref="Q314:Q315"/>
    <mergeCell ref="Q316:Q317"/>
    <mergeCell ref="Q318:Q319"/>
    <mergeCell ref="Q321:Q322"/>
    <mergeCell ref="Q326:Q327"/>
    <mergeCell ref="Q328:Q329"/>
    <mergeCell ref="Q330:Q331"/>
    <mergeCell ref="Q332:Q334"/>
    <mergeCell ref="Q340:Q341"/>
    <mergeCell ref="Q344:Q345"/>
    <mergeCell ref="Q346:Q347"/>
    <mergeCell ref="Q352:Q353"/>
    <mergeCell ref="Q355:Q356"/>
    <mergeCell ref="Q367:Q368"/>
    <mergeCell ref="Q374:Q375"/>
    <mergeCell ref="Q376:Q377"/>
    <mergeCell ref="Q384:Q385"/>
    <mergeCell ref="Q386:Q387"/>
    <mergeCell ref="Q395:Q396"/>
    <mergeCell ref="Q397:Q398"/>
    <mergeCell ref="R4:R7"/>
    <mergeCell ref="R8:R11"/>
    <mergeCell ref="R12:R13"/>
    <mergeCell ref="R15:R16"/>
    <mergeCell ref="R17:R18"/>
    <mergeCell ref="R20:R21"/>
    <mergeCell ref="R24:R25"/>
    <mergeCell ref="R26:R27"/>
    <mergeCell ref="R28:R29"/>
    <mergeCell ref="R30:R31"/>
    <mergeCell ref="R32:R33"/>
    <mergeCell ref="R37:R38"/>
    <mergeCell ref="R43:R45"/>
    <mergeCell ref="R47:R48"/>
    <mergeCell ref="R52:R53"/>
    <mergeCell ref="R54:R55"/>
    <mergeCell ref="R56:R57"/>
    <mergeCell ref="R58:R59"/>
    <mergeCell ref="R62:R63"/>
    <mergeCell ref="R66:R69"/>
    <mergeCell ref="R71:R72"/>
    <mergeCell ref="R74:R75"/>
    <mergeCell ref="R78:R79"/>
    <mergeCell ref="R81:R83"/>
    <mergeCell ref="R84:R86"/>
    <mergeCell ref="R93:R94"/>
    <mergeCell ref="R95:R96"/>
    <mergeCell ref="R97:R98"/>
    <mergeCell ref="R102:R103"/>
    <mergeCell ref="R106:R107"/>
    <mergeCell ref="R114:R115"/>
    <mergeCell ref="R122:R123"/>
    <mergeCell ref="R125:R126"/>
    <mergeCell ref="R130:R131"/>
    <mergeCell ref="R137:R138"/>
    <mergeCell ref="R140:R141"/>
    <mergeCell ref="R144:R145"/>
    <mergeCell ref="R156:R157"/>
    <mergeCell ref="R158:R159"/>
    <mergeCell ref="R160:R161"/>
    <mergeCell ref="R169:R171"/>
    <mergeCell ref="R172:R173"/>
    <mergeCell ref="R175:R176"/>
    <mergeCell ref="R178:R179"/>
    <mergeCell ref="R193:R194"/>
    <mergeCell ref="R195:R196"/>
    <mergeCell ref="R198:R199"/>
    <mergeCell ref="R201:R202"/>
    <mergeCell ref="R203:R204"/>
    <mergeCell ref="R206:R207"/>
    <mergeCell ref="R209:R210"/>
    <mergeCell ref="R211:R212"/>
    <mergeCell ref="R214:R215"/>
    <mergeCell ref="R216:R217"/>
    <mergeCell ref="R218:R220"/>
    <mergeCell ref="R221:R222"/>
    <mergeCell ref="R223:R224"/>
    <mergeCell ref="R225:R226"/>
    <mergeCell ref="R230:R231"/>
    <mergeCell ref="R232:R234"/>
    <mergeCell ref="R235:R237"/>
    <mergeCell ref="R238:R240"/>
    <mergeCell ref="R241:R242"/>
    <mergeCell ref="R243:R246"/>
    <mergeCell ref="R247:R250"/>
    <mergeCell ref="R251:R254"/>
    <mergeCell ref="R255:R258"/>
    <mergeCell ref="R268:R269"/>
    <mergeCell ref="R271:R272"/>
    <mergeCell ref="R274:R275"/>
    <mergeCell ref="R280:R281"/>
    <mergeCell ref="R282:R283"/>
    <mergeCell ref="R284:R285"/>
    <mergeCell ref="R288:R290"/>
    <mergeCell ref="R299:R300"/>
    <mergeCell ref="R308:R309"/>
    <mergeCell ref="R310:R311"/>
    <mergeCell ref="R312:R313"/>
    <mergeCell ref="R314:R315"/>
    <mergeCell ref="R316:R317"/>
    <mergeCell ref="R318:R320"/>
    <mergeCell ref="R338:R339"/>
    <mergeCell ref="R342:R343"/>
    <mergeCell ref="R344:R345"/>
    <mergeCell ref="R350:R351"/>
    <mergeCell ref="R353:R354"/>
    <mergeCell ref="R365:R366"/>
    <mergeCell ref="R372:R373"/>
    <mergeCell ref="R374:R375"/>
    <mergeCell ref="R382:R383"/>
    <mergeCell ref="R384:R385"/>
    <mergeCell ref="R393:R394"/>
    <mergeCell ref="R395:R396"/>
    <mergeCell ref="S4:S7"/>
    <mergeCell ref="S8:S11"/>
    <mergeCell ref="S12:S13"/>
    <mergeCell ref="S15:S16"/>
    <mergeCell ref="S17:S18"/>
    <mergeCell ref="S20:S21"/>
    <mergeCell ref="S24:S25"/>
    <mergeCell ref="S26:S27"/>
    <mergeCell ref="S28:S29"/>
    <mergeCell ref="S30:S31"/>
    <mergeCell ref="S32:S33"/>
    <mergeCell ref="S37:S38"/>
    <mergeCell ref="S43:S45"/>
    <mergeCell ref="S47:S48"/>
    <mergeCell ref="S52:S53"/>
    <mergeCell ref="S54:S55"/>
    <mergeCell ref="S56:S57"/>
    <mergeCell ref="S58:S59"/>
    <mergeCell ref="S62:S63"/>
    <mergeCell ref="S66:S69"/>
    <mergeCell ref="S71:S72"/>
    <mergeCell ref="S74:S75"/>
    <mergeCell ref="S78:S79"/>
    <mergeCell ref="S81:S83"/>
    <mergeCell ref="S84:S86"/>
    <mergeCell ref="S93:S94"/>
    <mergeCell ref="S95:S96"/>
    <mergeCell ref="S97:S98"/>
    <mergeCell ref="S102:S103"/>
    <mergeCell ref="S106:S107"/>
    <mergeCell ref="S114:S115"/>
    <mergeCell ref="S122:S123"/>
    <mergeCell ref="S125:S126"/>
    <mergeCell ref="S130:S131"/>
    <mergeCell ref="S137:S138"/>
    <mergeCell ref="S140:S141"/>
    <mergeCell ref="S144:S145"/>
    <mergeCell ref="S156:S157"/>
    <mergeCell ref="S158:S159"/>
    <mergeCell ref="S160:S161"/>
    <mergeCell ref="S169:S171"/>
    <mergeCell ref="S172:S173"/>
    <mergeCell ref="S175:S176"/>
    <mergeCell ref="S178:S179"/>
    <mergeCell ref="S195:S196"/>
    <mergeCell ref="S198:S199"/>
    <mergeCell ref="S201:S202"/>
    <mergeCell ref="S203:S204"/>
    <mergeCell ref="S206:S207"/>
    <mergeCell ref="S209:S210"/>
    <mergeCell ref="S211:S212"/>
    <mergeCell ref="S214:S215"/>
    <mergeCell ref="S216:S217"/>
    <mergeCell ref="S218:S220"/>
    <mergeCell ref="S221:S222"/>
    <mergeCell ref="S223:S224"/>
    <mergeCell ref="S225:S226"/>
    <mergeCell ref="S230:S231"/>
    <mergeCell ref="S232:S234"/>
    <mergeCell ref="S235:S237"/>
    <mergeCell ref="S238:S240"/>
    <mergeCell ref="S241:S242"/>
    <mergeCell ref="S243:S246"/>
    <mergeCell ref="S247:S250"/>
    <mergeCell ref="S251:S254"/>
    <mergeCell ref="S255:S258"/>
    <mergeCell ref="S268:S269"/>
    <mergeCell ref="S271:S272"/>
    <mergeCell ref="S274:S275"/>
    <mergeCell ref="S280:S281"/>
    <mergeCell ref="S282:S283"/>
    <mergeCell ref="S284:S285"/>
    <mergeCell ref="S288:S290"/>
    <mergeCell ref="S299:S300"/>
    <mergeCell ref="S308:S309"/>
    <mergeCell ref="S310:S311"/>
    <mergeCell ref="S312:S313"/>
    <mergeCell ref="S314:S315"/>
    <mergeCell ref="S316:S317"/>
    <mergeCell ref="S318:S320"/>
    <mergeCell ref="S338:S339"/>
    <mergeCell ref="S342:S343"/>
    <mergeCell ref="S344:S345"/>
    <mergeCell ref="S350:S351"/>
    <mergeCell ref="S353:S354"/>
    <mergeCell ref="S365:S366"/>
    <mergeCell ref="S372:S373"/>
    <mergeCell ref="S374:S375"/>
    <mergeCell ref="S382:S383"/>
    <mergeCell ref="S384:S385"/>
    <mergeCell ref="S393:S394"/>
    <mergeCell ref="S395:S396"/>
    <mergeCell ref="T127:T128"/>
    <mergeCell ref="T162:T163"/>
    <mergeCell ref="T289:T290"/>
    <mergeCell ref="T324:T325"/>
    <mergeCell ref="T326:T327"/>
    <mergeCell ref="T328:T329"/>
    <mergeCell ref="T330:T332"/>
    <mergeCell ref="U193:U194"/>
    <mergeCell ref="U289:U290"/>
    <mergeCell ref="V4:V7"/>
    <mergeCell ref="V8:V11"/>
    <mergeCell ref="V12:V13"/>
    <mergeCell ref="V15:V16"/>
    <mergeCell ref="V17:V18"/>
    <mergeCell ref="V20:V21"/>
    <mergeCell ref="V24:V25"/>
    <mergeCell ref="V26:V27"/>
    <mergeCell ref="V28:V29"/>
    <mergeCell ref="V30:V31"/>
    <mergeCell ref="V32:V33"/>
    <mergeCell ref="V37:V38"/>
    <mergeCell ref="V44:V45"/>
    <mergeCell ref="V47:V48"/>
    <mergeCell ref="V52:V53"/>
    <mergeCell ref="V54:V55"/>
    <mergeCell ref="V56:V57"/>
    <mergeCell ref="V58:V59"/>
    <mergeCell ref="V62:V63"/>
    <mergeCell ref="V66:V69"/>
    <mergeCell ref="V71:V72"/>
    <mergeCell ref="V74:V75"/>
    <mergeCell ref="V78:V79"/>
    <mergeCell ref="V81:V86"/>
    <mergeCell ref="V93:V94"/>
    <mergeCell ref="V95:V96"/>
    <mergeCell ref="V97:V98"/>
    <mergeCell ref="V102:V103"/>
    <mergeCell ref="V106:V107"/>
    <mergeCell ref="V114:V115"/>
    <mergeCell ref="V118:V120"/>
    <mergeCell ref="V122:V123"/>
    <mergeCell ref="V125:V126"/>
    <mergeCell ref="V127:V128"/>
    <mergeCell ref="V130:V131"/>
    <mergeCell ref="V135:V136"/>
    <mergeCell ref="V137:V138"/>
    <mergeCell ref="V140:V141"/>
    <mergeCell ref="V144:V145"/>
    <mergeCell ref="V156:V157"/>
    <mergeCell ref="V158:V159"/>
    <mergeCell ref="V160:V161"/>
    <mergeCell ref="V162:V163"/>
    <mergeCell ref="V166:V167"/>
    <mergeCell ref="V169:V171"/>
    <mergeCell ref="V172:V173"/>
    <mergeCell ref="V175:V176"/>
    <mergeCell ref="V178:V179"/>
    <mergeCell ref="V180:V181"/>
    <mergeCell ref="V193:V194"/>
    <mergeCell ref="V195:V196"/>
    <mergeCell ref="V198:V199"/>
    <mergeCell ref="V201:V204"/>
    <mergeCell ref="V206:V207"/>
    <mergeCell ref="V209:V210"/>
    <mergeCell ref="V211:V212"/>
    <mergeCell ref="V214:V215"/>
    <mergeCell ref="V216:V217"/>
    <mergeCell ref="V218:V220"/>
    <mergeCell ref="V221:V222"/>
    <mergeCell ref="V223:V224"/>
    <mergeCell ref="V225:V226"/>
    <mergeCell ref="V230:V231"/>
    <mergeCell ref="V232:V240"/>
    <mergeCell ref="V241:V242"/>
    <mergeCell ref="V243:V258"/>
    <mergeCell ref="V268:V269"/>
    <mergeCell ref="V271:V272"/>
    <mergeCell ref="V274:V275"/>
    <mergeCell ref="V280:V281"/>
    <mergeCell ref="V282:V283"/>
    <mergeCell ref="V284:V285"/>
    <mergeCell ref="V288:V290"/>
    <mergeCell ref="V299:V300"/>
    <mergeCell ref="V308:V309"/>
    <mergeCell ref="V310:V311"/>
    <mergeCell ref="V312:V313"/>
    <mergeCell ref="V314:V315"/>
    <mergeCell ref="V316:V317"/>
    <mergeCell ref="V318:V320"/>
    <mergeCell ref="V324:V325"/>
    <mergeCell ref="V326:V327"/>
    <mergeCell ref="V328:V329"/>
    <mergeCell ref="V330:V332"/>
    <mergeCell ref="V338:V339"/>
    <mergeCell ref="V342:V343"/>
    <mergeCell ref="V344:V345"/>
    <mergeCell ref="V350:V351"/>
    <mergeCell ref="V353:V354"/>
    <mergeCell ref="V365:V366"/>
    <mergeCell ref="V372:V373"/>
    <mergeCell ref="V374:V375"/>
    <mergeCell ref="V382:V383"/>
    <mergeCell ref="V384:V385"/>
    <mergeCell ref="V393:V394"/>
    <mergeCell ref="V395:V39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O52"/>
  <sheetViews>
    <sheetView showGridLines="0" workbookViewId="0">
      <selection activeCell="A1" sqref="A1"/>
    </sheetView>
  </sheetViews>
  <sheetFormatPr defaultColWidth="12.6296296296296" defaultRowHeight="15.75" customHeight="1"/>
  <cols>
    <col min="2" max="2" width="19.8796296296296" customWidth="1"/>
    <col min="3" max="3" width="10.8796296296296" customWidth="1"/>
    <col min="4" max="4" width="20.75" customWidth="1"/>
    <col min="5" max="5" width="14.75" customWidth="1"/>
    <col min="8" max="8" width="9.37962962962963" customWidth="1"/>
  </cols>
  <sheetData>
    <row r="1" customHeight="1" spans="1:2">
      <c r="A1" s="86"/>
      <c r="B1" s="58" t="s">
        <v>197</v>
      </c>
    </row>
    <row r="2" customHeight="1" spans="1:1">
      <c r="A2" s="87"/>
    </row>
    <row r="3" customHeight="1" spans="1:1">
      <c r="A3" s="87" t="s">
        <v>198</v>
      </c>
    </row>
    <row r="4" customHeight="1" spans="1:11">
      <c r="A4" s="88" t="s">
        <v>188</v>
      </c>
      <c r="B4" s="89" t="s">
        <v>13</v>
      </c>
      <c r="C4" s="89" t="s">
        <v>189</v>
      </c>
      <c r="D4" s="88" t="s">
        <v>190</v>
      </c>
      <c r="E4" s="90" t="s">
        <v>199</v>
      </c>
      <c r="F4" s="90" t="s">
        <v>191</v>
      </c>
      <c r="G4" s="91" t="s">
        <v>192</v>
      </c>
      <c r="H4" s="92"/>
      <c r="I4" s="92"/>
      <c r="J4" s="92"/>
      <c r="K4" s="92"/>
    </row>
    <row r="5" customHeight="1" spans="1:11">
      <c r="A5" s="93">
        <v>2470</v>
      </c>
      <c r="B5" s="94" t="s">
        <v>16</v>
      </c>
      <c r="C5" s="94">
        <v>417</v>
      </c>
      <c r="D5" s="95">
        <v>45931</v>
      </c>
      <c r="E5" s="96" t="s">
        <v>70</v>
      </c>
      <c r="F5" s="94">
        <f>756+300</f>
        <v>1056</v>
      </c>
      <c r="G5" s="97">
        <f t="shared" ref="G5:G11" si="0">C5-F5</f>
        <v>-639</v>
      </c>
      <c r="H5" s="98"/>
      <c r="J5" s="25"/>
      <c r="K5" s="103"/>
    </row>
    <row r="6" customHeight="1" spans="1:8">
      <c r="A6" s="76">
        <v>2550</v>
      </c>
      <c r="B6" s="99" t="s">
        <v>58</v>
      </c>
      <c r="C6" s="99">
        <v>80</v>
      </c>
      <c r="D6" s="100"/>
      <c r="E6" s="100"/>
      <c r="F6" s="99">
        <v>63</v>
      </c>
      <c r="G6" s="84">
        <f t="shared" si="0"/>
        <v>17</v>
      </c>
      <c r="H6" s="98"/>
    </row>
    <row r="7" customHeight="1" spans="1:8">
      <c r="A7" s="76">
        <v>2731</v>
      </c>
      <c r="B7" s="99" t="s">
        <v>18</v>
      </c>
      <c r="C7" s="99">
        <v>11</v>
      </c>
      <c r="D7" s="100"/>
      <c r="E7" s="100"/>
      <c r="F7" s="99">
        <v>41</v>
      </c>
      <c r="G7" s="101">
        <f t="shared" si="0"/>
        <v>-30</v>
      </c>
      <c r="H7" s="102" t="s">
        <v>200</v>
      </c>
    </row>
    <row r="8" customHeight="1" spans="1:13">
      <c r="A8" s="41">
        <v>2959</v>
      </c>
      <c r="B8" s="99" t="s">
        <v>24</v>
      </c>
      <c r="C8" s="99">
        <v>48</v>
      </c>
      <c r="D8" s="100"/>
      <c r="E8" s="100"/>
      <c r="F8" s="99">
        <v>47</v>
      </c>
      <c r="G8" s="84">
        <f t="shared" si="0"/>
        <v>1</v>
      </c>
      <c r="H8" s="98"/>
      <c r="I8" s="116"/>
      <c r="J8" s="58"/>
      <c r="K8" s="117"/>
      <c r="L8" s="118"/>
      <c r="M8" s="118"/>
    </row>
    <row r="9" customHeight="1" spans="1:11">
      <c r="A9" s="41">
        <v>2953</v>
      </c>
      <c r="B9" s="99" t="s">
        <v>196</v>
      </c>
      <c r="C9" s="99">
        <v>137</v>
      </c>
      <c r="D9" s="100"/>
      <c r="E9" s="100"/>
      <c r="F9" s="99">
        <v>132</v>
      </c>
      <c r="G9" s="84">
        <f t="shared" si="0"/>
        <v>5</v>
      </c>
      <c r="H9" s="98"/>
      <c r="I9" s="98"/>
      <c r="J9" s="25"/>
      <c r="K9" s="103"/>
    </row>
    <row r="10" customHeight="1" spans="1:12">
      <c r="A10" s="41">
        <v>2946</v>
      </c>
      <c r="B10" s="99" t="s">
        <v>91</v>
      </c>
      <c r="C10" s="99">
        <v>265</v>
      </c>
      <c r="D10" s="100"/>
      <c r="E10" s="100"/>
      <c r="F10" s="99">
        <v>258</v>
      </c>
      <c r="G10" s="84">
        <f t="shared" si="0"/>
        <v>7</v>
      </c>
      <c r="H10" s="103"/>
      <c r="I10" s="103"/>
      <c r="J10" s="103"/>
      <c r="K10" s="103"/>
      <c r="L10" s="103"/>
    </row>
    <row r="11" customHeight="1" spans="1:8">
      <c r="A11" s="41">
        <v>3006</v>
      </c>
      <c r="B11" s="99" t="s">
        <v>25</v>
      </c>
      <c r="C11" s="99">
        <v>51</v>
      </c>
      <c r="D11" s="100"/>
      <c r="E11" s="100"/>
      <c r="F11" s="99">
        <v>28</v>
      </c>
      <c r="G11" s="84">
        <f t="shared" si="0"/>
        <v>23</v>
      </c>
      <c r="H11" s="102" t="s">
        <v>200</v>
      </c>
    </row>
    <row r="12" customHeight="1" spans="1:12">
      <c r="A12" s="41">
        <v>3007</v>
      </c>
      <c r="B12" s="99" t="s">
        <v>27</v>
      </c>
      <c r="C12" s="86"/>
      <c r="D12" s="100"/>
      <c r="E12" s="100"/>
      <c r="F12" s="86"/>
      <c r="G12" s="104"/>
      <c r="H12" s="103"/>
      <c r="I12" s="103"/>
      <c r="J12" s="103"/>
      <c r="K12" s="103"/>
      <c r="L12" s="103"/>
    </row>
    <row r="13" customHeight="1" spans="1:12">
      <c r="A13" s="41">
        <v>3008</v>
      </c>
      <c r="B13" s="99" t="s">
        <v>28</v>
      </c>
      <c r="C13" s="99">
        <v>6</v>
      </c>
      <c r="D13" s="100"/>
      <c r="E13" s="100"/>
      <c r="F13" s="99">
        <v>3</v>
      </c>
      <c r="G13" s="84">
        <f>C13-F13</f>
        <v>3</v>
      </c>
      <c r="H13" s="103"/>
      <c r="I13" s="103"/>
      <c r="J13" s="103"/>
      <c r="K13" s="103"/>
      <c r="L13" s="103"/>
    </row>
    <row r="14" customHeight="1" spans="1:12">
      <c r="A14" s="41">
        <v>3009</v>
      </c>
      <c r="B14" s="99" t="s">
        <v>29</v>
      </c>
      <c r="C14" s="86"/>
      <c r="D14" s="100"/>
      <c r="E14" s="100"/>
      <c r="F14" s="86"/>
      <c r="G14" s="104"/>
      <c r="H14" s="103"/>
      <c r="I14" s="103"/>
      <c r="J14" s="103"/>
      <c r="K14" s="103"/>
      <c r="L14" s="103"/>
    </row>
    <row r="15" customHeight="1" spans="1:8">
      <c r="A15" s="41">
        <v>3010</v>
      </c>
      <c r="B15" s="99" t="s">
        <v>186</v>
      </c>
      <c r="C15" s="99">
        <v>6</v>
      </c>
      <c r="D15" s="100"/>
      <c r="E15" s="100"/>
      <c r="F15" s="99">
        <v>4</v>
      </c>
      <c r="G15" s="84">
        <f t="shared" ref="G15:G21" si="1">C15-F15</f>
        <v>2</v>
      </c>
      <c r="H15" s="102" t="s">
        <v>200</v>
      </c>
    </row>
    <row r="16" customHeight="1" spans="1:12">
      <c r="A16" s="72">
        <v>3049</v>
      </c>
      <c r="B16" s="105" t="s">
        <v>99</v>
      </c>
      <c r="C16" s="105">
        <v>356</v>
      </c>
      <c r="D16" s="106"/>
      <c r="E16" s="106"/>
      <c r="F16" s="105">
        <v>297</v>
      </c>
      <c r="G16" s="107">
        <f t="shared" si="1"/>
        <v>59</v>
      </c>
      <c r="H16" s="103"/>
      <c r="I16" s="103"/>
      <c r="J16" s="103"/>
      <c r="K16" s="103"/>
      <c r="L16" s="103"/>
    </row>
    <row r="17" customHeight="1" spans="1:12">
      <c r="A17" s="93">
        <v>2470</v>
      </c>
      <c r="B17" s="94" t="s">
        <v>16</v>
      </c>
      <c r="C17" s="99">
        <v>417</v>
      </c>
      <c r="D17" s="95">
        <v>45901</v>
      </c>
      <c r="E17" s="96" t="s">
        <v>66</v>
      </c>
      <c r="F17" s="94">
        <f>796+277</f>
        <v>1073</v>
      </c>
      <c r="G17" s="108">
        <f t="shared" si="1"/>
        <v>-656</v>
      </c>
      <c r="H17" s="103"/>
      <c r="I17" s="103"/>
      <c r="J17" s="103"/>
      <c r="K17" s="103"/>
      <c r="L17" s="103"/>
    </row>
    <row r="18" customHeight="1" spans="1:12">
      <c r="A18" s="76">
        <v>2550</v>
      </c>
      <c r="B18" s="99" t="s">
        <v>58</v>
      </c>
      <c r="C18" s="99">
        <v>80</v>
      </c>
      <c r="D18" s="100"/>
      <c r="E18" s="100"/>
      <c r="F18" s="99">
        <v>71</v>
      </c>
      <c r="G18" s="84">
        <f t="shared" si="1"/>
        <v>9</v>
      </c>
      <c r="H18" s="103"/>
      <c r="I18" s="103"/>
      <c r="J18" s="103"/>
      <c r="K18" s="103"/>
      <c r="L18" s="103"/>
    </row>
    <row r="19" customHeight="1" spans="1:12">
      <c r="A19" s="76">
        <v>2731</v>
      </c>
      <c r="B19" s="99" t="s">
        <v>18</v>
      </c>
      <c r="C19" s="99">
        <v>11</v>
      </c>
      <c r="D19" s="100"/>
      <c r="E19" s="100"/>
      <c r="F19" s="99">
        <v>32</v>
      </c>
      <c r="G19" s="84">
        <f t="shared" si="1"/>
        <v>-21</v>
      </c>
      <c r="H19" s="103"/>
      <c r="I19" s="103"/>
      <c r="J19" s="103"/>
      <c r="K19" s="103"/>
      <c r="L19" s="103"/>
    </row>
    <row r="20" customHeight="1" spans="1:12">
      <c r="A20" s="41">
        <v>2959</v>
      </c>
      <c r="B20" s="99" t="s">
        <v>24</v>
      </c>
      <c r="C20" s="99">
        <v>48</v>
      </c>
      <c r="D20" s="100"/>
      <c r="E20" s="100"/>
      <c r="F20" s="99">
        <v>47</v>
      </c>
      <c r="G20" s="84">
        <f t="shared" si="1"/>
        <v>1</v>
      </c>
      <c r="H20" s="103"/>
      <c r="I20" s="103"/>
      <c r="J20" s="103"/>
      <c r="K20" s="103"/>
      <c r="L20" s="103"/>
    </row>
    <row r="21" customHeight="1" spans="1:12">
      <c r="A21" s="41">
        <v>2953</v>
      </c>
      <c r="B21" s="99" t="s">
        <v>196</v>
      </c>
      <c r="C21" s="99">
        <v>137</v>
      </c>
      <c r="D21" s="100"/>
      <c r="E21" s="100"/>
      <c r="F21" s="99">
        <v>132</v>
      </c>
      <c r="G21" s="84">
        <f t="shared" si="1"/>
        <v>5</v>
      </c>
      <c r="H21" s="103"/>
      <c r="I21" s="103"/>
      <c r="J21" s="103"/>
      <c r="K21" s="103"/>
      <c r="L21" s="103"/>
    </row>
    <row r="22" customHeight="1" spans="1:12">
      <c r="A22" s="41">
        <v>2946</v>
      </c>
      <c r="B22" s="99" t="s">
        <v>91</v>
      </c>
      <c r="C22" s="86"/>
      <c r="D22" s="100"/>
      <c r="E22" s="100"/>
      <c r="F22" s="86"/>
      <c r="G22" s="104"/>
      <c r="H22" s="103"/>
      <c r="I22" s="103"/>
      <c r="J22" s="103"/>
      <c r="K22" s="103"/>
      <c r="L22" s="103"/>
    </row>
    <row r="23" customHeight="1" spans="1:12">
      <c r="A23" s="41">
        <v>3006</v>
      </c>
      <c r="B23" s="99" t="s">
        <v>25</v>
      </c>
      <c r="C23" s="99">
        <v>51</v>
      </c>
      <c r="D23" s="100"/>
      <c r="E23" s="100"/>
      <c r="F23" s="99">
        <v>26</v>
      </c>
      <c r="G23" s="84">
        <f t="shared" ref="G23:G28" si="2">C23-F23</f>
        <v>25</v>
      </c>
      <c r="H23" s="103"/>
      <c r="I23" s="103"/>
      <c r="J23" s="103"/>
      <c r="K23" s="103"/>
      <c r="L23" s="103"/>
    </row>
    <row r="24" customHeight="1" spans="1:12">
      <c r="A24" s="41">
        <v>3007</v>
      </c>
      <c r="B24" s="99" t="s">
        <v>27</v>
      </c>
      <c r="C24" s="99">
        <v>37</v>
      </c>
      <c r="D24" s="100"/>
      <c r="E24" s="100"/>
      <c r="F24" s="99">
        <v>28</v>
      </c>
      <c r="G24" s="84">
        <f t="shared" si="2"/>
        <v>9</v>
      </c>
      <c r="H24" s="103"/>
      <c r="I24" s="103"/>
      <c r="J24" s="103"/>
      <c r="K24" s="103"/>
      <c r="L24" s="103"/>
    </row>
    <row r="25" customHeight="1" spans="1:12">
      <c r="A25" s="41">
        <v>3008</v>
      </c>
      <c r="B25" s="99" t="s">
        <v>28</v>
      </c>
      <c r="C25" s="99">
        <v>6</v>
      </c>
      <c r="D25" s="100"/>
      <c r="E25" s="100"/>
      <c r="F25" s="99">
        <v>3</v>
      </c>
      <c r="G25" s="84">
        <f t="shared" si="2"/>
        <v>3</v>
      </c>
      <c r="H25" s="103"/>
      <c r="I25" s="103"/>
      <c r="J25" s="103"/>
      <c r="K25" s="103"/>
      <c r="L25" s="103"/>
    </row>
    <row r="26" customHeight="1" spans="1:8">
      <c r="A26" s="41">
        <v>3009</v>
      </c>
      <c r="B26" s="99" t="s">
        <v>29</v>
      </c>
      <c r="C26" s="99">
        <v>30</v>
      </c>
      <c r="D26" s="100"/>
      <c r="E26" s="100"/>
      <c r="F26" s="99">
        <v>29</v>
      </c>
      <c r="G26" s="84">
        <f t="shared" si="2"/>
        <v>1</v>
      </c>
      <c r="H26" s="102" t="s">
        <v>200</v>
      </c>
    </row>
    <row r="27" customHeight="1" spans="1:12">
      <c r="A27" s="41">
        <v>3010</v>
      </c>
      <c r="B27" s="99" t="s">
        <v>186</v>
      </c>
      <c r="C27" s="99">
        <v>6</v>
      </c>
      <c r="D27" s="100"/>
      <c r="E27" s="100"/>
      <c r="F27" s="99">
        <v>3</v>
      </c>
      <c r="G27" s="84">
        <f t="shared" si="2"/>
        <v>3</v>
      </c>
      <c r="H27" s="103"/>
      <c r="I27" s="103"/>
      <c r="J27" s="103"/>
      <c r="K27" s="103"/>
      <c r="L27" s="103"/>
    </row>
    <row r="28" customHeight="1" spans="1:12">
      <c r="A28" s="72">
        <v>3049</v>
      </c>
      <c r="B28" s="105" t="s">
        <v>99</v>
      </c>
      <c r="C28" s="105">
        <v>356</v>
      </c>
      <c r="D28" s="106"/>
      <c r="E28" s="106"/>
      <c r="F28" s="105">
        <v>307</v>
      </c>
      <c r="G28" s="107">
        <f t="shared" si="2"/>
        <v>49</v>
      </c>
      <c r="H28" s="103"/>
      <c r="I28" s="103"/>
      <c r="J28" s="103"/>
      <c r="K28" s="103"/>
      <c r="L28" s="103"/>
    </row>
    <row r="29" customHeight="1" spans="1:12">
      <c r="A29" s="93">
        <v>2470</v>
      </c>
      <c r="B29" s="94" t="s">
        <v>16</v>
      </c>
      <c r="C29" s="109"/>
      <c r="D29" s="95">
        <v>45870</v>
      </c>
      <c r="E29" s="96" t="s">
        <v>56</v>
      </c>
      <c r="F29" s="110"/>
      <c r="G29" s="111"/>
      <c r="H29" s="103"/>
      <c r="I29" s="103"/>
      <c r="J29" s="103"/>
      <c r="K29" s="103"/>
      <c r="L29" s="103"/>
    </row>
    <row r="30" customHeight="1" spans="1:12">
      <c r="A30" s="76">
        <v>2550</v>
      </c>
      <c r="B30" s="99" t="s">
        <v>58</v>
      </c>
      <c r="C30" s="99">
        <v>83</v>
      </c>
      <c r="D30" s="100"/>
      <c r="E30" s="100"/>
      <c r="F30" s="99">
        <v>70</v>
      </c>
      <c r="G30" s="84">
        <f t="shared" ref="G30:G33" si="3">C30-F30</f>
        <v>13</v>
      </c>
      <c r="H30" s="103"/>
      <c r="I30" s="103"/>
      <c r="J30" s="103"/>
      <c r="K30" s="103"/>
      <c r="L30" s="103"/>
    </row>
    <row r="31" customHeight="1" spans="1:12">
      <c r="A31" s="76">
        <v>2731</v>
      </c>
      <c r="B31" s="112" t="s">
        <v>18</v>
      </c>
      <c r="C31" s="99">
        <v>11</v>
      </c>
      <c r="D31" s="100"/>
      <c r="E31" s="100"/>
      <c r="F31" s="99">
        <v>36</v>
      </c>
      <c r="G31" s="108">
        <f t="shared" si="3"/>
        <v>-25</v>
      </c>
      <c r="H31" s="103"/>
      <c r="I31" s="103"/>
      <c r="J31" s="103"/>
      <c r="K31" s="103"/>
      <c r="L31" s="103"/>
    </row>
    <row r="32" customHeight="1" spans="1:12">
      <c r="A32" s="41">
        <v>2959</v>
      </c>
      <c r="B32" s="112" t="s">
        <v>24</v>
      </c>
      <c r="C32" s="99">
        <v>48</v>
      </c>
      <c r="D32" s="100"/>
      <c r="E32" s="100"/>
      <c r="F32" s="99">
        <v>47</v>
      </c>
      <c r="G32" s="84">
        <f t="shared" si="3"/>
        <v>1</v>
      </c>
      <c r="H32" s="103"/>
      <c r="I32" s="103"/>
      <c r="J32" s="103"/>
      <c r="K32" s="103"/>
      <c r="L32" s="103"/>
    </row>
    <row r="33" customHeight="1" spans="1:12">
      <c r="A33" s="41">
        <v>2953</v>
      </c>
      <c r="B33" s="112" t="s">
        <v>196</v>
      </c>
      <c r="C33" s="99">
        <v>137</v>
      </c>
      <c r="D33" s="100"/>
      <c r="E33" s="100"/>
      <c r="F33" s="99">
        <v>132</v>
      </c>
      <c r="G33" s="84">
        <f t="shared" si="3"/>
        <v>5</v>
      </c>
      <c r="H33" s="103"/>
      <c r="I33" s="103"/>
      <c r="J33" s="103"/>
      <c r="K33" s="103"/>
      <c r="L33" s="103"/>
    </row>
    <row r="34" customHeight="1" spans="1:12">
      <c r="A34" s="41">
        <v>2946</v>
      </c>
      <c r="B34" s="112" t="s">
        <v>91</v>
      </c>
      <c r="C34" s="86"/>
      <c r="D34" s="100"/>
      <c r="E34" s="100"/>
      <c r="F34" s="86"/>
      <c r="G34" s="104"/>
      <c r="H34" s="103"/>
      <c r="I34" s="103"/>
      <c r="J34" s="103"/>
      <c r="K34" s="103"/>
      <c r="L34" s="103"/>
    </row>
    <row r="35" customHeight="1" spans="1:12">
      <c r="A35" s="41">
        <v>3006</v>
      </c>
      <c r="B35" s="112" t="s">
        <v>25</v>
      </c>
      <c r="C35" s="99">
        <v>51</v>
      </c>
      <c r="D35" s="100"/>
      <c r="E35" s="100"/>
      <c r="F35" s="99">
        <v>36</v>
      </c>
      <c r="G35" s="84">
        <f t="shared" ref="G35:G40" si="4">C35-F35</f>
        <v>15</v>
      </c>
      <c r="H35" s="103"/>
      <c r="I35" s="103"/>
      <c r="J35" s="103"/>
      <c r="K35" s="103"/>
      <c r="L35" s="103"/>
    </row>
    <row r="36" customHeight="1" spans="1:12">
      <c r="A36" s="41">
        <v>3007</v>
      </c>
      <c r="B36" s="112" t="s">
        <v>27</v>
      </c>
      <c r="C36" s="99">
        <v>38</v>
      </c>
      <c r="D36" s="100"/>
      <c r="E36" s="100"/>
      <c r="F36" s="99">
        <v>29</v>
      </c>
      <c r="G36" s="108">
        <f t="shared" si="4"/>
        <v>9</v>
      </c>
      <c r="H36" s="103"/>
      <c r="I36" s="103"/>
      <c r="J36" s="103"/>
      <c r="K36" s="103"/>
      <c r="L36" s="103"/>
    </row>
    <row r="37" customHeight="1" spans="1:11">
      <c r="A37" s="41">
        <v>3008</v>
      </c>
      <c r="B37" s="112" t="s">
        <v>28</v>
      </c>
      <c r="C37" s="99">
        <v>6</v>
      </c>
      <c r="D37" s="100"/>
      <c r="E37" s="100"/>
      <c r="F37" s="99">
        <v>11</v>
      </c>
      <c r="G37" s="108">
        <f t="shared" si="4"/>
        <v>-5</v>
      </c>
      <c r="H37" s="98"/>
      <c r="I37" s="98"/>
      <c r="J37" s="24"/>
      <c r="K37" s="103"/>
    </row>
    <row r="38" customHeight="1" spans="1:11">
      <c r="A38" s="41">
        <v>3009</v>
      </c>
      <c r="B38" s="112" t="s">
        <v>29</v>
      </c>
      <c r="C38" s="99">
        <v>30</v>
      </c>
      <c r="D38" s="100"/>
      <c r="E38" s="100"/>
      <c r="F38" s="99">
        <v>27</v>
      </c>
      <c r="G38" s="108">
        <f t="shared" si="4"/>
        <v>3</v>
      </c>
      <c r="H38" s="98"/>
      <c r="I38" s="98"/>
      <c r="J38" s="24"/>
      <c r="K38" s="103"/>
    </row>
    <row r="39" customHeight="1" spans="1:12">
      <c r="A39" s="41">
        <v>3010</v>
      </c>
      <c r="B39" s="112" t="s">
        <v>186</v>
      </c>
      <c r="C39" s="99">
        <v>6</v>
      </c>
      <c r="D39" s="100"/>
      <c r="E39" s="100"/>
      <c r="F39" s="99">
        <v>4</v>
      </c>
      <c r="G39" s="108">
        <f t="shared" si="4"/>
        <v>2</v>
      </c>
      <c r="H39" s="98"/>
      <c r="I39" s="98"/>
      <c r="J39" s="98"/>
      <c r="K39" s="98"/>
      <c r="L39" s="98"/>
    </row>
    <row r="40" customHeight="1" spans="1:12">
      <c r="A40" s="72">
        <v>3049</v>
      </c>
      <c r="B40" s="112" t="s">
        <v>99</v>
      </c>
      <c r="C40" s="105">
        <v>362</v>
      </c>
      <c r="D40" s="106"/>
      <c r="E40" s="106"/>
      <c r="F40" s="105">
        <v>366</v>
      </c>
      <c r="G40" s="108">
        <f t="shared" si="4"/>
        <v>-4</v>
      </c>
      <c r="H40" s="98"/>
      <c r="I40" s="98"/>
      <c r="J40" s="98"/>
      <c r="K40" s="98"/>
      <c r="L40" s="98"/>
    </row>
    <row r="41" customHeight="1" spans="1:12">
      <c r="A41" s="93">
        <v>2470</v>
      </c>
      <c r="B41" s="113" t="s">
        <v>16</v>
      </c>
      <c r="C41" s="110"/>
      <c r="D41" s="95">
        <v>45839</v>
      </c>
      <c r="E41" s="96" t="s">
        <v>59</v>
      </c>
      <c r="F41" s="110"/>
      <c r="G41" s="111"/>
      <c r="H41" s="98"/>
      <c r="I41" s="98"/>
      <c r="J41" s="98"/>
      <c r="K41" s="98"/>
      <c r="L41" s="98"/>
    </row>
    <row r="42" customHeight="1" spans="1:12">
      <c r="A42" s="76">
        <v>2550</v>
      </c>
      <c r="B42" s="112" t="s">
        <v>58</v>
      </c>
      <c r="C42" s="99">
        <v>93</v>
      </c>
      <c r="D42" s="100"/>
      <c r="E42" s="100"/>
      <c r="F42" s="99">
        <v>83</v>
      </c>
      <c r="G42" s="84">
        <f t="shared" ref="G42:G45" si="5">C42-F42</f>
        <v>10</v>
      </c>
      <c r="H42" s="98"/>
      <c r="I42" s="98"/>
      <c r="J42" s="98"/>
      <c r="K42" s="98"/>
      <c r="L42" s="98"/>
    </row>
    <row r="43" customHeight="1" spans="1:12">
      <c r="A43" s="76">
        <v>2731</v>
      </c>
      <c r="B43" s="112" t="s">
        <v>18</v>
      </c>
      <c r="C43" s="99">
        <v>11</v>
      </c>
      <c r="D43" s="100"/>
      <c r="E43" s="100"/>
      <c r="F43" s="99">
        <v>38</v>
      </c>
      <c r="G43" s="108">
        <f t="shared" si="5"/>
        <v>-27</v>
      </c>
      <c r="H43" s="98"/>
      <c r="I43" s="98"/>
      <c r="J43" s="98"/>
      <c r="K43" s="98"/>
      <c r="L43" s="98"/>
    </row>
    <row r="44" customHeight="1" spans="1:12">
      <c r="A44" s="41">
        <v>2959</v>
      </c>
      <c r="B44" s="112" t="s">
        <v>24</v>
      </c>
      <c r="C44" s="99">
        <v>48</v>
      </c>
      <c r="D44" s="100"/>
      <c r="E44" s="100"/>
      <c r="F44" s="99">
        <v>48</v>
      </c>
      <c r="G44" s="84">
        <f t="shared" si="5"/>
        <v>0</v>
      </c>
      <c r="H44" s="98"/>
      <c r="I44" s="98"/>
      <c r="J44" s="98"/>
      <c r="K44" s="98"/>
      <c r="L44" s="98"/>
    </row>
    <row r="45" customHeight="1" spans="1:12">
      <c r="A45" s="41">
        <v>2953</v>
      </c>
      <c r="B45" s="112" t="s">
        <v>196</v>
      </c>
      <c r="C45" s="99">
        <v>140</v>
      </c>
      <c r="D45" s="100"/>
      <c r="E45" s="100"/>
      <c r="F45" s="99">
        <v>138</v>
      </c>
      <c r="G45" s="84">
        <f t="shared" si="5"/>
        <v>2</v>
      </c>
      <c r="H45" s="98"/>
      <c r="I45" s="98"/>
      <c r="J45" s="98"/>
      <c r="K45" s="98"/>
      <c r="L45" s="98"/>
    </row>
    <row r="46" customHeight="1" spans="1:12">
      <c r="A46" s="41">
        <v>2946</v>
      </c>
      <c r="B46" s="112" t="s">
        <v>91</v>
      </c>
      <c r="C46" s="86"/>
      <c r="D46" s="100"/>
      <c r="E46" s="100"/>
      <c r="F46" s="86"/>
      <c r="G46" s="104"/>
      <c r="H46" s="98"/>
      <c r="I46" s="98"/>
      <c r="J46" s="98"/>
      <c r="K46" s="98"/>
      <c r="L46" s="98"/>
    </row>
    <row r="47" customHeight="1" spans="1:12">
      <c r="A47" s="41">
        <v>3006</v>
      </c>
      <c r="B47" s="112" t="s">
        <v>25</v>
      </c>
      <c r="C47" s="99">
        <v>58</v>
      </c>
      <c r="D47" s="100"/>
      <c r="E47" s="100"/>
      <c r="F47" s="99">
        <v>58</v>
      </c>
      <c r="G47" s="84">
        <f t="shared" ref="G47:G51" si="6">C47-F47</f>
        <v>0</v>
      </c>
      <c r="H47" s="98"/>
      <c r="I47" s="98"/>
      <c r="J47" s="98"/>
      <c r="K47" s="98"/>
      <c r="L47" s="98"/>
    </row>
    <row r="48" customHeight="1" spans="1:12">
      <c r="A48" s="41">
        <v>3007</v>
      </c>
      <c r="B48" s="112" t="s">
        <v>27</v>
      </c>
      <c r="C48" s="99">
        <v>38</v>
      </c>
      <c r="D48" s="100"/>
      <c r="E48" s="100"/>
      <c r="F48" s="99">
        <v>62</v>
      </c>
      <c r="G48" s="84">
        <f t="shared" si="6"/>
        <v>-24</v>
      </c>
      <c r="H48" s="98"/>
      <c r="I48" s="98"/>
      <c r="J48" s="98"/>
      <c r="K48" s="98"/>
      <c r="L48" s="98"/>
    </row>
    <row r="49" customHeight="1" spans="1:12">
      <c r="A49" s="41">
        <v>3008</v>
      </c>
      <c r="B49" s="112" t="s">
        <v>28</v>
      </c>
      <c r="C49" s="99">
        <v>12</v>
      </c>
      <c r="D49" s="100"/>
      <c r="E49" s="100"/>
      <c r="F49" s="99">
        <v>31</v>
      </c>
      <c r="G49" s="84">
        <f t="shared" si="6"/>
        <v>-19</v>
      </c>
      <c r="H49" s="98"/>
      <c r="I49" s="98"/>
      <c r="J49" s="98"/>
      <c r="K49" s="98"/>
      <c r="L49" s="98"/>
    </row>
    <row r="50" customHeight="1" spans="1:12">
      <c r="A50" s="41">
        <v>3009</v>
      </c>
      <c r="B50" s="112" t="s">
        <v>29</v>
      </c>
      <c r="C50" s="99">
        <v>30</v>
      </c>
      <c r="D50" s="100"/>
      <c r="E50" s="100"/>
      <c r="F50" s="99">
        <v>30</v>
      </c>
      <c r="G50" s="84">
        <f t="shared" si="6"/>
        <v>0</v>
      </c>
      <c r="H50" s="98"/>
      <c r="I50" s="98"/>
      <c r="J50" s="98"/>
      <c r="K50" s="98"/>
      <c r="L50" s="98"/>
    </row>
    <row r="51" customHeight="1" spans="1:12">
      <c r="A51" s="41">
        <v>3010</v>
      </c>
      <c r="B51" s="112" t="s">
        <v>186</v>
      </c>
      <c r="C51" s="99">
        <v>7</v>
      </c>
      <c r="D51" s="100"/>
      <c r="E51" s="100"/>
      <c r="F51" s="99">
        <v>21</v>
      </c>
      <c r="G51" s="84">
        <f t="shared" si="6"/>
        <v>-14</v>
      </c>
      <c r="H51" s="98"/>
      <c r="I51" s="98"/>
      <c r="J51" s="98"/>
      <c r="K51" s="98"/>
      <c r="L51" s="98"/>
    </row>
    <row r="52" customHeight="1" spans="1:12">
      <c r="A52" s="72">
        <v>3049</v>
      </c>
      <c r="B52" s="105" t="s">
        <v>99</v>
      </c>
      <c r="C52" s="114"/>
      <c r="D52" s="106"/>
      <c r="E52" s="106"/>
      <c r="F52" s="114"/>
      <c r="G52" s="115"/>
      <c r="H52" s="98"/>
      <c r="I52" s="98"/>
      <c r="J52" s="98"/>
      <c r="K52" s="98"/>
      <c r="L52" s="98"/>
    </row>
  </sheetData>
  <mergeCells count="13">
    <mergeCell ref="B1:E1"/>
    <mergeCell ref="H7:O7"/>
    <mergeCell ref="H11:O11"/>
    <mergeCell ref="H15:O15"/>
    <mergeCell ref="H26:O26"/>
    <mergeCell ref="D5:D16"/>
    <mergeCell ref="D17:D28"/>
    <mergeCell ref="D29:D40"/>
    <mergeCell ref="D41:D52"/>
    <mergeCell ref="E5:E16"/>
    <mergeCell ref="E17:E28"/>
    <mergeCell ref="E29:E40"/>
    <mergeCell ref="E41:E52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413"/>
  <sheetViews>
    <sheetView showGridLines="0" workbookViewId="0">
      <selection activeCell="A1" sqref="A1"/>
    </sheetView>
  </sheetViews>
  <sheetFormatPr defaultColWidth="12.6296296296296" defaultRowHeight="15.75" customHeight="1"/>
  <cols>
    <col min="1" max="1" width="2.12962962962963" customWidth="1"/>
    <col min="2" max="2" width="9.75" customWidth="1"/>
    <col min="3" max="3" width="6.12962962962963" customWidth="1"/>
    <col min="4" max="4" width="11" customWidth="1"/>
    <col min="5" max="5" width="12.6296296296296" customWidth="1"/>
    <col min="6" max="6" width="12.25" customWidth="1"/>
    <col min="7" max="7" width="5.12962962962963" customWidth="1"/>
    <col min="8" max="8" width="10.3796296296296" customWidth="1"/>
    <col min="9" max="9" width="5" customWidth="1"/>
    <col min="10" max="10" width="8.62962962962963" customWidth="1"/>
    <col min="11" max="11" width="10.1296296296296" customWidth="1"/>
    <col min="12" max="12" width="11.25" customWidth="1"/>
    <col min="13" max="13" width="10.6296296296296" customWidth="1"/>
    <col min="14" max="14" width="11" customWidth="1"/>
    <col min="15" max="15" width="6.62962962962963" customWidth="1"/>
    <col min="16" max="16" width="9.75" customWidth="1"/>
    <col min="17" max="17" width="5.62962962962963" customWidth="1"/>
    <col min="18" max="18" width="10.3796296296296" customWidth="1"/>
    <col min="19" max="19" width="11.75" customWidth="1"/>
    <col min="20" max="20" width="10.25" customWidth="1"/>
    <col min="21" max="21" width="5.37962962962963" customWidth="1"/>
    <col min="23" max="23" width="7" customWidth="1"/>
    <col min="25" max="25" width="7.37962962962963" customWidth="1"/>
  </cols>
  <sheetData>
    <row r="1" customHeight="1" spans="2:2">
      <c r="B1" s="30" t="s">
        <v>201</v>
      </c>
    </row>
    <row r="2" customHeight="1" spans="3:26"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Height="1" spans="3:26">
      <c r="C3" s="32" t="s">
        <v>202</v>
      </c>
      <c r="D3" s="33"/>
      <c r="E3" s="32" t="s">
        <v>58</v>
      </c>
      <c r="F3" s="33"/>
      <c r="G3" s="32" t="s">
        <v>18</v>
      </c>
      <c r="H3" s="33"/>
      <c r="I3" s="32" t="s">
        <v>203</v>
      </c>
      <c r="J3" s="33"/>
      <c r="K3" s="32" t="s">
        <v>204</v>
      </c>
      <c r="L3" s="33"/>
      <c r="M3" s="32" t="s">
        <v>205</v>
      </c>
      <c r="N3" s="33"/>
      <c r="O3" s="32" t="s">
        <v>206</v>
      </c>
      <c r="P3" s="33"/>
      <c r="Q3" s="32" t="s">
        <v>27</v>
      </c>
      <c r="R3" s="33"/>
      <c r="S3" s="32" t="s">
        <v>28</v>
      </c>
      <c r="T3" s="33"/>
      <c r="U3" s="32" t="s">
        <v>29</v>
      </c>
      <c r="V3" s="33"/>
      <c r="W3" s="32" t="s">
        <v>186</v>
      </c>
      <c r="X3" s="33"/>
      <c r="Y3" s="32" t="s">
        <v>99</v>
      </c>
      <c r="Z3" s="33"/>
    </row>
    <row r="4" customHeight="1" spans="3:26">
      <c r="C4" s="34" t="s">
        <v>37</v>
      </c>
      <c r="D4" s="35" t="s">
        <v>207</v>
      </c>
      <c r="E4" s="34" t="s">
        <v>37</v>
      </c>
      <c r="F4" s="35" t="s">
        <v>207</v>
      </c>
      <c r="G4" s="34" t="s">
        <v>37</v>
      </c>
      <c r="H4" s="35" t="s">
        <v>207</v>
      </c>
      <c r="I4" s="34" t="s">
        <v>37</v>
      </c>
      <c r="J4" s="35" t="s">
        <v>207</v>
      </c>
      <c r="K4" s="34" t="s">
        <v>37</v>
      </c>
      <c r="L4" s="35" t="s">
        <v>207</v>
      </c>
      <c r="M4" s="34" t="s">
        <v>37</v>
      </c>
      <c r="N4" s="35" t="s">
        <v>207</v>
      </c>
      <c r="O4" s="34" t="s">
        <v>37</v>
      </c>
      <c r="P4" s="35" t="s">
        <v>207</v>
      </c>
      <c r="Q4" s="34" t="s">
        <v>37</v>
      </c>
      <c r="R4" s="35" t="s">
        <v>207</v>
      </c>
      <c r="S4" s="34" t="s">
        <v>37</v>
      </c>
      <c r="T4" s="35" t="s">
        <v>207</v>
      </c>
      <c r="U4" s="34" t="s">
        <v>37</v>
      </c>
      <c r="V4" s="35" t="s">
        <v>207</v>
      </c>
      <c r="W4" s="34" t="s">
        <v>37</v>
      </c>
      <c r="X4" s="35" t="s">
        <v>207</v>
      </c>
      <c r="Y4" s="34" t="s">
        <v>37</v>
      </c>
      <c r="Z4" s="35" t="s">
        <v>207</v>
      </c>
    </row>
    <row r="5" customHeight="1" spans="1:26">
      <c r="A5" s="36"/>
      <c r="B5" s="37" t="s">
        <v>208</v>
      </c>
      <c r="C5" s="38">
        <v>86</v>
      </c>
      <c r="D5" s="39">
        <v>14920</v>
      </c>
      <c r="E5" s="38">
        <v>13</v>
      </c>
      <c r="F5" s="39">
        <v>760</v>
      </c>
      <c r="G5" s="40">
        <v>5</v>
      </c>
      <c r="H5" s="39">
        <v>300</v>
      </c>
      <c r="I5" s="38">
        <v>0</v>
      </c>
      <c r="J5" s="39">
        <v>0</v>
      </c>
      <c r="K5" s="38">
        <v>2</v>
      </c>
      <c r="L5" s="39">
        <v>300</v>
      </c>
      <c r="M5" s="38">
        <v>0</v>
      </c>
      <c r="N5" s="39">
        <v>0</v>
      </c>
      <c r="O5" s="38" t="s">
        <v>6</v>
      </c>
      <c r="P5" s="75" t="s">
        <v>6</v>
      </c>
      <c r="Q5" s="38" t="s">
        <v>6</v>
      </c>
      <c r="R5" s="75" t="s">
        <v>6</v>
      </c>
      <c r="S5" s="38" t="s">
        <v>6</v>
      </c>
      <c r="T5" s="39" t="s">
        <v>6</v>
      </c>
      <c r="U5" s="38" t="s">
        <v>6</v>
      </c>
      <c r="V5" s="39" t="s">
        <v>6</v>
      </c>
      <c r="W5" s="38" t="s">
        <v>6</v>
      </c>
      <c r="X5" s="39" t="s">
        <v>6</v>
      </c>
      <c r="Y5" s="38" t="s">
        <v>6</v>
      </c>
      <c r="Z5" s="75" t="s">
        <v>6</v>
      </c>
    </row>
    <row r="6" customHeight="1" spans="1:26">
      <c r="A6" s="36"/>
      <c r="B6" s="37" t="s">
        <v>209</v>
      </c>
      <c r="C6" s="38">
        <v>78</v>
      </c>
      <c r="D6" s="39">
        <v>13080</v>
      </c>
      <c r="E6" s="38">
        <v>13</v>
      </c>
      <c r="F6" s="39">
        <v>770</v>
      </c>
      <c r="G6" s="40">
        <v>1</v>
      </c>
      <c r="H6" s="39">
        <v>60</v>
      </c>
      <c r="I6" s="38">
        <v>1</v>
      </c>
      <c r="J6" s="39">
        <v>50</v>
      </c>
      <c r="K6" s="38">
        <v>1</v>
      </c>
      <c r="L6" s="39">
        <v>150</v>
      </c>
      <c r="M6" s="38">
        <v>1</v>
      </c>
      <c r="N6" s="39">
        <v>100</v>
      </c>
      <c r="O6" s="38" t="s">
        <v>6</v>
      </c>
      <c r="P6" s="75" t="s">
        <v>6</v>
      </c>
      <c r="Q6" s="38" t="s">
        <v>6</v>
      </c>
      <c r="R6" s="75" t="s">
        <v>6</v>
      </c>
      <c r="S6" s="38" t="s">
        <v>6</v>
      </c>
      <c r="T6" s="39" t="s">
        <v>6</v>
      </c>
      <c r="U6" s="38" t="s">
        <v>6</v>
      </c>
      <c r="V6" s="39" t="s">
        <v>6</v>
      </c>
      <c r="W6" s="38" t="s">
        <v>6</v>
      </c>
      <c r="X6" s="39" t="s">
        <v>6</v>
      </c>
      <c r="Y6" s="38" t="s">
        <v>6</v>
      </c>
      <c r="Z6" s="75" t="s">
        <v>6</v>
      </c>
    </row>
    <row r="7" customHeight="1" spans="1:26">
      <c r="A7" s="36"/>
      <c r="B7" s="37" t="s">
        <v>210</v>
      </c>
      <c r="C7" s="38">
        <v>98</v>
      </c>
      <c r="D7" s="39">
        <v>16630</v>
      </c>
      <c r="E7" s="38">
        <v>8</v>
      </c>
      <c r="F7" s="39">
        <v>480</v>
      </c>
      <c r="G7" s="40">
        <v>4</v>
      </c>
      <c r="H7" s="39">
        <v>240</v>
      </c>
      <c r="I7" s="38">
        <v>0</v>
      </c>
      <c r="J7" s="39">
        <v>0</v>
      </c>
      <c r="K7" s="38">
        <v>0</v>
      </c>
      <c r="L7" s="39">
        <v>0</v>
      </c>
      <c r="M7" s="38">
        <v>3</v>
      </c>
      <c r="N7" s="39">
        <v>300</v>
      </c>
      <c r="O7" s="38" t="s">
        <v>6</v>
      </c>
      <c r="P7" s="75" t="s">
        <v>6</v>
      </c>
      <c r="Q7" s="38" t="s">
        <v>6</v>
      </c>
      <c r="R7" s="75" t="s">
        <v>6</v>
      </c>
      <c r="S7" s="38" t="s">
        <v>6</v>
      </c>
      <c r="T7" s="39" t="s">
        <v>6</v>
      </c>
      <c r="U7" s="38" t="s">
        <v>6</v>
      </c>
      <c r="V7" s="39" t="s">
        <v>6</v>
      </c>
      <c r="W7" s="38" t="s">
        <v>6</v>
      </c>
      <c r="X7" s="39" t="s">
        <v>6</v>
      </c>
      <c r="Y7" s="38" t="s">
        <v>6</v>
      </c>
      <c r="Z7" s="75" t="s">
        <v>6</v>
      </c>
    </row>
    <row r="8" customHeight="1" spans="1:26">
      <c r="A8" s="36"/>
      <c r="B8" s="37" t="s">
        <v>211</v>
      </c>
      <c r="C8" s="38">
        <v>127</v>
      </c>
      <c r="D8" s="39">
        <v>21400</v>
      </c>
      <c r="E8" s="38">
        <v>12</v>
      </c>
      <c r="F8" s="39">
        <v>720</v>
      </c>
      <c r="G8" s="38">
        <v>3</v>
      </c>
      <c r="H8" s="39">
        <v>170</v>
      </c>
      <c r="I8" s="38">
        <v>1</v>
      </c>
      <c r="J8" s="39">
        <v>50</v>
      </c>
      <c r="K8" s="38">
        <v>0</v>
      </c>
      <c r="L8" s="39">
        <v>0</v>
      </c>
      <c r="M8" s="38">
        <v>3</v>
      </c>
      <c r="N8" s="39">
        <v>260</v>
      </c>
      <c r="O8" s="38">
        <v>0</v>
      </c>
      <c r="P8" s="39">
        <v>0</v>
      </c>
      <c r="Q8" s="38">
        <v>0</v>
      </c>
      <c r="R8" s="39">
        <v>0</v>
      </c>
      <c r="S8" s="38">
        <v>0</v>
      </c>
      <c r="T8" s="39">
        <v>0</v>
      </c>
      <c r="U8" s="38">
        <v>0</v>
      </c>
      <c r="V8" s="39">
        <v>0</v>
      </c>
      <c r="W8" s="38">
        <v>0</v>
      </c>
      <c r="X8" s="39">
        <v>0</v>
      </c>
      <c r="Y8" s="38" t="s">
        <v>6</v>
      </c>
      <c r="Z8" s="75" t="s">
        <v>6</v>
      </c>
    </row>
    <row r="9" customHeight="1" spans="1:26">
      <c r="A9" s="36"/>
      <c r="B9" s="37" t="s">
        <v>212</v>
      </c>
      <c r="C9" s="41">
        <v>106</v>
      </c>
      <c r="D9" s="42">
        <v>18860</v>
      </c>
      <c r="E9" s="41">
        <v>24</v>
      </c>
      <c r="F9" s="42">
        <v>1440</v>
      </c>
      <c r="G9" s="38">
        <v>0</v>
      </c>
      <c r="H9" s="39">
        <v>0</v>
      </c>
      <c r="I9" s="41">
        <v>0</v>
      </c>
      <c r="J9" s="42">
        <v>0</v>
      </c>
      <c r="K9" s="41">
        <v>3</v>
      </c>
      <c r="L9" s="42">
        <v>450</v>
      </c>
      <c r="M9" s="41">
        <v>4</v>
      </c>
      <c r="N9" s="42">
        <v>360</v>
      </c>
      <c r="O9" s="41">
        <v>0</v>
      </c>
      <c r="P9" s="42">
        <v>0</v>
      </c>
      <c r="Q9" s="41">
        <v>0</v>
      </c>
      <c r="R9" s="42">
        <v>0</v>
      </c>
      <c r="S9" s="41">
        <v>0</v>
      </c>
      <c r="T9" s="42">
        <v>0</v>
      </c>
      <c r="U9" s="41">
        <v>0</v>
      </c>
      <c r="V9" s="42">
        <v>0</v>
      </c>
      <c r="W9" s="41">
        <v>0</v>
      </c>
      <c r="X9" s="42">
        <v>0</v>
      </c>
      <c r="Y9" s="41" t="s">
        <v>6</v>
      </c>
      <c r="Z9" s="84" t="s">
        <v>6</v>
      </c>
    </row>
    <row r="10" customHeight="1" spans="1:26">
      <c r="A10" s="36"/>
      <c r="B10" s="37" t="s">
        <v>213</v>
      </c>
      <c r="C10" s="38">
        <v>34</v>
      </c>
      <c r="D10" s="39">
        <v>5820</v>
      </c>
      <c r="E10" s="38">
        <v>4</v>
      </c>
      <c r="F10" s="39">
        <v>240</v>
      </c>
      <c r="G10" s="38">
        <v>0</v>
      </c>
      <c r="H10" s="39">
        <v>0</v>
      </c>
      <c r="I10" s="38">
        <v>0</v>
      </c>
      <c r="J10" s="39">
        <v>0</v>
      </c>
      <c r="K10" s="38">
        <v>0</v>
      </c>
      <c r="L10" s="39">
        <v>0</v>
      </c>
      <c r="M10" s="38">
        <v>1</v>
      </c>
      <c r="N10" s="39">
        <v>100</v>
      </c>
      <c r="O10" s="38">
        <v>0</v>
      </c>
      <c r="P10" s="39">
        <v>0</v>
      </c>
      <c r="Q10" s="38">
        <v>0</v>
      </c>
      <c r="R10" s="39">
        <v>0</v>
      </c>
      <c r="S10" s="38">
        <v>0</v>
      </c>
      <c r="T10" s="39">
        <v>0</v>
      </c>
      <c r="U10" s="38">
        <v>0</v>
      </c>
      <c r="V10" s="39">
        <v>0</v>
      </c>
      <c r="W10" s="38">
        <v>0</v>
      </c>
      <c r="X10" s="39">
        <v>0</v>
      </c>
      <c r="Y10" s="38" t="s">
        <v>6</v>
      </c>
      <c r="Z10" s="75" t="s">
        <v>6</v>
      </c>
    </row>
    <row r="11" customHeight="1" spans="1:26">
      <c r="A11" s="36"/>
      <c r="B11" s="37" t="s">
        <v>214</v>
      </c>
      <c r="C11" s="41">
        <v>178</v>
      </c>
      <c r="D11" s="42">
        <v>25282</v>
      </c>
      <c r="E11" s="41">
        <v>14</v>
      </c>
      <c r="F11" s="42">
        <v>816</v>
      </c>
      <c r="G11" s="41">
        <v>1</v>
      </c>
      <c r="H11" s="42">
        <v>60</v>
      </c>
      <c r="I11" s="41">
        <v>0</v>
      </c>
      <c r="J11" s="42">
        <v>0</v>
      </c>
      <c r="K11" s="41">
        <v>0</v>
      </c>
      <c r="L11" s="42">
        <v>0</v>
      </c>
      <c r="M11" s="41">
        <v>1</v>
      </c>
      <c r="N11" s="42">
        <v>100</v>
      </c>
      <c r="O11" s="76">
        <v>2</v>
      </c>
      <c r="P11" s="42">
        <v>340</v>
      </c>
      <c r="Q11" s="76">
        <v>2</v>
      </c>
      <c r="R11" s="42">
        <v>360</v>
      </c>
      <c r="S11" s="76">
        <v>8</v>
      </c>
      <c r="T11" s="42">
        <v>1462</v>
      </c>
      <c r="U11" s="41">
        <v>0</v>
      </c>
      <c r="V11" s="42">
        <v>0</v>
      </c>
      <c r="W11" s="41">
        <v>8</v>
      </c>
      <c r="X11" s="42">
        <v>1850</v>
      </c>
      <c r="Y11" s="41">
        <v>22</v>
      </c>
      <c r="Z11" s="42">
        <v>3960</v>
      </c>
    </row>
    <row r="12" customHeight="1" spans="1:26">
      <c r="A12" s="36"/>
      <c r="B12" s="37" t="s">
        <v>215</v>
      </c>
      <c r="C12" s="38">
        <f>199-6-2-3</f>
        <v>188</v>
      </c>
      <c r="D12" s="39">
        <v>26829</v>
      </c>
      <c r="E12" s="38">
        <v>11</v>
      </c>
      <c r="F12" s="39">
        <v>600</v>
      </c>
      <c r="G12" s="38">
        <v>0</v>
      </c>
      <c r="H12" s="39">
        <v>0</v>
      </c>
      <c r="I12" s="38">
        <v>0</v>
      </c>
      <c r="J12" s="39">
        <v>0</v>
      </c>
      <c r="K12" s="38">
        <v>3</v>
      </c>
      <c r="L12" s="39">
        <v>450</v>
      </c>
      <c r="M12" s="38">
        <v>7</v>
      </c>
      <c r="N12" s="39">
        <v>500</v>
      </c>
      <c r="O12" s="77">
        <v>7</v>
      </c>
      <c r="P12" s="39">
        <v>1088</v>
      </c>
      <c r="Q12" s="77">
        <v>0</v>
      </c>
      <c r="R12" s="39">
        <v>0</v>
      </c>
      <c r="S12" s="77">
        <v>6</v>
      </c>
      <c r="T12" s="39">
        <v>1075</v>
      </c>
      <c r="U12" s="38">
        <v>0</v>
      </c>
      <c r="V12" s="39">
        <v>0</v>
      </c>
      <c r="W12" s="38">
        <v>0</v>
      </c>
      <c r="X12" s="39">
        <v>0</v>
      </c>
      <c r="Y12" s="38">
        <v>15</v>
      </c>
      <c r="Z12" s="39">
        <v>2592</v>
      </c>
    </row>
    <row r="13" customHeight="1" spans="1:26">
      <c r="A13" s="36"/>
      <c r="B13" s="37" t="s">
        <v>216</v>
      </c>
      <c r="C13" s="41">
        <v>41</v>
      </c>
      <c r="D13" s="42">
        <v>6408</v>
      </c>
      <c r="E13" s="41">
        <v>3</v>
      </c>
      <c r="F13" s="42">
        <v>168</v>
      </c>
      <c r="G13" s="41">
        <v>0</v>
      </c>
      <c r="H13" s="42">
        <v>0</v>
      </c>
      <c r="I13" s="41">
        <v>0</v>
      </c>
      <c r="J13" s="42">
        <v>0</v>
      </c>
      <c r="K13" s="41">
        <v>0</v>
      </c>
      <c r="L13" s="42">
        <v>0</v>
      </c>
      <c r="M13" s="41">
        <v>0</v>
      </c>
      <c r="N13" s="42">
        <v>0</v>
      </c>
      <c r="O13" s="76">
        <v>0</v>
      </c>
      <c r="P13" s="39">
        <v>0</v>
      </c>
      <c r="Q13" s="76">
        <v>1</v>
      </c>
      <c r="R13" s="42">
        <v>200</v>
      </c>
      <c r="S13" s="76">
        <v>0</v>
      </c>
      <c r="T13" s="42">
        <v>0</v>
      </c>
      <c r="U13" s="41">
        <v>0</v>
      </c>
      <c r="V13" s="42">
        <v>0</v>
      </c>
      <c r="W13" s="41">
        <v>0</v>
      </c>
      <c r="X13" s="42">
        <v>0</v>
      </c>
      <c r="Y13" s="41">
        <v>6</v>
      </c>
      <c r="Z13" s="42">
        <v>1080</v>
      </c>
    </row>
    <row r="14" customHeight="1" spans="2:26"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customHeight="1" spans="2:12">
      <c r="B15" s="45" t="s">
        <v>217</v>
      </c>
      <c r="F15" s="45"/>
      <c r="G15" s="46"/>
      <c r="H15" s="45" t="s">
        <v>218</v>
      </c>
      <c r="L15" s="45"/>
    </row>
    <row r="16" customHeight="1" spans="2:10">
      <c r="B16" s="43"/>
      <c r="C16" s="47"/>
      <c r="D16" s="47"/>
      <c r="E16" s="48"/>
      <c r="F16" s="47"/>
      <c r="G16" s="46"/>
      <c r="H16" s="46"/>
      <c r="I16" s="46"/>
      <c r="J16" s="43"/>
    </row>
    <row r="17" customHeight="1" spans="2:11">
      <c r="B17" s="49" t="s">
        <v>219</v>
      </c>
      <c r="C17" s="50"/>
      <c r="D17" s="51" t="s">
        <v>37</v>
      </c>
      <c r="E17" s="51" t="s">
        <v>220</v>
      </c>
      <c r="G17" s="24"/>
      <c r="H17" s="49" t="s">
        <v>221</v>
      </c>
      <c r="I17" s="50"/>
      <c r="J17" s="51" t="s">
        <v>37</v>
      </c>
      <c r="K17" s="51" t="s">
        <v>220</v>
      </c>
    </row>
    <row r="18" customHeight="1" spans="2:11">
      <c r="B18" s="52" t="s">
        <v>202</v>
      </c>
      <c r="C18" s="53"/>
      <c r="D18" s="54">
        <f t="shared" ref="D18:E18" si="0">SUM(C5:C13)</f>
        <v>936</v>
      </c>
      <c r="E18" s="55">
        <f t="shared" si="0"/>
        <v>149229</v>
      </c>
      <c r="G18" s="26"/>
      <c r="H18" s="52" t="s">
        <v>222</v>
      </c>
      <c r="I18" s="52"/>
      <c r="J18" s="54">
        <f t="shared" ref="J18:K18" si="1">SUM(C5+E5+G5+I5+K5+M5)</f>
        <v>106</v>
      </c>
      <c r="K18" s="55">
        <f t="shared" si="1"/>
        <v>16280</v>
      </c>
    </row>
    <row r="19" customHeight="1" spans="2:11">
      <c r="B19" s="52" t="s">
        <v>58</v>
      </c>
      <c r="C19" s="53"/>
      <c r="D19" s="56">
        <f t="shared" ref="D19:E19" si="2">SUM(E5:E13)</f>
        <v>102</v>
      </c>
      <c r="E19" s="57">
        <f t="shared" si="2"/>
        <v>5994</v>
      </c>
      <c r="G19" s="26"/>
      <c r="H19" s="52" t="s">
        <v>223</v>
      </c>
      <c r="I19" s="53"/>
      <c r="J19" s="56">
        <f t="shared" ref="J19:K19" si="3">SUM(C6+E6+G6+I6+K6+M6)</f>
        <v>95</v>
      </c>
      <c r="K19" s="57">
        <f t="shared" si="3"/>
        <v>14210</v>
      </c>
    </row>
    <row r="20" customHeight="1" spans="2:11">
      <c r="B20" s="52" t="s">
        <v>18</v>
      </c>
      <c r="C20" s="53"/>
      <c r="D20" s="56">
        <f t="shared" ref="D20:E20" si="4">SUM(G5:G13)</f>
        <v>14</v>
      </c>
      <c r="E20" s="57">
        <f t="shared" si="4"/>
        <v>830</v>
      </c>
      <c r="G20" s="26"/>
      <c r="H20" s="52" t="s">
        <v>224</v>
      </c>
      <c r="I20" s="52"/>
      <c r="J20" s="56">
        <f t="shared" ref="J20:K20" si="5">SUM(C7+E7+G7+I7+K7+M7)</f>
        <v>113</v>
      </c>
      <c r="K20" s="57">
        <f t="shared" si="5"/>
        <v>17650</v>
      </c>
    </row>
    <row r="21" customHeight="1" spans="2:11">
      <c r="B21" s="52" t="s">
        <v>225</v>
      </c>
      <c r="C21" s="52"/>
      <c r="D21" s="56">
        <f t="shared" ref="D21:E21" si="6">SUM(I5:I13)</f>
        <v>2</v>
      </c>
      <c r="E21" s="57">
        <f t="shared" si="6"/>
        <v>100</v>
      </c>
      <c r="G21" s="26"/>
      <c r="H21" s="52" t="s">
        <v>226</v>
      </c>
      <c r="I21" s="52"/>
      <c r="J21" s="56">
        <f t="shared" ref="J21:K21" si="7">SUM(C8+E8+G8+I8+K8+M8+O8+Q8+S8+U8+W8)</f>
        <v>146</v>
      </c>
      <c r="K21" s="57">
        <f t="shared" si="7"/>
        <v>22600</v>
      </c>
    </row>
    <row r="22" customHeight="1" spans="2:11">
      <c r="B22" s="52" t="s">
        <v>227</v>
      </c>
      <c r="C22" s="52"/>
      <c r="D22" s="56">
        <f t="shared" ref="D22:E22" si="8">SUM(K5:K13)</f>
        <v>9</v>
      </c>
      <c r="E22" s="57">
        <f t="shared" si="8"/>
        <v>1350</v>
      </c>
      <c r="G22" s="26"/>
      <c r="H22" s="52" t="s">
        <v>228</v>
      </c>
      <c r="I22" s="52"/>
      <c r="J22" s="56">
        <f t="shared" ref="J22:K22" si="9">SUM(C9+E9+G9+I9+K9+M9+O9+Q9+S9+U9+W9)</f>
        <v>137</v>
      </c>
      <c r="K22" s="57">
        <f t="shared" si="9"/>
        <v>21110</v>
      </c>
    </row>
    <row r="23" customHeight="1" spans="2:11">
      <c r="B23" s="52" t="s">
        <v>229</v>
      </c>
      <c r="C23" s="52"/>
      <c r="D23" s="56">
        <f t="shared" ref="D23:E23" si="10">SUM(M5:M13)</f>
        <v>20</v>
      </c>
      <c r="E23" s="57">
        <f t="shared" si="10"/>
        <v>1720</v>
      </c>
      <c r="G23" s="26"/>
      <c r="H23" s="52" t="s">
        <v>59</v>
      </c>
      <c r="I23" s="52"/>
      <c r="J23" s="56">
        <f t="shared" ref="J23:K23" si="11">SUM(C10+E10+G10+I10+K10+M10+O10+Q10+S10+U10+W10)</f>
        <v>39</v>
      </c>
      <c r="K23" s="57">
        <f t="shared" si="11"/>
        <v>6160</v>
      </c>
    </row>
    <row r="24" customHeight="1" spans="2:11">
      <c r="B24" s="52" t="s">
        <v>230</v>
      </c>
      <c r="C24" s="52"/>
      <c r="D24" s="56">
        <f>SUM(O8:O13)</f>
        <v>9</v>
      </c>
      <c r="E24" s="57">
        <f>SUM(P5:P13)</f>
        <v>1428</v>
      </c>
      <c r="G24" s="26"/>
      <c r="H24" s="52" t="s">
        <v>56</v>
      </c>
      <c r="I24" s="52"/>
      <c r="J24" s="56">
        <f t="shared" ref="J24:K24" si="12">SUM(C11+E11+G11+I11+K11+M11+O11+Q11+S11+U11+W11+Y11)</f>
        <v>236</v>
      </c>
      <c r="K24" s="57">
        <f t="shared" si="12"/>
        <v>34230</v>
      </c>
    </row>
    <row r="25" customHeight="1" spans="2:11">
      <c r="B25" s="52" t="s">
        <v>27</v>
      </c>
      <c r="C25" s="53"/>
      <c r="D25" s="56">
        <f t="shared" ref="D25:E25" si="13">SUM(Q8:Q13)</f>
        <v>3</v>
      </c>
      <c r="E25" s="57">
        <f t="shared" si="13"/>
        <v>560</v>
      </c>
      <c r="G25" s="26"/>
      <c r="H25" s="52" t="s">
        <v>66</v>
      </c>
      <c r="I25" s="52"/>
      <c r="J25" s="56">
        <f t="shared" ref="J25:K25" si="14">SUM(C12+E12+G12+I12+K12+M12+O12+Q12+S12+U12+W12+Y12)</f>
        <v>237</v>
      </c>
      <c r="K25" s="57">
        <f t="shared" si="14"/>
        <v>33134</v>
      </c>
    </row>
    <row r="26" customHeight="1" spans="2:11">
      <c r="B26" s="52" t="s">
        <v>28</v>
      </c>
      <c r="C26" s="53"/>
      <c r="D26" s="56">
        <f t="shared" ref="D26:E26" si="15">SUM(S8:S13)</f>
        <v>14</v>
      </c>
      <c r="E26" s="57">
        <f t="shared" si="15"/>
        <v>2537</v>
      </c>
      <c r="G26" s="26"/>
      <c r="H26" s="52" t="s">
        <v>70</v>
      </c>
      <c r="I26" s="52"/>
      <c r="J26" s="56">
        <f t="shared" ref="J26:K26" si="16">SUM(C13+E13+G13+I13+K13+M13+O13+Q13+S13+U13+W13+Y13)</f>
        <v>51</v>
      </c>
      <c r="K26" s="57">
        <f t="shared" si="16"/>
        <v>7856</v>
      </c>
    </row>
    <row r="27" customHeight="1" spans="2:12">
      <c r="B27" s="52" t="s">
        <v>29</v>
      </c>
      <c r="C27" s="52"/>
      <c r="D27" s="56">
        <f>SUM(U5:U13)</f>
        <v>0</v>
      </c>
      <c r="E27" s="57">
        <f>SUM(V8:V13)</f>
        <v>0</v>
      </c>
      <c r="G27" s="26"/>
      <c r="H27" s="58"/>
      <c r="K27" s="78"/>
      <c r="L27" s="79"/>
    </row>
    <row r="28" customHeight="1" spans="2:12">
      <c r="B28" s="52" t="s">
        <v>186</v>
      </c>
      <c r="C28" s="52"/>
      <c r="D28" s="56">
        <f t="shared" ref="D28:E28" si="17">SUM(W8:W13)</f>
        <v>8</v>
      </c>
      <c r="E28" s="57">
        <f t="shared" si="17"/>
        <v>1850</v>
      </c>
      <c r="G28" s="26"/>
      <c r="H28" s="58"/>
      <c r="K28" s="78"/>
      <c r="L28" s="79"/>
    </row>
    <row r="29" customHeight="1" spans="2:12">
      <c r="B29" s="52" t="s">
        <v>99</v>
      </c>
      <c r="C29" s="53"/>
      <c r="D29" s="56">
        <f t="shared" ref="D29:E29" si="18">SUM(Y11:Y13)</f>
        <v>43</v>
      </c>
      <c r="E29" s="57">
        <f t="shared" si="18"/>
        <v>7632</v>
      </c>
      <c r="G29" s="26"/>
      <c r="H29" s="58"/>
      <c r="K29" s="78"/>
      <c r="L29" s="79"/>
    </row>
    <row r="30" customHeight="1" spans="2:12">
      <c r="B30" s="43"/>
      <c r="C30" s="47"/>
      <c r="D30" s="59"/>
      <c r="E30" s="59"/>
      <c r="F30" s="60"/>
      <c r="G30" s="59"/>
      <c r="H30" s="43"/>
      <c r="I30" s="47"/>
      <c r="J30" s="59"/>
      <c r="K30" s="59"/>
      <c r="L30" s="60"/>
    </row>
    <row r="31" customHeight="1" spans="2:16">
      <c r="B31" s="61" t="s">
        <v>231</v>
      </c>
      <c r="G31" s="59">
        <v>1160</v>
      </c>
      <c r="I31" s="80"/>
      <c r="J31" s="80"/>
      <c r="K31" s="80"/>
      <c r="L31" s="80"/>
      <c r="M31" s="80"/>
      <c r="N31" s="80"/>
      <c r="O31" s="80"/>
      <c r="P31" s="80"/>
    </row>
    <row r="32" customHeight="1" spans="2:16">
      <c r="B32" s="61" t="s">
        <v>232</v>
      </c>
      <c r="G32" s="62">
        <v>173230</v>
      </c>
      <c r="I32" s="80"/>
      <c r="J32" s="80"/>
      <c r="K32" s="80"/>
      <c r="L32" s="80"/>
      <c r="M32" s="80"/>
      <c r="N32" s="80"/>
      <c r="O32" s="80"/>
      <c r="P32" s="80"/>
    </row>
    <row r="33" customHeight="1" spans="2:10">
      <c r="B33" s="43"/>
      <c r="C33" s="47"/>
      <c r="D33" s="47"/>
      <c r="E33" s="48"/>
      <c r="F33" s="47"/>
      <c r="G33" s="46"/>
      <c r="H33" s="46"/>
      <c r="I33" s="46"/>
      <c r="J33" s="43"/>
    </row>
    <row r="34" customHeight="1" spans="2:2">
      <c r="B34" s="63" t="s">
        <v>233</v>
      </c>
    </row>
    <row r="35" customHeight="1" spans="2:2">
      <c r="B35" s="63" t="s">
        <v>234</v>
      </c>
    </row>
    <row r="36" customHeight="1" spans="2:2">
      <c r="B36" s="63" t="s">
        <v>235</v>
      </c>
    </row>
    <row r="37" customHeight="1" spans="2:2">
      <c r="B37" s="63" t="s">
        <v>236</v>
      </c>
    </row>
    <row r="38" customHeight="1" spans="2:10">
      <c r="B38" s="43"/>
      <c r="C38" s="47"/>
      <c r="D38" s="47"/>
      <c r="E38" s="48"/>
      <c r="F38" s="47"/>
      <c r="G38" s="46"/>
      <c r="H38" s="46"/>
      <c r="I38" s="46"/>
      <c r="J38" s="43"/>
    </row>
    <row r="39" customHeight="1" spans="2:10">
      <c r="B39" s="64" t="s">
        <v>237</v>
      </c>
      <c r="D39" s="47"/>
      <c r="E39" s="48"/>
      <c r="F39" s="47"/>
      <c r="G39" s="46"/>
      <c r="H39" s="46"/>
      <c r="I39" s="46"/>
      <c r="J39" s="43"/>
    </row>
    <row r="40" customHeight="1" spans="2:10">
      <c r="B40" s="43"/>
      <c r="C40" s="47"/>
      <c r="D40" s="47"/>
      <c r="E40" s="48"/>
      <c r="F40" s="47"/>
      <c r="G40" s="46"/>
      <c r="H40" s="46"/>
      <c r="I40" s="46"/>
      <c r="J40" s="43"/>
    </row>
    <row r="41" customHeight="1" spans="3:23">
      <c r="C41" s="65" t="s">
        <v>202</v>
      </c>
      <c r="D41" s="33"/>
      <c r="E41" s="65" t="s">
        <v>58</v>
      </c>
      <c r="F41" s="33"/>
      <c r="G41" s="65" t="s">
        <v>18</v>
      </c>
      <c r="H41" s="33"/>
      <c r="I41" s="81"/>
      <c r="J41" s="45" t="s">
        <v>238</v>
      </c>
      <c r="N41" s="45"/>
      <c r="O41" s="45" t="s">
        <v>239</v>
      </c>
      <c r="S41" s="45"/>
      <c r="T41" s="45"/>
      <c r="U41" s="81"/>
      <c r="W41" s="81"/>
    </row>
    <row r="42" customHeight="1" spans="3:24">
      <c r="C42" s="66" t="s">
        <v>37</v>
      </c>
      <c r="D42" s="67" t="s">
        <v>207</v>
      </c>
      <c r="E42" s="66" t="s">
        <v>37</v>
      </c>
      <c r="F42" s="68" t="s">
        <v>207</v>
      </c>
      <c r="G42" s="66" t="s">
        <v>37</v>
      </c>
      <c r="H42" s="67" t="s">
        <v>207</v>
      </c>
      <c r="I42" s="31"/>
      <c r="J42" s="43"/>
      <c r="K42" s="47"/>
      <c r="L42" s="47"/>
      <c r="M42" s="48"/>
      <c r="N42" s="47"/>
      <c r="O42" s="46"/>
      <c r="P42" s="46"/>
      <c r="Q42" s="43"/>
      <c r="U42" s="31"/>
      <c r="V42" s="31"/>
      <c r="W42" s="31"/>
      <c r="X42" s="31"/>
    </row>
    <row r="43" customHeight="1" spans="2:24">
      <c r="B43" s="69" t="s">
        <v>208</v>
      </c>
      <c r="C43" s="38">
        <v>19</v>
      </c>
      <c r="D43" s="39">
        <v>1900</v>
      </c>
      <c r="E43" s="38">
        <v>1</v>
      </c>
      <c r="F43" s="70">
        <v>50</v>
      </c>
      <c r="G43" s="40">
        <v>0</v>
      </c>
      <c r="H43" s="39">
        <v>0</v>
      </c>
      <c r="I43" s="82"/>
      <c r="J43" s="49" t="s">
        <v>219</v>
      </c>
      <c r="L43" s="51" t="s">
        <v>37</v>
      </c>
      <c r="M43" s="51" t="s">
        <v>220</v>
      </c>
      <c r="O43" s="49" t="s">
        <v>221</v>
      </c>
      <c r="P43" s="50"/>
      <c r="Q43" s="51" t="s">
        <v>37</v>
      </c>
      <c r="R43" s="51" t="s">
        <v>220</v>
      </c>
      <c r="T43" s="51"/>
      <c r="U43" s="82"/>
      <c r="V43" s="83"/>
      <c r="W43" s="82"/>
      <c r="X43" s="82"/>
    </row>
    <row r="44" customHeight="1" spans="2:24">
      <c r="B44" s="69" t="s">
        <v>209</v>
      </c>
      <c r="C44" s="38">
        <v>69</v>
      </c>
      <c r="D44" s="39">
        <v>6900</v>
      </c>
      <c r="E44" s="38">
        <v>15</v>
      </c>
      <c r="F44" s="70">
        <v>700</v>
      </c>
      <c r="G44" s="40">
        <v>0</v>
      </c>
      <c r="H44" s="39">
        <v>0</v>
      </c>
      <c r="I44" s="82"/>
      <c r="J44" s="58" t="s">
        <v>202</v>
      </c>
      <c r="L44" s="78">
        <f t="shared" ref="L44:M44" si="19">SUM(C43:C51)</f>
        <v>479</v>
      </c>
      <c r="M44" s="79">
        <f t="shared" si="19"/>
        <v>51598.85</v>
      </c>
      <c r="O44" s="52" t="s">
        <v>222</v>
      </c>
      <c r="P44" s="53"/>
      <c r="Q44" s="54">
        <f t="shared" ref="Q44:R44" si="20">SUM(C43+E43+G43)</f>
        <v>20</v>
      </c>
      <c r="R44" s="55">
        <f t="shared" si="20"/>
        <v>1950</v>
      </c>
      <c r="T44" s="79"/>
      <c r="U44" s="82"/>
      <c r="V44" s="83"/>
      <c r="W44" s="82"/>
      <c r="X44" s="82"/>
    </row>
    <row r="45" customHeight="1" spans="2:24">
      <c r="B45" s="69" t="s">
        <v>210</v>
      </c>
      <c r="C45" s="38">
        <v>35</v>
      </c>
      <c r="D45" s="39">
        <v>3420</v>
      </c>
      <c r="E45" s="38">
        <v>3</v>
      </c>
      <c r="F45" s="70">
        <v>110</v>
      </c>
      <c r="G45" s="40">
        <v>1</v>
      </c>
      <c r="H45" s="39">
        <v>50</v>
      </c>
      <c r="I45" s="82"/>
      <c r="J45" s="58" t="s">
        <v>58</v>
      </c>
      <c r="L45" s="78">
        <f t="shared" ref="L45:M45" si="21">SUM(E43:E51)</f>
        <v>112</v>
      </c>
      <c r="M45" s="79">
        <f t="shared" si="21"/>
        <v>5395</v>
      </c>
      <c r="O45" s="52" t="s">
        <v>223</v>
      </c>
      <c r="P45" s="53"/>
      <c r="Q45" s="56">
        <f t="shared" ref="Q45:R45" si="22">SUM(C44+E44+G44)</f>
        <v>84</v>
      </c>
      <c r="R45" s="57">
        <f t="shared" si="22"/>
        <v>7600</v>
      </c>
      <c r="T45" s="79"/>
      <c r="U45" s="82"/>
      <c r="V45" s="83"/>
      <c r="W45" s="82"/>
      <c r="X45" s="82"/>
    </row>
    <row r="46" customHeight="1" spans="2:24">
      <c r="B46" s="69" t="s">
        <v>211</v>
      </c>
      <c r="C46" s="38">
        <v>34</v>
      </c>
      <c r="D46" s="39">
        <v>3400</v>
      </c>
      <c r="E46" s="38">
        <v>0</v>
      </c>
      <c r="F46" s="70">
        <v>0</v>
      </c>
      <c r="G46" s="38">
        <v>0</v>
      </c>
      <c r="H46" s="39">
        <v>0</v>
      </c>
      <c r="I46" s="82"/>
      <c r="J46" s="58" t="s">
        <v>18</v>
      </c>
      <c r="L46" s="78">
        <f t="shared" ref="L46:M46" si="23">SUM(G43:G51)</f>
        <v>20</v>
      </c>
      <c r="M46" s="79">
        <f t="shared" si="23"/>
        <v>905</v>
      </c>
      <c r="O46" s="52" t="s">
        <v>224</v>
      </c>
      <c r="P46" s="53"/>
      <c r="Q46" s="56">
        <f t="shared" ref="Q46:R46" si="24">SUM(C45+E45+G45)</f>
        <v>39</v>
      </c>
      <c r="R46" s="57">
        <f t="shared" si="24"/>
        <v>3580</v>
      </c>
      <c r="T46" s="79"/>
      <c r="U46" s="82"/>
      <c r="V46" s="83"/>
      <c r="W46" s="82"/>
      <c r="X46" s="82"/>
    </row>
    <row r="47" customHeight="1" spans="2:24">
      <c r="B47" s="69" t="s">
        <v>212</v>
      </c>
      <c r="C47" s="41">
        <v>31</v>
      </c>
      <c r="D47" s="42">
        <v>3100</v>
      </c>
      <c r="E47" s="41">
        <v>0</v>
      </c>
      <c r="F47" s="71">
        <v>0</v>
      </c>
      <c r="G47" s="38">
        <v>0</v>
      </c>
      <c r="H47" s="39">
        <v>0</v>
      </c>
      <c r="I47" s="24"/>
      <c r="J47" s="43"/>
      <c r="K47" s="47"/>
      <c r="L47" s="47"/>
      <c r="M47" s="59"/>
      <c r="N47" s="60"/>
      <c r="O47" s="52" t="s">
        <v>226</v>
      </c>
      <c r="P47" s="52"/>
      <c r="Q47" s="56">
        <f t="shared" ref="Q47:R47" si="25">SUM(C46+E46+G46)</f>
        <v>34</v>
      </c>
      <c r="R47" s="57">
        <f t="shared" si="25"/>
        <v>3400</v>
      </c>
      <c r="T47" s="79"/>
      <c r="U47" s="24"/>
      <c r="V47" s="26"/>
      <c r="W47" s="24"/>
      <c r="X47" s="24"/>
    </row>
    <row r="48" customHeight="1" spans="2:24">
      <c r="B48" s="69" t="s">
        <v>213</v>
      </c>
      <c r="C48" s="38">
        <v>56</v>
      </c>
      <c r="D48" s="39">
        <v>5524.43</v>
      </c>
      <c r="E48" s="38">
        <v>44</v>
      </c>
      <c r="F48" s="70">
        <v>2150</v>
      </c>
      <c r="G48" s="38">
        <v>18</v>
      </c>
      <c r="H48" s="39">
        <v>810</v>
      </c>
      <c r="I48" s="82"/>
      <c r="J48" s="43"/>
      <c r="K48" s="47"/>
      <c r="L48" s="47"/>
      <c r="M48" s="48"/>
      <c r="N48" s="47"/>
      <c r="O48" s="52" t="s">
        <v>228</v>
      </c>
      <c r="P48" s="52"/>
      <c r="Q48" s="56">
        <f t="shared" ref="Q48:R48" si="26">SUM(C47+E47+G47)</f>
        <v>31</v>
      </c>
      <c r="R48" s="57">
        <f t="shared" si="26"/>
        <v>3100</v>
      </c>
      <c r="T48" s="79"/>
      <c r="U48" s="82"/>
      <c r="V48" s="83"/>
      <c r="W48" s="82"/>
      <c r="X48" s="82"/>
    </row>
    <row r="49" customHeight="1" spans="2:24">
      <c r="B49" s="69" t="s">
        <v>214</v>
      </c>
      <c r="C49" s="41">
        <v>23</v>
      </c>
      <c r="D49" s="42">
        <v>2259.42</v>
      </c>
      <c r="E49" s="41">
        <v>13</v>
      </c>
      <c r="F49" s="71">
        <v>625</v>
      </c>
      <c r="G49" s="41">
        <v>1</v>
      </c>
      <c r="H49" s="42">
        <v>45</v>
      </c>
      <c r="I49" s="24"/>
      <c r="J49" s="43"/>
      <c r="K49" s="47"/>
      <c r="L49" s="47"/>
      <c r="M49" s="48"/>
      <c r="N49" s="47"/>
      <c r="O49" s="52" t="s">
        <v>59</v>
      </c>
      <c r="P49" s="52"/>
      <c r="Q49" s="56">
        <f t="shared" ref="Q49:R49" si="27">SUM(C48+E48+G48)</f>
        <v>118</v>
      </c>
      <c r="R49" s="57">
        <f t="shared" si="27"/>
        <v>8484.43</v>
      </c>
      <c r="T49" s="79"/>
      <c r="U49" s="24"/>
      <c r="V49" s="26"/>
      <c r="W49" s="24"/>
      <c r="X49" s="26"/>
    </row>
    <row r="50" customHeight="1" spans="2:24">
      <c r="B50" s="69" t="s">
        <v>215</v>
      </c>
      <c r="C50" s="38">
        <v>169</v>
      </c>
      <c r="D50" s="39">
        <v>19655</v>
      </c>
      <c r="E50" s="38">
        <v>26</v>
      </c>
      <c r="F50" s="70">
        <v>1260</v>
      </c>
      <c r="G50" s="38">
        <v>0</v>
      </c>
      <c r="H50" s="39">
        <v>0</v>
      </c>
      <c r="I50" s="82"/>
      <c r="J50" s="43"/>
      <c r="K50" s="47"/>
      <c r="L50" s="47"/>
      <c r="M50" s="48"/>
      <c r="N50" s="47"/>
      <c r="O50" s="52" t="s">
        <v>56</v>
      </c>
      <c r="P50" s="52"/>
      <c r="Q50" s="56">
        <f t="shared" ref="Q50:R50" si="28">SUM(C49+E49+G49)</f>
        <v>37</v>
      </c>
      <c r="R50" s="57">
        <f t="shared" si="28"/>
        <v>2929.42</v>
      </c>
      <c r="T50" s="79"/>
      <c r="U50" s="82"/>
      <c r="V50" s="83"/>
      <c r="W50" s="82"/>
      <c r="X50" s="83"/>
    </row>
    <row r="51" customHeight="1" spans="2:24">
      <c r="B51" s="69" t="s">
        <v>216</v>
      </c>
      <c r="C51" s="41">
        <v>43</v>
      </c>
      <c r="D51" s="42">
        <v>5440</v>
      </c>
      <c r="E51" s="41">
        <v>10</v>
      </c>
      <c r="F51" s="71">
        <v>500</v>
      </c>
      <c r="G51" s="72">
        <v>0</v>
      </c>
      <c r="H51" s="73">
        <v>0</v>
      </c>
      <c r="I51" s="24"/>
      <c r="J51" s="43"/>
      <c r="K51" s="47"/>
      <c r="L51" s="47"/>
      <c r="M51" s="48"/>
      <c r="N51" s="47"/>
      <c r="O51" s="52" t="s">
        <v>66</v>
      </c>
      <c r="P51" s="53"/>
      <c r="Q51" s="56">
        <f t="shared" ref="Q51:R51" si="29">SUM(C50+E50+G50)</f>
        <v>195</v>
      </c>
      <c r="R51" s="57">
        <f t="shared" si="29"/>
        <v>20915</v>
      </c>
      <c r="T51" s="79"/>
      <c r="U51" s="24"/>
      <c r="V51" s="26"/>
      <c r="W51" s="24"/>
      <c r="X51" s="26"/>
    </row>
    <row r="52" customHeight="1" spans="2:25">
      <c r="B52" s="43"/>
      <c r="C52" s="44"/>
      <c r="D52" s="44"/>
      <c r="E52" s="44"/>
      <c r="F52" s="44"/>
      <c r="G52" s="44"/>
      <c r="H52" s="44"/>
      <c r="I52" s="44"/>
      <c r="J52" s="43"/>
      <c r="K52" s="47"/>
      <c r="L52" s="47"/>
      <c r="M52" s="48"/>
      <c r="N52" s="47"/>
      <c r="O52" s="52" t="s">
        <v>70</v>
      </c>
      <c r="P52" s="53"/>
      <c r="Q52" s="56">
        <f t="shared" ref="Q52:R52" si="30">SUM(C51+E51+G51)</f>
        <v>53</v>
      </c>
      <c r="R52" s="57">
        <f t="shared" si="30"/>
        <v>5940</v>
      </c>
      <c r="T52" s="78"/>
      <c r="U52" s="79"/>
      <c r="V52" s="44"/>
      <c r="W52" s="44"/>
      <c r="X52" s="44"/>
      <c r="Y52" s="44"/>
    </row>
    <row r="54" customHeight="1" spans="2:10">
      <c r="B54" s="61" t="s">
        <v>240</v>
      </c>
      <c r="G54" s="59">
        <v>611</v>
      </c>
      <c r="I54" s="46"/>
      <c r="J54" s="43"/>
    </row>
    <row r="55" customHeight="1" spans="2:10">
      <c r="B55" s="61" t="s">
        <v>241</v>
      </c>
      <c r="G55" s="62">
        <v>57898.85</v>
      </c>
      <c r="I55" s="46"/>
      <c r="J55" s="43"/>
    </row>
    <row r="56" customHeight="1" spans="2:10">
      <c r="B56" s="43"/>
      <c r="C56" s="47"/>
      <c r="D56" s="47"/>
      <c r="E56" s="48"/>
      <c r="F56" s="47"/>
      <c r="G56" s="46"/>
      <c r="H56" s="46"/>
      <c r="I56" s="46"/>
      <c r="J56" s="43"/>
    </row>
    <row r="57" customHeight="1" spans="2:10">
      <c r="B57" s="43"/>
      <c r="C57" s="47"/>
      <c r="D57" s="47"/>
      <c r="E57" s="48"/>
      <c r="F57" s="47"/>
      <c r="G57" s="46"/>
      <c r="H57" s="46"/>
      <c r="I57" s="46"/>
      <c r="J57" s="43"/>
    </row>
    <row r="58" customHeight="1" spans="1:2">
      <c r="A58" s="74"/>
      <c r="B58" s="63" t="s">
        <v>242</v>
      </c>
    </row>
    <row r="59" customHeight="1" spans="1:2">
      <c r="A59" s="74"/>
      <c r="B59" s="63" t="s">
        <v>234</v>
      </c>
    </row>
    <row r="60" customHeight="1" spans="1:2">
      <c r="A60" s="74"/>
      <c r="B60" s="63" t="s">
        <v>235</v>
      </c>
    </row>
    <row r="61" customHeight="1" spans="2:2">
      <c r="B61" s="63" t="s">
        <v>236</v>
      </c>
    </row>
    <row r="65" customHeight="1" spans="2:10">
      <c r="B65" s="43"/>
      <c r="C65" s="47"/>
      <c r="D65" s="47"/>
      <c r="E65" s="48"/>
      <c r="F65" s="47"/>
      <c r="G65" s="46"/>
      <c r="H65" s="46"/>
      <c r="I65" s="46"/>
      <c r="J65" s="43"/>
    </row>
    <row r="74" customHeight="1" spans="2:10">
      <c r="B74" s="43"/>
      <c r="C74" s="47"/>
      <c r="D74" s="47"/>
      <c r="E74" s="48"/>
      <c r="F74" s="47"/>
      <c r="G74" s="46"/>
      <c r="H74" s="46"/>
      <c r="I74" s="46"/>
      <c r="J74" s="43"/>
    </row>
    <row r="75" customHeight="1" spans="2:10">
      <c r="B75" s="43"/>
      <c r="C75" s="47"/>
      <c r="D75" s="47"/>
      <c r="E75" s="48"/>
      <c r="F75" s="47"/>
      <c r="G75" s="46"/>
      <c r="H75" s="46"/>
      <c r="I75" s="46"/>
      <c r="J75" s="43"/>
    </row>
    <row r="76" customHeight="1" spans="2:10">
      <c r="B76" s="43"/>
      <c r="C76" s="47"/>
      <c r="D76" s="47"/>
      <c r="E76" s="48"/>
      <c r="F76" s="47"/>
      <c r="G76" s="46"/>
      <c r="H76" s="46"/>
      <c r="I76" s="46"/>
      <c r="J76" s="43"/>
    </row>
    <row r="77" customHeight="1" spans="2:10">
      <c r="B77" s="43"/>
      <c r="C77" s="47"/>
      <c r="D77" s="47"/>
      <c r="E77" s="48"/>
      <c r="F77" s="47"/>
      <c r="G77" s="46"/>
      <c r="H77" s="46"/>
      <c r="I77" s="46"/>
      <c r="J77" s="43"/>
    </row>
    <row r="78" customHeight="1" spans="2:10">
      <c r="B78" s="43"/>
      <c r="C78" s="47"/>
      <c r="D78" s="47"/>
      <c r="E78" s="48"/>
      <c r="F78" s="47"/>
      <c r="G78" s="46"/>
      <c r="H78" s="46"/>
      <c r="I78" s="46"/>
      <c r="J78" s="43"/>
    </row>
    <row r="79" customHeight="1" spans="2:10">
      <c r="B79" s="43"/>
      <c r="C79" s="47"/>
      <c r="D79" s="47"/>
      <c r="E79" s="48"/>
      <c r="F79" s="47"/>
      <c r="G79" s="46"/>
      <c r="H79" s="46"/>
      <c r="I79" s="46"/>
      <c r="J79" s="43"/>
    </row>
    <row r="80" customHeight="1" spans="2:10">
      <c r="B80" s="43"/>
      <c r="C80" s="47"/>
      <c r="D80" s="47"/>
      <c r="E80" s="48"/>
      <c r="F80" s="47"/>
      <c r="G80" s="46"/>
      <c r="H80" s="46"/>
      <c r="I80" s="46"/>
      <c r="J80" s="43"/>
    </row>
    <row r="81" customHeight="1" spans="2:10">
      <c r="B81" s="43"/>
      <c r="C81" s="47"/>
      <c r="D81" s="47"/>
      <c r="E81" s="48"/>
      <c r="F81" s="47"/>
      <c r="G81" s="46"/>
      <c r="H81" s="46"/>
      <c r="I81" s="46"/>
      <c r="J81" s="43"/>
    </row>
    <row r="82" customHeight="1" spans="2:10">
      <c r="B82" s="43"/>
      <c r="C82" s="47"/>
      <c r="D82" s="47"/>
      <c r="E82" s="48"/>
      <c r="F82" s="47"/>
      <c r="G82" s="46"/>
      <c r="H82" s="46"/>
      <c r="I82" s="46"/>
      <c r="J82" s="43"/>
    </row>
    <row r="83" customHeight="1" spans="2:10">
      <c r="B83" s="43"/>
      <c r="C83" s="47"/>
      <c r="D83" s="47"/>
      <c r="E83" s="48"/>
      <c r="F83" s="47"/>
      <c r="G83" s="46"/>
      <c r="H83" s="46"/>
      <c r="I83" s="46"/>
      <c r="J83" s="43"/>
    </row>
    <row r="84" customHeight="1" spans="2:10">
      <c r="B84" s="43"/>
      <c r="C84" s="47"/>
      <c r="D84" s="47"/>
      <c r="E84" s="48"/>
      <c r="F84" s="47"/>
      <c r="G84" s="46"/>
      <c r="H84" s="46"/>
      <c r="I84" s="46"/>
      <c r="J84" s="43"/>
    </row>
    <row r="85" customHeight="1" spans="2:10">
      <c r="B85" s="43"/>
      <c r="C85" s="47"/>
      <c r="D85" s="47"/>
      <c r="E85" s="48"/>
      <c r="F85" s="47"/>
      <c r="G85" s="46"/>
      <c r="H85" s="46"/>
      <c r="I85" s="46"/>
      <c r="J85" s="43"/>
    </row>
    <row r="86" customHeight="1" spans="2:10">
      <c r="B86" s="43"/>
      <c r="C86" s="47"/>
      <c r="D86" s="47"/>
      <c r="E86" s="48"/>
      <c r="F86" s="47"/>
      <c r="G86" s="46"/>
      <c r="H86" s="46"/>
      <c r="I86" s="46"/>
      <c r="J86" s="43"/>
    </row>
    <row r="87" customHeight="1" spans="2:10">
      <c r="B87" s="43"/>
      <c r="C87" s="47"/>
      <c r="D87" s="47"/>
      <c r="E87" s="48"/>
      <c r="F87" s="47"/>
      <c r="G87" s="46"/>
      <c r="H87" s="46"/>
      <c r="I87" s="46"/>
      <c r="J87" s="43"/>
    </row>
    <row r="88" customHeight="1" spans="2:10">
      <c r="B88" s="43"/>
      <c r="C88" s="47"/>
      <c r="D88" s="47"/>
      <c r="E88" s="48"/>
      <c r="F88" s="47"/>
      <c r="G88" s="46"/>
      <c r="H88" s="46"/>
      <c r="I88" s="46"/>
      <c r="J88" s="43"/>
    </row>
    <row r="89" customHeight="1" spans="2:10">
      <c r="B89" s="43"/>
      <c r="C89" s="47"/>
      <c r="D89" s="47"/>
      <c r="E89" s="48"/>
      <c r="F89" s="47"/>
      <c r="G89" s="46"/>
      <c r="H89" s="46"/>
      <c r="I89" s="46"/>
      <c r="J89" s="43"/>
    </row>
    <row r="90" customHeight="1" spans="2:10">
      <c r="B90" s="43"/>
      <c r="C90" s="47"/>
      <c r="D90" s="47"/>
      <c r="E90" s="48"/>
      <c r="F90" s="47"/>
      <c r="G90" s="46"/>
      <c r="H90" s="46"/>
      <c r="I90" s="46"/>
      <c r="J90" s="43"/>
    </row>
    <row r="91" customHeight="1" spans="2:10">
      <c r="B91" s="43"/>
      <c r="C91" s="47"/>
      <c r="D91" s="47"/>
      <c r="E91" s="48"/>
      <c r="F91" s="47"/>
      <c r="G91" s="46"/>
      <c r="H91" s="46"/>
      <c r="I91" s="46"/>
      <c r="J91" s="43"/>
    </row>
    <row r="92" customHeight="1" spans="2:10">
      <c r="B92" s="43"/>
      <c r="C92" s="47"/>
      <c r="D92" s="47"/>
      <c r="E92" s="48"/>
      <c r="F92" s="47"/>
      <c r="G92" s="46"/>
      <c r="H92" s="46"/>
      <c r="I92" s="46"/>
      <c r="J92" s="43"/>
    </row>
    <row r="93" customHeight="1" spans="2:10">
      <c r="B93" s="43"/>
      <c r="C93" s="47"/>
      <c r="D93" s="47"/>
      <c r="E93" s="48"/>
      <c r="F93" s="47"/>
      <c r="G93" s="46"/>
      <c r="H93" s="46"/>
      <c r="I93" s="46"/>
      <c r="J93" s="43"/>
    </row>
    <row r="94" customHeight="1" spans="2:10">
      <c r="B94" s="43"/>
      <c r="C94" s="47"/>
      <c r="D94" s="47"/>
      <c r="E94" s="48"/>
      <c r="F94" s="47"/>
      <c r="G94" s="46"/>
      <c r="H94" s="46"/>
      <c r="I94" s="46"/>
      <c r="J94" s="43"/>
    </row>
    <row r="95" customHeight="1" spans="2:10">
      <c r="B95" s="43"/>
      <c r="C95" s="47"/>
      <c r="D95" s="47"/>
      <c r="E95" s="48"/>
      <c r="F95" s="47"/>
      <c r="G95" s="46"/>
      <c r="H95" s="46"/>
      <c r="I95" s="46"/>
      <c r="J95" s="43"/>
    </row>
    <row r="96" customHeight="1" spans="2:10">
      <c r="B96" s="43"/>
      <c r="C96" s="47"/>
      <c r="D96" s="47"/>
      <c r="E96" s="48"/>
      <c r="F96" s="47"/>
      <c r="G96" s="46"/>
      <c r="H96" s="46"/>
      <c r="I96" s="46"/>
      <c r="J96" s="43"/>
    </row>
    <row r="97" customHeight="1" spans="2:10">
      <c r="B97" s="43"/>
      <c r="C97" s="47"/>
      <c r="D97" s="47"/>
      <c r="E97" s="48"/>
      <c r="F97" s="47"/>
      <c r="G97" s="46"/>
      <c r="H97" s="46"/>
      <c r="I97" s="46"/>
      <c r="J97" s="43"/>
    </row>
    <row r="98" customHeight="1" spans="2:10">
      <c r="B98" s="43"/>
      <c r="C98" s="47"/>
      <c r="D98" s="47"/>
      <c r="E98" s="48"/>
      <c r="F98" s="47"/>
      <c r="G98" s="46"/>
      <c r="H98" s="46"/>
      <c r="I98" s="46"/>
      <c r="J98" s="43"/>
    </row>
    <row r="99" customHeight="1" spans="2:10">
      <c r="B99" s="43"/>
      <c r="C99" s="47"/>
      <c r="D99" s="47"/>
      <c r="E99" s="48"/>
      <c r="F99" s="47"/>
      <c r="G99" s="46"/>
      <c r="H99" s="46"/>
      <c r="I99" s="46"/>
      <c r="J99" s="43"/>
    </row>
    <row r="100" customHeight="1" spans="2:10">
      <c r="B100" s="43"/>
      <c r="C100" s="47"/>
      <c r="D100" s="47"/>
      <c r="E100" s="48"/>
      <c r="F100" s="47"/>
      <c r="G100" s="46"/>
      <c r="H100" s="46"/>
      <c r="I100" s="46"/>
      <c r="J100" s="43"/>
    </row>
    <row r="101" customHeight="1" spans="2:10">
      <c r="B101" s="43"/>
      <c r="C101" s="47"/>
      <c r="D101" s="47"/>
      <c r="E101" s="48"/>
      <c r="F101" s="47"/>
      <c r="G101" s="46"/>
      <c r="H101" s="46"/>
      <c r="I101" s="46"/>
      <c r="J101" s="43"/>
    </row>
    <row r="102" customHeight="1" spans="2:10">
      <c r="B102" s="43"/>
      <c r="C102" s="47"/>
      <c r="D102" s="47"/>
      <c r="E102" s="48"/>
      <c r="F102" s="47"/>
      <c r="G102" s="46"/>
      <c r="H102" s="46"/>
      <c r="I102" s="46"/>
      <c r="J102" s="43"/>
    </row>
    <row r="103" customHeight="1" spans="2:10">
      <c r="B103" s="43"/>
      <c r="C103" s="47"/>
      <c r="D103" s="47"/>
      <c r="E103" s="48"/>
      <c r="F103" s="47"/>
      <c r="G103" s="46"/>
      <c r="H103" s="46"/>
      <c r="I103" s="46"/>
      <c r="J103" s="43"/>
    </row>
    <row r="104" customHeight="1" spans="2:10">
      <c r="B104" s="43"/>
      <c r="C104" s="47"/>
      <c r="D104" s="47"/>
      <c r="E104" s="48"/>
      <c r="F104" s="47"/>
      <c r="G104" s="46"/>
      <c r="H104" s="46"/>
      <c r="I104" s="46"/>
      <c r="J104" s="43"/>
    </row>
    <row r="105" customHeight="1" spans="2:10">
      <c r="B105" s="43"/>
      <c r="C105" s="47"/>
      <c r="D105" s="47"/>
      <c r="E105" s="48"/>
      <c r="F105" s="47"/>
      <c r="G105" s="46"/>
      <c r="H105" s="46"/>
      <c r="I105" s="46"/>
      <c r="J105" s="43"/>
    </row>
    <row r="106" customHeight="1" spans="2:10">
      <c r="B106" s="43"/>
      <c r="C106" s="47"/>
      <c r="D106" s="47"/>
      <c r="E106" s="48"/>
      <c r="F106" s="47"/>
      <c r="G106" s="46"/>
      <c r="H106" s="46"/>
      <c r="I106" s="46"/>
      <c r="J106" s="43"/>
    </row>
    <row r="107" customHeight="1" spans="2:10">
      <c r="B107" s="43"/>
      <c r="C107" s="47"/>
      <c r="D107" s="47"/>
      <c r="E107" s="48"/>
      <c r="F107" s="47"/>
      <c r="G107" s="46"/>
      <c r="H107" s="46"/>
      <c r="I107" s="46"/>
      <c r="J107" s="43"/>
    </row>
    <row r="108" customHeight="1" spans="2:10">
      <c r="B108" s="43"/>
      <c r="C108" s="47"/>
      <c r="D108" s="47"/>
      <c r="E108" s="48"/>
      <c r="F108" s="47"/>
      <c r="G108" s="46"/>
      <c r="H108" s="46"/>
      <c r="I108" s="46"/>
      <c r="J108" s="43"/>
    </row>
    <row r="109" customHeight="1" spans="2:10">
      <c r="B109" s="43"/>
      <c r="C109" s="47"/>
      <c r="D109" s="47"/>
      <c r="E109" s="48"/>
      <c r="F109" s="47"/>
      <c r="G109" s="46"/>
      <c r="H109" s="46"/>
      <c r="I109" s="46"/>
      <c r="J109" s="43"/>
    </row>
    <row r="110" customHeight="1" spans="2:10">
      <c r="B110" s="43"/>
      <c r="C110" s="47"/>
      <c r="D110" s="47"/>
      <c r="E110" s="48"/>
      <c r="F110" s="47"/>
      <c r="G110" s="46"/>
      <c r="H110" s="46"/>
      <c r="I110" s="46"/>
      <c r="J110" s="43"/>
    </row>
    <row r="111" customHeight="1" spans="2:10">
      <c r="B111" s="43"/>
      <c r="C111" s="47"/>
      <c r="D111" s="47"/>
      <c r="E111" s="48"/>
      <c r="F111" s="47"/>
      <c r="G111" s="46"/>
      <c r="H111" s="46"/>
      <c r="I111" s="46"/>
      <c r="J111" s="43"/>
    </row>
    <row r="112" customHeight="1" spans="2:10">
      <c r="B112" s="43"/>
      <c r="C112" s="47"/>
      <c r="D112" s="47"/>
      <c r="E112" s="48"/>
      <c r="F112" s="47"/>
      <c r="G112" s="46"/>
      <c r="H112" s="46"/>
      <c r="I112" s="46"/>
      <c r="J112" s="43"/>
    </row>
    <row r="113" customHeight="1" spans="2:10">
      <c r="B113" s="43"/>
      <c r="C113" s="47"/>
      <c r="D113" s="47"/>
      <c r="E113" s="48"/>
      <c r="F113" s="47"/>
      <c r="G113" s="46"/>
      <c r="H113" s="46"/>
      <c r="I113" s="46"/>
      <c r="J113" s="43"/>
    </row>
    <row r="114" customHeight="1" spans="2:10">
      <c r="B114" s="43"/>
      <c r="C114" s="47"/>
      <c r="D114" s="47"/>
      <c r="E114" s="48"/>
      <c r="F114" s="47"/>
      <c r="G114" s="46"/>
      <c r="H114" s="46"/>
      <c r="I114" s="46"/>
      <c r="J114" s="43"/>
    </row>
    <row r="115" customHeight="1" spans="2:10">
      <c r="B115" s="43"/>
      <c r="C115" s="47"/>
      <c r="D115" s="47"/>
      <c r="E115" s="48"/>
      <c r="F115" s="47"/>
      <c r="G115" s="46"/>
      <c r="H115" s="46"/>
      <c r="I115" s="46"/>
      <c r="J115" s="43"/>
    </row>
    <row r="116" customHeight="1" spans="2:10">
      <c r="B116" s="43"/>
      <c r="C116" s="47"/>
      <c r="D116" s="47"/>
      <c r="E116" s="48"/>
      <c r="F116" s="47"/>
      <c r="G116" s="46"/>
      <c r="H116" s="46"/>
      <c r="I116" s="46"/>
      <c r="J116" s="43"/>
    </row>
    <row r="117" customHeight="1" spans="2:10">
      <c r="B117" s="43"/>
      <c r="C117" s="47"/>
      <c r="D117" s="47"/>
      <c r="E117" s="48"/>
      <c r="F117" s="47"/>
      <c r="G117" s="46"/>
      <c r="H117" s="46"/>
      <c r="I117" s="46"/>
      <c r="J117" s="43"/>
    </row>
    <row r="118" customHeight="1" spans="2:10">
      <c r="B118" s="43"/>
      <c r="C118" s="47"/>
      <c r="D118" s="47"/>
      <c r="E118" s="48"/>
      <c r="F118" s="47"/>
      <c r="G118" s="46"/>
      <c r="H118" s="46"/>
      <c r="I118" s="46"/>
      <c r="J118" s="43"/>
    </row>
    <row r="119" customHeight="1" spans="2:10">
      <c r="B119" s="43"/>
      <c r="C119" s="47"/>
      <c r="D119" s="47"/>
      <c r="E119" s="48"/>
      <c r="F119" s="47"/>
      <c r="G119" s="46"/>
      <c r="H119" s="46"/>
      <c r="I119" s="46"/>
      <c r="J119" s="43"/>
    </row>
    <row r="120" customHeight="1" spans="2:10">
      <c r="B120" s="43"/>
      <c r="C120" s="47"/>
      <c r="D120" s="47"/>
      <c r="E120" s="48"/>
      <c r="F120" s="47"/>
      <c r="G120" s="46"/>
      <c r="H120" s="46"/>
      <c r="I120" s="46"/>
      <c r="J120" s="43"/>
    </row>
    <row r="121" customHeight="1" spans="2:10">
      <c r="B121" s="43"/>
      <c r="C121" s="47"/>
      <c r="D121" s="47"/>
      <c r="E121" s="48"/>
      <c r="F121" s="47"/>
      <c r="G121" s="46"/>
      <c r="H121" s="46"/>
      <c r="I121" s="46"/>
      <c r="J121" s="43"/>
    </row>
    <row r="122" customHeight="1" spans="2:10">
      <c r="B122" s="43"/>
      <c r="C122" s="47"/>
      <c r="D122" s="47"/>
      <c r="E122" s="48"/>
      <c r="F122" s="47"/>
      <c r="G122" s="46"/>
      <c r="H122" s="46"/>
      <c r="I122" s="46"/>
      <c r="J122" s="43"/>
    </row>
    <row r="123" customHeight="1" spans="2:10">
      <c r="B123" s="43"/>
      <c r="C123" s="47"/>
      <c r="D123" s="47"/>
      <c r="E123" s="48"/>
      <c r="F123" s="47"/>
      <c r="G123" s="46"/>
      <c r="H123" s="46"/>
      <c r="I123" s="46"/>
      <c r="J123" s="43"/>
    </row>
    <row r="124" customHeight="1" spans="2:10">
      <c r="B124" s="43"/>
      <c r="C124" s="47"/>
      <c r="D124" s="47"/>
      <c r="E124" s="48"/>
      <c r="F124" s="47"/>
      <c r="G124" s="46"/>
      <c r="H124" s="46"/>
      <c r="I124" s="46"/>
      <c r="J124" s="43"/>
    </row>
    <row r="125" customHeight="1" spans="2:10">
      <c r="B125" s="43"/>
      <c r="C125" s="47"/>
      <c r="D125" s="47"/>
      <c r="E125" s="48"/>
      <c r="F125" s="47"/>
      <c r="G125" s="46"/>
      <c r="H125" s="46"/>
      <c r="I125" s="46"/>
      <c r="J125" s="43"/>
    </row>
    <row r="126" customHeight="1" spans="2:10">
      <c r="B126" s="43"/>
      <c r="C126" s="47"/>
      <c r="D126" s="47"/>
      <c r="E126" s="48"/>
      <c r="F126" s="47"/>
      <c r="G126" s="46"/>
      <c r="H126" s="46"/>
      <c r="I126" s="46"/>
      <c r="J126" s="43"/>
    </row>
    <row r="127" customHeight="1" spans="2:10">
      <c r="B127" s="43"/>
      <c r="C127" s="47"/>
      <c r="D127" s="47"/>
      <c r="E127" s="48"/>
      <c r="F127" s="47"/>
      <c r="G127" s="46"/>
      <c r="H127" s="46"/>
      <c r="I127" s="46"/>
      <c r="J127" s="43"/>
    </row>
    <row r="128" customHeight="1" spans="2:10">
      <c r="B128" s="43"/>
      <c r="C128" s="47"/>
      <c r="D128" s="47"/>
      <c r="E128" s="48"/>
      <c r="F128" s="47"/>
      <c r="G128" s="46"/>
      <c r="H128" s="46"/>
      <c r="I128" s="46"/>
      <c r="J128" s="43"/>
    </row>
    <row r="129" customHeight="1" spans="2:10">
      <c r="B129" s="43"/>
      <c r="C129" s="47"/>
      <c r="D129" s="47"/>
      <c r="E129" s="48"/>
      <c r="F129" s="47"/>
      <c r="G129" s="46"/>
      <c r="H129" s="46"/>
      <c r="I129" s="46"/>
      <c r="J129" s="43"/>
    </row>
    <row r="130" customHeight="1" spans="2:10">
      <c r="B130" s="43"/>
      <c r="C130" s="47"/>
      <c r="D130" s="47"/>
      <c r="E130" s="48"/>
      <c r="F130" s="47"/>
      <c r="G130" s="46"/>
      <c r="H130" s="46"/>
      <c r="I130" s="46"/>
      <c r="J130" s="43"/>
    </row>
    <row r="131" customHeight="1" spans="2:10">
      <c r="B131" s="43"/>
      <c r="C131" s="47"/>
      <c r="D131" s="47"/>
      <c r="E131" s="48"/>
      <c r="F131" s="47"/>
      <c r="G131" s="46"/>
      <c r="H131" s="46"/>
      <c r="I131" s="46"/>
      <c r="J131" s="43"/>
    </row>
    <row r="132" customHeight="1" spans="2:10">
      <c r="B132" s="43"/>
      <c r="C132" s="47"/>
      <c r="D132" s="47"/>
      <c r="E132" s="48"/>
      <c r="F132" s="47"/>
      <c r="G132" s="46"/>
      <c r="H132" s="46"/>
      <c r="I132" s="46"/>
      <c r="J132" s="43"/>
    </row>
    <row r="133" customHeight="1" spans="2:10">
      <c r="B133" s="43"/>
      <c r="C133" s="47"/>
      <c r="D133" s="47"/>
      <c r="E133" s="48"/>
      <c r="F133" s="47"/>
      <c r="G133" s="46"/>
      <c r="H133" s="46"/>
      <c r="I133" s="46"/>
      <c r="J133" s="43"/>
    </row>
    <row r="134" customHeight="1" spans="2:10">
      <c r="B134" s="43"/>
      <c r="C134" s="47"/>
      <c r="D134" s="47"/>
      <c r="E134" s="48"/>
      <c r="F134" s="47"/>
      <c r="G134" s="46"/>
      <c r="H134" s="46"/>
      <c r="I134" s="46"/>
      <c r="J134" s="43"/>
    </row>
    <row r="135" customHeight="1" spans="2:10">
      <c r="B135" s="43"/>
      <c r="C135" s="47"/>
      <c r="D135" s="47"/>
      <c r="E135" s="48"/>
      <c r="F135" s="47"/>
      <c r="G135" s="46"/>
      <c r="H135" s="46"/>
      <c r="I135" s="46"/>
      <c r="J135" s="43"/>
    </row>
    <row r="136" customHeight="1" spans="2:10">
      <c r="B136" s="43"/>
      <c r="C136" s="47"/>
      <c r="D136" s="47"/>
      <c r="E136" s="48"/>
      <c r="F136" s="47"/>
      <c r="G136" s="46"/>
      <c r="H136" s="46"/>
      <c r="I136" s="46"/>
      <c r="J136" s="43"/>
    </row>
    <row r="137" customHeight="1" spans="2:10">
      <c r="B137" s="43"/>
      <c r="C137" s="47"/>
      <c r="D137" s="47"/>
      <c r="E137" s="48"/>
      <c r="F137" s="47"/>
      <c r="G137" s="46"/>
      <c r="H137" s="46"/>
      <c r="I137" s="46"/>
      <c r="J137" s="43"/>
    </row>
    <row r="138" customHeight="1" spans="2:10">
      <c r="B138" s="43"/>
      <c r="C138" s="47"/>
      <c r="D138" s="47"/>
      <c r="E138" s="48"/>
      <c r="F138" s="47"/>
      <c r="G138" s="46"/>
      <c r="H138" s="46"/>
      <c r="I138" s="46"/>
      <c r="J138" s="43"/>
    </row>
    <row r="139" customHeight="1" spans="2:10">
      <c r="B139" s="43"/>
      <c r="C139" s="47"/>
      <c r="D139" s="47"/>
      <c r="E139" s="48"/>
      <c r="F139" s="47"/>
      <c r="G139" s="46"/>
      <c r="H139" s="46"/>
      <c r="I139" s="46"/>
      <c r="J139" s="43"/>
    </row>
    <row r="140" customHeight="1" spans="2:10">
      <c r="B140" s="43"/>
      <c r="C140" s="47"/>
      <c r="D140" s="47"/>
      <c r="E140" s="48"/>
      <c r="F140" s="47"/>
      <c r="G140" s="46"/>
      <c r="H140" s="46"/>
      <c r="I140" s="46"/>
      <c r="J140" s="43"/>
    </row>
    <row r="141" customHeight="1" spans="2:10">
      <c r="B141" s="43"/>
      <c r="C141" s="47"/>
      <c r="D141" s="47"/>
      <c r="E141" s="48"/>
      <c r="F141" s="47"/>
      <c r="G141" s="46"/>
      <c r="H141" s="46"/>
      <c r="I141" s="46"/>
      <c r="J141" s="43"/>
    </row>
    <row r="142" customHeight="1" spans="2:10">
      <c r="B142" s="43"/>
      <c r="C142" s="47"/>
      <c r="D142" s="47"/>
      <c r="E142" s="48"/>
      <c r="F142" s="47"/>
      <c r="G142" s="46"/>
      <c r="H142" s="46"/>
      <c r="I142" s="46"/>
      <c r="J142" s="43"/>
    </row>
    <row r="143" customHeight="1" spans="2:10">
      <c r="B143" s="43"/>
      <c r="C143" s="47"/>
      <c r="D143" s="47"/>
      <c r="E143" s="48"/>
      <c r="F143" s="47"/>
      <c r="G143" s="46"/>
      <c r="H143" s="46"/>
      <c r="I143" s="46"/>
      <c r="J143" s="43"/>
    </row>
    <row r="144" customHeight="1" spans="2:10">
      <c r="B144" s="43"/>
      <c r="C144" s="47"/>
      <c r="D144" s="47"/>
      <c r="E144" s="48"/>
      <c r="F144" s="47"/>
      <c r="G144" s="46"/>
      <c r="H144" s="46"/>
      <c r="I144" s="46"/>
      <c r="J144" s="43"/>
    </row>
    <row r="145" customHeight="1" spans="2:10">
      <c r="B145" s="43"/>
      <c r="C145" s="47"/>
      <c r="D145" s="47"/>
      <c r="E145" s="48"/>
      <c r="F145" s="47"/>
      <c r="G145" s="46"/>
      <c r="H145" s="46"/>
      <c r="I145" s="46"/>
      <c r="J145" s="43"/>
    </row>
    <row r="146" customHeight="1" spans="2:10">
      <c r="B146" s="43"/>
      <c r="C146" s="47"/>
      <c r="D146" s="47"/>
      <c r="E146" s="48"/>
      <c r="F146" s="47"/>
      <c r="G146" s="46"/>
      <c r="H146" s="46"/>
      <c r="I146" s="46"/>
      <c r="J146" s="43"/>
    </row>
    <row r="147" customHeight="1" spans="2:10">
      <c r="B147" s="43"/>
      <c r="C147" s="47"/>
      <c r="D147" s="47"/>
      <c r="E147" s="48"/>
      <c r="F147" s="47"/>
      <c r="G147" s="46"/>
      <c r="H147" s="46"/>
      <c r="I147" s="46"/>
      <c r="J147" s="43"/>
    </row>
    <row r="148" customHeight="1" spans="2:10">
      <c r="B148" s="43"/>
      <c r="C148" s="47"/>
      <c r="D148" s="47"/>
      <c r="E148" s="48"/>
      <c r="F148" s="47"/>
      <c r="G148" s="46"/>
      <c r="H148" s="46"/>
      <c r="I148" s="46"/>
      <c r="J148" s="43"/>
    </row>
    <row r="149" customHeight="1" spans="2:10">
      <c r="B149" s="43"/>
      <c r="C149" s="47"/>
      <c r="D149" s="47"/>
      <c r="E149" s="48"/>
      <c r="F149" s="47"/>
      <c r="G149" s="46"/>
      <c r="H149" s="46"/>
      <c r="I149" s="46"/>
      <c r="J149" s="43"/>
    </row>
    <row r="150" customHeight="1" spans="2:10">
      <c r="B150" s="43"/>
      <c r="C150" s="47"/>
      <c r="D150" s="47"/>
      <c r="E150" s="48"/>
      <c r="F150" s="47"/>
      <c r="G150" s="46"/>
      <c r="H150" s="46"/>
      <c r="I150" s="46"/>
      <c r="J150" s="43"/>
    </row>
    <row r="151" customHeight="1" spans="2:10">
      <c r="B151" s="43"/>
      <c r="C151" s="47"/>
      <c r="D151" s="47"/>
      <c r="E151" s="48"/>
      <c r="F151" s="47"/>
      <c r="G151" s="46"/>
      <c r="H151" s="46"/>
      <c r="I151" s="46"/>
      <c r="J151" s="43"/>
    </row>
    <row r="152" customHeight="1" spans="2:10">
      <c r="B152" s="43"/>
      <c r="C152" s="47"/>
      <c r="D152" s="47"/>
      <c r="E152" s="48"/>
      <c r="F152" s="47"/>
      <c r="G152" s="46"/>
      <c r="H152" s="46"/>
      <c r="I152" s="46"/>
      <c r="J152" s="43"/>
    </row>
    <row r="153" customHeight="1" spans="2:10">
      <c r="B153" s="43"/>
      <c r="C153" s="47"/>
      <c r="D153" s="47"/>
      <c r="E153" s="48"/>
      <c r="F153" s="47"/>
      <c r="G153" s="46"/>
      <c r="H153" s="46"/>
      <c r="I153" s="46"/>
      <c r="J153" s="43"/>
    </row>
    <row r="154" customHeight="1" spans="2:10">
      <c r="B154" s="43"/>
      <c r="C154" s="47"/>
      <c r="D154" s="47"/>
      <c r="E154" s="48"/>
      <c r="F154" s="47"/>
      <c r="G154" s="46"/>
      <c r="H154" s="46"/>
      <c r="I154" s="46"/>
      <c r="J154" s="43"/>
    </row>
    <row r="155" customHeight="1" spans="2:10">
      <c r="B155" s="43"/>
      <c r="C155" s="47"/>
      <c r="D155" s="47"/>
      <c r="E155" s="48"/>
      <c r="F155" s="47"/>
      <c r="G155" s="46"/>
      <c r="H155" s="46"/>
      <c r="I155" s="46"/>
      <c r="J155" s="43"/>
    </row>
    <row r="156" customHeight="1" spans="2:10">
      <c r="B156" s="43"/>
      <c r="C156" s="47"/>
      <c r="D156" s="47"/>
      <c r="E156" s="48"/>
      <c r="F156" s="47"/>
      <c r="G156" s="46"/>
      <c r="H156" s="46"/>
      <c r="I156" s="46"/>
      <c r="J156" s="43"/>
    </row>
    <row r="157" customHeight="1" spans="2:10">
      <c r="B157" s="43"/>
      <c r="C157" s="47"/>
      <c r="D157" s="47"/>
      <c r="E157" s="48"/>
      <c r="F157" s="47"/>
      <c r="G157" s="46"/>
      <c r="H157" s="46"/>
      <c r="I157" s="46"/>
      <c r="J157" s="43"/>
    </row>
    <row r="158" customHeight="1" spans="2:10">
      <c r="B158" s="43"/>
      <c r="C158" s="47"/>
      <c r="D158" s="47"/>
      <c r="E158" s="48"/>
      <c r="F158" s="47"/>
      <c r="G158" s="46"/>
      <c r="H158" s="46"/>
      <c r="I158" s="46"/>
      <c r="J158" s="43"/>
    </row>
    <row r="159" customHeight="1" spans="2:10">
      <c r="B159" s="43"/>
      <c r="C159" s="47"/>
      <c r="D159" s="47"/>
      <c r="E159" s="48"/>
      <c r="F159" s="47"/>
      <c r="G159" s="46"/>
      <c r="H159" s="46"/>
      <c r="I159" s="46"/>
      <c r="J159" s="43"/>
    </row>
    <row r="160" customHeight="1" spans="2:10">
      <c r="B160" s="43"/>
      <c r="C160" s="47"/>
      <c r="D160" s="47"/>
      <c r="E160" s="48"/>
      <c r="F160" s="47"/>
      <c r="G160" s="46"/>
      <c r="H160" s="46"/>
      <c r="I160" s="46"/>
      <c r="J160" s="43"/>
    </row>
    <row r="161" customHeight="1" spans="2:10">
      <c r="B161" s="43"/>
      <c r="C161" s="47"/>
      <c r="D161" s="47"/>
      <c r="E161" s="48"/>
      <c r="F161" s="47"/>
      <c r="G161" s="46"/>
      <c r="H161" s="46"/>
      <c r="I161" s="46"/>
      <c r="J161" s="43"/>
    </row>
    <row r="162" customHeight="1" spans="2:10">
      <c r="B162" s="43"/>
      <c r="C162" s="47"/>
      <c r="D162" s="47"/>
      <c r="E162" s="48"/>
      <c r="F162" s="47"/>
      <c r="G162" s="46"/>
      <c r="H162" s="46"/>
      <c r="I162" s="46"/>
      <c r="J162" s="43"/>
    </row>
    <row r="163" customHeight="1" spans="2:10">
      <c r="B163" s="43"/>
      <c r="C163" s="47"/>
      <c r="D163" s="47"/>
      <c r="E163" s="48"/>
      <c r="F163" s="47"/>
      <c r="G163" s="46"/>
      <c r="H163" s="46"/>
      <c r="I163" s="46"/>
      <c r="J163" s="43"/>
    </row>
    <row r="164" customHeight="1" spans="2:10">
      <c r="B164" s="43"/>
      <c r="C164" s="47"/>
      <c r="D164" s="47"/>
      <c r="E164" s="48"/>
      <c r="F164" s="47"/>
      <c r="G164" s="46"/>
      <c r="H164" s="46"/>
      <c r="I164" s="46"/>
      <c r="J164" s="43"/>
    </row>
    <row r="165" customHeight="1" spans="2:10">
      <c r="B165" s="43"/>
      <c r="C165" s="47"/>
      <c r="D165" s="47"/>
      <c r="E165" s="48"/>
      <c r="F165" s="47"/>
      <c r="G165" s="46"/>
      <c r="H165" s="46"/>
      <c r="I165" s="46"/>
      <c r="J165" s="43"/>
    </row>
    <row r="166" customHeight="1" spans="2:10">
      <c r="B166" s="43"/>
      <c r="C166" s="47"/>
      <c r="D166" s="47"/>
      <c r="E166" s="48"/>
      <c r="F166" s="47"/>
      <c r="G166" s="46"/>
      <c r="H166" s="46"/>
      <c r="I166" s="46"/>
      <c r="J166" s="43"/>
    </row>
    <row r="167" customHeight="1" spans="2:10">
      <c r="B167" s="43"/>
      <c r="C167" s="47"/>
      <c r="D167" s="47"/>
      <c r="E167" s="48"/>
      <c r="F167" s="47"/>
      <c r="G167" s="46"/>
      <c r="H167" s="46"/>
      <c r="I167" s="46"/>
      <c r="J167" s="43"/>
    </row>
    <row r="168" customHeight="1" spans="2:10">
      <c r="B168" s="43"/>
      <c r="C168" s="47"/>
      <c r="D168" s="47"/>
      <c r="E168" s="48"/>
      <c r="F168" s="47"/>
      <c r="G168" s="46"/>
      <c r="H168" s="46"/>
      <c r="I168" s="46"/>
      <c r="J168" s="43"/>
    </row>
    <row r="169" customHeight="1" spans="2:10">
      <c r="B169" s="43"/>
      <c r="C169" s="47"/>
      <c r="D169" s="47"/>
      <c r="E169" s="48"/>
      <c r="F169" s="47"/>
      <c r="G169" s="46"/>
      <c r="H169" s="46"/>
      <c r="I169" s="46"/>
      <c r="J169" s="43"/>
    </row>
    <row r="170" customHeight="1" spans="2:10">
      <c r="B170" s="43"/>
      <c r="C170" s="47"/>
      <c r="D170" s="47"/>
      <c r="E170" s="48"/>
      <c r="F170" s="47"/>
      <c r="G170" s="46"/>
      <c r="H170" s="46"/>
      <c r="I170" s="46"/>
      <c r="J170" s="43"/>
    </row>
    <row r="171" customHeight="1" spans="2:10">
      <c r="B171" s="43"/>
      <c r="C171" s="47"/>
      <c r="D171" s="47"/>
      <c r="E171" s="48"/>
      <c r="F171" s="47"/>
      <c r="G171" s="46"/>
      <c r="H171" s="46"/>
      <c r="I171" s="46"/>
      <c r="J171" s="43"/>
    </row>
    <row r="172" customHeight="1" spans="2:10">
      <c r="B172" s="43"/>
      <c r="C172" s="47"/>
      <c r="D172" s="47"/>
      <c r="E172" s="48"/>
      <c r="F172" s="47"/>
      <c r="G172" s="46"/>
      <c r="H172" s="46"/>
      <c r="I172" s="46"/>
      <c r="J172" s="43"/>
    </row>
    <row r="173" customHeight="1" spans="2:10">
      <c r="B173" s="43"/>
      <c r="C173" s="47"/>
      <c r="D173" s="47"/>
      <c r="E173" s="48"/>
      <c r="F173" s="47"/>
      <c r="G173" s="46"/>
      <c r="H173" s="46"/>
      <c r="I173" s="46"/>
      <c r="J173" s="43"/>
    </row>
    <row r="174" customHeight="1" spans="2:10">
      <c r="B174" s="43"/>
      <c r="C174" s="47"/>
      <c r="D174" s="47"/>
      <c r="E174" s="48"/>
      <c r="F174" s="47"/>
      <c r="G174" s="46"/>
      <c r="H174" s="46"/>
      <c r="I174" s="46"/>
      <c r="J174" s="43"/>
    </row>
    <row r="175" customHeight="1" spans="2:10">
      <c r="B175" s="43"/>
      <c r="C175" s="47"/>
      <c r="D175" s="47"/>
      <c r="E175" s="48"/>
      <c r="F175" s="47"/>
      <c r="G175" s="46"/>
      <c r="H175" s="46"/>
      <c r="I175" s="46"/>
      <c r="J175" s="43"/>
    </row>
    <row r="176" customHeight="1" spans="2:10">
      <c r="B176" s="43"/>
      <c r="C176" s="47"/>
      <c r="D176" s="47"/>
      <c r="E176" s="48"/>
      <c r="F176" s="47"/>
      <c r="G176" s="46"/>
      <c r="H176" s="46"/>
      <c r="I176" s="46"/>
      <c r="J176" s="43"/>
    </row>
    <row r="177" customHeight="1" spans="2:10">
      <c r="B177" s="43"/>
      <c r="C177" s="47"/>
      <c r="D177" s="47"/>
      <c r="E177" s="48"/>
      <c r="F177" s="47"/>
      <c r="G177" s="46"/>
      <c r="H177" s="46"/>
      <c r="I177" s="46"/>
      <c r="J177" s="43"/>
    </row>
    <row r="178" customHeight="1" spans="2:10">
      <c r="B178" s="43"/>
      <c r="C178" s="47"/>
      <c r="D178" s="47"/>
      <c r="E178" s="48"/>
      <c r="F178" s="47"/>
      <c r="G178" s="46"/>
      <c r="H178" s="46"/>
      <c r="I178" s="46"/>
      <c r="J178" s="43"/>
    </row>
    <row r="179" customHeight="1" spans="2:10">
      <c r="B179" s="43"/>
      <c r="C179" s="47"/>
      <c r="D179" s="47"/>
      <c r="E179" s="48"/>
      <c r="F179" s="47"/>
      <c r="G179" s="46"/>
      <c r="H179" s="46"/>
      <c r="I179" s="46"/>
      <c r="J179" s="43"/>
    </row>
    <row r="180" customHeight="1" spans="2:10">
      <c r="B180" s="43"/>
      <c r="C180" s="47"/>
      <c r="D180" s="47"/>
      <c r="E180" s="48"/>
      <c r="F180" s="47"/>
      <c r="G180" s="46"/>
      <c r="H180" s="46"/>
      <c r="I180" s="46"/>
      <c r="J180" s="43"/>
    </row>
    <row r="181" customHeight="1" spans="2:10">
      <c r="B181" s="43"/>
      <c r="C181" s="47"/>
      <c r="D181" s="47"/>
      <c r="E181" s="48"/>
      <c r="F181" s="47"/>
      <c r="G181" s="46"/>
      <c r="H181" s="46"/>
      <c r="I181" s="46"/>
      <c r="J181" s="43"/>
    </row>
    <row r="182" customHeight="1" spans="2:10">
      <c r="B182" s="43"/>
      <c r="C182" s="47"/>
      <c r="D182" s="47"/>
      <c r="E182" s="48"/>
      <c r="F182" s="47"/>
      <c r="G182" s="46"/>
      <c r="H182" s="46"/>
      <c r="I182" s="46"/>
      <c r="J182" s="43"/>
    </row>
    <row r="183" customHeight="1" spans="2:10">
      <c r="B183" s="43"/>
      <c r="C183" s="47"/>
      <c r="D183" s="47"/>
      <c r="E183" s="48"/>
      <c r="F183" s="47"/>
      <c r="G183" s="46"/>
      <c r="H183" s="46"/>
      <c r="I183" s="46"/>
      <c r="J183" s="43"/>
    </row>
    <row r="184" customHeight="1" spans="2:10">
      <c r="B184" s="43"/>
      <c r="C184" s="47"/>
      <c r="D184" s="47"/>
      <c r="E184" s="48"/>
      <c r="F184" s="47"/>
      <c r="G184" s="46"/>
      <c r="H184" s="46"/>
      <c r="I184" s="46"/>
      <c r="J184" s="43"/>
    </row>
    <row r="185" customHeight="1" spans="2:10">
      <c r="B185" s="43"/>
      <c r="C185" s="47"/>
      <c r="D185" s="47"/>
      <c r="E185" s="48"/>
      <c r="F185" s="47"/>
      <c r="G185" s="46"/>
      <c r="H185" s="46"/>
      <c r="I185" s="46"/>
      <c r="J185" s="43"/>
    </row>
    <row r="186" customHeight="1" spans="2:10">
      <c r="B186" s="43"/>
      <c r="C186" s="47"/>
      <c r="D186" s="47"/>
      <c r="E186" s="48"/>
      <c r="F186" s="47"/>
      <c r="G186" s="46"/>
      <c r="H186" s="46"/>
      <c r="I186" s="46"/>
      <c r="J186" s="43"/>
    </row>
    <row r="187" customHeight="1" spans="2:10">
      <c r="B187" s="43"/>
      <c r="C187" s="47"/>
      <c r="D187" s="47"/>
      <c r="E187" s="48"/>
      <c r="F187" s="47"/>
      <c r="G187" s="46"/>
      <c r="H187" s="46"/>
      <c r="I187" s="46"/>
      <c r="J187" s="43"/>
    </row>
    <row r="188" customHeight="1" spans="2:10">
      <c r="B188" s="43"/>
      <c r="C188" s="47"/>
      <c r="D188" s="47"/>
      <c r="E188" s="48"/>
      <c r="F188" s="47"/>
      <c r="G188" s="46"/>
      <c r="H188" s="46"/>
      <c r="I188" s="46"/>
      <c r="J188" s="43"/>
    </row>
    <row r="189" customHeight="1" spans="2:10">
      <c r="B189" s="43"/>
      <c r="C189" s="47"/>
      <c r="D189" s="47"/>
      <c r="E189" s="48"/>
      <c r="F189" s="47"/>
      <c r="G189" s="46"/>
      <c r="H189" s="46"/>
      <c r="I189" s="46"/>
      <c r="J189" s="43"/>
    </row>
    <row r="190" customHeight="1" spans="2:10">
      <c r="B190" s="43"/>
      <c r="C190" s="47"/>
      <c r="D190" s="47"/>
      <c r="E190" s="48"/>
      <c r="F190" s="47"/>
      <c r="G190" s="46"/>
      <c r="H190" s="46"/>
      <c r="I190" s="46"/>
      <c r="J190" s="43"/>
    </row>
    <row r="191" customHeight="1" spans="2:10">
      <c r="B191" s="43"/>
      <c r="C191" s="47"/>
      <c r="D191" s="47"/>
      <c r="E191" s="48"/>
      <c r="F191" s="47"/>
      <c r="G191" s="46"/>
      <c r="H191" s="46"/>
      <c r="I191" s="46"/>
      <c r="J191" s="43"/>
    </row>
    <row r="192" customHeight="1" spans="2:10">
      <c r="B192" s="43"/>
      <c r="C192" s="47"/>
      <c r="D192" s="47"/>
      <c r="E192" s="48"/>
      <c r="F192" s="47"/>
      <c r="G192" s="46"/>
      <c r="H192" s="46"/>
      <c r="I192" s="46"/>
      <c r="J192" s="43"/>
    </row>
    <row r="193" customHeight="1" spans="2:10">
      <c r="B193" s="43"/>
      <c r="C193" s="47"/>
      <c r="D193" s="47"/>
      <c r="E193" s="48"/>
      <c r="F193" s="47"/>
      <c r="G193" s="46"/>
      <c r="H193" s="46"/>
      <c r="I193" s="46"/>
      <c r="J193" s="43"/>
    </row>
    <row r="194" customHeight="1" spans="2:10">
      <c r="B194" s="43"/>
      <c r="C194" s="47"/>
      <c r="D194" s="47"/>
      <c r="E194" s="48"/>
      <c r="F194" s="47"/>
      <c r="G194" s="46"/>
      <c r="H194" s="46"/>
      <c r="I194" s="46"/>
      <c r="J194" s="43"/>
    </row>
    <row r="195" customHeight="1" spans="2:10">
      <c r="B195" s="43"/>
      <c r="C195" s="47"/>
      <c r="D195" s="47"/>
      <c r="E195" s="48"/>
      <c r="F195" s="47"/>
      <c r="G195" s="46"/>
      <c r="H195" s="46"/>
      <c r="I195" s="46"/>
      <c r="J195" s="43"/>
    </row>
    <row r="196" customHeight="1" spans="2:10">
      <c r="B196" s="43"/>
      <c r="C196" s="47"/>
      <c r="D196" s="47"/>
      <c r="E196" s="48"/>
      <c r="F196" s="47"/>
      <c r="G196" s="46"/>
      <c r="H196" s="46"/>
      <c r="I196" s="46"/>
      <c r="J196" s="43"/>
    </row>
    <row r="197" customHeight="1" spans="2:10">
      <c r="B197" s="43"/>
      <c r="C197" s="47"/>
      <c r="D197" s="47"/>
      <c r="E197" s="48"/>
      <c r="F197" s="47"/>
      <c r="G197" s="46"/>
      <c r="H197" s="46"/>
      <c r="I197" s="46"/>
      <c r="J197" s="43"/>
    </row>
    <row r="198" customHeight="1" spans="2:10">
      <c r="B198" s="43"/>
      <c r="C198" s="47"/>
      <c r="D198" s="47"/>
      <c r="E198" s="48"/>
      <c r="F198" s="47"/>
      <c r="G198" s="46"/>
      <c r="H198" s="46"/>
      <c r="I198" s="46"/>
      <c r="J198" s="43"/>
    </row>
    <row r="199" customHeight="1" spans="2:10">
      <c r="B199" s="43"/>
      <c r="C199" s="47"/>
      <c r="D199" s="47"/>
      <c r="E199" s="48"/>
      <c r="F199" s="47"/>
      <c r="G199" s="46"/>
      <c r="H199" s="46"/>
      <c r="I199" s="46"/>
      <c r="J199" s="43"/>
    </row>
    <row r="200" customHeight="1" spans="2:10">
      <c r="B200" s="43"/>
      <c r="C200" s="47"/>
      <c r="D200" s="47"/>
      <c r="E200" s="48"/>
      <c r="F200" s="47"/>
      <c r="G200" s="46"/>
      <c r="H200" s="46"/>
      <c r="I200" s="46"/>
      <c r="J200" s="43"/>
    </row>
    <row r="201" customHeight="1" spans="2:10">
      <c r="B201" s="43"/>
      <c r="C201" s="47"/>
      <c r="D201" s="47"/>
      <c r="E201" s="48"/>
      <c r="F201" s="47"/>
      <c r="G201" s="46"/>
      <c r="H201" s="46"/>
      <c r="I201" s="46"/>
      <c r="J201" s="43"/>
    </row>
    <row r="202" customHeight="1" spans="2:10">
      <c r="B202" s="43"/>
      <c r="C202" s="47"/>
      <c r="D202" s="47"/>
      <c r="E202" s="48"/>
      <c r="F202" s="47"/>
      <c r="G202" s="46"/>
      <c r="H202" s="46"/>
      <c r="I202" s="46"/>
      <c r="J202" s="43"/>
    </row>
    <row r="203" customHeight="1" spans="2:10">
      <c r="B203" s="43"/>
      <c r="C203" s="47"/>
      <c r="D203" s="47"/>
      <c r="E203" s="48"/>
      <c r="F203" s="47"/>
      <c r="G203" s="46"/>
      <c r="H203" s="46"/>
      <c r="I203" s="46"/>
      <c r="J203" s="43"/>
    </row>
    <row r="204" customHeight="1" spans="2:10">
      <c r="B204" s="43"/>
      <c r="C204" s="47"/>
      <c r="D204" s="47"/>
      <c r="E204" s="48"/>
      <c r="F204" s="47"/>
      <c r="G204" s="46"/>
      <c r="H204" s="46"/>
      <c r="I204" s="46"/>
      <c r="J204" s="43"/>
    </row>
    <row r="205" customHeight="1" spans="2:10">
      <c r="B205" s="43"/>
      <c r="C205" s="47"/>
      <c r="D205" s="47"/>
      <c r="E205" s="48"/>
      <c r="F205" s="47"/>
      <c r="G205" s="46"/>
      <c r="H205" s="46"/>
      <c r="I205" s="46"/>
      <c r="J205" s="43"/>
    </row>
    <row r="206" customHeight="1" spans="2:10">
      <c r="B206" s="43"/>
      <c r="C206" s="47"/>
      <c r="D206" s="47"/>
      <c r="E206" s="48"/>
      <c r="F206" s="47"/>
      <c r="G206" s="46"/>
      <c r="H206" s="46"/>
      <c r="I206" s="46"/>
      <c r="J206" s="43"/>
    </row>
    <row r="207" customHeight="1" spans="2:10">
      <c r="B207" s="43"/>
      <c r="C207" s="47"/>
      <c r="D207" s="47"/>
      <c r="E207" s="48"/>
      <c r="F207" s="47"/>
      <c r="G207" s="46"/>
      <c r="H207" s="46"/>
      <c r="I207" s="46"/>
      <c r="J207" s="43"/>
    </row>
    <row r="208" customHeight="1" spans="2:10">
      <c r="B208" s="43"/>
      <c r="C208" s="47"/>
      <c r="D208" s="47"/>
      <c r="E208" s="48"/>
      <c r="F208" s="47"/>
      <c r="G208" s="46"/>
      <c r="H208" s="46"/>
      <c r="I208" s="46"/>
      <c r="J208" s="43"/>
    </row>
    <row r="209" customHeight="1" spans="2:10">
      <c r="B209" s="43"/>
      <c r="C209" s="47"/>
      <c r="D209" s="47"/>
      <c r="E209" s="48"/>
      <c r="F209" s="47"/>
      <c r="G209" s="46"/>
      <c r="H209" s="46"/>
      <c r="I209" s="46"/>
      <c r="J209" s="43"/>
    </row>
    <row r="210" customHeight="1" spans="2:10">
      <c r="B210" s="43"/>
      <c r="C210" s="47"/>
      <c r="D210" s="47"/>
      <c r="E210" s="48"/>
      <c r="F210" s="47"/>
      <c r="G210" s="46"/>
      <c r="H210" s="46"/>
      <c r="I210" s="46"/>
      <c r="J210" s="43"/>
    </row>
    <row r="211" customHeight="1" spans="2:10">
      <c r="B211" s="43"/>
      <c r="C211" s="47"/>
      <c r="D211" s="47"/>
      <c r="E211" s="48"/>
      <c r="F211" s="47"/>
      <c r="G211" s="46"/>
      <c r="H211" s="46"/>
      <c r="I211" s="46"/>
      <c r="J211" s="43"/>
    </row>
    <row r="212" customHeight="1" spans="2:10">
      <c r="B212" s="43"/>
      <c r="C212" s="47"/>
      <c r="D212" s="47"/>
      <c r="E212" s="48"/>
      <c r="F212" s="47"/>
      <c r="G212" s="46"/>
      <c r="H212" s="46"/>
      <c r="I212" s="46"/>
      <c r="J212" s="43"/>
    </row>
    <row r="213" customHeight="1" spans="2:10">
      <c r="B213" s="43"/>
      <c r="C213" s="47"/>
      <c r="D213" s="47"/>
      <c r="E213" s="48"/>
      <c r="F213" s="47"/>
      <c r="G213" s="46"/>
      <c r="H213" s="46"/>
      <c r="I213" s="46"/>
      <c r="J213" s="43"/>
    </row>
    <row r="214" customHeight="1" spans="2:10">
      <c r="B214" s="43"/>
      <c r="C214" s="47"/>
      <c r="D214" s="47"/>
      <c r="E214" s="48"/>
      <c r="F214" s="47"/>
      <c r="G214" s="46"/>
      <c r="H214" s="46"/>
      <c r="I214" s="46"/>
      <c r="J214" s="43"/>
    </row>
    <row r="215" customHeight="1" spans="2:10">
      <c r="B215" s="43"/>
      <c r="C215" s="47"/>
      <c r="D215" s="47"/>
      <c r="E215" s="48"/>
      <c r="F215" s="47"/>
      <c r="G215" s="46"/>
      <c r="H215" s="46"/>
      <c r="I215" s="46"/>
      <c r="J215" s="43"/>
    </row>
    <row r="216" customHeight="1" spans="2:10">
      <c r="B216" s="43"/>
      <c r="C216" s="47"/>
      <c r="D216" s="47"/>
      <c r="E216" s="48"/>
      <c r="F216" s="47"/>
      <c r="G216" s="46"/>
      <c r="H216" s="46"/>
      <c r="I216" s="46"/>
      <c r="J216" s="43"/>
    </row>
    <row r="217" customHeight="1" spans="2:10">
      <c r="B217" s="43"/>
      <c r="C217" s="47"/>
      <c r="D217" s="47"/>
      <c r="E217" s="48"/>
      <c r="F217" s="47"/>
      <c r="G217" s="46"/>
      <c r="H217" s="46"/>
      <c r="I217" s="46"/>
      <c r="J217" s="43"/>
    </row>
    <row r="218" customHeight="1" spans="2:10">
      <c r="B218" s="43"/>
      <c r="C218" s="47"/>
      <c r="D218" s="47"/>
      <c r="E218" s="48"/>
      <c r="F218" s="47"/>
      <c r="G218" s="46"/>
      <c r="H218" s="46"/>
      <c r="I218" s="46"/>
      <c r="J218" s="43"/>
    </row>
    <row r="219" customHeight="1" spans="2:10">
      <c r="B219" s="43"/>
      <c r="C219" s="47"/>
      <c r="D219" s="47"/>
      <c r="E219" s="48"/>
      <c r="F219" s="47"/>
      <c r="G219" s="46"/>
      <c r="H219" s="46"/>
      <c r="I219" s="46"/>
      <c r="J219" s="43"/>
    </row>
    <row r="220" customHeight="1" spans="2:10">
      <c r="B220" s="43"/>
      <c r="C220" s="47"/>
      <c r="D220" s="47"/>
      <c r="E220" s="48"/>
      <c r="F220" s="47"/>
      <c r="G220" s="46"/>
      <c r="H220" s="46"/>
      <c r="I220" s="46"/>
      <c r="J220" s="43"/>
    </row>
    <row r="221" customHeight="1" spans="2:10">
      <c r="B221" s="43"/>
      <c r="C221" s="47"/>
      <c r="D221" s="47"/>
      <c r="E221" s="48"/>
      <c r="F221" s="47"/>
      <c r="G221" s="46"/>
      <c r="H221" s="46"/>
      <c r="I221" s="46"/>
      <c r="J221" s="43"/>
    </row>
    <row r="222" customHeight="1" spans="2:10">
      <c r="B222" s="43"/>
      <c r="C222" s="47"/>
      <c r="D222" s="47"/>
      <c r="E222" s="48"/>
      <c r="F222" s="47"/>
      <c r="G222" s="46"/>
      <c r="H222" s="46"/>
      <c r="I222" s="46"/>
      <c r="J222" s="43"/>
    </row>
    <row r="223" customHeight="1" spans="2:10">
      <c r="B223" s="43"/>
      <c r="C223" s="47"/>
      <c r="D223" s="47"/>
      <c r="E223" s="48"/>
      <c r="F223" s="47"/>
      <c r="G223" s="46"/>
      <c r="H223" s="46"/>
      <c r="I223" s="46"/>
      <c r="J223" s="43"/>
    </row>
    <row r="224" customHeight="1" spans="2:10">
      <c r="B224" s="43"/>
      <c r="C224" s="47"/>
      <c r="D224" s="47"/>
      <c r="E224" s="48"/>
      <c r="F224" s="47"/>
      <c r="G224" s="46"/>
      <c r="H224" s="46"/>
      <c r="I224" s="46"/>
      <c r="J224" s="43"/>
    </row>
    <row r="225" customHeight="1" spans="2:10">
      <c r="B225" s="43"/>
      <c r="C225" s="47"/>
      <c r="D225" s="47"/>
      <c r="E225" s="48"/>
      <c r="F225" s="47"/>
      <c r="G225" s="46"/>
      <c r="H225" s="46"/>
      <c r="I225" s="46"/>
      <c r="J225" s="43"/>
    </row>
    <row r="226" customHeight="1" spans="2:10">
      <c r="B226" s="43"/>
      <c r="C226" s="47"/>
      <c r="D226" s="47"/>
      <c r="E226" s="48"/>
      <c r="F226" s="47"/>
      <c r="G226" s="46"/>
      <c r="H226" s="46"/>
      <c r="I226" s="46"/>
      <c r="J226" s="43"/>
    </row>
    <row r="227" customHeight="1" spans="2:10">
      <c r="B227" s="43"/>
      <c r="C227" s="47"/>
      <c r="D227" s="47"/>
      <c r="E227" s="48"/>
      <c r="F227" s="47"/>
      <c r="G227" s="46"/>
      <c r="H227" s="46"/>
      <c r="I227" s="46"/>
      <c r="J227" s="43"/>
    </row>
    <row r="228" customHeight="1" spans="2:10">
      <c r="B228" s="43"/>
      <c r="C228" s="47"/>
      <c r="D228" s="47"/>
      <c r="E228" s="48"/>
      <c r="F228" s="47"/>
      <c r="G228" s="46"/>
      <c r="H228" s="46"/>
      <c r="I228" s="46"/>
      <c r="J228" s="43"/>
    </row>
    <row r="229" customHeight="1" spans="2:10">
      <c r="B229" s="43"/>
      <c r="C229" s="47"/>
      <c r="D229" s="47"/>
      <c r="E229" s="48"/>
      <c r="F229" s="47"/>
      <c r="G229" s="46"/>
      <c r="H229" s="46"/>
      <c r="I229" s="46"/>
      <c r="J229" s="43"/>
    </row>
    <row r="230" customHeight="1" spans="2:10">
      <c r="B230" s="43"/>
      <c r="C230" s="47"/>
      <c r="D230" s="47"/>
      <c r="E230" s="48"/>
      <c r="F230" s="47"/>
      <c r="G230" s="46"/>
      <c r="H230" s="46"/>
      <c r="I230" s="46"/>
      <c r="J230" s="43"/>
    </row>
    <row r="231" customHeight="1" spans="2:10">
      <c r="B231" s="43"/>
      <c r="C231" s="47"/>
      <c r="D231" s="47"/>
      <c r="E231" s="48"/>
      <c r="F231" s="47"/>
      <c r="G231" s="46"/>
      <c r="H231" s="46"/>
      <c r="I231" s="46"/>
      <c r="J231" s="43"/>
    </row>
    <row r="232" customHeight="1" spans="2:10">
      <c r="B232" s="43"/>
      <c r="C232" s="47"/>
      <c r="D232" s="47"/>
      <c r="E232" s="48"/>
      <c r="F232" s="47"/>
      <c r="G232" s="46"/>
      <c r="H232" s="46"/>
      <c r="I232" s="46"/>
      <c r="J232" s="43"/>
    </row>
    <row r="233" customHeight="1" spans="2:10">
      <c r="B233" s="43"/>
      <c r="C233" s="47"/>
      <c r="D233" s="47"/>
      <c r="E233" s="48"/>
      <c r="F233" s="47"/>
      <c r="G233" s="46"/>
      <c r="H233" s="46"/>
      <c r="I233" s="46"/>
      <c r="J233" s="43"/>
    </row>
    <row r="234" customHeight="1" spans="2:10">
      <c r="B234" s="43"/>
      <c r="C234" s="47"/>
      <c r="D234" s="47"/>
      <c r="E234" s="48"/>
      <c r="F234" s="47"/>
      <c r="G234" s="46"/>
      <c r="H234" s="46"/>
      <c r="I234" s="46"/>
      <c r="J234" s="43"/>
    </row>
    <row r="235" customHeight="1" spans="2:10">
      <c r="B235" s="43"/>
      <c r="C235" s="47"/>
      <c r="D235" s="47"/>
      <c r="E235" s="48"/>
      <c r="F235" s="47"/>
      <c r="G235" s="46"/>
      <c r="H235" s="46"/>
      <c r="I235" s="46"/>
      <c r="J235" s="43"/>
    </row>
    <row r="236" customHeight="1" spans="2:10">
      <c r="B236" s="43"/>
      <c r="C236" s="47"/>
      <c r="D236" s="47"/>
      <c r="E236" s="48"/>
      <c r="F236" s="47"/>
      <c r="G236" s="46"/>
      <c r="H236" s="46"/>
      <c r="I236" s="46"/>
      <c r="J236" s="43"/>
    </row>
    <row r="237" customHeight="1" spans="2:10">
      <c r="B237" s="43"/>
      <c r="C237" s="47"/>
      <c r="D237" s="47"/>
      <c r="E237" s="48"/>
      <c r="F237" s="47"/>
      <c r="G237" s="46"/>
      <c r="H237" s="46"/>
      <c r="I237" s="46"/>
      <c r="J237" s="43"/>
    </row>
    <row r="238" customHeight="1" spans="2:10">
      <c r="B238" s="43"/>
      <c r="C238" s="47"/>
      <c r="D238" s="47"/>
      <c r="E238" s="48"/>
      <c r="F238" s="47"/>
      <c r="G238" s="46"/>
      <c r="H238" s="46"/>
      <c r="I238" s="46"/>
      <c r="J238" s="43"/>
    </row>
    <row r="239" customHeight="1" spans="2:10">
      <c r="B239" s="43"/>
      <c r="C239" s="47"/>
      <c r="D239" s="47"/>
      <c r="E239" s="48"/>
      <c r="F239" s="47"/>
      <c r="G239" s="46"/>
      <c r="H239" s="46"/>
      <c r="I239" s="46"/>
      <c r="J239" s="43"/>
    </row>
    <row r="240" customHeight="1" spans="2:10">
      <c r="B240" s="43"/>
      <c r="C240" s="47"/>
      <c r="D240" s="47"/>
      <c r="E240" s="48"/>
      <c r="F240" s="47"/>
      <c r="G240" s="46"/>
      <c r="H240" s="46"/>
      <c r="I240" s="46"/>
      <c r="J240" s="43"/>
    </row>
    <row r="241" customHeight="1" spans="2:10">
      <c r="B241" s="43"/>
      <c r="C241" s="47"/>
      <c r="D241" s="47"/>
      <c r="E241" s="48"/>
      <c r="F241" s="47"/>
      <c r="G241" s="46"/>
      <c r="H241" s="46"/>
      <c r="I241" s="46"/>
      <c r="J241" s="43"/>
    </row>
    <row r="242" customHeight="1" spans="2:10">
      <c r="B242" s="43"/>
      <c r="C242" s="47"/>
      <c r="D242" s="47"/>
      <c r="E242" s="48"/>
      <c r="F242" s="47"/>
      <c r="G242" s="46"/>
      <c r="H242" s="46"/>
      <c r="I242" s="46"/>
      <c r="J242" s="43"/>
    </row>
    <row r="243" customHeight="1" spans="2:10">
      <c r="B243" s="43"/>
      <c r="C243" s="47"/>
      <c r="D243" s="47"/>
      <c r="E243" s="48"/>
      <c r="F243" s="47"/>
      <c r="G243" s="46"/>
      <c r="H243" s="46"/>
      <c r="I243" s="46"/>
      <c r="J243" s="43"/>
    </row>
    <row r="244" customHeight="1" spans="2:10">
      <c r="B244" s="43"/>
      <c r="C244" s="47"/>
      <c r="D244" s="47"/>
      <c r="E244" s="48"/>
      <c r="F244" s="47"/>
      <c r="G244" s="46"/>
      <c r="H244" s="46"/>
      <c r="I244" s="46"/>
      <c r="J244" s="43"/>
    </row>
    <row r="245" customHeight="1" spans="2:10">
      <c r="B245" s="43"/>
      <c r="C245" s="47"/>
      <c r="D245" s="47"/>
      <c r="E245" s="48"/>
      <c r="F245" s="47"/>
      <c r="G245" s="46"/>
      <c r="H245" s="46"/>
      <c r="I245" s="46"/>
      <c r="J245" s="43"/>
    </row>
    <row r="246" customHeight="1" spans="2:10">
      <c r="B246" s="43"/>
      <c r="C246" s="47"/>
      <c r="D246" s="47"/>
      <c r="E246" s="48"/>
      <c r="F246" s="47"/>
      <c r="G246" s="46"/>
      <c r="H246" s="46"/>
      <c r="I246" s="46"/>
      <c r="J246" s="43"/>
    </row>
    <row r="247" customHeight="1" spans="2:10">
      <c r="B247" s="43"/>
      <c r="C247" s="47"/>
      <c r="D247" s="47"/>
      <c r="E247" s="48"/>
      <c r="F247" s="47"/>
      <c r="G247" s="46"/>
      <c r="H247" s="46"/>
      <c r="I247" s="46"/>
      <c r="J247" s="43"/>
    </row>
    <row r="248" customHeight="1" spans="2:10">
      <c r="B248" s="43"/>
      <c r="C248" s="47"/>
      <c r="D248" s="47"/>
      <c r="E248" s="48"/>
      <c r="F248" s="47"/>
      <c r="G248" s="46"/>
      <c r="H248" s="46"/>
      <c r="I248" s="46"/>
      <c r="J248" s="43"/>
    </row>
    <row r="249" customHeight="1" spans="2:10">
      <c r="B249" s="43"/>
      <c r="C249" s="47"/>
      <c r="D249" s="47"/>
      <c r="E249" s="48"/>
      <c r="F249" s="47"/>
      <c r="G249" s="46"/>
      <c r="H249" s="46"/>
      <c r="I249" s="46"/>
      <c r="J249" s="43"/>
    </row>
    <row r="250" customHeight="1" spans="2:10">
      <c r="B250" s="43"/>
      <c r="C250" s="47"/>
      <c r="D250" s="47"/>
      <c r="E250" s="48"/>
      <c r="F250" s="47"/>
      <c r="G250" s="46"/>
      <c r="H250" s="46"/>
      <c r="I250" s="46"/>
      <c r="J250" s="43"/>
    </row>
    <row r="251" customHeight="1" spans="2:10">
      <c r="B251" s="43"/>
      <c r="C251" s="47"/>
      <c r="D251" s="47"/>
      <c r="E251" s="48"/>
      <c r="F251" s="47"/>
      <c r="G251" s="46"/>
      <c r="H251" s="46"/>
      <c r="I251" s="46"/>
      <c r="J251" s="43"/>
    </row>
    <row r="252" customHeight="1" spans="2:10">
      <c r="B252" s="43"/>
      <c r="C252" s="47"/>
      <c r="D252" s="47"/>
      <c r="E252" s="48"/>
      <c r="F252" s="47"/>
      <c r="G252" s="46"/>
      <c r="H252" s="46"/>
      <c r="I252" s="46"/>
      <c r="J252" s="43"/>
    </row>
    <row r="253" customHeight="1" spans="2:10">
      <c r="B253" s="43"/>
      <c r="C253" s="47"/>
      <c r="D253" s="47"/>
      <c r="E253" s="48"/>
      <c r="F253" s="47"/>
      <c r="G253" s="46"/>
      <c r="H253" s="46"/>
      <c r="I253" s="46"/>
      <c r="J253" s="43"/>
    </row>
    <row r="254" customHeight="1" spans="2:10">
      <c r="B254" s="43"/>
      <c r="C254" s="47"/>
      <c r="D254" s="47"/>
      <c r="E254" s="48"/>
      <c r="F254" s="47"/>
      <c r="G254" s="46"/>
      <c r="H254" s="46"/>
      <c r="I254" s="46"/>
      <c r="J254" s="43"/>
    </row>
    <row r="255" customHeight="1" spans="2:10">
      <c r="B255" s="43"/>
      <c r="C255" s="47"/>
      <c r="D255" s="47"/>
      <c r="E255" s="48"/>
      <c r="F255" s="47"/>
      <c r="G255" s="46"/>
      <c r="H255" s="46"/>
      <c r="I255" s="46"/>
      <c r="J255" s="43"/>
    </row>
    <row r="256" customHeight="1" spans="2:10">
      <c r="B256" s="43"/>
      <c r="C256" s="47"/>
      <c r="D256" s="47"/>
      <c r="E256" s="48"/>
      <c r="F256" s="47"/>
      <c r="G256" s="46"/>
      <c r="H256" s="46"/>
      <c r="I256" s="46"/>
      <c r="J256" s="43"/>
    </row>
    <row r="257" customHeight="1" spans="2:10">
      <c r="B257" s="43"/>
      <c r="C257" s="47"/>
      <c r="D257" s="47"/>
      <c r="E257" s="48"/>
      <c r="F257" s="47"/>
      <c r="G257" s="46"/>
      <c r="H257" s="46"/>
      <c r="I257" s="46"/>
      <c r="J257" s="43"/>
    </row>
    <row r="258" customHeight="1" spans="2:10">
      <c r="B258" s="43"/>
      <c r="C258" s="47"/>
      <c r="D258" s="47"/>
      <c r="E258" s="48"/>
      <c r="F258" s="47"/>
      <c r="G258" s="46"/>
      <c r="H258" s="46"/>
      <c r="I258" s="46"/>
      <c r="J258" s="43"/>
    </row>
    <row r="259" customHeight="1" spans="2:10">
      <c r="B259" s="43"/>
      <c r="C259" s="47"/>
      <c r="D259" s="47"/>
      <c r="E259" s="48"/>
      <c r="F259" s="47"/>
      <c r="G259" s="46"/>
      <c r="H259" s="46"/>
      <c r="I259" s="46"/>
      <c r="J259" s="43"/>
    </row>
    <row r="260" customHeight="1" spans="2:10">
      <c r="B260" s="43"/>
      <c r="C260" s="47"/>
      <c r="D260" s="47"/>
      <c r="E260" s="48"/>
      <c r="F260" s="47"/>
      <c r="G260" s="46"/>
      <c r="H260" s="46"/>
      <c r="I260" s="46"/>
      <c r="J260" s="43"/>
    </row>
    <row r="261" customHeight="1" spans="2:10">
      <c r="B261" s="43"/>
      <c r="C261" s="47"/>
      <c r="D261" s="47"/>
      <c r="E261" s="48"/>
      <c r="F261" s="47"/>
      <c r="G261" s="46"/>
      <c r="H261" s="46"/>
      <c r="I261" s="46"/>
      <c r="J261" s="43"/>
    </row>
    <row r="262" customHeight="1" spans="2:10">
      <c r="B262" s="43"/>
      <c r="C262" s="47"/>
      <c r="D262" s="47"/>
      <c r="E262" s="48"/>
      <c r="F262" s="47"/>
      <c r="G262" s="46"/>
      <c r="H262" s="46"/>
      <c r="I262" s="46"/>
      <c r="J262" s="43"/>
    </row>
    <row r="263" customHeight="1" spans="2:10">
      <c r="B263" s="43"/>
      <c r="C263" s="47"/>
      <c r="D263" s="47"/>
      <c r="E263" s="48"/>
      <c r="F263" s="47"/>
      <c r="G263" s="46"/>
      <c r="H263" s="46"/>
      <c r="I263" s="46"/>
      <c r="J263" s="43"/>
    </row>
    <row r="264" customHeight="1" spans="2:10">
      <c r="B264" s="43"/>
      <c r="C264" s="47"/>
      <c r="D264" s="47"/>
      <c r="E264" s="48"/>
      <c r="F264" s="47"/>
      <c r="G264" s="46"/>
      <c r="H264" s="46"/>
      <c r="I264" s="46"/>
      <c r="J264" s="43"/>
    </row>
    <row r="265" customHeight="1" spans="2:10">
      <c r="B265" s="43"/>
      <c r="C265" s="47"/>
      <c r="D265" s="47"/>
      <c r="E265" s="48"/>
      <c r="F265" s="47"/>
      <c r="G265" s="46"/>
      <c r="H265" s="46"/>
      <c r="I265" s="46"/>
      <c r="J265" s="43"/>
    </row>
    <row r="266" customHeight="1" spans="2:10">
      <c r="B266" s="43"/>
      <c r="C266" s="47"/>
      <c r="D266" s="47"/>
      <c r="E266" s="48"/>
      <c r="F266" s="47"/>
      <c r="G266" s="46"/>
      <c r="H266" s="46"/>
      <c r="I266" s="46"/>
      <c r="J266" s="43"/>
    </row>
    <row r="267" customHeight="1" spans="2:10">
      <c r="B267" s="43"/>
      <c r="C267" s="47"/>
      <c r="D267" s="47"/>
      <c r="E267" s="48"/>
      <c r="F267" s="47"/>
      <c r="G267" s="46"/>
      <c r="H267" s="46"/>
      <c r="I267" s="46"/>
      <c r="J267" s="43"/>
    </row>
    <row r="268" customHeight="1" spans="2:10">
      <c r="B268" s="43"/>
      <c r="C268" s="47"/>
      <c r="D268" s="47"/>
      <c r="E268" s="48"/>
      <c r="F268" s="47"/>
      <c r="G268" s="46"/>
      <c r="H268" s="46"/>
      <c r="I268" s="46"/>
      <c r="J268" s="43"/>
    </row>
    <row r="269" customHeight="1" spans="2:10">
      <c r="B269" s="43"/>
      <c r="C269" s="47"/>
      <c r="D269" s="47"/>
      <c r="E269" s="48"/>
      <c r="F269" s="47"/>
      <c r="G269" s="46"/>
      <c r="H269" s="46"/>
      <c r="I269" s="46"/>
      <c r="J269" s="43"/>
    </row>
    <row r="270" customHeight="1" spans="2:10">
      <c r="B270" s="43"/>
      <c r="C270" s="47"/>
      <c r="D270" s="47"/>
      <c r="E270" s="48"/>
      <c r="F270" s="47"/>
      <c r="G270" s="46"/>
      <c r="H270" s="46"/>
      <c r="I270" s="46"/>
      <c r="J270" s="43"/>
    </row>
    <row r="271" customHeight="1" spans="2:10">
      <c r="B271" s="43"/>
      <c r="C271" s="47"/>
      <c r="D271" s="47"/>
      <c r="E271" s="48"/>
      <c r="F271" s="47"/>
      <c r="G271" s="46"/>
      <c r="H271" s="46"/>
      <c r="I271" s="46"/>
      <c r="J271" s="43"/>
    </row>
    <row r="272" customHeight="1" spans="2:10">
      <c r="B272" s="43"/>
      <c r="C272" s="47"/>
      <c r="D272" s="47"/>
      <c r="E272" s="48"/>
      <c r="F272" s="47"/>
      <c r="G272" s="46"/>
      <c r="H272" s="46"/>
      <c r="I272" s="46"/>
      <c r="J272" s="43"/>
    </row>
    <row r="273" customHeight="1" spans="2:10">
      <c r="B273" s="43"/>
      <c r="C273" s="47"/>
      <c r="D273" s="47"/>
      <c r="E273" s="48"/>
      <c r="F273" s="47"/>
      <c r="G273" s="46"/>
      <c r="H273" s="46"/>
      <c r="I273" s="46"/>
      <c r="J273" s="43"/>
    </row>
    <row r="274" customHeight="1" spans="2:10">
      <c r="B274" s="43"/>
      <c r="C274" s="47"/>
      <c r="D274" s="47"/>
      <c r="E274" s="48"/>
      <c r="F274" s="47"/>
      <c r="G274" s="46"/>
      <c r="H274" s="46"/>
      <c r="I274" s="46"/>
      <c r="J274" s="43"/>
    </row>
    <row r="275" customHeight="1" spans="2:10">
      <c r="B275" s="43"/>
      <c r="C275" s="47"/>
      <c r="D275" s="47"/>
      <c r="E275" s="48"/>
      <c r="F275" s="47"/>
      <c r="G275" s="46"/>
      <c r="H275" s="46"/>
      <c r="I275" s="46"/>
      <c r="J275" s="43"/>
    </row>
    <row r="276" customHeight="1" spans="2:10">
      <c r="B276" s="43"/>
      <c r="C276" s="47"/>
      <c r="D276" s="47"/>
      <c r="E276" s="48"/>
      <c r="F276" s="47"/>
      <c r="G276" s="46"/>
      <c r="H276" s="46"/>
      <c r="I276" s="46"/>
      <c r="J276" s="43"/>
    </row>
    <row r="277" customHeight="1" spans="2:10">
      <c r="B277" s="43"/>
      <c r="C277" s="47"/>
      <c r="D277" s="47"/>
      <c r="E277" s="48"/>
      <c r="F277" s="47"/>
      <c r="G277" s="46"/>
      <c r="H277" s="46"/>
      <c r="I277" s="46"/>
      <c r="J277" s="43"/>
    </row>
    <row r="278" customHeight="1" spans="2:10">
      <c r="B278" s="43"/>
      <c r="C278" s="47"/>
      <c r="D278" s="47"/>
      <c r="E278" s="48"/>
      <c r="F278" s="47"/>
      <c r="G278" s="46"/>
      <c r="H278" s="46"/>
      <c r="I278" s="46"/>
      <c r="J278" s="43"/>
    </row>
    <row r="279" customHeight="1" spans="2:10">
      <c r="B279" s="43"/>
      <c r="C279" s="47"/>
      <c r="D279" s="47"/>
      <c r="E279" s="48"/>
      <c r="F279" s="47"/>
      <c r="G279" s="46"/>
      <c r="H279" s="46"/>
      <c r="I279" s="46"/>
      <c r="J279" s="43"/>
    </row>
    <row r="280" customHeight="1" spans="2:10">
      <c r="B280" s="43"/>
      <c r="C280" s="47"/>
      <c r="D280" s="47"/>
      <c r="E280" s="48"/>
      <c r="F280" s="47"/>
      <c r="G280" s="46"/>
      <c r="H280" s="46"/>
      <c r="I280" s="46"/>
      <c r="J280" s="43"/>
    </row>
    <row r="281" customHeight="1" spans="2:10">
      <c r="B281" s="43"/>
      <c r="C281" s="47"/>
      <c r="D281" s="47"/>
      <c r="E281" s="48"/>
      <c r="F281" s="47"/>
      <c r="G281" s="46"/>
      <c r="H281" s="46"/>
      <c r="I281" s="46"/>
      <c r="J281" s="43"/>
    </row>
    <row r="282" customHeight="1" spans="2:10">
      <c r="B282" s="43"/>
      <c r="C282" s="47"/>
      <c r="D282" s="47"/>
      <c r="E282" s="48"/>
      <c r="F282" s="47"/>
      <c r="G282" s="46"/>
      <c r="H282" s="46"/>
      <c r="I282" s="46"/>
      <c r="J282" s="43"/>
    </row>
    <row r="283" customHeight="1" spans="2:10">
      <c r="B283" s="43"/>
      <c r="C283" s="47"/>
      <c r="D283" s="47"/>
      <c r="E283" s="48"/>
      <c r="F283" s="47"/>
      <c r="G283" s="46"/>
      <c r="H283" s="46"/>
      <c r="I283" s="46"/>
      <c r="J283" s="43"/>
    </row>
    <row r="284" customHeight="1" spans="2:10">
      <c r="B284" s="43"/>
      <c r="C284" s="47"/>
      <c r="D284" s="47"/>
      <c r="E284" s="48"/>
      <c r="F284" s="47"/>
      <c r="G284" s="46"/>
      <c r="H284" s="46"/>
      <c r="I284" s="46"/>
      <c r="J284" s="43"/>
    </row>
    <row r="285" customHeight="1" spans="2:10">
      <c r="B285" s="43"/>
      <c r="C285" s="47"/>
      <c r="D285" s="47"/>
      <c r="E285" s="48"/>
      <c r="F285" s="47"/>
      <c r="G285" s="46"/>
      <c r="H285" s="46"/>
      <c r="I285" s="46"/>
      <c r="J285" s="43"/>
    </row>
    <row r="286" customHeight="1" spans="2:10">
      <c r="B286" s="43"/>
      <c r="C286" s="47"/>
      <c r="D286" s="47"/>
      <c r="E286" s="48"/>
      <c r="F286" s="47"/>
      <c r="G286" s="46"/>
      <c r="H286" s="46"/>
      <c r="I286" s="46"/>
      <c r="J286" s="43"/>
    </row>
    <row r="287" customHeight="1" spans="2:10">
      <c r="B287" s="43"/>
      <c r="C287" s="47"/>
      <c r="D287" s="47"/>
      <c r="E287" s="48"/>
      <c r="F287" s="47"/>
      <c r="G287" s="46"/>
      <c r="H287" s="46"/>
      <c r="I287" s="46"/>
      <c r="J287" s="43"/>
    </row>
    <row r="288" customHeight="1" spans="2:10">
      <c r="B288" s="43"/>
      <c r="C288" s="47"/>
      <c r="D288" s="47"/>
      <c r="E288" s="48"/>
      <c r="F288" s="47"/>
      <c r="G288" s="46"/>
      <c r="H288" s="46"/>
      <c r="I288" s="46"/>
      <c r="J288" s="43"/>
    </row>
    <row r="289" customHeight="1" spans="2:10">
      <c r="B289" s="43"/>
      <c r="C289" s="47"/>
      <c r="D289" s="47"/>
      <c r="E289" s="48"/>
      <c r="F289" s="47"/>
      <c r="G289" s="46"/>
      <c r="H289" s="46"/>
      <c r="I289" s="46"/>
      <c r="J289" s="43"/>
    </row>
    <row r="290" customHeight="1" spans="2:10">
      <c r="B290" s="43"/>
      <c r="C290" s="47"/>
      <c r="D290" s="47"/>
      <c r="E290" s="48"/>
      <c r="F290" s="47"/>
      <c r="G290" s="46"/>
      <c r="H290" s="46"/>
      <c r="I290" s="46"/>
      <c r="J290" s="43"/>
    </row>
    <row r="291" customHeight="1" spans="2:10">
      <c r="B291" s="43"/>
      <c r="C291" s="47"/>
      <c r="D291" s="47"/>
      <c r="E291" s="48"/>
      <c r="F291" s="47"/>
      <c r="G291" s="46"/>
      <c r="H291" s="46"/>
      <c r="I291" s="46"/>
      <c r="J291" s="43"/>
    </row>
    <row r="292" customHeight="1" spans="2:10">
      <c r="B292" s="43"/>
      <c r="C292" s="47"/>
      <c r="D292" s="47"/>
      <c r="E292" s="48"/>
      <c r="F292" s="47"/>
      <c r="G292" s="46"/>
      <c r="H292" s="46"/>
      <c r="I292" s="46"/>
      <c r="J292" s="43"/>
    </row>
    <row r="293" customHeight="1" spans="2:10">
      <c r="B293" s="43"/>
      <c r="C293" s="47"/>
      <c r="D293" s="47"/>
      <c r="E293" s="48"/>
      <c r="F293" s="47"/>
      <c r="G293" s="46"/>
      <c r="H293" s="46"/>
      <c r="I293" s="46"/>
      <c r="J293" s="43"/>
    </row>
    <row r="294" customHeight="1" spans="2:10">
      <c r="B294" s="43"/>
      <c r="C294" s="47"/>
      <c r="D294" s="47"/>
      <c r="E294" s="48"/>
      <c r="F294" s="47"/>
      <c r="G294" s="46"/>
      <c r="H294" s="46"/>
      <c r="I294" s="46"/>
      <c r="J294" s="43"/>
    </row>
    <row r="295" customHeight="1" spans="2:10">
      <c r="B295" s="43"/>
      <c r="C295" s="47"/>
      <c r="D295" s="47"/>
      <c r="E295" s="48"/>
      <c r="F295" s="47"/>
      <c r="G295" s="46"/>
      <c r="H295" s="46"/>
      <c r="I295" s="46"/>
      <c r="J295" s="43"/>
    </row>
    <row r="296" customHeight="1" spans="2:10">
      <c r="B296" s="43"/>
      <c r="C296" s="47"/>
      <c r="D296" s="47"/>
      <c r="E296" s="48"/>
      <c r="F296" s="47"/>
      <c r="G296" s="46"/>
      <c r="H296" s="46"/>
      <c r="I296" s="46"/>
      <c r="J296" s="43"/>
    </row>
    <row r="297" customHeight="1" spans="2:10">
      <c r="B297" s="43"/>
      <c r="C297" s="47"/>
      <c r="D297" s="47"/>
      <c r="E297" s="48"/>
      <c r="F297" s="47"/>
      <c r="G297" s="46"/>
      <c r="H297" s="46"/>
      <c r="I297" s="46"/>
      <c r="J297" s="43"/>
    </row>
    <row r="298" customHeight="1" spans="2:10">
      <c r="B298" s="43"/>
      <c r="C298" s="47"/>
      <c r="D298" s="47"/>
      <c r="E298" s="48"/>
      <c r="F298" s="47"/>
      <c r="G298" s="46"/>
      <c r="H298" s="46"/>
      <c r="I298" s="46"/>
      <c r="J298" s="43"/>
    </row>
    <row r="299" customHeight="1" spans="2:10">
      <c r="B299" s="43"/>
      <c r="C299" s="47"/>
      <c r="D299" s="47"/>
      <c r="E299" s="48"/>
      <c r="F299" s="47"/>
      <c r="G299" s="46"/>
      <c r="H299" s="46"/>
      <c r="I299" s="46"/>
      <c r="J299" s="43"/>
    </row>
    <row r="300" customHeight="1" spans="2:10">
      <c r="B300" s="43"/>
      <c r="C300" s="47"/>
      <c r="D300" s="47"/>
      <c r="E300" s="48"/>
      <c r="F300" s="47"/>
      <c r="G300" s="46"/>
      <c r="H300" s="46"/>
      <c r="I300" s="46"/>
      <c r="J300" s="43"/>
    </row>
    <row r="301" customHeight="1" spans="2:10">
      <c r="B301" s="43"/>
      <c r="C301" s="47"/>
      <c r="D301" s="47"/>
      <c r="E301" s="48"/>
      <c r="F301" s="47"/>
      <c r="G301" s="46"/>
      <c r="H301" s="46"/>
      <c r="I301" s="46"/>
      <c r="J301" s="43"/>
    </row>
    <row r="302" customHeight="1" spans="2:10">
      <c r="B302" s="43"/>
      <c r="C302" s="47"/>
      <c r="D302" s="47"/>
      <c r="E302" s="48"/>
      <c r="F302" s="47"/>
      <c r="G302" s="46"/>
      <c r="H302" s="46"/>
      <c r="I302" s="46"/>
      <c r="J302" s="43"/>
    </row>
    <row r="303" customHeight="1" spans="2:10">
      <c r="B303" s="43"/>
      <c r="C303" s="47"/>
      <c r="D303" s="47"/>
      <c r="E303" s="48"/>
      <c r="F303" s="47"/>
      <c r="G303" s="46"/>
      <c r="H303" s="46"/>
      <c r="I303" s="46"/>
      <c r="J303" s="43"/>
    </row>
    <row r="304" customHeight="1" spans="2:10">
      <c r="B304" s="43"/>
      <c r="C304" s="47"/>
      <c r="D304" s="47"/>
      <c r="E304" s="48"/>
      <c r="F304" s="47"/>
      <c r="G304" s="46"/>
      <c r="H304" s="46"/>
      <c r="I304" s="46"/>
      <c r="J304" s="43"/>
    </row>
    <row r="305" customHeight="1" spans="2:10">
      <c r="B305" s="43"/>
      <c r="C305" s="47"/>
      <c r="D305" s="47"/>
      <c r="E305" s="48"/>
      <c r="F305" s="47"/>
      <c r="G305" s="46"/>
      <c r="H305" s="46"/>
      <c r="I305" s="46"/>
      <c r="J305" s="43"/>
    </row>
    <row r="306" customHeight="1" spans="2:10">
      <c r="B306" s="43"/>
      <c r="C306" s="47"/>
      <c r="D306" s="47"/>
      <c r="E306" s="48"/>
      <c r="F306" s="47"/>
      <c r="G306" s="46"/>
      <c r="H306" s="46"/>
      <c r="I306" s="46"/>
      <c r="J306" s="43"/>
    </row>
    <row r="307" customHeight="1" spans="2:10">
      <c r="B307" s="43"/>
      <c r="C307" s="47"/>
      <c r="D307" s="47"/>
      <c r="E307" s="48"/>
      <c r="F307" s="47"/>
      <c r="G307" s="46"/>
      <c r="H307" s="46"/>
      <c r="I307" s="46"/>
      <c r="J307" s="43"/>
    </row>
    <row r="308" customHeight="1" spans="2:10">
      <c r="B308" s="43"/>
      <c r="C308" s="47"/>
      <c r="D308" s="47"/>
      <c r="E308" s="48"/>
      <c r="F308" s="47"/>
      <c r="G308" s="46"/>
      <c r="H308" s="46"/>
      <c r="I308" s="46"/>
      <c r="J308" s="43"/>
    </row>
    <row r="309" customHeight="1" spans="2:10">
      <c r="B309" s="43"/>
      <c r="C309" s="47"/>
      <c r="D309" s="47"/>
      <c r="E309" s="48"/>
      <c r="F309" s="47"/>
      <c r="G309" s="46"/>
      <c r="H309" s="46"/>
      <c r="I309" s="46"/>
      <c r="J309" s="43"/>
    </row>
    <row r="310" customHeight="1" spans="2:10">
      <c r="B310" s="43"/>
      <c r="C310" s="47"/>
      <c r="D310" s="47"/>
      <c r="E310" s="48"/>
      <c r="F310" s="47"/>
      <c r="G310" s="46"/>
      <c r="H310" s="46"/>
      <c r="I310" s="46"/>
      <c r="J310" s="43"/>
    </row>
    <row r="311" customHeight="1" spans="2:10">
      <c r="B311" s="43"/>
      <c r="C311" s="47"/>
      <c r="D311" s="47"/>
      <c r="E311" s="48"/>
      <c r="F311" s="47"/>
      <c r="G311" s="46"/>
      <c r="H311" s="46"/>
      <c r="I311" s="46"/>
      <c r="J311" s="43"/>
    </row>
    <row r="312" customHeight="1" spans="2:10">
      <c r="B312" s="43"/>
      <c r="C312" s="47"/>
      <c r="D312" s="47"/>
      <c r="E312" s="48"/>
      <c r="F312" s="47"/>
      <c r="G312" s="46"/>
      <c r="H312" s="46"/>
      <c r="I312" s="46"/>
      <c r="J312" s="43"/>
    </row>
    <row r="313" customHeight="1" spans="2:10">
      <c r="B313" s="43"/>
      <c r="C313" s="47"/>
      <c r="D313" s="47"/>
      <c r="E313" s="48"/>
      <c r="F313" s="47"/>
      <c r="G313" s="46"/>
      <c r="H313" s="46"/>
      <c r="I313" s="46"/>
      <c r="J313" s="43"/>
    </row>
    <row r="314" customHeight="1" spans="2:10">
      <c r="B314" s="43"/>
      <c r="C314" s="47"/>
      <c r="D314" s="47"/>
      <c r="E314" s="48"/>
      <c r="F314" s="47"/>
      <c r="G314" s="46"/>
      <c r="H314" s="46"/>
      <c r="I314" s="46"/>
      <c r="J314" s="43"/>
    </row>
    <row r="315" customHeight="1" spans="2:10">
      <c r="B315" s="43"/>
      <c r="C315" s="47"/>
      <c r="D315" s="47"/>
      <c r="E315" s="48"/>
      <c r="F315" s="47"/>
      <c r="G315" s="46"/>
      <c r="H315" s="46"/>
      <c r="I315" s="46"/>
      <c r="J315" s="43"/>
    </row>
    <row r="316" customHeight="1" spans="2:10">
      <c r="B316" s="43"/>
      <c r="C316" s="47"/>
      <c r="D316" s="47"/>
      <c r="E316" s="48"/>
      <c r="F316" s="47"/>
      <c r="G316" s="46"/>
      <c r="H316" s="46"/>
      <c r="I316" s="46"/>
      <c r="J316" s="43"/>
    </row>
    <row r="317" customHeight="1" spans="2:10">
      <c r="B317" s="43"/>
      <c r="C317" s="47"/>
      <c r="D317" s="47"/>
      <c r="E317" s="48"/>
      <c r="F317" s="47"/>
      <c r="G317" s="46"/>
      <c r="H317" s="46"/>
      <c r="I317" s="46"/>
      <c r="J317" s="43"/>
    </row>
    <row r="318" customHeight="1" spans="2:10">
      <c r="B318" s="43"/>
      <c r="C318" s="47"/>
      <c r="D318" s="47"/>
      <c r="E318" s="48"/>
      <c r="F318" s="47"/>
      <c r="G318" s="46"/>
      <c r="H318" s="46"/>
      <c r="I318" s="46"/>
      <c r="J318" s="43"/>
    </row>
    <row r="319" customHeight="1" spans="2:10">
      <c r="B319" s="43"/>
      <c r="C319" s="47"/>
      <c r="D319" s="47"/>
      <c r="E319" s="48"/>
      <c r="F319" s="47"/>
      <c r="G319" s="46"/>
      <c r="H319" s="46"/>
      <c r="I319" s="46"/>
      <c r="J319" s="43"/>
    </row>
    <row r="320" customHeight="1" spans="2:10">
      <c r="B320" s="43"/>
      <c r="C320" s="47"/>
      <c r="D320" s="47"/>
      <c r="E320" s="48"/>
      <c r="F320" s="47"/>
      <c r="G320" s="46"/>
      <c r="H320" s="46"/>
      <c r="I320" s="46"/>
      <c r="J320" s="43"/>
    </row>
    <row r="321" customHeight="1" spans="2:10">
      <c r="B321" s="43"/>
      <c r="C321" s="47"/>
      <c r="D321" s="47"/>
      <c r="E321" s="48"/>
      <c r="F321" s="47"/>
      <c r="G321" s="46"/>
      <c r="H321" s="46"/>
      <c r="I321" s="46"/>
      <c r="J321" s="43"/>
    </row>
    <row r="322" customHeight="1" spans="2:10">
      <c r="B322" s="43"/>
      <c r="C322" s="47"/>
      <c r="D322" s="47"/>
      <c r="E322" s="48"/>
      <c r="F322" s="47"/>
      <c r="G322" s="46"/>
      <c r="H322" s="46"/>
      <c r="I322" s="46"/>
      <c r="J322" s="43"/>
    </row>
    <row r="323" customHeight="1" spans="2:10">
      <c r="B323" s="43"/>
      <c r="C323" s="47"/>
      <c r="D323" s="47"/>
      <c r="E323" s="48"/>
      <c r="F323" s="47"/>
      <c r="G323" s="46"/>
      <c r="H323" s="46"/>
      <c r="I323" s="46"/>
      <c r="J323" s="43"/>
    </row>
    <row r="324" customHeight="1" spans="2:10">
      <c r="B324" s="43"/>
      <c r="C324" s="47"/>
      <c r="D324" s="47"/>
      <c r="E324" s="48"/>
      <c r="F324" s="47"/>
      <c r="G324" s="46"/>
      <c r="H324" s="46"/>
      <c r="I324" s="46"/>
      <c r="J324" s="43"/>
    </row>
    <row r="325" customHeight="1" spans="2:10">
      <c r="B325" s="43"/>
      <c r="C325" s="47"/>
      <c r="D325" s="47"/>
      <c r="E325" s="48"/>
      <c r="F325" s="47"/>
      <c r="G325" s="46"/>
      <c r="H325" s="46"/>
      <c r="I325" s="46"/>
      <c r="J325" s="43"/>
    </row>
    <row r="326" customHeight="1" spans="2:10">
      <c r="B326" s="43"/>
      <c r="C326" s="47"/>
      <c r="D326" s="47"/>
      <c r="E326" s="48"/>
      <c r="F326" s="47"/>
      <c r="G326" s="46"/>
      <c r="H326" s="46"/>
      <c r="I326" s="46"/>
      <c r="J326" s="43"/>
    </row>
    <row r="327" customHeight="1" spans="2:10">
      <c r="B327" s="43"/>
      <c r="C327" s="47"/>
      <c r="D327" s="47"/>
      <c r="E327" s="48"/>
      <c r="F327" s="47"/>
      <c r="G327" s="46"/>
      <c r="H327" s="46"/>
      <c r="I327" s="46"/>
      <c r="J327" s="43"/>
    </row>
    <row r="328" customHeight="1" spans="2:10">
      <c r="B328" s="43"/>
      <c r="C328" s="47"/>
      <c r="D328" s="47"/>
      <c r="E328" s="48"/>
      <c r="F328" s="47"/>
      <c r="G328" s="46"/>
      <c r="H328" s="46"/>
      <c r="I328" s="46"/>
      <c r="J328" s="43"/>
    </row>
    <row r="329" customHeight="1" spans="2:10">
      <c r="B329" s="43"/>
      <c r="C329" s="47"/>
      <c r="D329" s="47"/>
      <c r="E329" s="48"/>
      <c r="F329" s="47"/>
      <c r="G329" s="46"/>
      <c r="H329" s="46"/>
      <c r="I329" s="46"/>
      <c r="J329" s="43"/>
    </row>
    <row r="330" customHeight="1" spans="2:10">
      <c r="B330" s="43"/>
      <c r="C330" s="47"/>
      <c r="D330" s="47"/>
      <c r="E330" s="48"/>
      <c r="F330" s="47"/>
      <c r="G330" s="46"/>
      <c r="H330" s="46"/>
      <c r="I330" s="46"/>
      <c r="J330" s="43"/>
    </row>
    <row r="331" customHeight="1" spans="2:10">
      <c r="B331" s="43"/>
      <c r="C331" s="47"/>
      <c r="D331" s="47"/>
      <c r="E331" s="48"/>
      <c r="F331" s="47"/>
      <c r="G331" s="46"/>
      <c r="H331" s="46"/>
      <c r="I331" s="46"/>
      <c r="J331" s="43"/>
    </row>
    <row r="332" customHeight="1" spans="2:10">
      <c r="B332" s="43"/>
      <c r="C332" s="47"/>
      <c r="D332" s="47"/>
      <c r="E332" s="48"/>
      <c r="F332" s="47"/>
      <c r="G332" s="46"/>
      <c r="H332" s="46"/>
      <c r="I332" s="46"/>
      <c r="J332" s="43"/>
    </row>
    <row r="333" customHeight="1" spans="2:10">
      <c r="B333" s="43"/>
      <c r="C333" s="47"/>
      <c r="D333" s="47"/>
      <c r="E333" s="48"/>
      <c r="F333" s="47"/>
      <c r="G333" s="46"/>
      <c r="H333" s="46"/>
      <c r="I333" s="46"/>
      <c r="J333" s="43"/>
    </row>
    <row r="334" customHeight="1" spans="2:10">
      <c r="B334" s="43"/>
      <c r="C334" s="47"/>
      <c r="D334" s="47"/>
      <c r="E334" s="48"/>
      <c r="F334" s="47"/>
      <c r="G334" s="46"/>
      <c r="H334" s="46"/>
      <c r="I334" s="46"/>
      <c r="J334" s="43"/>
    </row>
    <row r="335" customHeight="1" spans="2:10">
      <c r="B335" s="43"/>
      <c r="C335" s="47"/>
      <c r="D335" s="47"/>
      <c r="E335" s="48"/>
      <c r="F335" s="47"/>
      <c r="G335" s="46"/>
      <c r="H335" s="46"/>
      <c r="I335" s="46"/>
      <c r="J335" s="43"/>
    </row>
    <row r="336" customHeight="1" spans="2:10">
      <c r="B336" s="43"/>
      <c r="C336" s="47"/>
      <c r="D336" s="47"/>
      <c r="E336" s="48"/>
      <c r="F336" s="47"/>
      <c r="G336" s="46"/>
      <c r="H336" s="46"/>
      <c r="I336" s="46"/>
      <c r="J336" s="43"/>
    </row>
    <row r="337" customHeight="1" spans="2:10">
      <c r="B337" s="43"/>
      <c r="C337" s="47"/>
      <c r="D337" s="47"/>
      <c r="E337" s="48"/>
      <c r="F337" s="47"/>
      <c r="G337" s="46"/>
      <c r="H337" s="46"/>
      <c r="I337" s="46"/>
      <c r="J337" s="43"/>
    </row>
    <row r="338" customHeight="1" spans="2:10">
      <c r="B338" s="43"/>
      <c r="C338" s="47"/>
      <c r="D338" s="47"/>
      <c r="E338" s="48"/>
      <c r="F338" s="47"/>
      <c r="G338" s="46"/>
      <c r="H338" s="46"/>
      <c r="I338" s="46"/>
      <c r="J338" s="43"/>
    </row>
    <row r="339" customHeight="1" spans="2:10">
      <c r="B339" s="43"/>
      <c r="C339" s="47"/>
      <c r="D339" s="47"/>
      <c r="E339" s="48"/>
      <c r="F339" s="47"/>
      <c r="G339" s="46"/>
      <c r="H339" s="46"/>
      <c r="I339" s="46"/>
      <c r="J339" s="43"/>
    </row>
    <row r="340" customHeight="1" spans="2:10">
      <c r="B340" s="43"/>
      <c r="C340" s="47"/>
      <c r="D340" s="47"/>
      <c r="E340" s="48"/>
      <c r="F340" s="47"/>
      <c r="G340" s="46"/>
      <c r="H340" s="46"/>
      <c r="I340" s="46"/>
      <c r="J340" s="43"/>
    </row>
    <row r="341" customHeight="1" spans="2:10">
      <c r="B341" s="43"/>
      <c r="C341" s="47"/>
      <c r="D341" s="47"/>
      <c r="E341" s="48"/>
      <c r="F341" s="47"/>
      <c r="G341" s="46"/>
      <c r="H341" s="46"/>
      <c r="I341" s="46"/>
      <c r="J341" s="43"/>
    </row>
    <row r="342" customHeight="1" spans="2:10">
      <c r="B342" s="43"/>
      <c r="C342" s="47"/>
      <c r="D342" s="47"/>
      <c r="E342" s="48"/>
      <c r="F342" s="47"/>
      <c r="G342" s="46"/>
      <c r="H342" s="46"/>
      <c r="I342" s="46"/>
      <c r="J342" s="43"/>
    </row>
    <row r="343" customHeight="1" spans="2:10">
      <c r="B343" s="43"/>
      <c r="C343" s="47"/>
      <c r="D343" s="47"/>
      <c r="E343" s="48"/>
      <c r="F343" s="47"/>
      <c r="G343" s="46"/>
      <c r="H343" s="46"/>
      <c r="I343" s="46"/>
      <c r="J343" s="43"/>
    </row>
    <row r="344" customHeight="1" spans="2:10">
      <c r="B344" s="43"/>
      <c r="C344" s="47"/>
      <c r="D344" s="47"/>
      <c r="E344" s="48"/>
      <c r="F344" s="47"/>
      <c r="G344" s="46"/>
      <c r="H344" s="46"/>
      <c r="I344" s="46"/>
      <c r="J344" s="43"/>
    </row>
    <row r="345" customHeight="1" spans="2:10">
      <c r="B345" s="43"/>
      <c r="C345" s="47"/>
      <c r="D345" s="47"/>
      <c r="E345" s="48"/>
      <c r="F345" s="47"/>
      <c r="G345" s="46"/>
      <c r="H345" s="46"/>
      <c r="I345" s="46"/>
      <c r="J345" s="43"/>
    </row>
    <row r="346" customHeight="1" spans="2:10">
      <c r="B346" s="43"/>
      <c r="C346" s="47"/>
      <c r="D346" s="47"/>
      <c r="E346" s="48"/>
      <c r="F346" s="47"/>
      <c r="G346" s="46"/>
      <c r="H346" s="46"/>
      <c r="I346" s="46"/>
      <c r="J346" s="43"/>
    </row>
    <row r="347" customHeight="1" spans="2:10">
      <c r="B347" s="43"/>
      <c r="C347" s="47"/>
      <c r="D347" s="47"/>
      <c r="E347" s="48"/>
      <c r="F347" s="47"/>
      <c r="G347" s="46"/>
      <c r="H347" s="46"/>
      <c r="I347" s="46"/>
      <c r="J347" s="43"/>
    </row>
    <row r="348" customHeight="1" spans="2:10">
      <c r="B348" s="43"/>
      <c r="C348" s="47"/>
      <c r="D348" s="47"/>
      <c r="E348" s="48"/>
      <c r="F348" s="47"/>
      <c r="G348" s="46"/>
      <c r="H348" s="46"/>
      <c r="I348" s="46"/>
      <c r="J348" s="43"/>
    </row>
    <row r="349" customHeight="1" spans="2:10">
      <c r="B349" s="43"/>
      <c r="C349" s="47"/>
      <c r="D349" s="47"/>
      <c r="E349" s="48"/>
      <c r="F349" s="47"/>
      <c r="G349" s="46"/>
      <c r="H349" s="46"/>
      <c r="I349" s="46"/>
      <c r="J349" s="43"/>
    </row>
    <row r="350" customHeight="1" spans="2:10">
      <c r="B350" s="43"/>
      <c r="C350" s="47"/>
      <c r="D350" s="47"/>
      <c r="E350" s="48"/>
      <c r="F350" s="47"/>
      <c r="G350" s="46"/>
      <c r="H350" s="46"/>
      <c r="I350" s="46"/>
      <c r="J350" s="43"/>
    </row>
    <row r="351" customHeight="1" spans="2:10">
      <c r="B351" s="43"/>
      <c r="C351" s="47"/>
      <c r="D351" s="47"/>
      <c r="E351" s="48"/>
      <c r="F351" s="47"/>
      <c r="G351" s="46"/>
      <c r="H351" s="46"/>
      <c r="I351" s="46"/>
      <c r="J351" s="43"/>
    </row>
    <row r="352" customHeight="1" spans="2:10">
      <c r="B352" s="43"/>
      <c r="C352" s="47"/>
      <c r="D352" s="47"/>
      <c r="E352" s="48"/>
      <c r="F352" s="47"/>
      <c r="G352" s="46"/>
      <c r="H352" s="46"/>
      <c r="I352" s="46"/>
      <c r="J352" s="43"/>
    </row>
    <row r="353" customHeight="1" spans="2:10">
      <c r="B353" s="43"/>
      <c r="C353" s="47"/>
      <c r="D353" s="47"/>
      <c r="E353" s="48"/>
      <c r="F353" s="47"/>
      <c r="G353" s="46"/>
      <c r="H353" s="46"/>
      <c r="I353" s="46"/>
      <c r="J353" s="43"/>
    </row>
    <row r="354" customHeight="1" spans="2:10">
      <c r="B354" s="43"/>
      <c r="C354" s="47"/>
      <c r="D354" s="47"/>
      <c r="E354" s="48"/>
      <c r="F354" s="47"/>
      <c r="G354" s="46"/>
      <c r="H354" s="46"/>
      <c r="I354" s="46"/>
      <c r="J354" s="43"/>
    </row>
    <row r="355" customHeight="1" spans="2:10">
      <c r="B355" s="43"/>
      <c r="C355" s="47"/>
      <c r="D355" s="47"/>
      <c r="E355" s="48"/>
      <c r="F355" s="47"/>
      <c r="G355" s="46"/>
      <c r="H355" s="46"/>
      <c r="I355" s="46"/>
      <c r="J355" s="43"/>
    </row>
    <row r="356" customHeight="1" spans="2:10">
      <c r="B356" s="43"/>
      <c r="C356" s="47"/>
      <c r="D356" s="47"/>
      <c r="E356" s="48"/>
      <c r="F356" s="47"/>
      <c r="G356" s="46"/>
      <c r="H356" s="46"/>
      <c r="I356" s="46"/>
      <c r="J356" s="43"/>
    </row>
    <row r="357" customHeight="1" spans="2:10">
      <c r="B357" s="43"/>
      <c r="C357" s="47"/>
      <c r="D357" s="47"/>
      <c r="E357" s="48"/>
      <c r="F357" s="47"/>
      <c r="G357" s="46"/>
      <c r="H357" s="46"/>
      <c r="I357" s="46"/>
      <c r="J357" s="43"/>
    </row>
    <row r="358" customHeight="1" spans="2:10">
      <c r="B358" s="43"/>
      <c r="C358" s="47"/>
      <c r="D358" s="47"/>
      <c r="E358" s="48"/>
      <c r="F358" s="47"/>
      <c r="G358" s="46"/>
      <c r="H358" s="46"/>
      <c r="I358" s="46"/>
      <c r="J358" s="43"/>
    </row>
    <row r="359" customHeight="1" spans="2:10">
      <c r="B359" s="43"/>
      <c r="C359" s="47"/>
      <c r="D359" s="47"/>
      <c r="E359" s="48"/>
      <c r="F359" s="47"/>
      <c r="G359" s="46"/>
      <c r="H359" s="46"/>
      <c r="I359" s="46"/>
      <c r="J359" s="43"/>
    </row>
    <row r="360" customHeight="1" spans="2:10">
      <c r="B360" s="43"/>
      <c r="C360" s="47"/>
      <c r="D360" s="47"/>
      <c r="E360" s="48"/>
      <c r="F360" s="47"/>
      <c r="G360" s="46"/>
      <c r="H360" s="46"/>
      <c r="I360" s="46"/>
      <c r="J360" s="43"/>
    </row>
    <row r="361" customHeight="1" spans="2:10">
      <c r="B361" s="43"/>
      <c r="C361" s="47"/>
      <c r="D361" s="47"/>
      <c r="E361" s="48"/>
      <c r="F361" s="47"/>
      <c r="G361" s="46"/>
      <c r="H361" s="46"/>
      <c r="I361" s="46"/>
      <c r="J361" s="43"/>
    </row>
    <row r="362" customHeight="1" spans="2:10">
      <c r="B362" s="43"/>
      <c r="C362" s="47"/>
      <c r="D362" s="47"/>
      <c r="E362" s="48"/>
      <c r="F362" s="47"/>
      <c r="G362" s="46"/>
      <c r="H362" s="46"/>
      <c r="I362" s="46"/>
      <c r="J362" s="43"/>
    </row>
    <row r="363" customHeight="1" spans="2:10">
      <c r="B363" s="43"/>
      <c r="C363" s="47"/>
      <c r="D363" s="47"/>
      <c r="E363" s="48"/>
      <c r="F363" s="47"/>
      <c r="G363" s="46"/>
      <c r="H363" s="46"/>
      <c r="I363" s="46"/>
      <c r="J363" s="43"/>
    </row>
    <row r="364" customHeight="1" spans="2:10">
      <c r="B364" s="43"/>
      <c r="C364" s="47"/>
      <c r="D364" s="47"/>
      <c r="E364" s="48"/>
      <c r="F364" s="47"/>
      <c r="G364" s="46"/>
      <c r="H364" s="46"/>
      <c r="I364" s="46"/>
      <c r="J364" s="43"/>
    </row>
    <row r="365" customHeight="1" spans="2:10">
      <c r="B365" s="43"/>
      <c r="C365" s="47"/>
      <c r="D365" s="47"/>
      <c r="E365" s="48"/>
      <c r="F365" s="47"/>
      <c r="G365" s="46"/>
      <c r="H365" s="46"/>
      <c r="I365" s="46"/>
      <c r="J365" s="43"/>
    </row>
    <row r="366" customHeight="1" spans="2:10">
      <c r="B366" s="43"/>
      <c r="C366" s="47"/>
      <c r="D366" s="47"/>
      <c r="E366" s="48"/>
      <c r="F366" s="47"/>
      <c r="G366" s="46"/>
      <c r="H366" s="46"/>
      <c r="I366" s="46"/>
      <c r="J366" s="43"/>
    </row>
    <row r="367" customHeight="1" spans="2:10">
      <c r="B367" s="43"/>
      <c r="C367" s="47"/>
      <c r="D367" s="47"/>
      <c r="E367" s="48"/>
      <c r="F367" s="47"/>
      <c r="G367" s="46"/>
      <c r="H367" s="46"/>
      <c r="I367" s="46"/>
      <c r="J367" s="43"/>
    </row>
    <row r="368" customHeight="1" spans="2:10">
      <c r="B368" s="43"/>
      <c r="C368" s="47"/>
      <c r="D368" s="47"/>
      <c r="E368" s="48"/>
      <c r="F368" s="47"/>
      <c r="G368" s="46"/>
      <c r="H368" s="46"/>
      <c r="I368" s="46"/>
      <c r="J368" s="43"/>
    </row>
    <row r="369" customHeight="1" spans="2:10">
      <c r="B369" s="43"/>
      <c r="C369" s="47"/>
      <c r="D369" s="47"/>
      <c r="E369" s="48"/>
      <c r="F369" s="47"/>
      <c r="G369" s="46"/>
      <c r="H369" s="46"/>
      <c r="I369" s="46"/>
      <c r="J369" s="43"/>
    </row>
    <row r="370" customHeight="1" spans="2:10">
      <c r="B370" s="43"/>
      <c r="C370" s="47"/>
      <c r="D370" s="47"/>
      <c r="E370" s="48"/>
      <c r="F370" s="47"/>
      <c r="G370" s="46"/>
      <c r="H370" s="46"/>
      <c r="I370" s="46"/>
      <c r="J370" s="43"/>
    </row>
    <row r="371" customHeight="1" spans="2:10">
      <c r="B371" s="43"/>
      <c r="C371" s="47"/>
      <c r="D371" s="47"/>
      <c r="E371" s="48"/>
      <c r="F371" s="47"/>
      <c r="G371" s="46"/>
      <c r="H371" s="46"/>
      <c r="I371" s="46"/>
      <c r="J371" s="43"/>
    </row>
    <row r="372" customHeight="1" spans="2:10">
      <c r="B372" s="43"/>
      <c r="C372" s="47"/>
      <c r="D372" s="47"/>
      <c r="E372" s="48"/>
      <c r="F372" s="47"/>
      <c r="G372" s="46"/>
      <c r="H372" s="46"/>
      <c r="I372" s="46"/>
      <c r="J372" s="43"/>
    </row>
    <row r="373" customHeight="1" spans="2:10">
      <c r="B373" s="43"/>
      <c r="C373" s="47"/>
      <c r="D373" s="47"/>
      <c r="E373" s="48"/>
      <c r="F373" s="47"/>
      <c r="G373" s="46"/>
      <c r="H373" s="46"/>
      <c r="I373" s="46"/>
      <c r="J373" s="43"/>
    </row>
    <row r="374" customHeight="1" spans="2:10">
      <c r="B374" s="43"/>
      <c r="C374" s="47"/>
      <c r="D374" s="47"/>
      <c r="E374" s="48"/>
      <c r="F374" s="47"/>
      <c r="G374" s="46"/>
      <c r="H374" s="46"/>
      <c r="I374" s="46"/>
      <c r="J374" s="43"/>
    </row>
    <row r="375" customHeight="1" spans="2:10">
      <c r="B375" s="43"/>
      <c r="C375" s="47"/>
      <c r="D375" s="47"/>
      <c r="E375" s="48"/>
      <c r="F375" s="47"/>
      <c r="G375" s="46"/>
      <c r="H375" s="46"/>
      <c r="I375" s="46"/>
      <c r="J375" s="43"/>
    </row>
    <row r="376" customHeight="1" spans="2:10">
      <c r="B376" s="43"/>
      <c r="C376" s="47"/>
      <c r="D376" s="47"/>
      <c r="E376" s="48"/>
      <c r="F376" s="47"/>
      <c r="G376" s="46"/>
      <c r="H376" s="46"/>
      <c r="I376" s="46"/>
      <c r="J376" s="43"/>
    </row>
    <row r="377" customHeight="1" spans="2:10">
      <c r="B377" s="43"/>
      <c r="C377" s="47"/>
      <c r="D377" s="47"/>
      <c r="E377" s="48"/>
      <c r="F377" s="47"/>
      <c r="G377" s="46"/>
      <c r="H377" s="46"/>
      <c r="I377" s="46"/>
      <c r="J377" s="43"/>
    </row>
    <row r="378" customHeight="1" spans="2:10">
      <c r="B378" s="43"/>
      <c r="C378" s="47"/>
      <c r="D378" s="47"/>
      <c r="E378" s="48"/>
      <c r="F378" s="47"/>
      <c r="G378" s="46"/>
      <c r="H378" s="46"/>
      <c r="I378" s="46"/>
      <c r="J378" s="43"/>
    </row>
    <row r="379" customHeight="1" spans="2:10">
      <c r="B379" s="43"/>
      <c r="C379" s="47"/>
      <c r="D379" s="47"/>
      <c r="E379" s="48"/>
      <c r="F379" s="47"/>
      <c r="G379" s="46"/>
      <c r="H379" s="46"/>
      <c r="I379" s="46"/>
      <c r="J379" s="43"/>
    </row>
    <row r="380" customHeight="1" spans="2:10">
      <c r="B380" s="43"/>
      <c r="C380" s="47"/>
      <c r="D380" s="47"/>
      <c r="E380" s="48"/>
      <c r="F380" s="47"/>
      <c r="G380" s="46"/>
      <c r="H380" s="46"/>
      <c r="I380" s="46"/>
      <c r="J380" s="43"/>
    </row>
    <row r="381" customHeight="1" spans="2:10">
      <c r="B381" s="43"/>
      <c r="C381" s="47"/>
      <c r="D381" s="47"/>
      <c r="E381" s="48"/>
      <c r="F381" s="47"/>
      <c r="G381" s="46"/>
      <c r="H381" s="46"/>
      <c r="I381" s="46"/>
      <c r="J381" s="43"/>
    </row>
    <row r="382" customHeight="1" spans="2:10">
      <c r="B382" s="43"/>
      <c r="C382" s="47"/>
      <c r="D382" s="47"/>
      <c r="E382" s="48"/>
      <c r="F382" s="47"/>
      <c r="G382" s="46"/>
      <c r="H382" s="46"/>
      <c r="I382" s="46"/>
      <c r="J382" s="43"/>
    </row>
    <row r="383" customHeight="1" spans="2:10">
      <c r="B383" s="43"/>
      <c r="C383" s="47"/>
      <c r="D383" s="47"/>
      <c r="E383" s="48"/>
      <c r="F383" s="47"/>
      <c r="G383" s="46"/>
      <c r="H383" s="46"/>
      <c r="I383" s="46"/>
      <c r="J383" s="43"/>
    </row>
    <row r="384" customHeight="1" spans="2:10">
      <c r="B384" s="43"/>
      <c r="C384" s="47"/>
      <c r="D384" s="47"/>
      <c r="E384" s="48"/>
      <c r="F384" s="47"/>
      <c r="G384" s="46"/>
      <c r="H384" s="46"/>
      <c r="I384" s="46"/>
      <c r="J384" s="43"/>
    </row>
    <row r="385" customHeight="1" spans="2:10">
      <c r="B385" s="43"/>
      <c r="C385" s="47"/>
      <c r="D385" s="47"/>
      <c r="E385" s="48"/>
      <c r="F385" s="47"/>
      <c r="G385" s="46"/>
      <c r="H385" s="46"/>
      <c r="I385" s="46"/>
      <c r="J385" s="43"/>
    </row>
    <row r="386" customHeight="1" spans="2:10">
      <c r="B386" s="43"/>
      <c r="C386" s="47"/>
      <c r="D386" s="47"/>
      <c r="E386" s="48"/>
      <c r="F386" s="47"/>
      <c r="G386" s="46"/>
      <c r="H386" s="46"/>
      <c r="I386" s="46"/>
      <c r="J386" s="43"/>
    </row>
    <row r="387" customHeight="1" spans="2:10">
      <c r="B387" s="43"/>
      <c r="C387" s="47"/>
      <c r="D387" s="47"/>
      <c r="E387" s="48"/>
      <c r="F387" s="47"/>
      <c r="G387" s="46"/>
      <c r="H387" s="46"/>
      <c r="I387" s="46"/>
      <c r="J387" s="43"/>
    </row>
    <row r="388" customHeight="1" spans="2:10">
      <c r="B388" s="43"/>
      <c r="C388" s="47"/>
      <c r="D388" s="47"/>
      <c r="E388" s="48"/>
      <c r="F388" s="47"/>
      <c r="G388" s="46"/>
      <c r="H388" s="46"/>
      <c r="I388" s="46"/>
      <c r="J388" s="43"/>
    </row>
    <row r="389" customHeight="1" spans="2:10">
      <c r="B389" s="43"/>
      <c r="C389" s="47"/>
      <c r="D389" s="47"/>
      <c r="E389" s="48"/>
      <c r="F389" s="47"/>
      <c r="G389" s="46"/>
      <c r="H389" s="46"/>
      <c r="I389" s="46"/>
      <c r="J389" s="43"/>
    </row>
    <row r="390" customHeight="1" spans="2:10">
      <c r="B390" s="43"/>
      <c r="C390" s="47"/>
      <c r="D390" s="47"/>
      <c r="E390" s="48"/>
      <c r="F390" s="47"/>
      <c r="G390" s="46"/>
      <c r="H390" s="46"/>
      <c r="I390" s="46"/>
      <c r="J390" s="43"/>
    </row>
    <row r="391" customHeight="1" spans="2:10">
      <c r="B391" s="43"/>
      <c r="C391" s="47"/>
      <c r="D391" s="47"/>
      <c r="E391" s="48"/>
      <c r="F391" s="47"/>
      <c r="G391" s="46"/>
      <c r="H391" s="46"/>
      <c r="I391" s="46"/>
      <c r="J391" s="43"/>
    </row>
    <row r="392" customHeight="1" spans="2:10">
      <c r="B392" s="43"/>
      <c r="C392" s="47"/>
      <c r="D392" s="47"/>
      <c r="E392" s="48"/>
      <c r="F392" s="47"/>
      <c r="G392" s="46"/>
      <c r="H392" s="46"/>
      <c r="I392" s="46"/>
      <c r="J392" s="43"/>
    </row>
    <row r="393" customHeight="1" spans="2:10">
      <c r="B393" s="43"/>
      <c r="C393" s="47"/>
      <c r="D393" s="47"/>
      <c r="E393" s="48"/>
      <c r="F393" s="47"/>
      <c r="G393" s="46"/>
      <c r="H393" s="46"/>
      <c r="I393" s="46"/>
      <c r="J393" s="43"/>
    </row>
    <row r="394" customHeight="1" spans="2:10">
      <c r="B394" s="43"/>
      <c r="C394" s="47"/>
      <c r="D394" s="47"/>
      <c r="E394" s="48"/>
      <c r="F394" s="47"/>
      <c r="G394" s="46"/>
      <c r="H394" s="46"/>
      <c r="I394" s="46"/>
      <c r="J394" s="43"/>
    </row>
    <row r="395" customHeight="1" spans="2:10">
      <c r="B395" s="43"/>
      <c r="C395" s="47"/>
      <c r="D395" s="47"/>
      <c r="E395" s="48"/>
      <c r="F395" s="47"/>
      <c r="G395" s="46"/>
      <c r="H395" s="46"/>
      <c r="I395" s="46"/>
      <c r="J395" s="43"/>
    </row>
    <row r="396" customHeight="1" spans="2:10">
      <c r="B396" s="43"/>
      <c r="C396" s="47"/>
      <c r="D396" s="47"/>
      <c r="E396" s="48"/>
      <c r="F396" s="47"/>
      <c r="G396" s="46"/>
      <c r="H396" s="46"/>
      <c r="I396" s="46"/>
      <c r="J396" s="43"/>
    </row>
    <row r="397" customHeight="1" spans="2:10">
      <c r="B397" s="43"/>
      <c r="C397" s="47"/>
      <c r="D397" s="47"/>
      <c r="E397" s="48"/>
      <c r="F397" s="47"/>
      <c r="G397" s="46"/>
      <c r="H397" s="46"/>
      <c r="I397" s="46"/>
      <c r="J397" s="43"/>
    </row>
    <row r="398" customHeight="1" spans="2:10">
      <c r="B398" s="43"/>
      <c r="C398" s="47"/>
      <c r="D398" s="47"/>
      <c r="E398" s="48"/>
      <c r="F398" s="47"/>
      <c r="G398" s="46"/>
      <c r="H398" s="46"/>
      <c r="I398" s="46"/>
      <c r="J398" s="43"/>
    </row>
    <row r="399" customHeight="1" spans="2:10">
      <c r="B399" s="43"/>
      <c r="C399" s="47"/>
      <c r="D399" s="47"/>
      <c r="E399" s="48"/>
      <c r="F399" s="47"/>
      <c r="G399" s="46"/>
      <c r="H399" s="46"/>
      <c r="I399" s="46"/>
      <c r="J399" s="43"/>
    </row>
    <row r="400" customHeight="1" spans="2:10">
      <c r="B400" s="43"/>
      <c r="C400" s="47"/>
      <c r="D400" s="47"/>
      <c r="E400" s="48"/>
      <c r="F400" s="47"/>
      <c r="G400" s="46"/>
      <c r="H400" s="46"/>
      <c r="I400" s="46"/>
      <c r="J400" s="43"/>
    </row>
    <row r="401" customHeight="1" spans="2:10">
      <c r="B401" s="43"/>
      <c r="C401" s="47"/>
      <c r="D401" s="47"/>
      <c r="E401" s="48"/>
      <c r="F401" s="47"/>
      <c r="G401" s="46"/>
      <c r="H401" s="46"/>
      <c r="I401" s="46"/>
      <c r="J401" s="43"/>
    </row>
    <row r="402" customHeight="1" spans="2:10">
      <c r="B402" s="43"/>
      <c r="C402" s="47"/>
      <c r="D402" s="47"/>
      <c r="E402" s="48"/>
      <c r="F402" s="47"/>
      <c r="G402" s="46"/>
      <c r="H402" s="46"/>
      <c r="I402" s="46"/>
      <c r="J402" s="43"/>
    </row>
    <row r="403" customHeight="1" spans="2:10">
      <c r="B403" s="43"/>
      <c r="C403" s="47"/>
      <c r="D403" s="47"/>
      <c r="E403" s="48"/>
      <c r="F403" s="47"/>
      <c r="G403" s="46"/>
      <c r="H403" s="46"/>
      <c r="I403" s="46"/>
      <c r="J403" s="43"/>
    </row>
    <row r="404" customHeight="1" spans="2:10">
      <c r="B404" s="43"/>
      <c r="C404" s="47"/>
      <c r="D404" s="47"/>
      <c r="E404" s="48"/>
      <c r="F404" s="47"/>
      <c r="G404" s="46"/>
      <c r="H404" s="46"/>
      <c r="I404" s="46"/>
      <c r="J404" s="43"/>
    </row>
    <row r="405" customHeight="1" spans="2:10">
      <c r="B405" s="43"/>
      <c r="C405" s="47"/>
      <c r="D405" s="47"/>
      <c r="E405" s="48"/>
      <c r="F405" s="47"/>
      <c r="G405" s="46"/>
      <c r="H405" s="46"/>
      <c r="I405" s="46"/>
      <c r="J405" s="43"/>
    </row>
    <row r="406" customHeight="1" spans="2:10">
      <c r="B406" s="43"/>
      <c r="C406" s="47"/>
      <c r="D406" s="47"/>
      <c r="E406" s="48"/>
      <c r="F406" s="47"/>
      <c r="G406" s="46"/>
      <c r="H406" s="46"/>
      <c r="I406" s="46"/>
      <c r="J406" s="43"/>
    </row>
    <row r="407" customHeight="1" spans="2:10">
      <c r="B407" s="43"/>
      <c r="C407" s="47"/>
      <c r="D407" s="47"/>
      <c r="E407" s="48"/>
      <c r="F407" s="47"/>
      <c r="G407" s="46"/>
      <c r="H407" s="46"/>
      <c r="I407" s="46"/>
      <c r="J407" s="43"/>
    </row>
    <row r="408" customHeight="1" spans="2:10">
      <c r="B408" s="43"/>
      <c r="C408" s="47"/>
      <c r="D408" s="47"/>
      <c r="E408" s="48"/>
      <c r="F408" s="47"/>
      <c r="G408" s="46"/>
      <c r="H408" s="46"/>
      <c r="I408" s="46"/>
      <c r="J408" s="43"/>
    </row>
    <row r="409" customHeight="1" spans="2:10">
      <c r="B409" s="43"/>
      <c r="C409" s="47"/>
      <c r="D409" s="47"/>
      <c r="E409" s="48"/>
      <c r="F409" s="47"/>
      <c r="G409" s="46"/>
      <c r="H409" s="46"/>
      <c r="I409" s="46"/>
      <c r="J409" s="43"/>
    </row>
    <row r="410" customHeight="1" spans="2:10">
      <c r="B410" s="43"/>
      <c r="C410" s="47"/>
      <c r="D410" s="47"/>
      <c r="E410" s="48"/>
      <c r="F410" s="47"/>
      <c r="G410" s="46"/>
      <c r="H410" s="46"/>
      <c r="I410" s="46"/>
      <c r="J410" s="43"/>
    </row>
    <row r="411" customHeight="1" spans="2:10">
      <c r="B411" s="43"/>
      <c r="C411" s="47"/>
      <c r="D411" s="47"/>
      <c r="E411" s="48"/>
      <c r="F411" s="47"/>
      <c r="G411" s="46"/>
      <c r="H411" s="46"/>
      <c r="I411" s="46"/>
      <c r="J411" s="43"/>
    </row>
    <row r="412" customHeight="1" spans="2:10">
      <c r="B412" s="43"/>
      <c r="C412" s="47"/>
      <c r="D412" s="47"/>
      <c r="E412" s="48"/>
      <c r="F412" s="47"/>
      <c r="G412" s="46"/>
      <c r="H412" s="46"/>
      <c r="I412" s="46"/>
      <c r="J412" s="43"/>
    </row>
    <row r="413" customHeight="1" spans="4:4">
      <c r="D413" s="85"/>
    </row>
  </sheetData>
  <mergeCells count="58">
    <mergeCell ref="B1:C1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B15:E15"/>
    <mergeCell ref="H15:K15"/>
    <mergeCell ref="B18:C18"/>
    <mergeCell ref="B19:C19"/>
    <mergeCell ref="H19:I19"/>
    <mergeCell ref="B20:C20"/>
    <mergeCell ref="B25:C25"/>
    <mergeCell ref="B26:C26"/>
    <mergeCell ref="H27:J27"/>
    <mergeCell ref="H28:J28"/>
    <mergeCell ref="B29:C29"/>
    <mergeCell ref="H29:J29"/>
    <mergeCell ref="B31:F31"/>
    <mergeCell ref="G31:H31"/>
    <mergeCell ref="B32:F32"/>
    <mergeCell ref="G32:H32"/>
    <mergeCell ref="B34:Z34"/>
    <mergeCell ref="B35:Z35"/>
    <mergeCell ref="B36:Z36"/>
    <mergeCell ref="B37:Z37"/>
    <mergeCell ref="B39:C39"/>
    <mergeCell ref="C41:D41"/>
    <mergeCell ref="E41:F41"/>
    <mergeCell ref="G41:H41"/>
    <mergeCell ref="J41:M41"/>
    <mergeCell ref="O41:R41"/>
    <mergeCell ref="U41:V41"/>
    <mergeCell ref="W41:X41"/>
    <mergeCell ref="J43:K43"/>
    <mergeCell ref="J44:K44"/>
    <mergeCell ref="O44:P44"/>
    <mergeCell ref="J45:K45"/>
    <mergeCell ref="O45:P45"/>
    <mergeCell ref="J46:K46"/>
    <mergeCell ref="O46:P46"/>
    <mergeCell ref="O51:P51"/>
    <mergeCell ref="O52:P52"/>
    <mergeCell ref="B54:F54"/>
    <mergeCell ref="G54:H54"/>
    <mergeCell ref="B55:F55"/>
    <mergeCell ref="G55:H55"/>
    <mergeCell ref="B58:Z58"/>
    <mergeCell ref="B59:Z59"/>
    <mergeCell ref="B60:Z60"/>
    <mergeCell ref="B61:Z61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7"/>
  <sheetViews>
    <sheetView showGridLines="0" workbookViewId="0">
      <selection activeCell="A1" sqref="A1:F1"/>
    </sheetView>
  </sheetViews>
  <sheetFormatPr defaultColWidth="12.6296296296296" defaultRowHeight="15.75" customHeight="1"/>
  <cols>
    <col min="2" max="2" width="15.3796296296296" customWidth="1"/>
  </cols>
  <sheetData>
    <row r="1" customHeight="1" spans="1:26">
      <c r="A1" s="1" t="s">
        <v>243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/>
    </row>
    <row r="2" customHeight="1" spans="1:26">
      <c r="A2" s="5" t="s">
        <v>244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6"/>
    </row>
    <row r="3" customHeight="1" spans="1:26">
      <c r="A3" s="5" t="s">
        <v>245</v>
      </c>
      <c r="B3" s="6"/>
      <c r="C3" s="8" t="s">
        <v>246</v>
      </c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6"/>
    </row>
    <row r="4" customHeight="1" spans="1:26">
      <c r="A4" s="9" t="s">
        <v>247</v>
      </c>
      <c r="B4" s="10"/>
      <c r="C4" s="11" t="s">
        <v>248</v>
      </c>
      <c r="D4" s="10"/>
      <c r="E4" s="10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6"/>
    </row>
    <row r="5" customHeight="1" spans="1:26">
      <c r="A5" s="13" t="s">
        <v>249</v>
      </c>
      <c r="B5" s="13" t="s">
        <v>250</v>
      </c>
      <c r="C5" s="13" t="s">
        <v>251</v>
      </c>
      <c r="D5" s="13" t="s">
        <v>252</v>
      </c>
      <c r="E5" s="14" t="s">
        <v>253</v>
      </c>
      <c r="F5" s="1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6"/>
    </row>
    <row r="6" customHeight="1" spans="1:26">
      <c r="A6" s="16"/>
      <c r="B6" s="16"/>
      <c r="C6" s="16"/>
      <c r="D6" s="16"/>
      <c r="E6" s="17" t="s">
        <v>254</v>
      </c>
      <c r="F6" s="17" t="s">
        <v>45</v>
      </c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6"/>
    </row>
    <row r="7" customHeight="1" spans="1:26">
      <c r="A7" s="18" t="s">
        <v>255</v>
      </c>
      <c r="B7" s="18" t="s">
        <v>16</v>
      </c>
      <c r="C7" s="18" t="s">
        <v>256</v>
      </c>
      <c r="D7" s="19">
        <f>886-123-106-34-178</f>
        <v>445</v>
      </c>
      <c r="E7" s="20">
        <v>87.92</v>
      </c>
      <c r="F7" s="20">
        <f t="shared" ref="F7:F22" si="0">E7*D7</f>
        <v>39124.4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6"/>
    </row>
    <row r="8" customHeight="1" spans="1:26">
      <c r="A8" s="18" t="s">
        <v>255</v>
      </c>
      <c r="B8" s="18" t="s">
        <v>16</v>
      </c>
      <c r="C8" s="18" t="s">
        <v>256</v>
      </c>
      <c r="D8" s="19">
        <v>200</v>
      </c>
      <c r="E8" s="20">
        <v>109.9</v>
      </c>
      <c r="F8" s="20">
        <f t="shared" si="0"/>
        <v>21980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6"/>
    </row>
    <row r="9" customHeight="1" spans="1:26">
      <c r="A9" s="21" t="s">
        <v>257</v>
      </c>
      <c r="B9" s="21" t="s">
        <v>58</v>
      </c>
      <c r="C9" s="21" t="s">
        <v>256</v>
      </c>
      <c r="D9" s="22">
        <v>93</v>
      </c>
      <c r="E9" s="23">
        <v>29</v>
      </c>
      <c r="F9" s="23">
        <f t="shared" si="0"/>
        <v>2697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6"/>
    </row>
    <row r="10" customHeight="1" spans="1:26">
      <c r="A10" s="21" t="s">
        <v>257</v>
      </c>
      <c r="B10" s="21" t="s">
        <v>18</v>
      </c>
      <c r="C10" s="21" t="s">
        <v>256</v>
      </c>
      <c r="D10" s="22">
        <v>11</v>
      </c>
      <c r="E10" s="23">
        <v>29</v>
      </c>
      <c r="F10" s="23">
        <f t="shared" si="0"/>
        <v>319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6"/>
    </row>
    <row r="11" customHeight="1" spans="1:26">
      <c r="A11" s="21" t="s">
        <v>258</v>
      </c>
      <c r="B11" s="21" t="s">
        <v>19</v>
      </c>
      <c r="C11" s="21" t="s">
        <v>256</v>
      </c>
      <c r="D11" s="21">
        <v>6046</v>
      </c>
      <c r="E11" s="23">
        <v>0.57</v>
      </c>
      <c r="F11" s="23">
        <f t="shared" si="0"/>
        <v>3446.22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6"/>
    </row>
    <row r="12" customHeight="1" spans="1:26">
      <c r="A12" s="21" t="s">
        <v>258</v>
      </c>
      <c r="B12" s="21" t="s">
        <v>20</v>
      </c>
      <c r="C12" s="21" t="s">
        <v>256</v>
      </c>
      <c r="D12" s="21">
        <v>1208</v>
      </c>
      <c r="E12" s="23">
        <v>4.28</v>
      </c>
      <c r="F12" s="23">
        <f t="shared" si="0"/>
        <v>5170.24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6"/>
    </row>
    <row r="13" customHeight="1" spans="1:26">
      <c r="A13" s="21" t="s">
        <v>259</v>
      </c>
      <c r="B13" s="21" t="s">
        <v>21</v>
      </c>
      <c r="C13" s="21" t="s">
        <v>256</v>
      </c>
      <c r="D13" s="21">
        <v>273</v>
      </c>
      <c r="E13" s="23">
        <v>62.5</v>
      </c>
      <c r="F13" s="23">
        <f t="shared" si="0"/>
        <v>17062.5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6"/>
    </row>
    <row r="14" customHeight="1" spans="1:26">
      <c r="A14" s="21" t="s">
        <v>260</v>
      </c>
      <c r="B14" s="21" t="s">
        <v>22</v>
      </c>
      <c r="C14" s="21" t="s">
        <v>256</v>
      </c>
      <c r="D14" s="21">
        <v>140</v>
      </c>
      <c r="E14" s="23">
        <v>150</v>
      </c>
      <c r="F14" s="23">
        <f t="shared" si="0"/>
        <v>21000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6"/>
    </row>
    <row r="15" customHeight="1" spans="1:26">
      <c r="A15" s="21" t="s">
        <v>260</v>
      </c>
      <c r="B15" s="21" t="s">
        <v>23</v>
      </c>
      <c r="C15" s="21" t="s">
        <v>256</v>
      </c>
      <c r="D15" s="21">
        <v>1</v>
      </c>
      <c r="E15" s="23">
        <v>180</v>
      </c>
      <c r="F15" s="23">
        <f t="shared" si="0"/>
        <v>180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6"/>
    </row>
    <row r="16" customHeight="1" spans="1:26">
      <c r="A16" s="21" t="s">
        <v>261</v>
      </c>
      <c r="B16" s="21" t="s">
        <v>262</v>
      </c>
      <c r="C16" s="21" t="s">
        <v>256</v>
      </c>
      <c r="D16" s="21">
        <v>48</v>
      </c>
      <c r="E16" s="23">
        <v>15</v>
      </c>
      <c r="F16" s="23">
        <f t="shared" si="0"/>
        <v>720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6"/>
    </row>
    <row r="17" customHeight="1" spans="1:26">
      <c r="A17" s="21" t="s">
        <v>255</v>
      </c>
      <c r="B17" s="21" t="s">
        <v>263</v>
      </c>
      <c r="C17" s="21" t="s">
        <v>256</v>
      </c>
      <c r="D17" s="22">
        <v>58</v>
      </c>
      <c r="E17" s="23">
        <v>79.92</v>
      </c>
      <c r="F17" s="23">
        <f t="shared" si="0"/>
        <v>4635.36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6"/>
    </row>
    <row r="18" customHeight="1" spans="1:26">
      <c r="A18" s="21" t="s">
        <v>255</v>
      </c>
      <c r="B18" s="21" t="s">
        <v>264</v>
      </c>
      <c r="C18" s="21" t="s">
        <v>256</v>
      </c>
      <c r="D18" s="21">
        <v>38</v>
      </c>
      <c r="E18" s="23">
        <v>95.92</v>
      </c>
      <c r="F18" s="23">
        <f t="shared" si="0"/>
        <v>3644.96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6"/>
    </row>
    <row r="19" customHeight="1" spans="1:26">
      <c r="A19" s="21" t="s">
        <v>255</v>
      </c>
      <c r="B19" s="21" t="s">
        <v>265</v>
      </c>
      <c r="C19" s="21" t="s">
        <v>256</v>
      </c>
      <c r="D19" s="21">
        <v>12</v>
      </c>
      <c r="E19" s="23">
        <v>95.92</v>
      </c>
      <c r="F19" s="23">
        <f t="shared" si="0"/>
        <v>1151.04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6"/>
    </row>
    <row r="20" customHeight="1" spans="1:26">
      <c r="A20" s="21" t="s">
        <v>255</v>
      </c>
      <c r="B20" s="21" t="s">
        <v>266</v>
      </c>
      <c r="C20" s="21" t="s">
        <v>256</v>
      </c>
      <c r="D20" s="21">
        <v>30</v>
      </c>
      <c r="E20" s="23">
        <v>63.92</v>
      </c>
      <c r="F20" s="23">
        <f t="shared" si="0"/>
        <v>1917.6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6"/>
    </row>
    <row r="21" customHeight="1" spans="1:26">
      <c r="A21" s="21" t="s">
        <v>255</v>
      </c>
      <c r="B21" s="21" t="s">
        <v>30</v>
      </c>
      <c r="C21" s="21" t="s">
        <v>256</v>
      </c>
      <c r="D21" s="21">
        <v>7</v>
      </c>
      <c r="E21" s="23">
        <v>119.92</v>
      </c>
      <c r="F21" s="23">
        <f t="shared" si="0"/>
        <v>839.44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6"/>
    </row>
    <row r="22" customHeight="1" spans="1:26">
      <c r="A22" s="21" t="s">
        <v>255</v>
      </c>
      <c r="B22" s="21" t="s">
        <v>31</v>
      </c>
      <c r="C22" s="21" t="s">
        <v>256</v>
      </c>
      <c r="D22" s="21">
        <v>378</v>
      </c>
      <c r="E22" s="23">
        <v>129.9</v>
      </c>
      <c r="F22" s="23">
        <f t="shared" si="0"/>
        <v>49102.2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6"/>
    </row>
    <row r="23" customHeight="1" spans="1:26">
      <c r="A23" s="24"/>
      <c r="B23" s="24"/>
      <c r="C23" s="24"/>
      <c r="D23" s="25"/>
      <c r="E23" s="24"/>
      <c r="F23" s="2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6"/>
    </row>
    <row r="24" customHeight="1" spans="1:26">
      <c r="A24" s="24"/>
      <c r="B24" s="24"/>
      <c r="C24" s="24"/>
      <c r="D24" s="27">
        <f>SUM(D7:D22)</f>
        <v>8988</v>
      </c>
      <c r="E24" s="24"/>
      <c r="F24" s="28">
        <f>SUM(F7:F22)</f>
        <v>172989.96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6"/>
    </row>
    <row r="25" customHeight="1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6"/>
    </row>
    <row r="26" customHeight="1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6"/>
    </row>
    <row r="27" customHeight="1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6"/>
    </row>
    <row r="28" customHeight="1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6"/>
    </row>
    <row r="29" customHeight="1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6"/>
    </row>
    <row r="30" customHeight="1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6"/>
    </row>
    <row r="31" customHeight="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6"/>
    </row>
    <row r="32" customHeight="1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6"/>
    </row>
    <row r="33" customHeight="1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6"/>
    </row>
    <row r="34" customHeight="1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6"/>
    </row>
    <row r="35" customHeight="1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6"/>
    </row>
    <row r="36" customHeight="1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6"/>
    </row>
    <row r="37" customHeight="1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6"/>
    </row>
    <row r="38" customHeight="1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6"/>
    </row>
    <row r="39" customHeight="1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6"/>
    </row>
    <row r="40" customHeight="1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6"/>
    </row>
    <row r="41" customHeight="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6"/>
    </row>
    <row r="42" customHeight="1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6"/>
    </row>
    <row r="43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6"/>
    </row>
    <row r="44" customHeight="1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6"/>
    </row>
    <row r="45" customHeight="1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6"/>
    </row>
    <row r="46" customHeight="1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6"/>
    </row>
    <row r="47" customHeight="1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6"/>
    </row>
    <row r="48" customHeight="1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6"/>
    </row>
    <row r="49" customHeight="1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6"/>
    </row>
    <row r="50" customHeight="1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6"/>
    </row>
    <row r="51" customHeight="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6"/>
    </row>
    <row r="52" customHeight="1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6"/>
    </row>
    <row r="53" customHeight="1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6"/>
    </row>
    <row r="54" customHeight="1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6"/>
    </row>
    <row r="55" customHeight="1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6"/>
    </row>
    <row r="56" customHeight="1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6"/>
    </row>
    <row r="57" customHeight="1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6"/>
    </row>
    <row r="58" customHeight="1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6"/>
    </row>
    <row r="59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6"/>
    </row>
    <row r="60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6"/>
    </row>
    <row r="61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6"/>
    </row>
    <row r="62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6"/>
    </row>
    <row r="63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6"/>
    </row>
    <row r="64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6"/>
    </row>
    <row r="6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6"/>
    </row>
    <row r="66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6"/>
    </row>
    <row r="67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6"/>
    </row>
    <row r="68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6"/>
    </row>
    <row r="69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6"/>
    </row>
    <row r="70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6"/>
    </row>
    <row r="71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6"/>
    </row>
    <row r="72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6"/>
    </row>
    <row r="73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6"/>
    </row>
    <row r="74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6"/>
    </row>
    <row r="7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6"/>
    </row>
    <row r="76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6"/>
    </row>
    <row r="77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6"/>
    </row>
    <row r="78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6"/>
    </row>
    <row r="79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6"/>
    </row>
    <row r="80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6"/>
    </row>
    <row r="81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6"/>
    </row>
    <row r="82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6"/>
    </row>
    <row r="83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6"/>
    </row>
    <row r="84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6"/>
    </row>
    <row r="8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6"/>
    </row>
    <row r="86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6"/>
    </row>
    <row r="87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6"/>
    </row>
    <row r="88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6"/>
    </row>
    <row r="89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6"/>
    </row>
    <row r="90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6"/>
    </row>
    <row r="91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6"/>
    </row>
    <row r="92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6"/>
    </row>
    <row r="93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6"/>
    </row>
    <row r="94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6"/>
    </row>
    <row r="9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6"/>
    </row>
    <row r="96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6"/>
    </row>
    <row r="97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6"/>
    </row>
    <row r="98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6"/>
    </row>
    <row r="99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6"/>
    </row>
    <row r="100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6"/>
    </row>
    <row r="101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6"/>
    </row>
    <row r="102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6"/>
    </row>
    <row r="103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6"/>
    </row>
    <row r="104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6"/>
    </row>
    <row r="10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6"/>
    </row>
    <row r="106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6"/>
    </row>
    <row r="107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6"/>
    </row>
    <row r="108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6"/>
    </row>
    <row r="109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6"/>
    </row>
    <row r="110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6"/>
    </row>
    <row r="111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6"/>
    </row>
    <row r="112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6"/>
    </row>
    <row r="113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6"/>
    </row>
    <row r="114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6"/>
    </row>
    <row r="11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6"/>
    </row>
    <row r="116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6"/>
    </row>
    <row r="117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6"/>
    </row>
    <row r="118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6"/>
    </row>
    <row r="119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6"/>
    </row>
    <row r="120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6"/>
    </row>
    <row r="121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6"/>
    </row>
    <row r="122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6"/>
    </row>
    <row r="123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6"/>
    </row>
    <row r="124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6"/>
    </row>
    <row r="12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6"/>
    </row>
    <row r="126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6"/>
    </row>
    <row r="127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6"/>
    </row>
    <row r="128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6"/>
    </row>
    <row r="129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6"/>
    </row>
    <row r="130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6"/>
    </row>
    <row r="131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6"/>
    </row>
    <row r="132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6"/>
    </row>
    <row r="133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6"/>
    </row>
    <row r="134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6"/>
    </row>
    <row r="13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6"/>
    </row>
    <row r="136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6"/>
    </row>
    <row r="137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6"/>
    </row>
    <row r="138" customHeight="1" spans="1:26">
      <c r="A138" s="4"/>
      <c r="B138" s="4"/>
      <c r="C138" s="4"/>
      <c r="D138" s="4"/>
      <c r="E138" s="29"/>
      <c r="F138" s="2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6"/>
    </row>
    <row r="139" customHeight="1" spans="1:26">
      <c r="A139" s="4"/>
      <c r="B139" s="4"/>
      <c r="C139" s="4"/>
      <c r="D139" s="4"/>
      <c r="E139" s="29"/>
      <c r="F139" s="2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6"/>
    </row>
    <row r="140" customHeight="1" spans="1:26">
      <c r="A140" s="4"/>
      <c r="B140" s="4"/>
      <c r="C140" s="4"/>
      <c r="D140" s="4"/>
      <c r="E140" s="29"/>
      <c r="F140" s="2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6"/>
    </row>
    <row r="141" customHeight="1" spans="1:26">
      <c r="A141" s="4"/>
      <c r="B141" s="4"/>
      <c r="C141" s="4"/>
      <c r="D141" s="4"/>
      <c r="E141" s="29"/>
      <c r="F141" s="2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6"/>
    </row>
    <row r="142" customHeight="1" spans="1:26">
      <c r="A142" s="4"/>
      <c r="B142" s="4"/>
      <c r="C142" s="4"/>
      <c r="D142" s="4"/>
      <c r="E142" s="29"/>
      <c r="F142" s="2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6"/>
    </row>
    <row r="143" customHeight="1" spans="1:26">
      <c r="A143" s="4"/>
      <c r="B143" s="4"/>
      <c r="C143" s="4"/>
      <c r="D143" s="4"/>
      <c r="E143" s="29"/>
      <c r="F143" s="2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6"/>
    </row>
    <row r="144" customHeight="1" spans="1:26">
      <c r="A144" s="4"/>
      <c r="B144" s="4"/>
      <c r="C144" s="4"/>
      <c r="D144" s="4"/>
      <c r="E144" s="29"/>
      <c r="F144" s="2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6"/>
    </row>
    <row r="145" customHeight="1" spans="1:26">
      <c r="A145" s="4"/>
      <c r="B145" s="4"/>
      <c r="C145" s="4"/>
      <c r="D145" s="4"/>
      <c r="E145" s="29"/>
      <c r="F145" s="2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6"/>
    </row>
    <row r="146" customHeight="1" spans="1:26">
      <c r="A146" s="4"/>
      <c r="B146" s="4"/>
      <c r="C146" s="4"/>
      <c r="D146" s="4"/>
      <c r="E146" s="29"/>
      <c r="F146" s="2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6"/>
    </row>
    <row r="147" customHeight="1" spans="1:26">
      <c r="A147" s="4"/>
      <c r="B147" s="4"/>
      <c r="C147" s="4"/>
      <c r="D147" s="4"/>
      <c r="E147" s="29"/>
      <c r="F147" s="2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6"/>
    </row>
    <row r="148" customHeight="1" spans="1:26">
      <c r="A148" s="4"/>
      <c r="B148" s="4"/>
      <c r="C148" s="4"/>
      <c r="D148" s="4"/>
      <c r="E148" s="29"/>
      <c r="F148" s="2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6"/>
    </row>
    <row r="149" customHeight="1" spans="1:26">
      <c r="A149" s="4"/>
      <c r="B149" s="4"/>
      <c r="C149" s="4"/>
      <c r="D149" s="4"/>
      <c r="E149" s="29"/>
      <c r="F149" s="2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6"/>
    </row>
    <row r="150" customHeight="1" spans="1:26">
      <c r="A150" s="4"/>
      <c r="B150" s="4"/>
      <c r="C150" s="4"/>
      <c r="D150" s="4"/>
      <c r="E150" s="29"/>
      <c r="F150" s="2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6"/>
    </row>
    <row r="151" customHeight="1" spans="1:26">
      <c r="A151" s="4"/>
      <c r="B151" s="4"/>
      <c r="C151" s="4"/>
      <c r="D151" s="4"/>
      <c r="E151" s="29"/>
      <c r="F151" s="2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6"/>
    </row>
    <row r="152" customHeight="1" spans="1:26">
      <c r="A152" s="4"/>
      <c r="B152" s="4"/>
      <c r="C152" s="4"/>
      <c r="D152" s="4"/>
      <c r="E152" s="29"/>
      <c r="F152" s="2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6"/>
    </row>
    <row r="153" customHeight="1" spans="1:26">
      <c r="A153" s="4"/>
      <c r="B153" s="4"/>
      <c r="C153" s="4"/>
      <c r="D153" s="4"/>
      <c r="E153" s="29"/>
      <c r="F153" s="2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6"/>
    </row>
    <row r="154" customHeight="1" spans="1:26">
      <c r="A154" s="4"/>
      <c r="B154" s="4"/>
      <c r="C154" s="4"/>
      <c r="D154" s="4"/>
      <c r="E154" s="29"/>
      <c r="F154" s="2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6"/>
    </row>
    <row r="155" customHeight="1" spans="1:26">
      <c r="A155" s="4"/>
      <c r="B155" s="4"/>
      <c r="C155" s="4"/>
      <c r="D155" s="4"/>
      <c r="E155" s="29"/>
      <c r="F155" s="2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6"/>
    </row>
    <row r="156" customHeight="1" spans="1:26">
      <c r="A156" s="4"/>
      <c r="B156" s="4"/>
      <c r="C156" s="4"/>
      <c r="D156" s="4"/>
      <c r="E156" s="29"/>
      <c r="F156" s="2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6"/>
    </row>
    <row r="157" customHeight="1" spans="1:26">
      <c r="A157" s="4"/>
      <c r="B157" s="4"/>
      <c r="C157" s="4"/>
      <c r="D157" s="4"/>
      <c r="E157" s="29"/>
      <c r="F157" s="2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6"/>
    </row>
    <row r="158" customHeight="1" spans="1:26">
      <c r="A158" s="4"/>
      <c r="B158" s="4"/>
      <c r="C158" s="4"/>
      <c r="D158" s="4"/>
      <c r="E158" s="29"/>
      <c r="F158" s="2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6"/>
    </row>
    <row r="159" customHeight="1" spans="1:26">
      <c r="A159" s="4"/>
      <c r="B159" s="4"/>
      <c r="C159" s="4"/>
      <c r="D159" s="4"/>
      <c r="E159" s="29"/>
      <c r="F159" s="2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6"/>
    </row>
    <row r="160" customHeight="1" spans="1:26">
      <c r="A160" s="4"/>
      <c r="B160" s="4"/>
      <c r="C160" s="4"/>
      <c r="D160" s="4"/>
      <c r="E160" s="29"/>
      <c r="F160" s="2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6"/>
    </row>
    <row r="161" customHeight="1" spans="1:26">
      <c r="A161" s="4"/>
      <c r="B161" s="4"/>
      <c r="C161" s="4"/>
      <c r="D161" s="4"/>
      <c r="E161" s="29"/>
      <c r="F161" s="2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6"/>
    </row>
    <row r="162" customHeight="1" spans="1:26">
      <c r="A162" s="4"/>
      <c r="B162" s="4"/>
      <c r="C162" s="4"/>
      <c r="D162" s="4"/>
      <c r="E162" s="29"/>
      <c r="F162" s="2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6"/>
    </row>
    <row r="163" customHeight="1" spans="1:26">
      <c r="A163" s="4"/>
      <c r="B163" s="4"/>
      <c r="C163" s="4"/>
      <c r="D163" s="4"/>
      <c r="E163" s="29"/>
      <c r="F163" s="2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6"/>
    </row>
    <row r="164" customHeight="1" spans="1:26">
      <c r="A164" s="4"/>
      <c r="B164" s="4"/>
      <c r="C164" s="4"/>
      <c r="D164" s="4"/>
      <c r="E164" s="29"/>
      <c r="F164" s="2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6"/>
    </row>
    <row r="165" customHeight="1" spans="1:26">
      <c r="A165" s="4"/>
      <c r="B165" s="4"/>
      <c r="C165" s="4"/>
      <c r="D165" s="4"/>
      <c r="E165" s="29"/>
      <c r="F165" s="2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6"/>
    </row>
    <row r="166" customHeight="1" spans="1:26">
      <c r="A166" s="4"/>
      <c r="B166" s="4"/>
      <c r="C166" s="4"/>
      <c r="D166" s="4"/>
      <c r="E166" s="29"/>
      <c r="F166" s="2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6"/>
    </row>
    <row r="167" customHeight="1" spans="1:26">
      <c r="A167" s="4"/>
      <c r="B167" s="4"/>
      <c r="C167" s="4"/>
      <c r="D167" s="4"/>
      <c r="E167" s="29"/>
      <c r="F167" s="2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6"/>
    </row>
    <row r="168" customHeight="1" spans="1:26">
      <c r="A168" s="4"/>
      <c r="B168" s="4"/>
      <c r="C168" s="4"/>
      <c r="D168" s="4"/>
      <c r="E168" s="29"/>
      <c r="F168" s="2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6"/>
    </row>
    <row r="169" customHeight="1" spans="1:26">
      <c r="A169" s="4"/>
      <c r="B169" s="4"/>
      <c r="C169" s="4"/>
      <c r="D169" s="4"/>
      <c r="E169" s="29"/>
      <c r="F169" s="2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6"/>
    </row>
    <row r="170" customHeight="1" spans="1:26">
      <c r="A170" s="4"/>
      <c r="B170" s="4"/>
      <c r="C170" s="4"/>
      <c r="D170" s="4"/>
      <c r="E170" s="29"/>
      <c r="F170" s="2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6"/>
    </row>
    <row r="171" customHeight="1" spans="1:26">
      <c r="A171" s="4"/>
      <c r="B171" s="4"/>
      <c r="C171" s="4"/>
      <c r="D171" s="4"/>
      <c r="E171" s="29"/>
      <c r="F171" s="2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6"/>
    </row>
    <row r="172" customHeight="1" spans="1:26">
      <c r="A172" s="4"/>
      <c r="B172" s="4"/>
      <c r="C172" s="4"/>
      <c r="D172" s="4"/>
      <c r="E172" s="29"/>
      <c r="F172" s="2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6"/>
    </row>
    <row r="173" customHeight="1" spans="1:26">
      <c r="A173" s="4"/>
      <c r="B173" s="4"/>
      <c r="C173" s="4"/>
      <c r="D173" s="4"/>
      <c r="E173" s="29"/>
      <c r="F173" s="2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6"/>
    </row>
    <row r="174" customHeight="1" spans="1:26">
      <c r="A174" s="4"/>
      <c r="B174" s="4"/>
      <c r="C174" s="4"/>
      <c r="D174" s="4"/>
      <c r="E174" s="29"/>
      <c r="F174" s="2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6"/>
    </row>
    <row r="175" customHeight="1" spans="1:26">
      <c r="A175" s="4"/>
      <c r="B175" s="4"/>
      <c r="C175" s="4"/>
      <c r="D175" s="4"/>
      <c r="E175" s="29"/>
      <c r="F175" s="2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6"/>
    </row>
    <row r="176" customHeight="1" spans="1:26">
      <c r="A176" s="4"/>
      <c r="B176" s="4"/>
      <c r="C176" s="4"/>
      <c r="D176" s="4"/>
      <c r="E176" s="29"/>
      <c r="F176" s="2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6"/>
    </row>
    <row r="177" customHeight="1" spans="1:26">
      <c r="A177" s="4"/>
      <c r="B177" s="4"/>
      <c r="C177" s="4"/>
      <c r="D177" s="4"/>
      <c r="E177" s="29"/>
      <c r="F177" s="2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6"/>
    </row>
    <row r="178" customHeight="1" spans="1:26">
      <c r="A178" s="4"/>
      <c r="B178" s="4"/>
      <c r="C178" s="4"/>
      <c r="D178" s="4"/>
      <c r="E178" s="29"/>
      <c r="F178" s="2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6"/>
    </row>
    <row r="179" customHeight="1" spans="1:26">
      <c r="A179" s="4"/>
      <c r="B179" s="4"/>
      <c r="C179" s="4"/>
      <c r="D179" s="4"/>
      <c r="E179" s="29"/>
      <c r="F179" s="2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6"/>
    </row>
    <row r="180" customHeight="1" spans="1:26">
      <c r="A180" s="4"/>
      <c r="B180" s="4"/>
      <c r="C180" s="4"/>
      <c r="D180" s="4"/>
      <c r="E180" s="29"/>
      <c r="F180" s="2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6"/>
    </row>
    <row r="181" customHeight="1" spans="1:26">
      <c r="A181" s="4"/>
      <c r="B181" s="4"/>
      <c r="C181" s="4"/>
      <c r="D181" s="4"/>
      <c r="E181" s="29"/>
      <c r="F181" s="2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6"/>
    </row>
    <row r="182" customHeight="1" spans="1:26">
      <c r="A182" s="4"/>
      <c r="B182" s="4"/>
      <c r="C182" s="4"/>
      <c r="D182" s="4"/>
      <c r="E182" s="29"/>
      <c r="F182" s="2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6"/>
    </row>
    <row r="183" customHeight="1" spans="1:26">
      <c r="A183" s="4"/>
      <c r="B183" s="4"/>
      <c r="C183" s="4"/>
      <c r="D183" s="4"/>
      <c r="E183" s="29"/>
      <c r="F183" s="2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6"/>
    </row>
    <row r="184" customHeight="1" spans="1:26">
      <c r="A184" s="4"/>
      <c r="B184" s="4"/>
      <c r="C184" s="4"/>
      <c r="D184" s="4"/>
      <c r="E184" s="29"/>
      <c r="F184" s="2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6"/>
    </row>
    <row r="185" customHeight="1" spans="1:26">
      <c r="A185" s="4"/>
      <c r="B185" s="4"/>
      <c r="C185" s="4"/>
      <c r="D185" s="4"/>
      <c r="E185" s="29"/>
      <c r="F185" s="2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6"/>
    </row>
    <row r="186" customHeight="1" spans="1:26">
      <c r="A186" s="4"/>
      <c r="B186" s="4"/>
      <c r="C186" s="4"/>
      <c r="D186" s="4"/>
      <c r="E186" s="29"/>
      <c r="F186" s="2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6"/>
    </row>
    <row r="187" customHeight="1" spans="1:26">
      <c r="A187" s="4"/>
      <c r="B187" s="4"/>
      <c r="C187" s="4"/>
      <c r="D187" s="4"/>
      <c r="E187" s="29"/>
      <c r="F187" s="2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6"/>
    </row>
    <row r="188" customHeight="1" spans="1:26">
      <c r="A188" s="4"/>
      <c r="B188" s="4"/>
      <c r="C188" s="4"/>
      <c r="D188" s="4"/>
      <c r="E188" s="29"/>
      <c r="F188" s="2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6"/>
    </row>
    <row r="189" customHeight="1" spans="1:26">
      <c r="A189" s="4"/>
      <c r="B189" s="4"/>
      <c r="C189" s="4"/>
      <c r="D189" s="4"/>
      <c r="E189" s="29"/>
      <c r="F189" s="2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6"/>
    </row>
    <row r="190" customHeight="1" spans="1:26">
      <c r="A190" s="4"/>
      <c r="B190" s="4"/>
      <c r="C190" s="4"/>
      <c r="D190" s="4"/>
      <c r="E190" s="29"/>
      <c r="F190" s="2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6"/>
    </row>
    <row r="191" customHeight="1" spans="1:26">
      <c r="A191" s="4"/>
      <c r="B191" s="4"/>
      <c r="C191" s="4"/>
      <c r="D191" s="4"/>
      <c r="E191" s="29"/>
      <c r="F191" s="2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6"/>
    </row>
    <row r="192" customHeight="1" spans="1:26">
      <c r="A192" s="4"/>
      <c r="B192" s="4"/>
      <c r="C192" s="4"/>
      <c r="D192" s="4"/>
      <c r="E192" s="29"/>
      <c r="F192" s="2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6"/>
    </row>
    <row r="193" customHeight="1" spans="1:26">
      <c r="A193" s="4"/>
      <c r="B193" s="4"/>
      <c r="C193" s="4"/>
      <c r="D193" s="4"/>
      <c r="E193" s="29"/>
      <c r="F193" s="2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6"/>
    </row>
    <row r="194" customHeight="1" spans="1:26">
      <c r="A194" s="4"/>
      <c r="B194" s="4"/>
      <c r="C194" s="4"/>
      <c r="D194" s="4"/>
      <c r="E194" s="29"/>
      <c r="F194" s="2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6"/>
    </row>
    <row r="195" customHeight="1" spans="1:26">
      <c r="A195" s="4"/>
      <c r="B195" s="4"/>
      <c r="C195" s="4"/>
      <c r="D195" s="4"/>
      <c r="E195" s="29"/>
      <c r="F195" s="2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6"/>
    </row>
    <row r="196" customHeight="1" spans="1:26">
      <c r="A196" s="4"/>
      <c r="B196" s="4"/>
      <c r="C196" s="4"/>
      <c r="D196" s="4"/>
      <c r="E196" s="29"/>
      <c r="F196" s="2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6"/>
    </row>
    <row r="197" customHeight="1" spans="1:26">
      <c r="A197" s="4"/>
      <c r="B197" s="4"/>
      <c r="C197" s="4"/>
      <c r="D197" s="4"/>
      <c r="E197" s="29"/>
      <c r="F197" s="2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6"/>
    </row>
    <row r="198" customHeight="1" spans="1:26">
      <c r="A198" s="4"/>
      <c r="B198" s="4"/>
      <c r="C198" s="4"/>
      <c r="D198" s="4"/>
      <c r="E198" s="29"/>
      <c r="F198" s="2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6"/>
    </row>
    <row r="199" customHeight="1" spans="1:26">
      <c r="A199" s="4"/>
      <c r="B199" s="4"/>
      <c r="C199" s="4"/>
      <c r="D199" s="4"/>
      <c r="E199" s="29"/>
      <c r="F199" s="2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6"/>
    </row>
    <row r="200" customHeight="1" spans="1:26">
      <c r="A200" s="4"/>
      <c r="B200" s="4"/>
      <c r="C200" s="4"/>
      <c r="D200" s="4"/>
      <c r="E200" s="29"/>
      <c r="F200" s="2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6"/>
    </row>
    <row r="201" customHeight="1" spans="1:26">
      <c r="A201" s="4"/>
      <c r="B201" s="4"/>
      <c r="C201" s="4"/>
      <c r="D201" s="4"/>
      <c r="E201" s="29"/>
      <c r="F201" s="2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6"/>
    </row>
    <row r="202" customHeight="1" spans="1:26">
      <c r="A202" s="4"/>
      <c r="B202" s="4"/>
      <c r="C202" s="4"/>
      <c r="D202" s="4"/>
      <c r="E202" s="29"/>
      <c r="F202" s="2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6"/>
    </row>
    <row r="203" customHeight="1" spans="1:26">
      <c r="A203" s="4"/>
      <c r="B203" s="4"/>
      <c r="C203" s="4"/>
      <c r="D203" s="4"/>
      <c r="E203" s="29"/>
      <c r="F203" s="2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6"/>
    </row>
    <row r="204" customHeight="1" spans="1:26">
      <c r="A204" s="4"/>
      <c r="B204" s="4"/>
      <c r="C204" s="4"/>
      <c r="D204" s="4"/>
      <c r="E204" s="29"/>
      <c r="F204" s="2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6"/>
    </row>
    <row r="205" customHeight="1" spans="1:26">
      <c r="A205" s="4"/>
      <c r="B205" s="4"/>
      <c r="C205" s="4"/>
      <c r="D205" s="4"/>
      <c r="E205" s="29"/>
      <c r="F205" s="2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6"/>
    </row>
    <row r="206" customHeight="1" spans="1:26">
      <c r="A206" s="4"/>
      <c r="B206" s="4"/>
      <c r="C206" s="4"/>
      <c r="D206" s="4"/>
      <c r="E206" s="29"/>
      <c r="F206" s="2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6"/>
    </row>
    <row r="207" customHeight="1" spans="1:26">
      <c r="A207" s="4"/>
      <c r="B207" s="4"/>
      <c r="C207" s="4"/>
      <c r="D207" s="4"/>
      <c r="E207" s="29"/>
      <c r="F207" s="2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6"/>
    </row>
    <row r="208" customHeight="1" spans="1:26">
      <c r="A208" s="4"/>
      <c r="B208" s="4"/>
      <c r="C208" s="4"/>
      <c r="D208" s="4"/>
      <c r="E208" s="29"/>
      <c r="F208" s="2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6"/>
    </row>
    <row r="209" customHeight="1" spans="1:26">
      <c r="A209" s="4"/>
      <c r="B209" s="4"/>
      <c r="C209" s="4"/>
      <c r="D209" s="4"/>
      <c r="E209" s="29"/>
      <c r="F209" s="2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6"/>
    </row>
    <row r="210" customHeight="1" spans="1:26">
      <c r="A210" s="4"/>
      <c r="B210" s="4"/>
      <c r="C210" s="4"/>
      <c r="D210" s="4"/>
      <c r="E210" s="29"/>
      <c r="F210" s="2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6"/>
    </row>
    <row r="211" customHeight="1" spans="1:26">
      <c r="A211" s="4"/>
      <c r="B211" s="4"/>
      <c r="C211" s="4"/>
      <c r="D211" s="4"/>
      <c r="E211" s="29"/>
      <c r="F211" s="2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6"/>
    </row>
    <row r="212" customHeight="1" spans="1:26">
      <c r="A212" s="4"/>
      <c r="B212" s="4"/>
      <c r="C212" s="4"/>
      <c r="D212" s="4"/>
      <c r="E212" s="29"/>
      <c r="F212" s="2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6"/>
    </row>
    <row r="213" customHeight="1" spans="1:26">
      <c r="A213" s="4"/>
      <c r="B213" s="4"/>
      <c r="C213" s="4"/>
      <c r="D213" s="4"/>
      <c r="E213" s="29"/>
      <c r="F213" s="2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6"/>
    </row>
    <row r="214" customHeight="1" spans="1:26">
      <c r="A214" s="4"/>
      <c r="B214" s="4"/>
      <c r="C214" s="4"/>
      <c r="D214" s="4"/>
      <c r="E214" s="29"/>
      <c r="F214" s="2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6"/>
    </row>
    <row r="215" customHeight="1" spans="1:26">
      <c r="A215" s="4"/>
      <c r="B215" s="4"/>
      <c r="C215" s="4"/>
      <c r="D215" s="4"/>
      <c r="E215" s="29"/>
      <c r="F215" s="2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6"/>
    </row>
    <row r="216" customHeight="1" spans="1:26">
      <c r="A216" s="4"/>
      <c r="B216" s="4"/>
      <c r="C216" s="4"/>
      <c r="D216" s="4"/>
      <c r="E216" s="29"/>
      <c r="F216" s="2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6"/>
    </row>
    <row r="217" customHeight="1" spans="1:26">
      <c r="A217" s="4"/>
      <c r="B217" s="4"/>
      <c r="C217" s="4"/>
      <c r="D217" s="4"/>
      <c r="E217" s="29"/>
      <c r="F217" s="2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6"/>
    </row>
    <row r="218" customHeight="1" spans="1:26">
      <c r="A218" s="4"/>
      <c r="B218" s="4"/>
      <c r="C218" s="4"/>
      <c r="D218" s="4"/>
      <c r="E218" s="29"/>
      <c r="F218" s="2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6"/>
    </row>
    <row r="219" customHeight="1" spans="1:26">
      <c r="A219" s="4"/>
      <c r="B219" s="4"/>
      <c r="C219" s="4"/>
      <c r="D219" s="4"/>
      <c r="E219" s="29"/>
      <c r="F219" s="2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6"/>
    </row>
    <row r="220" customHeight="1" spans="1:26">
      <c r="A220" s="4"/>
      <c r="B220" s="4"/>
      <c r="C220" s="4"/>
      <c r="D220" s="4"/>
      <c r="E220" s="29"/>
      <c r="F220" s="2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6"/>
    </row>
    <row r="221" customHeight="1" spans="1:26">
      <c r="A221" s="4"/>
      <c r="B221" s="4"/>
      <c r="C221" s="4"/>
      <c r="D221" s="4"/>
      <c r="E221" s="29"/>
      <c r="F221" s="2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6"/>
    </row>
    <row r="222" customHeight="1" spans="1:26">
      <c r="A222" s="4"/>
      <c r="B222" s="4"/>
      <c r="C222" s="4"/>
      <c r="D222" s="4"/>
      <c r="E222" s="29"/>
      <c r="F222" s="2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6"/>
    </row>
    <row r="223" customHeight="1" spans="1:26">
      <c r="A223" s="4"/>
      <c r="B223" s="4"/>
      <c r="C223" s="4"/>
      <c r="D223" s="4"/>
      <c r="E223" s="29"/>
      <c r="F223" s="2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6"/>
    </row>
    <row r="224" customHeight="1" spans="1:26">
      <c r="A224" s="4"/>
      <c r="B224" s="4"/>
      <c r="C224" s="4"/>
      <c r="D224" s="4"/>
      <c r="E224" s="29"/>
      <c r="F224" s="2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6"/>
    </row>
    <row r="225" customHeight="1" spans="1:26">
      <c r="A225" s="4"/>
      <c r="B225" s="4"/>
      <c r="C225" s="4"/>
      <c r="D225" s="4"/>
      <c r="E225" s="29"/>
      <c r="F225" s="2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6"/>
    </row>
    <row r="226" customHeight="1" spans="1:26">
      <c r="A226" s="4"/>
      <c r="B226" s="4"/>
      <c r="C226" s="4"/>
      <c r="D226" s="4"/>
      <c r="E226" s="29"/>
      <c r="F226" s="2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6"/>
    </row>
    <row r="227" customHeight="1" spans="1:26">
      <c r="A227" s="4"/>
      <c r="B227" s="4"/>
      <c r="C227" s="4"/>
      <c r="D227" s="4"/>
      <c r="E227" s="29"/>
      <c r="F227" s="2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6"/>
    </row>
    <row r="228" customHeight="1" spans="1:26">
      <c r="A228" s="4"/>
      <c r="B228" s="4"/>
      <c r="C228" s="4"/>
      <c r="D228" s="4"/>
      <c r="E228" s="29"/>
      <c r="F228" s="2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6"/>
    </row>
    <row r="229" customHeight="1" spans="1:26">
      <c r="A229" s="4"/>
      <c r="B229" s="4"/>
      <c r="C229" s="4"/>
      <c r="D229" s="4"/>
      <c r="E229" s="29"/>
      <c r="F229" s="2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6"/>
    </row>
    <row r="230" customHeight="1" spans="1:26">
      <c r="A230" s="4"/>
      <c r="B230" s="4"/>
      <c r="C230" s="4"/>
      <c r="D230" s="4"/>
      <c r="E230" s="29"/>
      <c r="F230" s="2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6"/>
    </row>
    <row r="231" customHeight="1" spans="1:26">
      <c r="A231" s="4"/>
      <c r="B231" s="4"/>
      <c r="C231" s="4"/>
      <c r="D231" s="4"/>
      <c r="E231" s="29"/>
      <c r="F231" s="2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6"/>
    </row>
    <row r="232" customHeight="1" spans="1:26">
      <c r="A232" s="4"/>
      <c r="B232" s="4"/>
      <c r="C232" s="4"/>
      <c r="D232" s="4"/>
      <c r="E232" s="29"/>
      <c r="F232" s="2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6"/>
    </row>
    <row r="233" customHeight="1" spans="1:26">
      <c r="A233" s="4"/>
      <c r="B233" s="4"/>
      <c r="C233" s="4"/>
      <c r="D233" s="4"/>
      <c r="E233" s="29"/>
      <c r="F233" s="2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6"/>
    </row>
    <row r="234" customHeight="1" spans="1:26">
      <c r="A234" s="4"/>
      <c r="B234" s="4"/>
      <c r="C234" s="4"/>
      <c r="D234" s="4"/>
      <c r="E234" s="29"/>
      <c r="F234" s="2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6"/>
    </row>
    <row r="235" customHeight="1" spans="1:26">
      <c r="A235" s="4"/>
      <c r="B235" s="4"/>
      <c r="C235" s="4"/>
      <c r="D235" s="4"/>
      <c r="E235" s="29"/>
      <c r="F235" s="2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6"/>
    </row>
    <row r="236" customHeight="1" spans="1:26">
      <c r="A236" s="4"/>
      <c r="B236" s="4"/>
      <c r="C236" s="4"/>
      <c r="D236" s="4"/>
      <c r="E236" s="29"/>
      <c r="F236" s="2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6"/>
    </row>
    <row r="237" customHeight="1" spans="1:26">
      <c r="A237" s="4"/>
      <c r="B237" s="4"/>
      <c r="C237" s="4"/>
      <c r="D237" s="4"/>
      <c r="E237" s="29"/>
      <c r="F237" s="2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6"/>
    </row>
    <row r="238" customHeight="1" spans="1:26">
      <c r="A238" s="4"/>
      <c r="B238" s="4"/>
      <c r="C238" s="4"/>
      <c r="D238" s="4"/>
      <c r="E238" s="29"/>
      <c r="F238" s="2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6"/>
    </row>
    <row r="239" customHeight="1" spans="1:26">
      <c r="A239" s="4"/>
      <c r="B239" s="4"/>
      <c r="C239" s="4"/>
      <c r="D239" s="4"/>
      <c r="E239" s="29"/>
      <c r="F239" s="2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6"/>
    </row>
    <row r="240" customHeight="1" spans="1:26">
      <c r="A240" s="4"/>
      <c r="B240" s="4"/>
      <c r="C240" s="4"/>
      <c r="D240" s="4"/>
      <c r="E240" s="29"/>
      <c r="F240" s="2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6"/>
    </row>
    <row r="241" customHeight="1" spans="1:26">
      <c r="A241" s="4"/>
      <c r="B241" s="4"/>
      <c r="C241" s="4"/>
      <c r="D241" s="4"/>
      <c r="E241" s="29"/>
      <c r="F241" s="2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6"/>
    </row>
    <row r="242" customHeight="1" spans="1:26">
      <c r="A242" s="4"/>
      <c r="B242" s="4"/>
      <c r="C242" s="4"/>
      <c r="D242" s="4"/>
      <c r="E242" s="29"/>
      <c r="F242" s="2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6"/>
    </row>
    <row r="243" customHeight="1" spans="1:26">
      <c r="A243" s="4"/>
      <c r="B243" s="4"/>
      <c r="C243" s="4"/>
      <c r="D243" s="4"/>
      <c r="E243" s="29"/>
      <c r="F243" s="2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6"/>
    </row>
    <row r="244" customHeight="1" spans="1:26">
      <c r="A244" s="4"/>
      <c r="B244" s="4"/>
      <c r="C244" s="4"/>
      <c r="D244" s="4"/>
      <c r="E244" s="29"/>
      <c r="F244" s="2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6"/>
    </row>
    <row r="245" customHeight="1" spans="1:26">
      <c r="A245" s="4"/>
      <c r="B245" s="4"/>
      <c r="C245" s="4"/>
      <c r="D245" s="4"/>
      <c r="E245" s="29"/>
      <c r="F245" s="2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6"/>
    </row>
    <row r="246" customHeight="1" spans="1:26">
      <c r="A246" s="4"/>
      <c r="B246" s="4"/>
      <c r="C246" s="4"/>
      <c r="D246" s="4"/>
      <c r="E246" s="29"/>
      <c r="F246" s="2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6"/>
    </row>
    <row r="247" customHeight="1" spans="1:26">
      <c r="A247" s="4"/>
      <c r="B247" s="4"/>
      <c r="C247" s="4"/>
      <c r="D247" s="4"/>
      <c r="E247" s="29"/>
      <c r="F247" s="2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6"/>
    </row>
    <row r="248" customHeight="1" spans="1:26">
      <c r="A248" s="4"/>
      <c r="B248" s="4"/>
      <c r="C248" s="4"/>
      <c r="D248" s="4"/>
      <c r="E248" s="29"/>
      <c r="F248" s="2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6"/>
    </row>
    <row r="249" customHeight="1" spans="1:26">
      <c r="A249" s="4"/>
      <c r="B249" s="4"/>
      <c r="C249" s="4"/>
      <c r="D249" s="4"/>
      <c r="E249" s="29"/>
      <c r="F249" s="2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6"/>
    </row>
    <row r="250" customHeight="1" spans="1:26">
      <c r="A250" s="4"/>
      <c r="B250" s="4"/>
      <c r="C250" s="4"/>
      <c r="D250" s="4"/>
      <c r="E250" s="29"/>
      <c r="F250" s="2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6"/>
    </row>
    <row r="251" customHeight="1" spans="1:26">
      <c r="A251" s="4"/>
      <c r="B251" s="4"/>
      <c r="C251" s="4"/>
      <c r="D251" s="4"/>
      <c r="E251" s="29"/>
      <c r="F251" s="2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6"/>
    </row>
    <row r="252" customHeight="1" spans="1:26">
      <c r="A252" s="4"/>
      <c r="B252" s="4"/>
      <c r="C252" s="4"/>
      <c r="D252" s="4"/>
      <c r="E252" s="29"/>
      <c r="F252" s="2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6"/>
    </row>
    <row r="253" customHeight="1" spans="1:26">
      <c r="A253" s="4"/>
      <c r="B253" s="4"/>
      <c r="C253" s="4"/>
      <c r="D253" s="4"/>
      <c r="E253" s="29"/>
      <c r="F253" s="2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6"/>
    </row>
    <row r="254" customHeight="1" spans="1:26">
      <c r="A254" s="4"/>
      <c r="B254" s="4"/>
      <c r="C254" s="4"/>
      <c r="D254" s="4"/>
      <c r="E254" s="29"/>
      <c r="F254" s="2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6"/>
    </row>
    <row r="255" customHeight="1" spans="1:26">
      <c r="A255" s="4"/>
      <c r="B255" s="4"/>
      <c r="C255" s="4"/>
      <c r="D255" s="4"/>
      <c r="E255" s="29"/>
      <c r="F255" s="2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6"/>
    </row>
    <row r="256" customHeight="1" spans="1:26">
      <c r="A256" s="4"/>
      <c r="B256" s="4"/>
      <c r="C256" s="4"/>
      <c r="D256" s="4"/>
      <c r="E256" s="29"/>
      <c r="F256" s="2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6"/>
    </row>
    <row r="257" customHeight="1" spans="1:26">
      <c r="A257" s="4"/>
      <c r="B257" s="4"/>
      <c r="C257" s="4"/>
      <c r="D257" s="4"/>
      <c r="E257" s="29"/>
      <c r="F257" s="2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6"/>
    </row>
    <row r="258" customHeight="1" spans="1:26">
      <c r="A258" s="4"/>
      <c r="B258" s="4"/>
      <c r="C258" s="4"/>
      <c r="D258" s="4"/>
      <c r="E258" s="29"/>
      <c r="F258" s="2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6"/>
    </row>
    <row r="259" customHeight="1" spans="1:26">
      <c r="A259" s="4"/>
      <c r="B259" s="4"/>
      <c r="C259" s="4"/>
      <c r="D259" s="4"/>
      <c r="E259" s="29"/>
      <c r="F259" s="2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6"/>
    </row>
    <row r="260" customHeight="1" spans="1:26">
      <c r="A260" s="4"/>
      <c r="B260" s="4"/>
      <c r="C260" s="4"/>
      <c r="D260" s="4"/>
      <c r="E260" s="29"/>
      <c r="F260" s="2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6"/>
    </row>
    <row r="261" customHeight="1" spans="1:26">
      <c r="A261" s="4"/>
      <c r="B261" s="4"/>
      <c r="C261" s="4"/>
      <c r="D261" s="4"/>
      <c r="E261" s="29"/>
      <c r="F261" s="2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6"/>
    </row>
    <row r="262" customHeight="1" spans="1:26">
      <c r="A262" s="4"/>
      <c r="B262" s="4"/>
      <c r="C262" s="4"/>
      <c r="D262" s="4"/>
      <c r="E262" s="29"/>
      <c r="F262" s="2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6"/>
    </row>
    <row r="263" customHeight="1" spans="1:26">
      <c r="A263" s="4"/>
      <c r="B263" s="4"/>
      <c r="C263" s="4"/>
      <c r="D263" s="4"/>
      <c r="E263" s="29"/>
      <c r="F263" s="2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6"/>
    </row>
    <row r="264" customHeight="1" spans="1:26">
      <c r="A264" s="4"/>
      <c r="B264" s="4"/>
      <c r="C264" s="4"/>
      <c r="D264" s="4"/>
      <c r="E264" s="29"/>
      <c r="F264" s="2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6"/>
    </row>
    <row r="265" customHeight="1" spans="1:26">
      <c r="A265" s="4"/>
      <c r="B265" s="4"/>
      <c r="C265" s="4"/>
      <c r="D265" s="4"/>
      <c r="E265" s="29"/>
      <c r="F265" s="2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6"/>
    </row>
    <row r="266" customHeight="1" spans="1:26">
      <c r="A266" s="4"/>
      <c r="B266" s="4"/>
      <c r="C266" s="4"/>
      <c r="D266" s="4"/>
      <c r="E266" s="29"/>
      <c r="F266" s="2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6"/>
    </row>
    <row r="267" customHeight="1" spans="1:26">
      <c r="A267" s="4"/>
      <c r="B267" s="4"/>
      <c r="C267" s="4"/>
      <c r="D267" s="4"/>
      <c r="E267" s="29"/>
      <c r="F267" s="2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6"/>
    </row>
    <row r="268" customHeight="1" spans="1:26">
      <c r="A268" s="4"/>
      <c r="B268" s="4"/>
      <c r="C268" s="4"/>
      <c r="D268" s="4"/>
      <c r="E268" s="29"/>
      <c r="F268" s="2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6"/>
    </row>
    <row r="269" customHeight="1" spans="1:26">
      <c r="A269" s="4"/>
      <c r="B269" s="4"/>
      <c r="C269" s="4"/>
      <c r="D269" s="4"/>
      <c r="E269" s="29"/>
      <c r="F269" s="2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6"/>
    </row>
    <row r="270" customHeight="1" spans="1:26">
      <c r="A270" s="4"/>
      <c r="B270" s="4"/>
      <c r="C270" s="4"/>
      <c r="D270" s="4"/>
      <c r="E270" s="29"/>
      <c r="F270" s="2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6"/>
    </row>
    <row r="271" customHeight="1" spans="1:26">
      <c r="A271" s="4"/>
      <c r="B271" s="4"/>
      <c r="C271" s="4"/>
      <c r="D271" s="4"/>
      <c r="E271" s="29"/>
      <c r="F271" s="2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6"/>
    </row>
    <row r="272" customHeight="1" spans="1:26">
      <c r="A272" s="4"/>
      <c r="B272" s="4"/>
      <c r="C272" s="4"/>
      <c r="D272" s="4"/>
      <c r="E272" s="29"/>
      <c r="F272" s="2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6"/>
    </row>
    <row r="273" customHeight="1" spans="1:26">
      <c r="A273" s="4"/>
      <c r="B273" s="4"/>
      <c r="C273" s="4"/>
      <c r="D273" s="4"/>
      <c r="E273" s="29"/>
      <c r="F273" s="2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6"/>
    </row>
    <row r="274" customHeight="1" spans="1:26">
      <c r="A274" s="4"/>
      <c r="B274" s="4"/>
      <c r="C274" s="4"/>
      <c r="D274" s="4"/>
      <c r="E274" s="29"/>
      <c r="F274" s="2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6"/>
    </row>
    <row r="275" customHeight="1" spans="1:26">
      <c r="A275" s="4"/>
      <c r="B275" s="4"/>
      <c r="C275" s="4"/>
      <c r="D275" s="4"/>
      <c r="E275" s="29"/>
      <c r="F275" s="2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6"/>
    </row>
    <row r="276" customHeight="1" spans="1:26">
      <c r="A276" s="4"/>
      <c r="B276" s="4"/>
      <c r="C276" s="4"/>
      <c r="D276" s="4"/>
      <c r="E276" s="29"/>
      <c r="F276" s="2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6"/>
    </row>
    <row r="277" customHeight="1" spans="1:26">
      <c r="A277" s="4"/>
      <c r="B277" s="4"/>
      <c r="C277" s="4"/>
      <c r="D277" s="4"/>
      <c r="E277" s="29"/>
      <c r="F277" s="2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6"/>
    </row>
    <row r="278" customHeight="1" spans="1:26">
      <c r="A278" s="4"/>
      <c r="B278" s="4"/>
      <c r="C278" s="4"/>
      <c r="D278" s="4"/>
      <c r="E278" s="29"/>
      <c r="F278" s="2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6"/>
    </row>
    <row r="279" customHeight="1" spans="1:26">
      <c r="A279" s="4"/>
      <c r="B279" s="4"/>
      <c r="C279" s="4"/>
      <c r="D279" s="4"/>
      <c r="E279" s="29"/>
      <c r="F279" s="2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6"/>
    </row>
    <row r="280" customHeight="1" spans="1:26">
      <c r="A280" s="4"/>
      <c r="B280" s="4"/>
      <c r="C280" s="4"/>
      <c r="D280" s="4"/>
      <c r="E280" s="29"/>
      <c r="F280" s="2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6"/>
    </row>
    <row r="281" customHeight="1" spans="1:26">
      <c r="A281" s="4"/>
      <c r="B281" s="4"/>
      <c r="C281" s="4"/>
      <c r="D281" s="4"/>
      <c r="E281" s="29"/>
      <c r="F281" s="2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6"/>
    </row>
    <row r="282" customHeight="1" spans="1:26">
      <c r="A282" s="4"/>
      <c r="B282" s="4"/>
      <c r="C282" s="4"/>
      <c r="D282" s="4"/>
      <c r="E282" s="29"/>
      <c r="F282" s="2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6"/>
    </row>
    <row r="283" customHeight="1" spans="1:26">
      <c r="A283" s="4"/>
      <c r="B283" s="4"/>
      <c r="C283" s="4"/>
      <c r="D283" s="4"/>
      <c r="E283" s="29"/>
      <c r="F283" s="2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6"/>
    </row>
    <row r="284" customHeight="1" spans="1:26">
      <c r="A284" s="4"/>
      <c r="B284" s="4"/>
      <c r="C284" s="4"/>
      <c r="D284" s="4"/>
      <c r="E284" s="29"/>
      <c r="F284" s="2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6"/>
    </row>
    <row r="285" customHeight="1" spans="1:26">
      <c r="A285" s="4"/>
      <c r="B285" s="4"/>
      <c r="C285" s="4"/>
      <c r="D285" s="4"/>
      <c r="E285" s="29"/>
      <c r="F285" s="2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6"/>
    </row>
    <row r="286" customHeight="1" spans="1:26">
      <c r="A286" s="4"/>
      <c r="B286" s="4"/>
      <c r="C286" s="4"/>
      <c r="D286" s="4"/>
      <c r="E286" s="29"/>
      <c r="F286" s="2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6"/>
    </row>
    <row r="287" customHeight="1" spans="1:26">
      <c r="A287" s="4"/>
      <c r="B287" s="4"/>
      <c r="C287" s="4"/>
      <c r="D287" s="4"/>
      <c r="E287" s="29"/>
      <c r="F287" s="2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6"/>
    </row>
    <row r="288" customHeight="1" spans="1:26">
      <c r="A288" s="4"/>
      <c r="B288" s="4"/>
      <c r="C288" s="4"/>
      <c r="D288" s="4"/>
      <c r="E288" s="29"/>
      <c r="F288" s="2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6"/>
    </row>
    <row r="289" customHeight="1" spans="1:26">
      <c r="A289" s="4"/>
      <c r="B289" s="4"/>
      <c r="C289" s="4"/>
      <c r="D289" s="4"/>
      <c r="E289" s="29"/>
      <c r="F289" s="2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6"/>
    </row>
    <row r="290" customHeight="1" spans="1:26">
      <c r="A290" s="4"/>
      <c r="B290" s="4"/>
      <c r="C290" s="4"/>
      <c r="D290" s="4"/>
      <c r="E290" s="29"/>
      <c r="F290" s="2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6"/>
    </row>
    <row r="291" customHeight="1" spans="1:26">
      <c r="A291" s="4"/>
      <c r="B291" s="4"/>
      <c r="C291" s="4"/>
      <c r="D291" s="4"/>
      <c r="E291" s="29"/>
      <c r="F291" s="2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6"/>
    </row>
    <row r="292" customHeight="1" spans="1:26">
      <c r="A292" s="4"/>
      <c r="B292" s="4"/>
      <c r="C292" s="4"/>
      <c r="D292" s="4"/>
      <c r="E292" s="29"/>
      <c r="F292" s="2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6"/>
    </row>
    <row r="293" customHeight="1" spans="1:26">
      <c r="A293" s="4"/>
      <c r="B293" s="4"/>
      <c r="C293" s="4"/>
      <c r="D293" s="4"/>
      <c r="E293" s="29"/>
      <c r="F293" s="2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6"/>
    </row>
    <row r="294" customHeight="1" spans="1:26">
      <c r="A294" s="4"/>
      <c r="B294" s="4"/>
      <c r="C294" s="4"/>
      <c r="D294" s="4"/>
      <c r="E294" s="29"/>
      <c r="F294" s="2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6"/>
    </row>
    <row r="295" customHeight="1" spans="1:26">
      <c r="A295" s="4"/>
      <c r="B295" s="4"/>
      <c r="C295" s="4"/>
      <c r="D295" s="4"/>
      <c r="E295" s="29"/>
      <c r="F295" s="2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6"/>
    </row>
    <row r="296" customHeight="1" spans="1:26">
      <c r="A296" s="4"/>
      <c r="B296" s="4"/>
      <c r="C296" s="4"/>
      <c r="D296" s="4"/>
      <c r="E296" s="29"/>
      <c r="F296" s="2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6"/>
    </row>
    <row r="297" customHeight="1" spans="1:26">
      <c r="A297" s="4"/>
      <c r="B297" s="4"/>
      <c r="C297" s="4"/>
      <c r="D297" s="4"/>
      <c r="E297" s="29"/>
      <c r="F297" s="2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6"/>
    </row>
    <row r="298" customHeight="1" spans="1:26">
      <c r="A298" s="4"/>
      <c r="B298" s="4"/>
      <c r="C298" s="4"/>
      <c r="D298" s="4"/>
      <c r="E298" s="29"/>
      <c r="F298" s="2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6"/>
    </row>
    <row r="299" customHeight="1" spans="1:26">
      <c r="A299" s="4"/>
      <c r="B299" s="4"/>
      <c r="C299" s="4"/>
      <c r="D299" s="4"/>
      <c r="E299" s="29"/>
      <c r="F299" s="2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6"/>
    </row>
    <row r="300" customHeight="1" spans="1:26">
      <c r="A300" s="4"/>
      <c r="B300" s="4"/>
      <c r="C300" s="4"/>
      <c r="D300" s="4"/>
      <c r="E300" s="29"/>
      <c r="F300" s="2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6"/>
    </row>
    <row r="301" customHeight="1" spans="1:26">
      <c r="A301" s="4"/>
      <c r="B301" s="4"/>
      <c r="C301" s="4"/>
      <c r="D301" s="4"/>
      <c r="E301" s="29"/>
      <c r="F301" s="2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6"/>
    </row>
    <row r="302" customHeight="1" spans="1:26">
      <c r="A302" s="4"/>
      <c r="B302" s="4"/>
      <c r="C302" s="4"/>
      <c r="D302" s="4"/>
      <c r="E302" s="29"/>
      <c r="F302" s="2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6"/>
    </row>
    <row r="303" customHeight="1" spans="1:26">
      <c r="A303" s="4"/>
      <c r="B303" s="4"/>
      <c r="C303" s="4"/>
      <c r="D303" s="4"/>
      <c r="E303" s="29"/>
      <c r="F303" s="2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6"/>
    </row>
    <row r="304" customHeight="1" spans="1:26">
      <c r="A304" s="4"/>
      <c r="B304" s="4"/>
      <c r="C304" s="4"/>
      <c r="D304" s="4"/>
      <c r="E304" s="29"/>
      <c r="F304" s="2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6"/>
    </row>
    <row r="305" customHeight="1" spans="1:26">
      <c r="A305" s="4"/>
      <c r="B305" s="4"/>
      <c r="C305" s="4"/>
      <c r="D305" s="4"/>
      <c r="E305" s="29"/>
      <c r="F305" s="2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6"/>
    </row>
    <row r="306" customHeight="1" spans="1:26">
      <c r="A306" s="4"/>
      <c r="B306" s="4"/>
      <c r="C306" s="4"/>
      <c r="D306" s="4"/>
      <c r="E306" s="29"/>
      <c r="F306" s="2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6"/>
    </row>
    <row r="307" customHeight="1" spans="1:26">
      <c r="A307" s="4"/>
      <c r="B307" s="4"/>
      <c r="C307" s="4"/>
      <c r="D307" s="4"/>
      <c r="E307" s="29"/>
      <c r="F307" s="2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6"/>
    </row>
    <row r="308" customHeight="1" spans="1:26">
      <c r="A308" s="4"/>
      <c r="B308" s="4"/>
      <c r="C308" s="4"/>
      <c r="D308" s="4"/>
      <c r="E308" s="29"/>
      <c r="F308" s="2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6"/>
    </row>
    <row r="309" customHeight="1" spans="1:26">
      <c r="A309" s="4"/>
      <c r="B309" s="4"/>
      <c r="C309" s="4"/>
      <c r="D309" s="4"/>
      <c r="E309" s="29"/>
      <c r="F309" s="2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6"/>
    </row>
    <row r="310" customHeight="1" spans="1:26">
      <c r="A310" s="4"/>
      <c r="B310" s="4"/>
      <c r="C310" s="4"/>
      <c r="D310" s="4"/>
      <c r="E310" s="29"/>
      <c r="F310" s="2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6"/>
    </row>
    <row r="311" customHeight="1" spans="1:26">
      <c r="A311" s="4"/>
      <c r="B311" s="4"/>
      <c r="C311" s="4"/>
      <c r="D311" s="4"/>
      <c r="E311" s="29"/>
      <c r="F311" s="2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6"/>
    </row>
    <row r="312" customHeight="1" spans="1:26">
      <c r="A312" s="4"/>
      <c r="B312" s="4"/>
      <c r="C312" s="4"/>
      <c r="D312" s="4"/>
      <c r="E312" s="29"/>
      <c r="F312" s="2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6"/>
    </row>
    <row r="313" customHeight="1" spans="1:26">
      <c r="A313" s="4"/>
      <c r="B313" s="4"/>
      <c r="C313" s="4"/>
      <c r="D313" s="4"/>
      <c r="E313" s="29"/>
      <c r="F313" s="2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6"/>
    </row>
    <row r="314" customHeight="1" spans="1:26">
      <c r="A314" s="4"/>
      <c r="B314" s="4"/>
      <c r="C314" s="4"/>
      <c r="D314" s="4"/>
      <c r="E314" s="29"/>
      <c r="F314" s="2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6"/>
    </row>
    <row r="315" customHeight="1" spans="1:26">
      <c r="A315" s="4"/>
      <c r="B315" s="4"/>
      <c r="C315" s="4"/>
      <c r="D315" s="4"/>
      <c r="E315" s="29"/>
      <c r="F315" s="2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6"/>
    </row>
    <row r="316" customHeight="1" spans="1:26">
      <c r="A316" s="4"/>
      <c r="B316" s="4"/>
      <c r="C316" s="4"/>
      <c r="D316" s="4"/>
      <c r="E316" s="29"/>
      <c r="F316" s="2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6"/>
    </row>
    <row r="317" customHeight="1" spans="1:26">
      <c r="A317" s="4"/>
      <c r="B317" s="4"/>
      <c r="C317" s="4"/>
      <c r="D317" s="4"/>
      <c r="E317" s="29"/>
      <c r="F317" s="2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6"/>
    </row>
    <row r="318" customHeight="1" spans="1:26">
      <c r="A318" s="4"/>
      <c r="B318" s="4"/>
      <c r="C318" s="4"/>
      <c r="D318" s="4"/>
      <c r="E318" s="29"/>
      <c r="F318" s="2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6"/>
    </row>
    <row r="319" customHeight="1" spans="1:26">
      <c r="A319" s="4"/>
      <c r="B319" s="4"/>
      <c r="C319" s="4"/>
      <c r="D319" s="4"/>
      <c r="E319" s="29"/>
      <c r="F319" s="2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6"/>
    </row>
    <row r="320" customHeight="1" spans="1:26">
      <c r="A320" s="4"/>
      <c r="B320" s="4"/>
      <c r="C320" s="4"/>
      <c r="D320" s="4"/>
      <c r="E320" s="29"/>
      <c r="F320" s="2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6"/>
    </row>
    <row r="321" customHeight="1" spans="1:26">
      <c r="A321" s="4"/>
      <c r="B321" s="4"/>
      <c r="C321" s="4"/>
      <c r="D321" s="4"/>
      <c r="E321" s="29"/>
      <c r="F321" s="2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6"/>
    </row>
    <row r="322" customHeight="1" spans="1:26">
      <c r="A322" s="4"/>
      <c r="B322" s="4"/>
      <c r="C322" s="4"/>
      <c r="D322" s="4"/>
      <c r="E322" s="29"/>
      <c r="F322" s="2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6"/>
    </row>
    <row r="323" customHeight="1" spans="1:26">
      <c r="A323" s="4"/>
      <c r="B323" s="4"/>
      <c r="C323" s="4"/>
      <c r="D323" s="4"/>
      <c r="E323" s="29"/>
      <c r="F323" s="2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6"/>
    </row>
    <row r="324" customHeight="1" spans="1:26">
      <c r="A324" s="4"/>
      <c r="B324" s="4"/>
      <c r="C324" s="4"/>
      <c r="D324" s="4"/>
      <c r="E324" s="29"/>
      <c r="F324" s="2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6"/>
    </row>
    <row r="325" customHeight="1" spans="1:26">
      <c r="A325" s="4"/>
      <c r="B325" s="4"/>
      <c r="C325" s="4"/>
      <c r="D325" s="4"/>
      <c r="E325" s="29"/>
      <c r="F325" s="2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6"/>
    </row>
    <row r="326" customHeight="1" spans="1:26">
      <c r="A326" s="4"/>
      <c r="B326" s="4"/>
      <c r="C326" s="4"/>
      <c r="D326" s="4"/>
      <c r="E326" s="29"/>
      <c r="F326" s="2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6"/>
    </row>
    <row r="327" customHeight="1" spans="1:26">
      <c r="A327" s="4"/>
      <c r="B327" s="4"/>
      <c r="C327" s="4"/>
      <c r="D327" s="4"/>
      <c r="E327" s="29"/>
      <c r="F327" s="2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6"/>
    </row>
    <row r="328" customHeight="1" spans="1:26">
      <c r="A328" s="4"/>
      <c r="B328" s="4"/>
      <c r="C328" s="4"/>
      <c r="D328" s="4"/>
      <c r="E328" s="29"/>
      <c r="F328" s="2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6"/>
    </row>
    <row r="329" customHeight="1" spans="1:26">
      <c r="A329" s="4"/>
      <c r="B329" s="4"/>
      <c r="C329" s="4"/>
      <c r="D329" s="4"/>
      <c r="E329" s="29"/>
      <c r="F329" s="2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6"/>
    </row>
    <row r="330" customHeight="1" spans="1:26">
      <c r="A330" s="4"/>
      <c r="B330" s="4"/>
      <c r="C330" s="4"/>
      <c r="D330" s="4"/>
      <c r="E330" s="29"/>
      <c r="F330" s="2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6"/>
    </row>
    <row r="331" customHeight="1" spans="1:26">
      <c r="A331" s="4"/>
      <c r="B331" s="4"/>
      <c r="C331" s="4"/>
      <c r="D331" s="4"/>
      <c r="E331" s="29"/>
      <c r="F331" s="2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6"/>
    </row>
    <row r="332" customHeight="1" spans="1:26">
      <c r="A332" s="4"/>
      <c r="B332" s="4"/>
      <c r="C332" s="4"/>
      <c r="D332" s="4"/>
      <c r="E332" s="29"/>
      <c r="F332" s="2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6"/>
    </row>
    <row r="333" customHeight="1" spans="1:26">
      <c r="A333" s="4"/>
      <c r="B333" s="4"/>
      <c r="C333" s="4"/>
      <c r="D333" s="4"/>
      <c r="E333" s="29"/>
      <c r="F333" s="2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6"/>
    </row>
    <row r="334" customHeight="1" spans="1:26">
      <c r="A334" s="4"/>
      <c r="B334" s="4"/>
      <c r="C334" s="4"/>
      <c r="D334" s="4"/>
      <c r="E334" s="29"/>
      <c r="F334" s="2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6"/>
    </row>
    <row r="335" customHeight="1" spans="1:26">
      <c r="A335" s="4"/>
      <c r="B335" s="4"/>
      <c r="C335" s="4"/>
      <c r="D335" s="4"/>
      <c r="E335" s="29"/>
      <c r="F335" s="2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6"/>
    </row>
    <row r="336" customHeight="1" spans="1:26">
      <c r="A336" s="4"/>
      <c r="B336" s="4"/>
      <c r="C336" s="4"/>
      <c r="D336" s="4"/>
      <c r="E336" s="29"/>
      <c r="F336" s="2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6"/>
    </row>
    <row r="337" customHeight="1" spans="1:26">
      <c r="A337" s="4"/>
      <c r="B337" s="4"/>
      <c r="C337" s="4"/>
      <c r="D337" s="4"/>
      <c r="E337" s="29"/>
      <c r="F337" s="2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6"/>
    </row>
    <row r="338" customHeight="1" spans="1:26">
      <c r="A338" s="4"/>
      <c r="B338" s="4"/>
      <c r="C338" s="4"/>
      <c r="D338" s="4"/>
      <c r="E338" s="29"/>
      <c r="F338" s="2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6"/>
    </row>
    <row r="339" customHeight="1" spans="1:26">
      <c r="A339" s="4"/>
      <c r="B339" s="4"/>
      <c r="C339" s="4"/>
      <c r="D339" s="4"/>
      <c r="E339" s="29"/>
      <c r="F339" s="2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6"/>
    </row>
    <row r="340" customHeight="1" spans="1:26">
      <c r="A340" s="4"/>
      <c r="B340" s="4"/>
      <c r="C340" s="4"/>
      <c r="D340" s="4"/>
      <c r="E340" s="29"/>
      <c r="F340" s="2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6"/>
    </row>
    <row r="341" customHeight="1" spans="1:26">
      <c r="A341" s="4"/>
      <c r="B341" s="4"/>
      <c r="C341" s="4"/>
      <c r="D341" s="4"/>
      <c r="E341" s="29"/>
      <c r="F341" s="2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6"/>
    </row>
    <row r="342" customHeight="1" spans="1:26">
      <c r="A342" s="4"/>
      <c r="B342" s="4"/>
      <c r="C342" s="4"/>
      <c r="D342" s="4"/>
      <c r="E342" s="29"/>
      <c r="F342" s="2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6"/>
    </row>
    <row r="343" customHeight="1" spans="1:26">
      <c r="A343" s="4"/>
      <c r="B343" s="4"/>
      <c r="C343" s="4"/>
      <c r="D343" s="4"/>
      <c r="E343" s="29"/>
      <c r="F343" s="2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6"/>
    </row>
    <row r="344" customHeight="1" spans="1:26">
      <c r="A344" s="4"/>
      <c r="B344" s="4"/>
      <c r="C344" s="4"/>
      <c r="D344" s="4"/>
      <c r="E344" s="29"/>
      <c r="F344" s="2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6"/>
    </row>
    <row r="345" customHeight="1" spans="1:26">
      <c r="A345" s="4"/>
      <c r="B345" s="4"/>
      <c r="C345" s="4"/>
      <c r="D345" s="4"/>
      <c r="E345" s="29"/>
      <c r="F345" s="2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6"/>
    </row>
    <row r="346" customHeight="1" spans="1:26">
      <c r="A346" s="4"/>
      <c r="B346" s="4"/>
      <c r="C346" s="4"/>
      <c r="D346" s="4"/>
      <c r="E346" s="29"/>
      <c r="F346" s="2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6"/>
    </row>
    <row r="347" customHeight="1" spans="1:26">
      <c r="A347" s="4"/>
      <c r="B347" s="4"/>
      <c r="C347" s="4"/>
      <c r="D347" s="4"/>
      <c r="E347" s="29"/>
      <c r="F347" s="2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6"/>
    </row>
    <row r="348" customHeight="1" spans="1:26">
      <c r="A348" s="4"/>
      <c r="B348" s="4"/>
      <c r="C348" s="4"/>
      <c r="D348" s="4"/>
      <c r="E348" s="29"/>
      <c r="F348" s="2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6"/>
    </row>
    <row r="349" customHeight="1" spans="1:26">
      <c r="A349" s="4"/>
      <c r="B349" s="4"/>
      <c r="C349" s="4"/>
      <c r="D349" s="4"/>
      <c r="E349" s="29"/>
      <c r="F349" s="2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6"/>
    </row>
    <row r="350" customHeight="1" spans="1:26">
      <c r="A350" s="4"/>
      <c r="B350" s="4"/>
      <c r="C350" s="4"/>
      <c r="D350" s="4"/>
      <c r="E350" s="29"/>
      <c r="F350" s="2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6"/>
    </row>
    <row r="351" customHeight="1" spans="1:26">
      <c r="A351" s="4"/>
      <c r="B351" s="4"/>
      <c r="C351" s="4"/>
      <c r="D351" s="4"/>
      <c r="E351" s="29"/>
      <c r="F351" s="2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6"/>
    </row>
    <row r="352" customHeight="1" spans="1:26">
      <c r="A352" s="4"/>
      <c r="B352" s="4"/>
      <c r="C352" s="4"/>
      <c r="D352" s="4"/>
      <c r="E352" s="29"/>
      <c r="F352" s="2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6"/>
    </row>
    <row r="353" customHeight="1" spans="1:26">
      <c r="A353" s="4"/>
      <c r="B353" s="4"/>
      <c r="C353" s="4"/>
      <c r="D353" s="4"/>
      <c r="E353" s="29"/>
      <c r="F353" s="2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6"/>
    </row>
    <row r="354" customHeight="1" spans="1:26">
      <c r="A354" s="4"/>
      <c r="B354" s="4"/>
      <c r="C354" s="4"/>
      <c r="D354" s="4"/>
      <c r="E354" s="29"/>
      <c r="F354" s="2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6"/>
    </row>
    <row r="355" customHeight="1" spans="1:26">
      <c r="A355" s="4"/>
      <c r="B355" s="4"/>
      <c r="C355" s="4"/>
      <c r="D355" s="4"/>
      <c r="E355" s="29"/>
      <c r="F355" s="2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6"/>
    </row>
    <row r="356" customHeight="1" spans="1:26">
      <c r="A356" s="4"/>
      <c r="B356" s="4"/>
      <c r="C356" s="4"/>
      <c r="D356" s="4"/>
      <c r="E356" s="29"/>
      <c r="F356" s="2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6"/>
    </row>
    <row r="357" customHeight="1" spans="1:26">
      <c r="A357" s="4"/>
      <c r="B357" s="4"/>
      <c r="C357" s="4"/>
      <c r="D357" s="4"/>
      <c r="E357" s="29"/>
      <c r="F357" s="2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6"/>
    </row>
    <row r="358" customHeight="1" spans="1:26">
      <c r="A358" s="4"/>
      <c r="B358" s="4"/>
      <c r="C358" s="4"/>
      <c r="D358" s="4"/>
      <c r="E358" s="29"/>
      <c r="F358" s="2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6"/>
    </row>
    <row r="359" customHeight="1" spans="1:26">
      <c r="A359" s="4"/>
      <c r="B359" s="4"/>
      <c r="C359" s="4"/>
      <c r="D359" s="4"/>
      <c r="E359" s="29"/>
      <c r="F359" s="2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6"/>
    </row>
    <row r="360" customHeight="1" spans="1:26">
      <c r="A360" s="4"/>
      <c r="B360" s="4"/>
      <c r="C360" s="4"/>
      <c r="D360" s="4"/>
      <c r="E360" s="29"/>
      <c r="F360" s="2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6"/>
    </row>
    <row r="361" customHeight="1" spans="1:26">
      <c r="A361" s="4"/>
      <c r="B361" s="4"/>
      <c r="C361" s="4"/>
      <c r="D361" s="4"/>
      <c r="E361" s="29"/>
      <c r="F361" s="2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6"/>
    </row>
    <row r="362" customHeight="1" spans="1:26">
      <c r="A362" s="4"/>
      <c r="B362" s="4"/>
      <c r="C362" s="4"/>
      <c r="D362" s="4"/>
      <c r="E362" s="29"/>
      <c r="F362" s="2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6"/>
    </row>
    <row r="363" customHeight="1" spans="1:26">
      <c r="A363" s="4"/>
      <c r="B363" s="4"/>
      <c r="C363" s="4"/>
      <c r="D363" s="4"/>
      <c r="E363" s="29"/>
      <c r="F363" s="2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6"/>
    </row>
    <row r="364" customHeight="1" spans="1:26">
      <c r="A364" s="4"/>
      <c r="B364" s="4"/>
      <c r="C364" s="4"/>
      <c r="D364" s="4"/>
      <c r="E364" s="29"/>
      <c r="F364" s="2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6"/>
    </row>
    <row r="365" customHeight="1" spans="1:26">
      <c r="A365" s="4"/>
      <c r="B365" s="4"/>
      <c r="C365" s="4"/>
      <c r="D365" s="4"/>
      <c r="E365" s="29"/>
      <c r="F365" s="2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6"/>
    </row>
    <row r="366" customHeight="1" spans="1:26">
      <c r="A366" s="4"/>
      <c r="B366" s="4"/>
      <c r="C366" s="4"/>
      <c r="D366" s="4"/>
      <c r="E366" s="29"/>
      <c r="F366" s="2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6"/>
    </row>
    <row r="367" customHeight="1" spans="1:26">
      <c r="A367" s="4"/>
      <c r="B367" s="4"/>
      <c r="C367" s="4"/>
      <c r="D367" s="4"/>
      <c r="E367" s="29"/>
      <c r="F367" s="2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6"/>
    </row>
    <row r="368" customHeight="1" spans="1:26">
      <c r="A368" s="4"/>
      <c r="B368" s="4"/>
      <c r="C368" s="4"/>
      <c r="D368" s="4"/>
      <c r="E368" s="29"/>
      <c r="F368" s="2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6"/>
    </row>
    <row r="369" customHeight="1" spans="1:26">
      <c r="A369" s="4"/>
      <c r="B369" s="4"/>
      <c r="C369" s="4"/>
      <c r="D369" s="4"/>
      <c r="E369" s="29"/>
      <c r="F369" s="2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6"/>
    </row>
    <row r="370" customHeight="1" spans="1:26">
      <c r="A370" s="4"/>
      <c r="B370" s="4"/>
      <c r="C370" s="4"/>
      <c r="D370" s="4"/>
      <c r="E370" s="29"/>
      <c r="F370" s="2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6"/>
    </row>
    <row r="371" customHeight="1" spans="1:26">
      <c r="A371" s="4"/>
      <c r="B371" s="4"/>
      <c r="C371" s="4"/>
      <c r="D371" s="4"/>
      <c r="E371" s="29"/>
      <c r="F371" s="2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6"/>
    </row>
    <row r="372" customHeight="1" spans="1:26">
      <c r="A372" s="4"/>
      <c r="B372" s="4"/>
      <c r="C372" s="4"/>
      <c r="D372" s="4"/>
      <c r="E372" s="29"/>
      <c r="F372" s="2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6"/>
    </row>
    <row r="373" customHeight="1" spans="1:26">
      <c r="A373" s="4"/>
      <c r="B373" s="4"/>
      <c r="C373" s="4"/>
      <c r="D373" s="4"/>
      <c r="E373" s="29"/>
      <c r="F373" s="2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6"/>
    </row>
    <row r="374" customHeight="1" spans="1:26">
      <c r="A374" s="4"/>
      <c r="B374" s="4"/>
      <c r="C374" s="4"/>
      <c r="D374" s="4"/>
      <c r="E374" s="29"/>
      <c r="F374" s="2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6"/>
    </row>
    <row r="375" customHeight="1" spans="1:26">
      <c r="A375" s="4"/>
      <c r="B375" s="4"/>
      <c r="C375" s="4"/>
      <c r="D375" s="4"/>
      <c r="E375" s="29"/>
      <c r="F375" s="2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6"/>
    </row>
    <row r="376" customHeight="1" spans="1:26">
      <c r="A376" s="4"/>
      <c r="B376" s="4"/>
      <c r="C376" s="4"/>
      <c r="D376" s="4"/>
      <c r="E376" s="29"/>
      <c r="F376" s="2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6"/>
    </row>
    <row r="377" customHeight="1" spans="1:26">
      <c r="A377" s="4"/>
      <c r="B377" s="4"/>
      <c r="C377" s="4"/>
      <c r="D377" s="4"/>
      <c r="E377" s="29"/>
      <c r="F377" s="2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6"/>
    </row>
    <row r="378" customHeight="1" spans="1:26">
      <c r="A378" s="4"/>
      <c r="B378" s="4"/>
      <c r="C378" s="4"/>
      <c r="D378" s="4"/>
      <c r="E378" s="29"/>
      <c r="F378" s="2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6"/>
    </row>
    <row r="379" customHeight="1" spans="1:26">
      <c r="A379" s="4"/>
      <c r="B379" s="4"/>
      <c r="C379" s="4"/>
      <c r="D379" s="4"/>
      <c r="E379" s="29"/>
      <c r="F379" s="2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6"/>
    </row>
    <row r="380" customHeight="1" spans="1:26">
      <c r="A380" s="4"/>
      <c r="B380" s="4"/>
      <c r="C380" s="4"/>
      <c r="D380" s="4"/>
      <c r="E380" s="29"/>
      <c r="F380" s="2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6"/>
    </row>
    <row r="381" customHeight="1" spans="1:26">
      <c r="A381" s="4"/>
      <c r="B381" s="4"/>
      <c r="C381" s="4"/>
      <c r="D381" s="4"/>
      <c r="E381" s="29"/>
      <c r="F381" s="2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6"/>
    </row>
    <row r="382" customHeight="1" spans="1:26">
      <c r="A382" s="4"/>
      <c r="B382" s="4"/>
      <c r="C382" s="4"/>
      <c r="D382" s="4"/>
      <c r="E382" s="29"/>
      <c r="F382" s="2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6"/>
    </row>
    <row r="383" customHeight="1" spans="1:26">
      <c r="A383" s="4"/>
      <c r="B383" s="4"/>
      <c r="C383" s="4"/>
      <c r="D383" s="4"/>
      <c r="E383" s="29"/>
      <c r="F383" s="2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6"/>
    </row>
    <row r="384" customHeight="1" spans="1:26">
      <c r="A384" s="4"/>
      <c r="B384" s="4"/>
      <c r="C384" s="4"/>
      <c r="D384" s="4"/>
      <c r="E384" s="29"/>
      <c r="F384" s="2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6"/>
    </row>
    <row r="385" customHeight="1" spans="1:26">
      <c r="A385" s="4"/>
      <c r="B385" s="4"/>
      <c r="C385" s="4"/>
      <c r="D385" s="4"/>
      <c r="E385" s="29"/>
      <c r="F385" s="2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6"/>
    </row>
    <row r="386" customHeight="1" spans="1:26">
      <c r="A386" s="4"/>
      <c r="B386" s="4"/>
      <c r="C386" s="4"/>
      <c r="D386" s="4"/>
      <c r="E386" s="29"/>
      <c r="F386" s="2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6"/>
    </row>
    <row r="387" customHeight="1" spans="1:26">
      <c r="A387" s="4"/>
      <c r="B387" s="4"/>
      <c r="C387" s="4"/>
      <c r="D387" s="4"/>
      <c r="E387" s="29"/>
      <c r="F387" s="2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6"/>
    </row>
    <row r="388" customHeight="1" spans="1:26">
      <c r="A388" s="4"/>
      <c r="B388" s="4"/>
      <c r="C388" s="4"/>
      <c r="D388" s="4"/>
      <c r="E388" s="29"/>
      <c r="F388" s="2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6"/>
    </row>
    <row r="389" customHeight="1" spans="1:26">
      <c r="A389" s="4"/>
      <c r="B389" s="4"/>
      <c r="C389" s="4"/>
      <c r="D389" s="4"/>
      <c r="E389" s="29"/>
      <c r="F389" s="2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6"/>
    </row>
    <row r="390" customHeight="1" spans="1:26">
      <c r="A390" s="4"/>
      <c r="B390" s="4"/>
      <c r="C390" s="4"/>
      <c r="D390" s="4"/>
      <c r="E390" s="29"/>
      <c r="F390" s="2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6"/>
    </row>
    <row r="391" customHeight="1" spans="1:26">
      <c r="A391" s="4"/>
      <c r="B391" s="4"/>
      <c r="C391" s="4"/>
      <c r="D391" s="4"/>
      <c r="E391" s="29"/>
      <c r="F391" s="2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6"/>
    </row>
    <row r="392" customHeight="1" spans="1:26">
      <c r="A392" s="4"/>
      <c r="B392" s="4"/>
      <c r="C392" s="4"/>
      <c r="D392" s="4"/>
      <c r="E392" s="29"/>
      <c r="F392" s="2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6"/>
    </row>
    <row r="393" customHeight="1" spans="1:26">
      <c r="A393" s="4"/>
      <c r="B393" s="4"/>
      <c r="C393" s="4"/>
      <c r="D393" s="4"/>
      <c r="E393" s="29"/>
      <c r="F393" s="2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6"/>
    </row>
    <row r="394" customHeight="1" spans="1:26">
      <c r="A394" s="4"/>
      <c r="B394" s="4"/>
      <c r="C394" s="4"/>
      <c r="D394" s="4"/>
      <c r="E394" s="29"/>
      <c r="F394" s="2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6"/>
    </row>
    <row r="395" customHeight="1" spans="1:26">
      <c r="A395" s="4"/>
      <c r="B395" s="4"/>
      <c r="C395" s="4"/>
      <c r="D395" s="4"/>
      <c r="E395" s="29"/>
      <c r="F395" s="2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6"/>
    </row>
    <row r="396" customHeight="1" spans="1:26">
      <c r="A396" s="4"/>
      <c r="B396" s="4"/>
      <c r="C396" s="4"/>
      <c r="D396" s="4"/>
      <c r="E396" s="29"/>
      <c r="F396" s="2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6"/>
    </row>
    <row r="397" customHeight="1" spans="1:26">
      <c r="A397" s="4"/>
      <c r="B397" s="4"/>
      <c r="C397" s="4"/>
      <c r="D397" s="4"/>
      <c r="E397" s="29"/>
      <c r="F397" s="2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6"/>
    </row>
    <row r="398" customHeight="1" spans="1:26">
      <c r="A398" s="4"/>
      <c r="B398" s="4"/>
      <c r="C398" s="4"/>
      <c r="D398" s="4"/>
      <c r="E398" s="29"/>
      <c r="F398" s="2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6"/>
    </row>
    <row r="399" customHeight="1" spans="1:26">
      <c r="A399" s="4"/>
      <c r="B399" s="4"/>
      <c r="C399" s="4"/>
      <c r="D399" s="4"/>
      <c r="E399" s="29"/>
      <c r="F399" s="2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6"/>
    </row>
    <row r="400" customHeight="1" spans="1:26">
      <c r="A400" s="4"/>
      <c r="B400" s="4"/>
      <c r="C400" s="4"/>
      <c r="D400" s="4"/>
      <c r="E400" s="29"/>
      <c r="F400" s="2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6"/>
    </row>
    <row r="401" customHeight="1" spans="1:26">
      <c r="A401" s="4"/>
      <c r="B401" s="4"/>
      <c r="C401" s="4"/>
      <c r="D401" s="4"/>
      <c r="E401" s="29"/>
      <c r="F401" s="2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6"/>
    </row>
    <row r="402" customHeight="1" spans="1:26">
      <c r="A402" s="4"/>
      <c r="B402" s="4"/>
      <c r="C402" s="4"/>
      <c r="D402" s="4"/>
      <c r="E402" s="29"/>
      <c r="F402" s="2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6"/>
    </row>
    <row r="403" customHeight="1" spans="1:26">
      <c r="A403" s="4"/>
      <c r="B403" s="4"/>
      <c r="C403" s="4"/>
      <c r="D403" s="4"/>
      <c r="E403" s="29"/>
      <c r="F403" s="2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6"/>
    </row>
    <row r="404" customHeight="1" spans="1:26">
      <c r="A404" s="4"/>
      <c r="B404" s="4"/>
      <c r="C404" s="4"/>
      <c r="D404" s="4"/>
      <c r="E404" s="29"/>
      <c r="F404" s="2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6"/>
    </row>
    <row r="405" customHeight="1" spans="1:26">
      <c r="A405" s="4"/>
      <c r="B405" s="4"/>
      <c r="C405" s="4"/>
      <c r="D405" s="4"/>
      <c r="E405" s="29"/>
      <c r="F405" s="2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6"/>
    </row>
    <row r="406" customHeight="1" spans="1:26">
      <c r="A406" s="4"/>
      <c r="B406" s="4"/>
      <c r="C406" s="4"/>
      <c r="D406" s="4"/>
      <c r="E406" s="29"/>
      <c r="F406" s="2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6"/>
    </row>
    <row r="407" customHeight="1" spans="1:26">
      <c r="A407" s="4"/>
      <c r="B407" s="4"/>
      <c r="C407" s="4"/>
      <c r="D407" s="4"/>
      <c r="E407" s="29"/>
      <c r="F407" s="2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6"/>
    </row>
    <row r="408" customHeight="1" spans="1:26">
      <c r="A408" s="4"/>
      <c r="B408" s="4"/>
      <c r="C408" s="4"/>
      <c r="D408" s="4"/>
      <c r="E408" s="29"/>
      <c r="F408" s="2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6"/>
    </row>
    <row r="409" customHeight="1" spans="1:26">
      <c r="A409" s="4"/>
      <c r="B409" s="4"/>
      <c r="C409" s="4"/>
      <c r="D409" s="4"/>
      <c r="E409" s="29"/>
      <c r="F409" s="2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6"/>
    </row>
    <row r="410" customHeight="1" spans="1:26">
      <c r="A410" s="4"/>
      <c r="B410" s="4"/>
      <c r="C410" s="4"/>
      <c r="D410" s="4"/>
      <c r="E410" s="29"/>
      <c r="F410" s="2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6"/>
    </row>
    <row r="411" customHeight="1" spans="1:26">
      <c r="A411" s="4"/>
      <c r="B411" s="4"/>
      <c r="C411" s="4"/>
      <c r="D411" s="4"/>
      <c r="E411" s="29"/>
      <c r="F411" s="2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6"/>
    </row>
    <row r="412" customHeight="1" spans="1:26">
      <c r="A412" s="4"/>
      <c r="B412" s="4"/>
      <c r="C412" s="4"/>
      <c r="D412" s="4"/>
      <c r="E412" s="29"/>
      <c r="F412" s="2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6"/>
    </row>
    <row r="413" customHeight="1" spans="1:26">
      <c r="A413" s="4"/>
      <c r="B413" s="4"/>
      <c r="C413" s="4"/>
      <c r="D413" s="4"/>
      <c r="E413" s="29"/>
      <c r="F413" s="2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6"/>
    </row>
    <row r="414" customHeight="1" spans="1:26">
      <c r="A414" s="4"/>
      <c r="B414" s="4"/>
      <c r="C414" s="4"/>
      <c r="D414" s="4"/>
      <c r="E414" s="29"/>
      <c r="F414" s="2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6"/>
    </row>
    <row r="415" customHeight="1" spans="1:26">
      <c r="A415" s="4"/>
      <c r="B415" s="4"/>
      <c r="C415" s="4"/>
      <c r="D415" s="4"/>
      <c r="E415" s="29"/>
      <c r="F415" s="2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6"/>
    </row>
    <row r="416" customHeight="1" spans="1:26">
      <c r="A416" s="4"/>
      <c r="B416" s="4"/>
      <c r="C416" s="4"/>
      <c r="D416" s="4"/>
      <c r="E416" s="29"/>
      <c r="F416" s="2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6"/>
    </row>
    <row r="417" customHeight="1" spans="1:26">
      <c r="A417" s="4"/>
      <c r="B417" s="4"/>
      <c r="C417" s="4"/>
      <c r="D417" s="4"/>
      <c r="E417" s="29"/>
      <c r="F417" s="2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6"/>
    </row>
    <row r="418" customHeight="1" spans="1:26">
      <c r="A418" s="4"/>
      <c r="B418" s="4"/>
      <c r="C418" s="4"/>
      <c r="D418" s="4"/>
      <c r="E418" s="29"/>
      <c r="F418" s="2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6"/>
    </row>
    <row r="419" customHeight="1" spans="1:26">
      <c r="A419" s="4"/>
      <c r="B419" s="4"/>
      <c r="C419" s="4"/>
      <c r="D419" s="4"/>
      <c r="E419" s="29"/>
      <c r="F419" s="2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6"/>
    </row>
    <row r="420" customHeight="1" spans="1:26">
      <c r="A420" s="4"/>
      <c r="B420" s="4"/>
      <c r="C420" s="4"/>
      <c r="D420" s="4"/>
      <c r="E420" s="29"/>
      <c r="F420" s="2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6"/>
    </row>
    <row r="421" customHeight="1" spans="1:26">
      <c r="A421" s="4"/>
      <c r="B421" s="4"/>
      <c r="C421" s="4"/>
      <c r="D421" s="4"/>
      <c r="E421" s="29"/>
      <c r="F421" s="2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6"/>
    </row>
    <row r="422" customHeight="1" spans="1:26">
      <c r="A422" s="4"/>
      <c r="B422" s="4"/>
      <c r="C422" s="4"/>
      <c r="D422" s="4"/>
      <c r="E422" s="29"/>
      <c r="F422" s="2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6"/>
    </row>
    <row r="423" customHeight="1" spans="1:26">
      <c r="A423" s="4"/>
      <c r="B423" s="4"/>
      <c r="C423" s="4"/>
      <c r="D423" s="4"/>
      <c r="E423" s="29"/>
      <c r="F423" s="2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6"/>
    </row>
    <row r="424" customHeight="1" spans="1:26">
      <c r="A424" s="4"/>
      <c r="B424" s="4"/>
      <c r="C424" s="4"/>
      <c r="D424" s="4"/>
      <c r="E424" s="29"/>
      <c r="F424" s="2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6"/>
    </row>
    <row r="425" customHeight="1" spans="1:26">
      <c r="A425" s="4"/>
      <c r="B425" s="4"/>
      <c r="C425" s="4"/>
      <c r="D425" s="4"/>
      <c r="E425" s="29"/>
      <c r="F425" s="2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6"/>
    </row>
    <row r="426" customHeight="1" spans="1:26">
      <c r="A426" s="4"/>
      <c r="B426" s="4"/>
      <c r="C426" s="4"/>
      <c r="D426" s="4"/>
      <c r="E426" s="29"/>
      <c r="F426" s="2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6"/>
    </row>
    <row r="427" customHeight="1" spans="1:26">
      <c r="A427" s="4"/>
      <c r="B427" s="4"/>
      <c r="C427" s="4"/>
      <c r="D427" s="4"/>
      <c r="E427" s="29"/>
      <c r="F427" s="2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6"/>
    </row>
    <row r="428" customHeight="1" spans="1:26">
      <c r="A428" s="4"/>
      <c r="B428" s="4"/>
      <c r="C428" s="4"/>
      <c r="D428" s="4"/>
      <c r="E428" s="29"/>
      <c r="F428" s="2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6"/>
    </row>
    <row r="429" customHeight="1" spans="1:26">
      <c r="A429" s="4"/>
      <c r="B429" s="4"/>
      <c r="C429" s="4"/>
      <c r="D429" s="4"/>
      <c r="E429" s="29"/>
      <c r="F429" s="2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6"/>
    </row>
    <row r="430" customHeight="1" spans="1:26">
      <c r="A430" s="4"/>
      <c r="B430" s="4"/>
      <c r="C430" s="4"/>
      <c r="D430" s="4"/>
      <c r="E430" s="29"/>
      <c r="F430" s="2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6"/>
    </row>
    <row r="431" customHeight="1" spans="1:26">
      <c r="A431" s="4"/>
      <c r="B431" s="4"/>
      <c r="C431" s="4"/>
      <c r="D431" s="4"/>
      <c r="E431" s="29"/>
      <c r="F431" s="2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6"/>
    </row>
    <row r="432" customHeight="1" spans="1:26">
      <c r="A432" s="4"/>
      <c r="B432" s="4"/>
      <c r="C432" s="4"/>
      <c r="D432" s="4"/>
      <c r="E432" s="29"/>
      <c r="F432" s="2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6"/>
    </row>
    <row r="433" customHeight="1" spans="1:26">
      <c r="A433" s="4"/>
      <c r="B433" s="4"/>
      <c r="C433" s="4"/>
      <c r="D433" s="4"/>
      <c r="E433" s="29"/>
      <c r="F433" s="2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6"/>
    </row>
    <row r="434" customHeight="1" spans="1:26">
      <c r="A434" s="4"/>
      <c r="B434" s="4"/>
      <c r="C434" s="4"/>
      <c r="D434" s="4"/>
      <c r="E434" s="29"/>
      <c r="F434" s="2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6"/>
    </row>
    <row r="435" customHeight="1" spans="1:26">
      <c r="A435" s="4"/>
      <c r="B435" s="4"/>
      <c r="C435" s="4"/>
      <c r="D435" s="4"/>
      <c r="E435" s="29"/>
      <c r="F435" s="2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6"/>
    </row>
    <row r="436" customHeight="1" spans="1:26">
      <c r="A436" s="4"/>
      <c r="B436" s="4"/>
      <c r="C436" s="4"/>
      <c r="D436" s="4"/>
      <c r="E436" s="29"/>
      <c r="F436" s="2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6"/>
    </row>
    <row r="437" customHeight="1" spans="1:26">
      <c r="A437" s="4"/>
      <c r="B437" s="4"/>
      <c r="C437" s="4"/>
      <c r="D437" s="4"/>
      <c r="E437" s="29"/>
      <c r="F437" s="2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6"/>
    </row>
    <row r="438" customHeight="1" spans="1:26">
      <c r="A438" s="4"/>
      <c r="B438" s="4"/>
      <c r="C438" s="4"/>
      <c r="D438" s="4"/>
      <c r="E438" s="29"/>
      <c r="F438" s="2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6"/>
    </row>
    <row r="439" customHeight="1" spans="1:26">
      <c r="A439" s="4"/>
      <c r="B439" s="4"/>
      <c r="C439" s="4"/>
      <c r="D439" s="4"/>
      <c r="E439" s="29"/>
      <c r="F439" s="2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6"/>
    </row>
    <row r="440" customHeight="1" spans="1:26">
      <c r="A440" s="4"/>
      <c r="B440" s="4"/>
      <c r="C440" s="4"/>
      <c r="D440" s="4"/>
      <c r="E440" s="29"/>
      <c r="F440" s="2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6"/>
    </row>
    <row r="441" customHeight="1" spans="1:26">
      <c r="A441" s="4"/>
      <c r="B441" s="4"/>
      <c r="C441" s="4"/>
      <c r="D441" s="4"/>
      <c r="E441" s="29"/>
      <c r="F441" s="2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6"/>
    </row>
    <row r="442" customHeight="1" spans="1:26">
      <c r="A442" s="4"/>
      <c r="B442" s="4"/>
      <c r="C442" s="4"/>
      <c r="D442" s="4"/>
      <c r="E442" s="29"/>
      <c r="F442" s="2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6"/>
    </row>
    <row r="443" customHeight="1" spans="1:26">
      <c r="A443" s="4"/>
      <c r="B443" s="4"/>
      <c r="C443" s="4"/>
      <c r="D443" s="4"/>
      <c r="E443" s="29"/>
      <c r="F443" s="2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6"/>
    </row>
    <row r="444" customHeight="1" spans="1:26">
      <c r="A444" s="4"/>
      <c r="B444" s="4"/>
      <c r="C444" s="4"/>
      <c r="D444" s="4"/>
      <c r="E444" s="29"/>
      <c r="F444" s="2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6"/>
    </row>
    <row r="445" customHeight="1" spans="1:26">
      <c r="A445" s="4"/>
      <c r="B445" s="4"/>
      <c r="C445" s="4"/>
      <c r="D445" s="4"/>
      <c r="E445" s="29"/>
      <c r="F445" s="2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6"/>
    </row>
    <row r="446" customHeight="1" spans="1:26">
      <c r="A446" s="4"/>
      <c r="B446" s="4"/>
      <c r="C446" s="4"/>
      <c r="D446" s="4"/>
      <c r="E446" s="29"/>
      <c r="F446" s="2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6"/>
    </row>
    <row r="447" customHeight="1" spans="1:26">
      <c r="A447" s="4"/>
      <c r="B447" s="4"/>
      <c r="C447" s="4"/>
      <c r="D447" s="4"/>
      <c r="E447" s="29"/>
      <c r="F447" s="2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6"/>
    </row>
    <row r="448" customHeight="1" spans="1:26">
      <c r="A448" s="4"/>
      <c r="B448" s="4"/>
      <c r="C448" s="4"/>
      <c r="D448" s="4"/>
      <c r="E448" s="29"/>
      <c r="F448" s="2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6"/>
    </row>
    <row r="449" customHeight="1" spans="1:26">
      <c r="A449" s="4"/>
      <c r="B449" s="4"/>
      <c r="C449" s="4"/>
      <c r="D449" s="4"/>
      <c r="E449" s="29"/>
      <c r="F449" s="2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6"/>
    </row>
    <row r="450" customHeight="1" spans="1:26">
      <c r="A450" s="4"/>
      <c r="B450" s="4"/>
      <c r="C450" s="4"/>
      <c r="D450" s="4"/>
      <c r="E450" s="29"/>
      <c r="F450" s="2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6"/>
    </row>
    <row r="451" customHeight="1" spans="1:26">
      <c r="A451" s="4"/>
      <c r="B451" s="4"/>
      <c r="C451" s="4"/>
      <c r="D451" s="4"/>
      <c r="E451" s="29"/>
      <c r="F451" s="2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6"/>
    </row>
    <row r="452" customHeight="1" spans="1:26">
      <c r="A452" s="4"/>
      <c r="B452" s="4"/>
      <c r="C452" s="4"/>
      <c r="D452" s="4"/>
      <c r="E452" s="29"/>
      <c r="F452" s="2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6"/>
    </row>
    <row r="453" customHeight="1" spans="1:26">
      <c r="A453" s="4"/>
      <c r="B453" s="4"/>
      <c r="C453" s="4"/>
      <c r="D453" s="4"/>
      <c r="E453" s="29"/>
      <c r="F453" s="2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6"/>
    </row>
    <row r="454" customHeight="1" spans="1:26">
      <c r="A454" s="4"/>
      <c r="B454" s="4"/>
      <c r="C454" s="4"/>
      <c r="D454" s="4"/>
      <c r="E454" s="29"/>
      <c r="F454" s="2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6"/>
    </row>
    <row r="455" customHeight="1" spans="1:26">
      <c r="A455" s="4"/>
      <c r="B455" s="4"/>
      <c r="C455" s="4"/>
      <c r="D455" s="4"/>
      <c r="E455" s="29"/>
      <c r="F455" s="2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6"/>
    </row>
    <row r="456" customHeight="1" spans="1:26">
      <c r="A456" s="4"/>
      <c r="B456" s="4"/>
      <c r="C456" s="4"/>
      <c r="D456" s="4"/>
      <c r="E456" s="29"/>
      <c r="F456" s="2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6"/>
    </row>
    <row r="457" customHeight="1" spans="1:26">
      <c r="A457" s="4"/>
      <c r="B457" s="4"/>
      <c r="C457" s="4"/>
      <c r="D457" s="4"/>
      <c r="E457" s="29"/>
      <c r="F457" s="2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6"/>
    </row>
    <row r="458" customHeight="1" spans="1:26">
      <c r="A458" s="4"/>
      <c r="B458" s="4"/>
      <c r="C458" s="4"/>
      <c r="D458" s="4"/>
      <c r="E458" s="29"/>
      <c r="F458" s="2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6"/>
    </row>
    <row r="459" customHeight="1" spans="1:26">
      <c r="A459" s="4"/>
      <c r="B459" s="4"/>
      <c r="C459" s="4"/>
      <c r="D459" s="4"/>
      <c r="E459" s="29"/>
      <c r="F459" s="2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6"/>
    </row>
    <row r="460" customHeight="1" spans="1:26">
      <c r="A460" s="4"/>
      <c r="B460" s="4"/>
      <c r="C460" s="4"/>
      <c r="D460" s="4"/>
      <c r="E460" s="29"/>
      <c r="F460" s="2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6"/>
    </row>
    <row r="461" customHeight="1" spans="1:26">
      <c r="A461" s="4"/>
      <c r="B461" s="4"/>
      <c r="C461" s="4"/>
      <c r="D461" s="4"/>
      <c r="E461" s="29"/>
      <c r="F461" s="2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6"/>
    </row>
    <row r="462" customHeight="1" spans="1:26">
      <c r="A462" s="4"/>
      <c r="B462" s="4"/>
      <c r="C462" s="4"/>
      <c r="D462" s="4"/>
      <c r="E462" s="29"/>
      <c r="F462" s="2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6"/>
    </row>
    <row r="463" customHeight="1" spans="1:26">
      <c r="A463" s="4"/>
      <c r="B463" s="4"/>
      <c r="C463" s="4"/>
      <c r="D463" s="4"/>
      <c r="E463" s="29"/>
      <c r="F463" s="2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6"/>
    </row>
    <row r="464" customHeight="1" spans="1:26">
      <c r="A464" s="4"/>
      <c r="B464" s="4"/>
      <c r="C464" s="4"/>
      <c r="D464" s="4"/>
      <c r="E464" s="29"/>
      <c r="F464" s="2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6"/>
    </row>
    <row r="465" customHeight="1" spans="1:26">
      <c r="A465" s="4"/>
      <c r="B465" s="4"/>
      <c r="C465" s="4"/>
      <c r="D465" s="4"/>
      <c r="E465" s="29"/>
      <c r="F465" s="2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6"/>
    </row>
    <row r="466" customHeight="1" spans="1:26">
      <c r="A466" s="4"/>
      <c r="B466" s="4"/>
      <c r="C466" s="4"/>
      <c r="D466" s="4"/>
      <c r="E466" s="29"/>
      <c r="F466" s="2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6"/>
    </row>
    <row r="467" customHeight="1" spans="1:26">
      <c r="A467" s="4"/>
      <c r="B467" s="4"/>
      <c r="C467" s="4"/>
      <c r="D467" s="4"/>
      <c r="E467" s="29"/>
      <c r="F467" s="2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6"/>
    </row>
    <row r="468" customHeight="1" spans="1:26">
      <c r="A468" s="4"/>
      <c r="B468" s="4"/>
      <c r="C468" s="4"/>
      <c r="D468" s="4"/>
      <c r="E468" s="29"/>
      <c r="F468" s="2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6"/>
    </row>
    <row r="469" customHeight="1" spans="1:26">
      <c r="A469" s="4"/>
      <c r="B469" s="4"/>
      <c r="C469" s="4"/>
      <c r="D469" s="4"/>
      <c r="E469" s="29"/>
      <c r="F469" s="2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6"/>
    </row>
    <row r="470" customHeight="1" spans="1:26">
      <c r="A470" s="4"/>
      <c r="B470" s="4"/>
      <c r="C470" s="4"/>
      <c r="D470" s="4"/>
      <c r="E470" s="29"/>
      <c r="F470" s="2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6"/>
    </row>
    <row r="471" customHeight="1" spans="1:26">
      <c r="A471" s="4"/>
      <c r="B471" s="4"/>
      <c r="C471" s="4"/>
      <c r="D471" s="4"/>
      <c r="E471" s="29"/>
      <c r="F471" s="2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6"/>
    </row>
    <row r="472" customHeight="1" spans="1:26">
      <c r="A472" s="4"/>
      <c r="B472" s="4"/>
      <c r="C472" s="4"/>
      <c r="D472" s="4"/>
      <c r="E472" s="29"/>
      <c r="F472" s="2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6"/>
    </row>
    <row r="473" customHeight="1" spans="1:26">
      <c r="A473" s="4"/>
      <c r="B473" s="4"/>
      <c r="C473" s="4"/>
      <c r="D473" s="4"/>
      <c r="E473" s="29"/>
      <c r="F473" s="2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6"/>
    </row>
    <row r="474" customHeight="1" spans="1:26">
      <c r="A474" s="4"/>
      <c r="B474" s="4"/>
      <c r="C474" s="4"/>
      <c r="D474" s="4"/>
      <c r="E474" s="29"/>
      <c r="F474" s="2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6"/>
    </row>
    <row r="475" customHeight="1" spans="1:26">
      <c r="A475" s="4"/>
      <c r="B475" s="4"/>
      <c r="C475" s="4"/>
      <c r="D475" s="4"/>
      <c r="E475" s="29"/>
      <c r="F475" s="2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6"/>
    </row>
    <row r="476" customHeight="1" spans="1:26">
      <c r="A476" s="4"/>
      <c r="B476" s="4"/>
      <c r="C476" s="4"/>
      <c r="D476" s="4"/>
      <c r="E476" s="29"/>
      <c r="F476" s="2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6"/>
    </row>
    <row r="477" customHeight="1" spans="1:26">
      <c r="A477" s="4"/>
      <c r="B477" s="4"/>
      <c r="C477" s="4"/>
      <c r="D477" s="4"/>
      <c r="E477" s="29"/>
      <c r="F477" s="2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6"/>
    </row>
    <row r="478" customHeight="1" spans="1:26">
      <c r="A478" s="4"/>
      <c r="B478" s="4"/>
      <c r="C478" s="4"/>
      <c r="D478" s="4"/>
      <c r="E478" s="29"/>
      <c r="F478" s="2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6"/>
    </row>
    <row r="479" customHeight="1" spans="1:26">
      <c r="A479" s="4"/>
      <c r="B479" s="4"/>
      <c r="C479" s="4"/>
      <c r="D479" s="4"/>
      <c r="E479" s="29"/>
      <c r="F479" s="2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6"/>
    </row>
    <row r="480" customHeight="1" spans="1:26">
      <c r="A480" s="4"/>
      <c r="B480" s="4"/>
      <c r="C480" s="4"/>
      <c r="D480" s="4"/>
      <c r="E480" s="29"/>
      <c r="F480" s="2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6"/>
    </row>
    <row r="481" customHeight="1" spans="1:26">
      <c r="A481" s="4"/>
      <c r="B481" s="4"/>
      <c r="C481" s="4"/>
      <c r="D481" s="4"/>
      <c r="E481" s="29"/>
      <c r="F481" s="2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6"/>
    </row>
    <row r="482" customHeight="1" spans="1:26">
      <c r="A482" s="4"/>
      <c r="B482" s="4"/>
      <c r="C482" s="4"/>
      <c r="D482" s="4"/>
      <c r="E482" s="29"/>
      <c r="F482" s="2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6"/>
    </row>
    <row r="483" customHeight="1" spans="1:26">
      <c r="A483" s="4"/>
      <c r="B483" s="4"/>
      <c r="C483" s="4"/>
      <c r="D483" s="4"/>
      <c r="E483" s="29"/>
      <c r="F483" s="2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6"/>
    </row>
    <row r="484" customHeight="1" spans="1:26">
      <c r="A484" s="4"/>
      <c r="B484" s="4"/>
      <c r="C484" s="4"/>
      <c r="D484" s="4"/>
      <c r="E484" s="29"/>
      <c r="F484" s="2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6"/>
    </row>
    <row r="485" customHeight="1" spans="1:26">
      <c r="A485" s="4"/>
      <c r="B485" s="4"/>
      <c r="C485" s="4"/>
      <c r="D485" s="4"/>
      <c r="E485" s="29"/>
      <c r="F485" s="2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6"/>
    </row>
    <row r="486" customHeight="1" spans="1:26">
      <c r="A486" s="4"/>
      <c r="B486" s="4"/>
      <c r="C486" s="4"/>
      <c r="D486" s="4"/>
      <c r="E486" s="29"/>
      <c r="F486" s="2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6"/>
    </row>
    <row r="487" customHeight="1" spans="1:26">
      <c r="A487" s="4"/>
      <c r="B487" s="4"/>
      <c r="C487" s="4"/>
      <c r="D487" s="4"/>
      <c r="E487" s="29"/>
      <c r="F487" s="2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6"/>
    </row>
    <row r="488" customHeight="1" spans="1:26">
      <c r="A488" s="4"/>
      <c r="B488" s="4"/>
      <c r="C488" s="4"/>
      <c r="D488" s="4"/>
      <c r="E488" s="29"/>
      <c r="F488" s="2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6"/>
    </row>
    <row r="489" customHeight="1" spans="1:26">
      <c r="A489" s="4"/>
      <c r="B489" s="4"/>
      <c r="C489" s="4"/>
      <c r="D489" s="4"/>
      <c r="E489" s="29"/>
      <c r="F489" s="2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6"/>
    </row>
    <row r="490" customHeight="1" spans="1:26">
      <c r="A490" s="4"/>
      <c r="B490" s="4"/>
      <c r="C490" s="4"/>
      <c r="D490" s="4"/>
      <c r="E490" s="29"/>
      <c r="F490" s="2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6"/>
    </row>
    <row r="491" customHeight="1" spans="1:26">
      <c r="A491" s="4"/>
      <c r="B491" s="4"/>
      <c r="C491" s="4"/>
      <c r="D491" s="4"/>
      <c r="E491" s="29"/>
      <c r="F491" s="2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6"/>
    </row>
    <row r="492" customHeight="1" spans="1:26">
      <c r="A492" s="4"/>
      <c r="B492" s="4"/>
      <c r="C492" s="4"/>
      <c r="D492" s="4"/>
      <c r="E492" s="29"/>
      <c r="F492" s="2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6"/>
    </row>
    <row r="493" customHeight="1" spans="1:26">
      <c r="A493" s="4"/>
      <c r="B493" s="4"/>
      <c r="C493" s="4"/>
      <c r="D493" s="4"/>
      <c r="E493" s="29"/>
      <c r="F493" s="2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6"/>
    </row>
    <row r="494" customHeight="1" spans="1:26">
      <c r="A494" s="4"/>
      <c r="B494" s="4"/>
      <c r="C494" s="4"/>
      <c r="D494" s="4"/>
      <c r="E494" s="29"/>
      <c r="F494" s="2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6"/>
    </row>
    <row r="495" customHeight="1" spans="1:26">
      <c r="A495" s="4"/>
      <c r="B495" s="4"/>
      <c r="C495" s="4"/>
      <c r="D495" s="4"/>
      <c r="E495" s="29"/>
      <c r="F495" s="2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6"/>
    </row>
    <row r="496" customHeight="1" spans="1:26">
      <c r="A496" s="4"/>
      <c r="B496" s="4"/>
      <c r="C496" s="4"/>
      <c r="D496" s="4"/>
      <c r="E496" s="29"/>
      <c r="F496" s="2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6"/>
    </row>
    <row r="497" customHeight="1" spans="1:26">
      <c r="A497" s="4"/>
      <c r="B497" s="4"/>
      <c r="C497" s="4"/>
      <c r="D497" s="4"/>
      <c r="E497" s="29"/>
      <c r="F497" s="2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6"/>
    </row>
    <row r="498" customHeight="1" spans="1:26">
      <c r="A498" s="4"/>
      <c r="B498" s="4"/>
      <c r="C498" s="4"/>
      <c r="D498" s="4"/>
      <c r="E498" s="29"/>
      <c r="F498" s="2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6"/>
    </row>
    <row r="499" customHeight="1" spans="1:26">
      <c r="A499" s="4"/>
      <c r="B499" s="4"/>
      <c r="C499" s="4"/>
      <c r="D499" s="4"/>
      <c r="E499" s="29"/>
      <c r="F499" s="2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6"/>
    </row>
    <row r="500" customHeight="1" spans="1:26">
      <c r="A500" s="4"/>
      <c r="B500" s="4"/>
      <c r="C500" s="4"/>
      <c r="D500" s="4"/>
      <c r="E500" s="29"/>
      <c r="F500" s="2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6"/>
    </row>
    <row r="501" customHeight="1" spans="1:26">
      <c r="A501" s="4"/>
      <c r="B501" s="4"/>
      <c r="C501" s="4"/>
      <c r="D501" s="4"/>
      <c r="E501" s="29"/>
      <c r="F501" s="2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6"/>
    </row>
    <row r="502" customHeight="1" spans="1:26">
      <c r="A502" s="4"/>
      <c r="B502" s="4"/>
      <c r="C502" s="4"/>
      <c r="D502" s="4"/>
      <c r="E502" s="29"/>
      <c r="F502" s="2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6"/>
    </row>
    <row r="503" customHeight="1" spans="1:26">
      <c r="A503" s="4"/>
      <c r="B503" s="4"/>
      <c r="C503" s="4"/>
      <c r="D503" s="4"/>
      <c r="E503" s="29"/>
      <c r="F503" s="2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6"/>
    </row>
    <row r="504" customHeight="1" spans="1:26">
      <c r="A504" s="4"/>
      <c r="B504" s="4"/>
      <c r="C504" s="4"/>
      <c r="D504" s="4"/>
      <c r="E504" s="29"/>
      <c r="F504" s="2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6"/>
    </row>
    <row r="505" customHeight="1" spans="1:26">
      <c r="A505" s="4"/>
      <c r="B505" s="4"/>
      <c r="C505" s="4"/>
      <c r="D505" s="4"/>
      <c r="E505" s="29"/>
      <c r="F505" s="2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6"/>
    </row>
    <row r="506" customHeight="1" spans="1:26">
      <c r="A506" s="4"/>
      <c r="B506" s="4"/>
      <c r="C506" s="4"/>
      <c r="D506" s="4"/>
      <c r="E506" s="29"/>
      <c r="F506" s="2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6"/>
    </row>
    <row r="507" customHeight="1" spans="1:26">
      <c r="A507" s="4"/>
      <c r="B507" s="4"/>
      <c r="C507" s="4"/>
      <c r="D507" s="4"/>
      <c r="E507" s="29"/>
      <c r="F507" s="2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6"/>
    </row>
    <row r="508" customHeight="1" spans="1:26">
      <c r="A508" s="4"/>
      <c r="B508" s="4"/>
      <c r="C508" s="4"/>
      <c r="D508" s="4"/>
      <c r="E508" s="29"/>
      <c r="F508" s="2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6"/>
    </row>
    <row r="509" customHeight="1" spans="1:26">
      <c r="A509" s="4"/>
      <c r="B509" s="4"/>
      <c r="C509" s="4"/>
      <c r="D509" s="4"/>
      <c r="E509" s="29"/>
      <c r="F509" s="2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6"/>
    </row>
    <row r="510" customHeight="1" spans="1:26">
      <c r="A510" s="4"/>
      <c r="B510" s="4"/>
      <c r="C510" s="4"/>
      <c r="D510" s="4"/>
      <c r="E510" s="29"/>
      <c r="F510" s="2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6"/>
    </row>
    <row r="511" customHeight="1" spans="1:26">
      <c r="A511" s="4"/>
      <c r="B511" s="4"/>
      <c r="C511" s="4"/>
      <c r="D511" s="4"/>
      <c r="E511" s="29"/>
      <c r="F511" s="2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6"/>
    </row>
    <row r="512" customHeight="1" spans="1:26">
      <c r="A512" s="4"/>
      <c r="B512" s="4"/>
      <c r="C512" s="4"/>
      <c r="D512" s="4"/>
      <c r="E512" s="29"/>
      <c r="F512" s="2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6"/>
    </row>
    <row r="513" customHeight="1" spans="1:26">
      <c r="A513" s="4"/>
      <c r="B513" s="4"/>
      <c r="C513" s="4"/>
      <c r="D513" s="4"/>
      <c r="E513" s="29"/>
      <c r="F513" s="2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6"/>
    </row>
    <row r="514" customHeight="1" spans="1:26">
      <c r="A514" s="4"/>
      <c r="B514" s="4"/>
      <c r="C514" s="4"/>
      <c r="D514" s="4"/>
      <c r="E514" s="29"/>
      <c r="F514" s="2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6"/>
    </row>
    <row r="515" customHeight="1" spans="1:26">
      <c r="A515" s="4"/>
      <c r="B515" s="4"/>
      <c r="C515" s="4"/>
      <c r="D515" s="4"/>
      <c r="E515" s="29"/>
      <c r="F515" s="2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6"/>
    </row>
    <row r="516" customHeight="1" spans="1:26">
      <c r="A516" s="4"/>
      <c r="B516" s="4"/>
      <c r="C516" s="4"/>
      <c r="D516" s="4"/>
      <c r="E516" s="29"/>
      <c r="F516" s="2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6"/>
    </row>
    <row r="517" customHeight="1" spans="1:26">
      <c r="A517" s="4"/>
      <c r="B517" s="4"/>
      <c r="C517" s="4"/>
      <c r="D517" s="4"/>
      <c r="E517" s="29"/>
      <c r="F517" s="2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6"/>
    </row>
    <row r="518" customHeight="1" spans="1:26">
      <c r="A518" s="4"/>
      <c r="B518" s="4"/>
      <c r="C518" s="4"/>
      <c r="D518" s="4"/>
      <c r="E518" s="29"/>
      <c r="F518" s="2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6"/>
    </row>
    <row r="519" customHeight="1" spans="1:26">
      <c r="A519" s="4"/>
      <c r="B519" s="4"/>
      <c r="C519" s="4"/>
      <c r="D519" s="4"/>
      <c r="E519" s="29"/>
      <c r="F519" s="2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6"/>
    </row>
    <row r="520" customHeight="1" spans="1:26">
      <c r="A520" s="4"/>
      <c r="B520" s="4"/>
      <c r="C520" s="4"/>
      <c r="D520" s="4"/>
      <c r="E520" s="29"/>
      <c r="F520" s="2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6"/>
    </row>
    <row r="521" customHeight="1" spans="1:26">
      <c r="A521" s="4"/>
      <c r="B521" s="4"/>
      <c r="C521" s="4"/>
      <c r="D521" s="4"/>
      <c r="E521" s="29"/>
      <c r="F521" s="2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6"/>
    </row>
    <row r="522" customHeight="1" spans="1:26">
      <c r="A522" s="4"/>
      <c r="B522" s="4"/>
      <c r="C522" s="4"/>
      <c r="D522" s="4"/>
      <c r="E522" s="29"/>
      <c r="F522" s="2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6"/>
    </row>
    <row r="523" customHeight="1" spans="1:26">
      <c r="A523" s="4"/>
      <c r="B523" s="4"/>
      <c r="C523" s="4"/>
      <c r="D523" s="4"/>
      <c r="E523" s="29"/>
      <c r="F523" s="2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6"/>
    </row>
    <row r="524" customHeight="1" spans="1:26">
      <c r="A524" s="4"/>
      <c r="B524" s="4"/>
      <c r="C524" s="4"/>
      <c r="D524" s="4"/>
      <c r="E524" s="29"/>
      <c r="F524" s="2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6"/>
    </row>
    <row r="525" customHeight="1" spans="1:26">
      <c r="A525" s="4"/>
      <c r="B525" s="4"/>
      <c r="C525" s="4"/>
      <c r="D525" s="4"/>
      <c r="E525" s="29"/>
      <c r="F525" s="2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6"/>
    </row>
    <row r="526" customHeight="1" spans="1:26">
      <c r="A526" s="4"/>
      <c r="B526" s="4"/>
      <c r="C526" s="4"/>
      <c r="D526" s="4"/>
      <c r="E526" s="29"/>
      <c r="F526" s="2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6"/>
    </row>
    <row r="527" customHeight="1" spans="1:26">
      <c r="A527" s="4"/>
      <c r="B527" s="4"/>
      <c r="C527" s="4"/>
      <c r="D527" s="4"/>
      <c r="E527" s="29"/>
      <c r="F527" s="2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6"/>
    </row>
    <row r="528" customHeight="1" spans="1:26">
      <c r="A528" s="4"/>
      <c r="B528" s="4"/>
      <c r="C528" s="4"/>
      <c r="D528" s="4"/>
      <c r="E528" s="29"/>
      <c r="F528" s="2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6"/>
    </row>
    <row r="529" customHeight="1" spans="1:26">
      <c r="A529" s="4"/>
      <c r="B529" s="4"/>
      <c r="C529" s="4"/>
      <c r="D529" s="4"/>
      <c r="E529" s="29"/>
      <c r="F529" s="2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6"/>
    </row>
    <row r="530" customHeight="1" spans="1:26">
      <c r="A530" s="4"/>
      <c r="B530" s="4"/>
      <c r="C530" s="4"/>
      <c r="D530" s="4"/>
      <c r="E530" s="29"/>
      <c r="F530" s="2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6"/>
    </row>
    <row r="531" customHeight="1" spans="1:26">
      <c r="A531" s="4"/>
      <c r="B531" s="4"/>
      <c r="C531" s="4"/>
      <c r="D531" s="4"/>
      <c r="E531" s="29"/>
      <c r="F531" s="2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6"/>
    </row>
    <row r="532" customHeight="1" spans="1:26">
      <c r="A532" s="4"/>
      <c r="B532" s="4"/>
      <c r="C532" s="4"/>
      <c r="D532" s="4"/>
      <c r="E532" s="29"/>
      <c r="F532" s="2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6"/>
    </row>
    <row r="533" customHeight="1" spans="1:26">
      <c r="A533" s="4"/>
      <c r="B533" s="4"/>
      <c r="C533" s="4"/>
      <c r="D533" s="4"/>
      <c r="E533" s="29"/>
      <c r="F533" s="2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6"/>
    </row>
    <row r="534" customHeight="1" spans="1:26">
      <c r="A534" s="4"/>
      <c r="B534" s="4"/>
      <c r="C534" s="4"/>
      <c r="D534" s="4"/>
      <c r="E534" s="29"/>
      <c r="F534" s="2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6"/>
    </row>
    <row r="535" customHeight="1" spans="1:26">
      <c r="A535" s="4"/>
      <c r="B535" s="4"/>
      <c r="C535" s="4"/>
      <c r="D535" s="4"/>
      <c r="E535" s="29"/>
      <c r="F535" s="2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6"/>
    </row>
    <row r="536" customHeight="1" spans="1:26">
      <c r="A536" s="4"/>
      <c r="B536" s="4"/>
      <c r="C536" s="4"/>
      <c r="D536" s="4"/>
      <c r="E536" s="29"/>
      <c r="F536" s="2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6"/>
    </row>
    <row r="537" customHeight="1" spans="1:26">
      <c r="A537" s="4"/>
      <c r="B537" s="4"/>
      <c r="C537" s="4"/>
      <c r="D537" s="4"/>
      <c r="E537" s="29"/>
      <c r="F537" s="2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6"/>
    </row>
    <row r="538" customHeight="1" spans="1:26">
      <c r="A538" s="4"/>
      <c r="B538" s="4"/>
      <c r="C538" s="4"/>
      <c r="D538" s="4"/>
      <c r="E538" s="29"/>
      <c r="F538" s="2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6"/>
    </row>
    <row r="539" customHeight="1" spans="1:26">
      <c r="A539" s="4"/>
      <c r="B539" s="4"/>
      <c r="C539" s="4"/>
      <c r="D539" s="4"/>
      <c r="E539" s="29"/>
      <c r="F539" s="2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6"/>
    </row>
    <row r="540" customHeight="1" spans="1:26">
      <c r="A540" s="4"/>
      <c r="B540" s="4"/>
      <c r="C540" s="4"/>
      <c r="D540" s="4"/>
      <c r="E540" s="29"/>
      <c r="F540" s="2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6"/>
    </row>
    <row r="541" customHeight="1" spans="1:26">
      <c r="A541" s="4"/>
      <c r="B541" s="4"/>
      <c r="C541" s="4"/>
      <c r="D541" s="4"/>
      <c r="E541" s="29"/>
      <c r="F541" s="2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6"/>
    </row>
    <row r="542" customHeight="1" spans="1:26">
      <c r="A542" s="4"/>
      <c r="B542" s="4"/>
      <c r="C542" s="4"/>
      <c r="D542" s="4"/>
      <c r="E542" s="29"/>
      <c r="F542" s="2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6"/>
    </row>
    <row r="543" customHeight="1" spans="1:26">
      <c r="A543" s="4"/>
      <c r="B543" s="4"/>
      <c r="C543" s="4"/>
      <c r="D543" s="4"/>
      <c r="E543" s="29"/>
      <c r="F543" s="2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6"/>
    </row>
    <row r="544" customHeight="1" spans="1:26">
      <c r="A544" s="4"/>
      <c r="B544" s="4"/>
      <c r="C544" s="4"/>
      <c r="D544" s="4"/>
      <c r="E544" s="29"/>
      <c r="F544" s="2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6"/>
    </row>
    <row r="545" customHeight="1" spans="1:26">
      <c r="A545" s="4"/>
      <c r="B545" s="4"/>
      <c r="C545" s="4"/>
      <c r="D545" s="4"/>
      <c r="E545" s="29"/>
      <c r="F545" s="2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6"/>
    </row>
    <row r="546" customHeight="1" spans="1:26">
      <c r="A546" s="4"/>
      <c r="B546" s="4"/>
      <c r="C546" s="4"/>
      <c r="D546" s="4"/>
      <c r="E546" s="29"/>
      <c r="F546" s="2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6"/>
    </row>
    <row r="547" customHeight="1" spans="1:26">
      <c r="A547" s="4"/>
      <c r="B547" s="4"/>
      <c r="C547" s="4"/>
      <c r="D547" s="4"/>
      <c r="E547" s="29"/>
      <c r="F547" s="2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6"/>
    </row>
    <row r="548" customHeight="1" spans="1:26">
      <c r="A548" s="4"/>
      <c r="B548" s="4"/>
      <c r="C548" s="4"/>
      <c r="D548" s="4"/>
      <c r="E548" s="29"/>
      <c r="F548" s="2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6"/>
    </row>
    <row r="549" customHeight="1" spans="1:26">
      <c r="A549" s="4"/>
      <c r="B549" s="4"/>
      <c r="C549" s="4"/>
      <c r="D549" s="4"/>
      <c r="E549" s="29"/>
      <c r="F549" s="2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6"/>
    </row>
    <row r="550" customHeight="1" spans="1:26">
      <c r="A550" s="4"/>
      <c r="B550" s="4"/>
      <c r="C550" s="4"/>
      <c r="D550" s="4"/>
      <c r="E550" s="29"/>
      <c r="F550" s="2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6"/>
    </row>
    <row r="551" customHeight="1" spans="1:26">
      <c r="A551" s="4"/>
      <c r="B551" s="4"/>
      <c r="C551" s="4"/>
      <c r="D551" s="4"/>
      <c r="E551" s="29"/>
      <c r="F551" s="2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6"/>
    </row>
    <row r="552" customHeight="1" spans="1:26">
      <c r="A552" s="4"/>
      <c r="B552" s="4"/>
      <c r="C552" s="4"/>
      <c r="D552" s="4"/>
      <c r="E552" s="29"/>
      <c r="F552" s="2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6"/>
    </row>
    <row r="553" customHeight="1" spans="1:26">
      <c r="A553" s="4"/>
      <c r="B553" s="4"/>
      <c r="C553" s="4"/>
      <c r="D553" s="4"/>
      <c r="E553" s="29"/>
      <c r="F553" s="2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6"/>
    </row>
    <row r="554" customHeight="1" spans="1:26">
      <c r="A554" s="4"/>
      <c r="B554" s="4"/>
      <c r="C554" s="4"/>
      <c r="D554" s="4"/>
      <c r="E554" s="29"/>
      <c r="F554" s="2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6"/>
    </row>
    <row r="555" customHeight="1" spans="1:26">
      <c r="A555" s="4"/>
      <c r="B555" s="4"/>
      <c r="C555" s="4"/>
      <c r="D555" s="4"/>
      <c r="E555" s="29"/>
      <c r="F555" s="2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6"/>
    </row>
    <row r="556" customHeight="1" spans="1:26">
      <c r="A556" s="4"/>
      <c r="B556" s="4"/>
      <c r="C556" s="4"/>
      <c r="D556" s="4"/>
      <c r="E556" s="29"/>
      <c r="F556" s="2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6"/>
    </row>
    <row r="557" customHeight="1" spans="1:26">
      <c r="A557" s="4"/>
      <c r="B557" s="4"/>
      <c r="C557" s="4"/>
      <c r="D557" s="4"/>
      <c r="E557" s="29"/>
      <c r="F557" s="2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6"/>
    </row>
    <row r="558" customHeight="1" spans="1:26">
      <c r="A558" s="4"/>
      <c r="B558" s="4"/>
      <c r="C558" s="4"/>
      <c r="D558" s="4"/>
      <c r="E558" s="29"/>
      <c r="F558" s="2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6"/>
    </row>
    <row r="559" customHeight="1" spans="1:26">
      <c r="A559" s="4"/>
      <c r="B559" s="4"/>
      <c r="C559" s="4"/>
      <c r="D559" s="4"/>
      <c r="E559" s="29"/>
      <c r="F559" s="2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6"/>
    </row>
    <row r="560" customHeight="1" spans="1:26">
      <c r="A560" s="4"/>
      <c r="B560" s="4"/>
      <c r="C560" s="4"/>
      <c r="D560" s="4"/>
      <c r="E560" s="29"/>
      <c r="F560" s="2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6"/>
    </row>
    <row r="561" customHeight="1" spans="1:26">
      <c r="A561" s="4"/>
      <c r="B561" s="4"/>
      <c r="C561" s="4"/>
      <c r="D561" s="4"/>
      <c r="E561" s="29"/>
      <c r="F561" s="2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6"/>
    </row>
    <row r="562" customHeight="1" spans="1:26">
      <c r="A562" s="4"/>
      <c r="B562" s="4"/>
      <c r="C562" s="4"/>
      <c r="D562" s="4"/>
      <c r="E562" s="29"/>
      <c r="F562" s="2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6"/>
    </row>
    <row r="563" customHeight="1" spans="1:26">
      <c r="A563" s="4"/>
      <c r="B563" s="4"/>
      <c r="C563" s="4"/>
      <c r="D563" s="4"/>
      <c r="E563" s="29"/>
      <c r="F563" s="2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6"/>
    </row>
    <row r="564" customHeight="1" spans="1:26">
      <c r="A564" s="4"/>
      <c r="B564" s="4"/>
      <c r="C564" s="4"/>
      <c r="D564" s="4"/>
      <c r="E564" s="29"/>
      <c r="F564" s="2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6"/>
    </row>
    <row r="565" customHeight="1" spans="1:26">
      <c r="A565" s="4"/>
      <c r="B565" s="4"/>
      <c r="C565" s="4"/>
      <c r="D565" s="4"/>
      <c r="E565" s="29"/>
      <c r="F565" s="2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6"/>
    </row>
    <row r="566" customHeight="1" spans="1:26">
      <c r="A566" s="4"/>
      <c r="B566" s="4"/>
      <c r="C566" s="4"/>
      <c r="D566" s="4"/>
      <c r="E566" s="29"/>
      <c r="F566" s="2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6"/>
    </row>
    <row r="567" customHeight="1" spans="1:26">
      <c r="A567" s="4"/>
      <c r="B567" s="4"/>
      <c r="C567" s="4"/>
      <c r="D567" s="4"/>
      <c r="E567" s="29"/>
      <c r="F567" s="2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6"/>
    </row>
    <row r="568" customHeight="1" spans="1:26">
      <c r="A568" s="4"/>
      <c r="B568" s="4"/>
      <c r="C568" s="4"/>
      <c r="D568" s="4"/>
      <c r="E568" s="29"/>
      <c r="F568" s="2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6"/>
    </row>
    <row r="569" customHeight="1" spans="1:26">
      <c r="A569" s="4"/>
      <c r="B569" s="4"/>
      <c r="C569" s="4"/>
      <c r="D569" s="4"/>
      <c r="E569" s="29"/>
      <c r="F569" s="2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6"/>
    </row>
    <row r="570" customHeight="1" spans="1:26">
      <c r="A570" s="4"/>
      <c r="B570" s="4"/>
      <c r="C570" s="4"/>
      <c r="D570" s="4"/>
      <c r="E570" s="29"/>
      <c r="F570" s="2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6"/>
    </row>
    <row r="571" customHeight="1" spans="1:26">
      <c r="A571" s="4"/>
      <c r="B571" s="4"/>
      <c r="C571" s="4"/>
      <c r="D571" s="4"/>
      <c r="E571" s="29"/>
      <c r="F571" s="2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6"/>
    </row>
    <row r="572" customHeight="1" spans="1:26">
      <c r="A572" s="4"/>
      <c r="B572" s="4"/>
      <c r="C572" s="4"/>
      <c r="D572" s="4"/>
      <c r="E572" s="29"/>
      <c r="F572" s="2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6"/>
    </row>
    <row r="573" customHeight="1" spans="1:26">
      <c r="A573" s="4"/>
      <c r="B573" s="4"/>
      <c r="C573" s="4"/>
      <c r="D573" s="4"/>
      <c r="E573" s="29"/>
      <c r="F573" s="2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6"/>
    </row>
    <row r="574" customHeight="1" spans="1:26">
      <c r="A574" s="4"/>
      <c r="B574" s="4"/>
      <c r="C574" s="4"/>
      <c r="D574" s="4"/>
      <c r="E574" s="29"/>
      <c r="F574" s="2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6"/>
    </row>
    <row r="575" customHeight="1" spans="1:26">
      <c r="A575" s="4"/>
      <c r="B575" s="4"/>
      <c r="C575" s="4"/>
      <c r="D575" s="4"/>
      <c r="E575" s="29"/>
      <c r="F575" s="2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6"/>
    </row>
    <row r="576" customHeight="1" spans="1:26">
      <c r="A576" s="4"/>
      <c r="B576" s="4"/>
      <c r="C576" s="4"/>
      <c r="D576" s="4"/>
      <c r="E576" s="29"/>
      <c r="F576" s="2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6"/>
    </row>
    <row r="577" customHeight="1" spans="1:26">
      <c r="A577" s="4"/>
      <c r="B577" s="4"/>
      <c r="C577" s="4"/>
      <c r="D577" s="4"/>
      <c r="E577" s="29"/>
      <c r="F577" s="2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6"/>
    </row>
    <row r="578" customHeight="1" spans="1:26">
      <c r="A578" s="4"/>
      <c r="B578" s="4"/>
      <c r="C578" s="4"/>
      <c r="D578" s="4"/>
      <c r="E578" s="29"/>
      <c r="F578" s="2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6"/>
    </row>
    <row r="579" customHeight="1" spans="1:26">
      <c r="A579" s="4"/>
      <c r="B579" s="4"/>
      <c r="C579" s="4"/>
      <c r="D579" s="4"/>
      <c r="E579" s="29"/>
      <c r="F579" s="2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6"/>
    </row>
    <row r="580" customHeight="1" spans="1:26">
      <c r="A580" s="4"/>
      <c r="B580" s="4"/>
      <c r="C580" s="4"/>
      <c r="D580" s="4"/>
      <c r="E580" s="29"/>
      <c r="F580" s="2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6"/>
    </row>
    <row r="581" customHeight="1" spans="1:26">
      <c r="A581" s="4"/>
      <c r="B581" s="4"/>
      <c r="C581" s="4"/>
      <c r="D581" s="4"/>
      <c r="E581" s="29"/>
      <c r="F581" s="2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6"/>
    </row>
    <row r="582" customHeight="1" spans="1:26">
      <c r="A582" s="4"/>
      <c r="B582" s="4"/>
      <c r="C582" s="4"/>
      <c r="D582" s="4"/>
      <c r="E582" s="29"/>
      <c r="F582" s="2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6"/>
    </row>
    <row r="583" customHeight="1" spans="1:26">
      <c r="A583" s="4"/>
      <c r="B583" s="4"/>
      <c r="C583" s="4"/>
      <c r="D583" s="4"/>
      <c r="E583" s="29"/>
      <c r="F583" s="2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6"/>
    </row>
    <row r="584" customHeight="1" spans="1:26">
      <c r="A584" s="4"/>
      <c r="B584" s="4"/>
      <c r="C584" s="4"/>
      <c r="D584" s="4"/>
      <c r="E584" s="29"/>
      <c r="F584" s="2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6"/>
    </row>
    <row r="585" customHeight="1" spans="1:26">
      <c r="A585" s="4"/>
      <c r="B585" s="4"/>
      <c r="C585" s="4"/>
      <c r="D585" s="4"/>
      <c r="E585" s="29"/>
      <c r="F585" s="2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6"/>
    </row>
    <row r="586" customHeight="1" spans="1:26">
      <c r="A586" s="4"/>
      <c r="B586" s="4"/>
      <c r="C586" s="4"/>
      <c r="D586" s="4"/>
      <c r="E586" s="29"/>
      <c r="F586" s="2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6"/>
    </row>
    <row r="587" customHeight="1" spans="1:26">
      <c r="A587" s="4"/>
      <c r="B587" s="4"/>
      <c r="C587" s="4"/>
      <c r="D587" s="4"/>
      <c r="E587" s="29"/>
      <c r="F587" s="2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6"/>
    </row>
    <row r="588" customHeight="1" spans="1:26">
      <c r="A588" s="4"/>
      <c r="B588" s="4"/>
      <c r="C588" s="4"/>
      <c r="D588" s="4"/>
      <c r="E588" s="29"/>
      <c r="F588" s="2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6"/>
    </row>
    <row r="589" customHeight="1" spans="1:26">
      <c r="A589" s="4"/>
      <c r="B589" s="4"/>
      <c r="C589" s="4"/>
      <c r="D589" s="4"/>
      <c r="E589" s="29"/>
      <c r="F589" s="2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6"/>
    </row>
    <row r="590" customHeight="1" spans="1:26">
      <c r="A590" s="4"/>
      <c r="B590" s="4"/>
      <c r="C590" s="4"/>
      <c r="D590" s="4"/>
      <c r="E590" s="29"/>
      <c r="F590" s="2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6"/>
    </row>
    <row r="591" customHeight="1" spans="1:26">
      <c r="A591" s="4"/>
      <c r="B591" s="4"/>
      <c r="C591" s="4"/>
      <c r="D591" s="4"/>
      <c r="E591" s="29"/>
      <c r="F591" s="2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6"/>
    </row>
    <row r="592" customHeight="1" spans="1:26">
      <c r="A592" s="4"/>
      <c r="B592" s="4"/>
      <c r="C592" s="4"/>
      <c r="D592" s="4"/>
      <c r="E592" s="29"/>
      <c r="F592" s="2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6"/>
    </row>
    <row r="593" customHeight="1" spans="1:26">
      <c r="A593" s="4"/>
      <c r="B593" s="4"/>
      <c r="C593" s="4"/>
      <c r="D593" s="4"/>
      <c r="E593" s="29"/>
      <c r="F593" s="2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6"/>
    </row>
    <row r="594" customHeight="1" spans="1:26">
      <c r="A594" s="4"/>
      <c r="B594" s="4"/>
      <c r="C594" s="4"/>
      <c r="D594" s="4"/>
      <c r="E594" s="29"/>
      <c r="F594" s="2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6"/>
    </row>
    <row r="595" customHeight="1" spans="1:26">
      <c r="A595" s="4"/>
      <c r="B595" s="4"/>
      <c r="C595" s="4"/>
      <c r="D595" s="4"/>
      <c r="E595" s="29"/>
      <c r="F595" s="2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6"/>
    </row>
    <row r="596" customHeight="1" spans="1:26">
      <c r="A596" s="4"/>
      <c r="B596" s="4"/>
      <c r="C596" s="4"/>
      <c r="D596" s="4"/>
      <c r="E596" s="29"/>
      <c r="F596" s="2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6"/>
    </row>
    <row r="597" customHeight="1" spans="1:26">
      <c r="A597" s="4"/>
      <c r="B597" s="4"/>
      <c r="C597" s="4"/>
      <c r="D597" s="4"/>
      <c r="E597" s="29"/>
      <c r="F597" s="2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6"/>
    </row>
    <row r="598" customHeight="1" spans="1:26">
      <c r="A598" s="4"/>
      <c r="B598" s="4"/>
      <c r="C598" s="4"/>
      <c r="D598" s="4"/>
      <c r="E598" s="29"/>
      <c r="F598" s="2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6"/>
    </row>
    <row r="599" customHeight="1" spans="1:26">
      <c r="A599" s="4"/>
      <c r="B599" s="4"/>
      <c r="C599" s="4"/>
      <c r="D599" s="4"/>
      <c r="E599" s="29"/>
      <c r="F599" s="2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6"/>
    </row>
    <row r="600" customHeight="1" spans="1:26">
      <c r="A600" s="4"/>
      <c r="B600" s="4"/>
      <c r="C600" s="4"/>
      <c r="D600" s="4"/>
      <c r="E600" s="29"/>
      <c r="F600" s="2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6"/>
    </row>
    <row r="601" customHeight="1" spans="1:26">
      <c r="A601" s="4"/>
      <c r="B601" s="4"/>
      <c r="C601" s="4"/>
      <c r="D601" s="4"/>
      <c r="E601" s="29"/>
      <c r="F601" s="2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6"/>
    </row>
    <row r="602" customHeight="1" spans="1:26">
      <c r="A602" s="4"/>
      <c r="B602" s="4"/>
      <c r="C602" s="4"/>
      <c r="D602" s="4"/>
      <c r="E602" s="29"/>
      <c r="F602" s="2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6"/>
    </row>
    <row r="603" customHeight="1" spans="1:26">
      <c r="A603" s="4"/>
      <c r="B603" s="4"/>
      <c r="C603" s="4"/>
      <c r="D603" s="4"/>
      <c r="E603" s="29"/>
      <c r="F603" s="2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6"/>
    </row>
    <row r="604" customHeight="1" spans="1:26">
      <c r="A604" s="4"/>
      <c r="B604" s="4"/>
      <c r="C604" s="4"/>
      <c r="D604" s="4"/>
      <c r="E604" s="29"/>
      <c r="F604" s="2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6"/>
    </row>
    <row r="605" customHeight="1" spans="1:26">
      <c r="A605" s="4"/>
      <c r="B605" s="4"/>
      <c r="C605" s="4"/>
      <c r="D605" s="4"/>
      <c r="E605" s="29"/>
      <c r="F605" s="2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6"/>
    </row>
    <row r="606" customHeight="1" spans="1:26">
      <c r="A606" s="4"/>
      <c r="B606" s="4"/>
      <c r="C606" s="4"/>
      <c r="D606" s="4"/>
      <c r="E606" s="29"/>
      <c r="F606" s="2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6"/>
    </row>
    <row r="607" customHeight="1" spans="1:26">
      <c r="A607" s="4"/>
      <c r="B607" s="4"/>
      <c r="C607" s="4"/>
      <c r="D607" s="4"/>
      <c r="E607" s="29"/>
      <c r="F607" s="2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6"/>
    </row>
    <row r="608" customHeight="1" spans="1:26">
      <c r="A608" s="4"/>
      <c r="B608" s="4"/>
      <c r="C608" s="4"/>
      <c r="D608" s="4"/>
      <c r="E608" s="29"/>
      <c r="F608" s="2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6"/>
    </row>
    <row r="609" customHeight="1" spans="1:26">
      <c r="A609" s="4"/>
      <c r="B609" s="4"/>
      <c r="C609" s="4"/>
      <c r="D609" s="4"/>
      <c r="E609" s="29"/>
      <c r="F609" s="2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6"/>
    </row>
    <row r="610" customHeight="1" spans="1:26">
      <c r="A610" s="4"/>
      <c r="B610" s="4"/>
      <c r="C610" s="4"/>
      <c r="D610" s="4"/>
      <c r="E610" s="29"/>
      <c r="F610" s="2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6"/>
    </row>
    <row r="611" customHeight="1" spans="1:26">
      <c r="A611" s="4"/>
      <c r="B611" s="4"/>
      <c r="C611" s="4"/>
      <c r="D611" s="4"/>
      <c r="E611" s="29"/>
      <c r="F611" s="2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6"/>
    </row>
    <row r="612" customHeight="1" spans="1:26">
      <c r="A612" s="4"/>
      <c r="B612" s="4"/>
      <c r="C612" s="4"/>
      <c r="D612" s="4"/>
      <c r="E612" s="29"/>
      <c r="F612" s="2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6"/>
    </row>
    <row r="613" customHeight="1" spans="1:26">
      <c r="A613" s="4"/>
      <c r="B613" s="4"/>
      <c r="C613" s="4"/>
      <c r="D613" s="4"/>
      <c r="E613" s="29"/>
      <c r="F613" s="2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6"/>
    </row>
    <row r="614" customHeight="1" spans="1:26">
      <c r="A614" s="4"/>
      <c r="B614" s="4"/>
      <c r="C614" s="4"/>
      <c r="D614" s="4"/>
      <c r="E614" s="29"/>
      <c r="F614" s="2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6"/>
    </row>
    <row r="615" customHeight="1" spans="1:26">
      <c r="A615" s="4"/>
      <c r="B615" s="4"/>
      <c r="C615" s="4"/>
      <c r="D615" s="4"/>
      <c r="E615" s="29"/>
      <c r="F615" s="2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6"/>
    </row>
    <row r="616" customHeight="1" spans="1:26">
      <c r="A616" s="4"/>
      <c r="B616" s="4"/>
      <c r="C616" s="4"/>
      <c r="D616" s="4"/>
      <c r="E616" s="29"/>
      <c r="F616" s="2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6"/>
    </row>
    <row r="617" customHeight="1" spans="1:26">
      <c r="A617" s="4"/>
      <c r="B617" s="4"/>
      <c r="C617" s="4"/>
      <c r="D617" s="4"/>
      <c r="E617" s="29"/>
      <c r="F617" s="2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6"/>
    </row>
    <row r="618" customHeight="1" spans="1:26">
      <c r="A618" s="4"/>
      <c r="B618" s="4"/>
      <c r="C618" s="4"/>
      <c r="D618" s="4"/>
      <c r="E618" s="29"/>
      <c r="F618" s="2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6"/>
    </row>
    <row r="619" customHeight="1" spans="1:26">
      <c r="A619" s="4"/>
      <c r="B619" s="4"/>
      <c r="C619" s="4"/>
      <c r="D619" s="4"/>
      <c r="E619" s="29"/>
      <c r="F619" s="2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6"/>
    </row>
    <row r="620" customHeight="1" spans="1:26">
      <c r="A620" s="4"/>
      <c r="B620" s="4"/>
      <c r="C620" s="4"/>
      <c r="D620" s="4"/>
      <c r="E620" s="29"/>
      <c r="F620" s="2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6"/>
    </row>
    <row r="621" customHeight="1" spans="1:26">
      <c r="A621" s="4"/>
      <c r="B621" s="4"/>
      <c r="C621" s="4"/>
      <c r="D621" s="4"/>
      <c r="E621" s="29"/>
      <c r="F621" s="2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6"/>
    </row>
    <row r="622" customHeight="1" spans="1:26">
      <c r="A622" s="4"/>
      <c r="B622" s="4"/>
      <c r="C622" s="4"/>
      <c r="D622" s="4"/>
      <c r="E622" s="29"/>
      <c r="F622" s="2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6"/>
    </row>
    <row r="623" customHeight="1" spans="1:26">
      <c r="A623" s="4"/>
      <c r="B623" s="4"/>
      <c r="C623" s="4"/>
      <c r="D623" s="4"/>
      <c r="E623" s="29"/>
      <c r="F623" s="2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6"/>
    </row>
    <row r="624" customHeight="1" spans="1:26">
      <c r="A624" s="4"/>
      <c r="B624" s="4"/>
      <c r="C624" s="4"/>
      <c r="D624" s="4"/>
      <c r="E624" s="29"/>
      <c r="F624" s="2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6"/>
    </row>
    <row r="625" customHeight="1" spans="1:26">
      <c r="A625" s="4"/>
      <c r="B625" s="4"/>
      <c r="C625" s="4"/>
      <c r="D625" s="4"/>
      <c r="E625" s="29"/>
      <c r="F625" s="2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6"/>
    </row>
    <row r="626" customHeight="1" spans="1:26">
      <c r="A626" s="4"/>
      <c r="B626" s="4"/>
      <c r="C626" s="4"/>
      <c r="D626" s="4"/>
      <c r="E626" s="29"/>
      <c r="F626" s="2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6"/>
    </row>
    <row r="627" customHeight="1" spans="1:26">
      <c r="A627" s="4"/>
      <c r="B627" s="4"/>
      <c r="C627" s="4"/>
      <c r="D627" s="4"/>
      <c r="E627" s="29"/>
      <c r="F627" s="2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6"/>
    </row>
    <row r="628" customHeight="1" spans="1:26">
      <c r="A628" s="4"/>
      <c r="B628" s="4"/>
      <c r="C628" s="4"/>
      <c r="D628" s="4"/>
      <c r="E628" s="29"/>
      <c r="F628" s="2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6"/>
    </row>
    <row r="629" customHeight="1" spans="1:26">
      <c r="A629" s="4"/>
      <c r="B629" s="4"/>
      <c r="C629" s="4"/>
      <c r="D629" s="4"/>
      <c r="E629" s="29"/>
      <c r="F629" s="2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6"/>
    </row>
    <row r="630" customHeight="1" spans="1:26">
      <c r="A630" s="4"/>
      <c r="B630" s="4"/>
      <c r="C630" s="4"/>
      <c r="D630" s="4"/>
      <c r="E630" s="29"/>
      <c r="F630" s="2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6"/>
    </row>
    <row r="631" customHeight="1" spans="1:26">
      <c r="A631" s="4"/>
      <c r="B631" s="4"/>
      <c r="C631" s="4"/>
      <c r="D631" s="4"/>
      <c r="E631" s="29"/>
      <c r="F631" s="2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6"/>
    </row>
    <row r="632" customHeight="1" spans="1:26">
      <c r="A632" s="4"/>
      <c r="B632" s="4"/>
      <c r="C632" s="4"/>
      <c r="D632" s="4"/>
      <c r="E632" s="29"/>
      <c r="F632" s="2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6"/>
    </row>
    <row r="633" customHeight="1" spans="1:26">
      <c r="A633" s="4"/>
      <c r="B633" s="4"/>
      <c r="C633" s="4"/>
      <c r="D633" s="4"/>
      <c r="E633" s="29"/>
      <c r="F633" s="2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6"/>
    </row>
    <row r="634" customHeight="1" spans="1:26">
      <c r="A634" s="4"/>
      <c r="B634" s="4"/>
      <c r="C634" s="4"/>
      <c r="D634" s="4"/>
      <c r="E634" s="29"/>
      <c r="F634" s="2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6"/>
    </row>
    <row r="635" customHeight="1" spans="1:26">
      <c r="A635" s="4"/>
      <c r="B635" s="4"/>
      <c r="C635" s="4"/>
      <c r="D635" s="4"/>
      <c r="E635" s="29"/>
      <c r="F635" s="2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6"/>
    </row>
    <row r="636" customHeight="1" spans="1:26">
      <c r="A636" s="4"/>
      <c r="B636" s="4"/>
      <c r="C636" s="4"/>
      <c r="D636" s="4"/>
      <c r="E636" s="29"/>
      <c r="F636" s="2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6"/>
    </row>
    <row r="637" customHeight="1" spans="1:26">
      <c r="A637" s="4"/>
      <c r="B637" s="4"/>
      <c r="C637" s="4"/>
      <c r="D637" s="4"/>
      <c r="E637" s="29"/>
      <c r="F637" s="2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6"/>
    </row>
    <row r="638" customHeight="1" spans="1:26">
      <c r="A638" s="4"/>
      <c r="B638" s="4"/>
      <c r="C638" s="4"/>
      <c r="D638" s="4"/>
      <c r="E638" s="29"/>
      <c r="F638" s="2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6"/>
    </row>
    <row r="639" customHeight="1" spans="1:26">
      <c r="A639" s="4"/>
      <c r="B639" s="4"/>
      <c r="C639" s="4"/>
      <c r="D639" s="4"/>
      <c r="E639" s="29"/>
      <c r="F639" s="2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6"/>
    </row>
    <row r="640" customHeight="1" spans="1:26">
      <c r="A640" s="4"/>
      <c r="B640" s="4"/>
      <c r="C640" s="4"/>
      <c r="D640" s="4"/>
      <c r="E640" s="29"/>
      <c r="F640" s="2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6"/>
    </row>
    <row r="641" customHeight="1" spans="1:26">
      <c r="A641" s="4"/>
      <c r="B641" s="4"/>
      <c r="C641" s="4"/>
      <c r="D641" s="4"/>
      <c r="E641" s="29"/>
      <c r="F641" s="2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6"/>
    </row>
    <row r="642" customHeight="1" spans="1:26">
      <c r="A642" s="4"/>
      <c r="B642" s="4"/>
      <c r="C642" s="4"/>
      <c r="D642" s="4"/>
      <c r="E642" s="29"/>
      <c r="F642" s="2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6"/>
    </row>
    <row r="643" customHeight="1" spans="1:26">
      <c r="A643" s="4"/>
      <c r="B643" s="4"/>
      <c r="C643" s="4"/>
      <c r="D643" s="4"/>
      <c r="E643" s="29"/>
      <c r="F643" s="2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6"/>
    </row>
    <row r="644" customHeight="1" spans="1:26">
      <c r="A644" s="4"/>
      <c r="B644" s="4"/>
      <c r="C644" s="4"/>
      <c r="D644" s="4"/>
      <c r="E644" s="29"/>
      <c r="F644" s="2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6"/>
    </row>
    <row r="645" customHeight="1" spans="1:26">
      <c r="A645" s="4"/>
      <c r="B645" s="4"/>
      <c r="C645" s="4"/>
      <c r="D645" s="4"/>
      <c r="E645" s="29"/>
      <c r="F645" s="2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6"/>
    </row>
    <row r="646" customHeight="1" spans="1:26">
      <c r="A646" s="4"/>
      <c r="B646" s="4"/>
      <c r="C646" s="4"/>
      <c r="D646" s="4"/>
      <c r="E646" s="29"/>
      <c r="F646" s="2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6"/>
    </row>
    <row r="647" customHeight="1" spans="1:26">
      <c r="A647" s="4"/>
      <c r="B647" s="4"/>
      <c r="C647" s="4"/>
      <c r="D647" s="4"/>
      <c r="E647" s="29"/>
      <c r="F647" s="2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6"/>
    </row>
    <row r="648" customHeight="1" spans="1:26">
      <c r="A648" s="4"/>
      <c r="B648" s="4"/>
      <c r="C648" s="4"/>
      <c r="D648" s="4"/>
      <c r="E648" s="29"/>
      <c r="F648" s="2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6"/>
    </row>
    <row r="649" customHeight="1" spans="1:26">
      <c r="A649" s="4"/>
      <c r="B649" s="4"/>
      <c r="C649" s="4"/>
      <c r="D649" s="4"/>
      <c r="E649" s="29"/>
      <c r="F649" s="2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6"/>
    </row>
    <row r="650" customHeight="1" spans="1:26">
      <c r="A650" s="4"/>
      <c r="B650" s="4"/>
      <c r="C650" s="4"/>
      <c r="D650" s="4"/>
      <c r="E650" s="29"/>
      <c r="F650" s="2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6"/>
    </row>
    <row r="651" customHeight="1" spans="1:26">
      <c r="A651" s="4"/>
      <c r="B651" s="4"/>
      <c r="C651" s="4"/>
      <c r="D651" s="4"/>
      <c r="E651" s="29"/>
      <c r="F651" s="2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6"/>
    </row>
    <row r="652" customHeight="1" spans="1:26">
      <c r="A652" s="4"/>
      <c r="B652" s="4"/>
      <c r="C652" s="4"/>
      <c r="D652" s="4"/>
      <c r="E652" s="29"/>
      <c r="F652" s="2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6"/>
    </row>
    <row r="653" customHeight="1" spans="1:26">
      <c r="A653" s="4"/>
      <c r="B653" s="4"/>
      <c r="C653" s="4"/>
      <c r="D653" s="4"/>
      <c r="E653" s="29"/>
      <c r="F653" s="2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6"/>
    </row>
    <row r="654" customHeight="1" spans="1:26">
      <c r="A654" s="4"/>
      <c r="B654" s="4"/>
      <c r="C654" s="4"/>
      <c r="D654" s="4"/>
      <c r="E654" s="29"/>
      <c r="F654" s="2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6"/>
    </row>
    <row r="655" customHeight="1" spans="1:26">
      <c r="A655" s="4"/>
      <c r="B655" s="4"/>
      <c r="C655" s="4"/>
      <c r="D655" s="4"/>
      <c r="E655" s="29"/>
      <c r="F655" s="2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6"/>
    </row>
    <row r="656" customHeight="1" spans="1:26">
      <c r="A656" s="4"/>
      <c r="B656" s="4"/>
      <c r="C656" s="4"/>
      <c r="D656" s="4"/>
      <c r="E656" s="29"/>
      <c r="F656" s="2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6"/>
    </row>
    <row r="657" customHeight="1" spans="1:26">
      <c r="A657" s="4"/>
      <c r="B657" s="4"/>
      <c r="C657" s="4"/>
      <c r="D657" s="4"/>
      <c r="E657" s="29"/>
      <c r="F657" s="2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6"/>
    </row>
    <row r="658" customHeight="1" spans="1:26">
      <c r="A658" s="4"/>
      <c r="B658" s="4"/>
      <c r="C658" s="4"/>
      <c r="D658" s="4"/>
      <c r="E658" s="29"/>
      <c r="F658" s="2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6"/>
    </row>
    <row r="659" customHeight="1" spans="1:26">
      <c r="A659" s="4"/>
      <c r="B659" s="4"/>
      <c r="C659" s="4"/>
      <c r="D659" s="4"/>
      <c r="E659" s="29"/>
      <c r="F659" s="2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6"/>
    </row>
    <row r="660" customHeight="1" spans="1:26">
      <c r="A660" s="4"/>
      <c r="B660" s="4"/>
      <c r="C660" s="4"/>
      <c r="D660" s="4"/>
      <c r="E660" s="29"/>
      <c r="F660" s="2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6"/>
    </row>
    <row r="661" customHeight="1" spans="1:26">
      <c r="A661" s="4"/>
      <c r="B661" s="4"/>
      <c r="C661" s="4"/>
      <c r="D661" s="4"/>
      <c r="E661" s="29"/>
      <c r="F661" s="2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6"/>
    </row>
    <row r="662" customHeight="1" spans="1:26">
      <c r="A662" s="4"/>
      <c r="B662" s="4"/>
      <c r="C662" s="4"/>
      <c r="D662" s="4"/>
      <c r="E662" s="29"/>
      <c r="F662" s="2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6"/>
    </row>
    <row r="663" customHeight="1" spans="1:26">
      <c r="A663" s="4"/>
      <c r="B663" s="4"/>
      <c r="C663" s="4"/>
      <c r="D663" s="4"/>
      <c r="E663" s="29"/>
      <c r="F663" s="2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6"/>
    </row>
    <row r="664" customHeight="1" spans="1:26">
      <c r="A664" s="4"/>
      <c r="B664" s="4"/>
      <c r="C664" s="4"/>
      <c r="D664" s="4"/>
      <c r="E664" s="29"/>
      <c r="F664" s="2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6"/>
    </row>
    <row r="665" customHeight="1" spans="1:26">
      <c r="A665" s="4"/>
      <c r="B665" s="4"/>
      <c r="C665" s="4"/>
      <c r="D665" s="4"/>
      <c r="E665" s="29"/>
      <c r="F665" s="2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6"/>
    </row>
    <row r="666" customHeight="1" spans="1:26">
      <c r="A666" s="4"/>
      <c r="B666" s="4"/>
      <c r="C666" s="4"/>
      <c r="D666" s="4"/>
      <c r="E666" s="29"/>
      <c r="F666" s="2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6"/>
    </row>
    <row r="667" customHeight="1" spans="1:26">
      <c r="A667" s="4"/>
      <c r="B667" s="4"/>
      <c r="C667" s="4"/>
      <c r="D667" s="4"/>
      <c r="E667" s="29"/>
      <c r="F667" s="2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6"/>
    </row>
    <row r="668" customHeight="1" spans="1:26">
      <c r="A668" s="4"/>
      <c r="B668" s="4"/>
      <c r="C668" s="4"/>
      <c r="D668" s="4"/>
      <c r="E668" s="29"/>
      <c r="F668" s="2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6"/>
    </row>
    <row r="669" customHeight="1" spans="1:26">
      <c r="A669" s="4"/>
      <c r="B669" s="4"/>
      <c r="C669" s="4"/>
      <c r="D669" s="4"/>
      <c r="E669" s="29"/>
      <c r="F669" s="2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6"/>
    </row>
    <row r="670" customHeight="1" spans="1:26">
      <c r="A670" s="4"/>
      <c r="B670" s="4"/>
      <c r="C670" s="4"/>
      <c r="D670" s="4"/>
      <c r="E670" s="29"/>
      <c r="F670" s="2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6"/>
    </row>
    <row r="671" customHeight="1" spans="1:26">
      <c r="A671" s="4"/>
      <c r="B671" s="4"/>
      <c r="C671" s="4"/>
      <c r="D671" s="4"/>
      <c r="E671" s="29"/>
      <c r="F671" s="2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6"/>
    </row>
    <row r="672" customHeight="1" spans="1:26">
      <c r="A672" s="4"/>
      <c r="B672" s="4"/>
      <c r="C672" s="4"/>
      <c r="D672" s="4"/>
      <c r="E672" s="29"/>
      <c r="F672" s="2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6"/>
    </row>
    <row r="673" customHeight="1" spans="1:26">
      <c r="A673" s="4"/>
      <c r="B673" s="4"/>
      <c r="C673" s="4"/>
      <c r="D673" s="4"/>
      <c r="E673" s="29"/>
      <c r="F673" s="2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6"/>
    </row>
    <row r="674" customHeight="1" spans="1:26">
      <c r="A674" s="4"/>
      <c r="B674" s="4"/>
      <c r="C674" s="4"/>
      <c r="D674" s="4"/>
      <c r="E674" s="29"/>
      <c r="F674" s="2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6"/>
    </row>
    <row r="675" customHeight="1" spans="1:26">
      <c r="A675" s="4"/>
      <c r="B675" s="4"/>
      <c r="C675" s="4"/>
      <c r="D675" s="4"/>
      <c r="E675" s="29"/>
      <c r="F675" s="2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6"/>
    </row>
    <row r="676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6"/>
    </row>
    <row r="677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6"/>
    </row>
    <row r="678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6"/>
    </row>
    <row r="679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6"/>
    </row>
    <row r="680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6"/>
    </row>
    <row r="681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6"/>
    </row>
    <row r="682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6"/>
    </row>
    <row r="683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6"/>
    </row>
    <row r="684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6"/>
    </row>
    <row r="68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6"/>
    </row>
    <row r="686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6"/>
    </row>
    <row r="687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6"/>
    </row>
    <row r="688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6"/>
    </row>
    <row r="689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6"/>
    </row>
    <row r="690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6"/>
    </row>
    <row r="691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6"/>
    </row>
    <row r="692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6"/>
    </row>
    <row r="693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6"/>
    </row>
    <row r="694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6"/>
    </row>
    <row r="69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6"/>
    </row>
    <row r="696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6"/>
    </row>
    <row r="697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6"/>
    </row>
    <row r="698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6"/>
    </row>
    <row r="699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6"/>
    </row>
    <row r="700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6"/>
    </row>
    <row r="701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6"/>
    </row>
    <row r="702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6"/>
    </row>
    <row r="703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6"/>
    </row>
    <row r="704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6"/>
    </row>
    <row r="70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6"/>
    </row>
    <row r="706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6"/>
    </row>
    <row r="707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6"/>
    </row>
    <row r="708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6"/>
    </row>
    <row r="709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6"/>
    </row>
    <row r="710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6"/>
    </row>
    <row r="711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6"/>
    </row>
    <row r="712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6"/>
    </row>
    <row r="713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6"/>
    </row>
    <row r="714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6"/>
    </row>
    <row r="71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6"/>
    </row>
    <row r="716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6"/>
    </row>
    <row r="717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6"/>
    </row>
    <row r="718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6"/>
    </row>
    <row r="719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6"/>
    </row>
    <row r="720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6"/>
    </row>
    <row r="721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6"/>
    </row>
    <row r="722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6"/>
    </row>
    <row r="723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6"/>
    </row>
    <row r="724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6"/>
    </row>
    <row r="72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6"/>
    </row>
    <row r="726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6"/>
    </row>
    <row r="727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6"/>
    </row>
    <row r="728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6"/>
    </row>
    <row r="729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6"/>
    </row>
    <row r="730" customHeight="1" spans="1:26">
      <c r="A730" s="4"/>
      <c r="B730" s="4"/>
      <c r="C730" s="4"/>
      <c r="D730" s="4"/>
      <c r="E730" s="29"/>
      <c r="F730" s="2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6"/>
    </row>
    <row r="731" customHeight="1" spans="1:26">
      <c r="A731" s="4"/>
      <c r="B731" s="4"/>
      <c r="C731" s="4"/>
      <c r="D731" s="4"/>
      <c r="E731" s="29"/>
      <c r="F731" s="2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6"/>
    </row>
    <row r="732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6"/>
    </row>
    <row r="733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6"/>
    </row>
    <row r="734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6"/>
    </row>
    <row r="73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6"/>
    </row>
    <row r="736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6"/>
    </row>
    <row r="737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6"/>
    </row>
    <row r="738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6"/>
    </row>
    <row r="739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6"/>
    </row>
    <row r="740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6"/>
    </row>
    <row r="741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6"/>
    </row>
    <row r="742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6"/>
    </row>
    <row r="743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6"/>
    </row>
    <row r="744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6"/>
    </row>
    <row r="74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6"/>
    </row>
    <row r="746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6"/>
    </row>
    <row r="747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6"/>
    </row>
    <row r="748" customHeight="1" spans="1:26">
      <c r="A748" s="4"/>
      <c r="B748" s="4"/>
      <c r="C748" s="4"/>
      <c r="D748" s="4"/>
      <c r="E748" s="29"/>
      <c r="F748" s="2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6"/>
    </row>
    <row r="749" customHeight="1" spans="1:26">
      <c r="A749" s="4"/>
      <c r="B749" s="4"/>
      <c r="C749" s="4"/>
      <c r="D749" s="4"/>
      <c r="E749" s="29"/>
      <c r="F749" s="2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6"/>
    </row>
    <row r="750" customHeight="1" spans="1:26">
      <c r="A750" s="4"/>
      <c r="B750" s="4"/>
      <c r="C750" s="4"/>
      <c r="D750" s="4"/>
      <c r="E750" s="29"/>
      <c r="F750" s="2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6"/>
    </row>
    <row r="751" customHeight="1" spans="1:26">
      <c r="A751" s="4"/>
      <c r="B751" s="4"/>
      <c r="C751" s="4"/>
      <c r="D751" s="4"/>
      <c r="E751" s="29"/>
      <c r="F751" s="2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6"/>
    </row>
    <row r="752" customHeight="1" spans="1:26">
      <c r="A752" s="4"/>
      <c r="B752" s="4"/>
      <c r="C752" s="4"/>
      <c r="D752" s="4"/>
      <c r="E752" s="29"/>
      <c r="F752" s="2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6"/>
    </row>
    <row r="753" customHeight="1" spans="1:26">
      <c r="A753" s="4"/>
      <c r="B753" s="4"/>
      <c r="C753" s="4"/>
      <c r="D753" s="4"/>
      <c r="E753" s="29"/>
      <c r="F753" s="2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6"/>
    </row>
    <row r="754" customHeight="1" spans="1:26">
      <c r="A754" s="4"/>
      <c r="B754" s="4"/>
      <c r="C754" s="4"/>
      <c r="D754" s="4"/>
      <c r="E754" s="29"/>
      <c r="F754" s="2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6"/>
    </row>
    <row r="755" customHeight="1" spans="1:26">
      <c r="A755" s="4"/>
      <c r="B755" s="4"/>
      <c r="C755" s="4"/>
      <c r="D755" s="4"/>
      <c r="E755" s="29"/>
      <c r="F755" s="2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6"/>
    </row>
    <row r="756" customHeight="1" spans="1:26">
      <c r="A756" s="4"/>
      <c r="B756" s="4"/>
      <c r="C756" s="4"/>
      <c r="D756" s="4"/>
      <c r="E756" s="29"/>
      <c r="F756" s="2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6"/>
    </row>
    <row r="757" customHeight="1" spans="1:26">
      <c r="A757" s="4"/>
      <c r="B757" s="4"/>
      <c r="C757" s="4"/>
      <c r="D757" s="4"/>
      <c r="E757" s="29"/>
      <c r="F757" s="2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6"/>
    </row>
    <row r="758" customHeight="1" spans="1:26">
      <c r="A758" s="4"/>
      <c r="B758" s="4"/>
      <c r="C758" s="4"/>
      <c r="D758" s="4"/>
      <c r="E758" s="29"/>
      <c r="F758" s="2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6"/>
    </row>
    <row r="759" customHeight="1" spans="1:26">
      <c r="A759" s="4"/>
      <c r="B759" s="4"/>
      <c r="C759" s="4"/>
      <c r="D759" s="4"/>
      <c r="E759" s="29"/>
      <c r="F759" s="2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6"/>
    </row>
    <row r="760" customHeight="1" spans="1:26">
      <c r="A760" s="4"/>
      <c r="B760" s="4"/>
      <c r="C760" s="4"/>
      <c r="D760" s="4"/>
      <c r="E760" s="29"/>
      <c r="F760" s="2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6"/>
    </row>
    <row r="761" customHeight="1" spans="1:26">
      <c r="A761" s="4"/>
      <c r="B761" s="4"/>
      <c r="C761" s="4"/>
      <c r="D761" s="4"/>
      <c r="E761" s="29"/>
      <c r="F761" s="2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6"/>
    </row>
    <row r="762" customHeight="1" spans="1:26">
      <c r="A762" s="4"/>
      <c r="B762" s="4"/>
      <c r="C762" s="4"/>
      <c r="D762" s="4"/>
      <c r="E762" s="29"/>
      <c r="F762" s="2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6"/>
    </row>
    <row r="763" customHeight="1" spans="1:26">
      <c r="A763" s="4"/>
      <c r="B763" s="4"/>
      <c r="C763" s="4"/>
      <c r="D763" s="4"/>
      <c r="E763" s="29"/>
      <c r="F763" s="2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6"/>
    </row>
    <row r="764" customHeight="1" spans="1:26">
      <c r="A764" s="4"/>
      <c r="B764" s="4"/>
      <c r="C764" s="4"/>
      <c r="D764" s="4"/>
      <c r="E764" s="29"/>
      <c r="F764" s="2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6"/>
    </row>
    <row r="765" customHeight="1" spans="1:26">
      <c r="A765" s="4"/>
      <c r="B765" s="4"/>
      <c r="C765" s="4"/>
      <c r="D765" s="4"/>
      <c r="E765" s="29"/>
      <c r="F765" s="2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6"/>
    </row>
    <row r="766" customHeight="1" spans="1:26">
      <c r="A766" s="4"/>
      <c r="B766" s="4"/>
      <c r="C766" s="4"/>
      <c r="D766" s="4"/>
      <c r="E766" s="29"/>
      <c r="F766" s="2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6"/>
    </row>
    <row r="767" customHeight="1" spans="1:26">
      <c r="A767" s="4"/>
      <c r="B767" s="4"/>
      <c r="C767" s="4"/>
      <c r="D767" s="4"/>
      <c r="E767" s="29"/>
      <c r="F767" s="2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6"/>
    </row>
    <row r="768" customHeight="1" spans="1:26">
      <c r="A768" s="4"/>
      <c r="B768" s="4"/>
      <c r="C768" s="4"/>
      <c r="D768" s="4"/>
      <c r="E768" s="29"/>
      <c r="F768" s="2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6"/>
    </row>
    <row r="769" customHeight="1" spans="1:26">
      <c r="A769" s="4"/>
      <c r="B769" s="4"/>
      <c r="C769" s="4"/>
      <c r="D769" s="4"/>
      <c r="E769" s="29"/>
      <c r="F769" s="2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6"/>
    </row>
    <row r="770" customHeight="1" spans="1:26">
      <c r="A770" s="4"/>
      <c r="B770" s="4"/>
      <c r="C770" s="4"/>
      <c r="D770" s="4"/>
      <c r="E770" s="29"/>
      <c r="F770" s="2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6"/>
    </row>
    <row r="771" customHeight="1" spans="1:26">
      <c r="A771" s="4"/>
      <c r="B771" s="4"/>
      <c r="C771" s="4"/>
      <c r="D771" s="4"/>
      <c r="E771" s="29"/>
      <c r="F771" s="2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6"/>
    </row>
    <row r="772" customHeight="1" spans="1:26">
      <c r="A772" s="4"/>
      <c r="B772" s="4"/>
      <c r="C772" s="4"/>
      <c r="D772" s="4"/>
      <c r="E772" s="29"/>
      <c r="F772" s="2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6"/>
    </row>
    <row r="773" customHeight="1" spans="1:26">
      <c r="A773" s="4"/>
      <c r="B773" s="4"/>
      <c r="C773" s="4"/>
      <c r="D773" s="4"/>
      <c r="E773" s="29"/>
      <c r="F773" s="2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6"/>
    </row>
    <row r="774" customHeight="1" spans="1:26">
      <c r="A774" s="4"/>
      <c r="B774" s="4"/>
      <c r="C774" s="4"/>
      <c r="D774" s="4"/>
      <c r="E774" s="29"/>
      <c r="F774" s="2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6"/>
    </row>
    <row r="775" customHeight="1" spans="1:26">
      <c r="A775" s="4"/>
      <c r="B775" s="4"/>
      <c r="C775" s="4"/>
      <c r="D775" s="4"/>
      <c r="E775" s="29"/>
      <c r="F775" s="2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6"/>
    </row>
    <row r="776" customHeight="1" spans="1:26">
      <c r="A776" s="4"/>
      <c r="B776" s="4"/>
      <c r="C776" s="4"/>
      <c r="D776" s="4"/>
      <c r="E776" s="29"/>
      <c r="F776" s="2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6"/>
    </row>
    <row r="777" customHeight="1" spans="1:26">
      <c r="A777" s="4"/>
      <c r="B777" s="4"/>
      <c r="C777" s="4"/>
      <c r="D777" s="4"/>
      <c r="E777" s="29"/>
      <c r="F777" s="2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6"/>
    </row>
    <row r="778" customHeight="1" spans="1:26">
      <c r="A778" s="4"/>
      <c r="B778" s="4"/>
      <c r="C778" s="4"/>
      <c r="D778" s="4"/>
      <c r="E778" s="29"/>
      <c r="F778" s="2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6"/>
    </row>
    <row r="779" customHeight="1" spans="1:26">
      <c r="A779" s="4"/>
      <c r="B779" s="4"/>
      <c r="C779" s="4"/>
      <c r="D779" s="4"/>
      <c r="E779" s="29"/>
      <c r="F779" s="2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6"/>
    </row>
    <row r="780" customHeight="1" spans="1:26">
      <c r="A780" s="4"/>
      <c r="B780" s="4"/>
      <c r="C780" s="4"/>
      <c r="D780" s="4"/>
      <c r="E780" s="29"/>
      <c r="F780" s="2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6"/>
    </row>
    <row r="781" customHeight="1" spans="1:26">
      <c r="A781" s="4"/>
      <c r="B781" s="4"/>
      <c r="C781" s="4"/>
      <c r="D781" s="4"/>
      <c r="E781" s="29"/>
      <c r="F781" s="2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6"/>
    </row>
    <row r="782" customHeight="1" spans="1:26">
      <c r="A782" s="4"/>
      <c r="B782" s="4"/>
      <c r="C782" s="4"/>
      <c r="D782" s="4"/>
      <c r="E782" s="29"/>
      <c r="F782" s="2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6"/>
    </row>
    <row r="783" customHeight="1" spans="1:26">
      <c r="A783" s="4"/>
      <c r="B783" s="4"/>
      <c r="C783" s="4"/>
      <c r="D783" s="4"/>
      <c r="E783" s="29"/>
      <c r="F783" s="2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6"/>
    </row>
    <row r="784" customHeight="1" spans="1:26">
      <c r="A784" s="4"/>
      <c r="B784" s="4"/>
      <c r="C784" s="4"/>
      <c r="D784" s="4"/>
      <c r="E784" s="29"/>
      <c r="F784" s="2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6"/>
    </row>
    <row r="785" customHeight="1" spans="1:26">
      <c r="A785" s="4"/>
      <c r="B785" s="4"/>
      <c r="C785" s="4"/>
      <c r="D785" s="4"/>
      <c r="E785" s="29"/>
      <c r="F785" s="2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6"/>
    </row>
    <row r="786" customHeight="1" spans="1:26">
      <c r="A786" s="4"/>
      <c r="B786" s="4"/>
      <c r="C786" s="4"/>
      <c r="D786" s="4"/>
      <c r="E786" s="29"/>
      <c r="F786" s="2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6"/>
    </row>
    <row r="787" customHeight="1" spans="1:26">
      <c r="A787" s="4"/>
      <c r="B787" s="4"/>
      <c r="C787" s="4"/>
      <c r="D787" s="4"/>
      <c r="E787" s="29"/>
      <c r="F787" s="2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6"/>
    </row>
    <row r="788" customHeight="1" spans="1:26">
      <c r="A788" s="4"/>
      <c r="B788" s="4"/>
      <c r="C788" s="4"/>
      <c r="D788" s="4"/>
      <c r="E788" s="29"/>
      <c r="F788" s="2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6"/>
    </row>
    <row r="789" customHeight="1" spans="1:26">
      <c r="A789" s="4"/>
      <c r="B789" s="4"/>
      <c r="C789" s="4"/>
      <c r="D789" s="4"/>
      <c r="E789" s="29"/>
      <c r="F789" s="2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6"/>
    </row>
    <row r="790" customHeight="1" spans="1:26">
      <c r="A790" s="4"/>
      <c r="B790" s="4"/>
      <c r="C790" s="4"/>
      <c r="D790" s="4"/>
      <c r="E790" s="29"/>
      <c r="F790" s="2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6"/>
    </row>
    <row r="791" customHeight="1" spans="1:26">
      <c r="A791" s="4"/>
      <c r="B791" s="4"/>
      <c r="C791" s="4"/>
      <c r="D791" s="4"/>
      <c r="E791" s="29"/>
      <c r="F791" s="2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6"/>
    </row>
    <row r="792" customHeight="1" spans="1:26">
      <c r="A792" s="4"/>
      <c r="B792" s="4"/>
      <c r="C792" s="4"/>
      <c r="D792" s="4"/>
      <c r="E792" s="29"/>
      <c r="F792" s="2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6"/>
    </row>
    <row r="793" customHeight="1" spans="1:26">
      <c r="A793" s="4"/>
      <c r="B793" s="4"/>
      <c r="C793" s="4"/>
      <c r="D793" s="4"/>
      <c r="E793" s="29"/>
      <c r="F793" s="2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6"/>
    </row>
    <row r="794" customHeight="1" spans="1:26">
      <c r="A794" s="4"/>
      <c r="B794" s="4"/>
      <c r="C794" s="4"/>
      <c r="D794" s="4"/>
      <c r="E794" s="29"/>
      <c r="F794" s="2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6"/>
    </row>
    <row r="795" customHeight="1" spans="1:26">
      <c r="A795" s="4"/>
      <c r="B795" s="4"/>
      <c r="C795" s="4"/>
      <c r="D795" s="4"/>
      <c r="E795" s="29"/>
      <c r="F795" s="2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6"/>
    </row>
    <row r="796" customHeight="1" spans="1:26">
      <c r="A796" s="4"/>
      <c r="B796" s="4"/>
      <c r="C796" s="4"/>
      <c r="D796" s="4"/>
      <c r="E796" s="29"/>
      <c r="F796" s="2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6"/>
    </row>
    <row r="797" customHeight="1" spans="1:26">
      <c r="A797" s="4"/>
      <c r="B797" s="4"/>
      <c r="C797" s="4"/>
      <c r="D797" s="4"/>
      <c r="E797" s="29"/>
      <c r="F797" s="2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6"/>
    </row>
    <row r="798" customHeight="1" spans="1:26">
      <c r="A798" s="4"/>
      <c r="B798" s="4"/>
      <c r="C798" s="4"/>
      <c r="D798" s="4"/>
      <c r="E798" s="29"/>
      <c r="F798" s="2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6"/>
    </row>
    <row r="799" customHeight="1" spans="1:26">
      <c r="A799" s="4"/>
      <c r="B799" s="4"/>
      <c r="C799" s="4"/>
      <c r="D799" s="4"/>
      <c r="E799" s="29"/>
      <c r="F799" s="2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6"/>
    </row>
    <row r="800" customHeight="1" spans="1:26">
      <c r="A800" s="4"/>
      <c r="B800" s="4"/>
      <c r="C800" s="4"/>
      <c r="D800" s="4"/>
      <c r="E800" s="29"/>
      <c r="F800" s="2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6"/>
    </row>
    <row r="801" customHeight="1" spans="1:26">
      <c r="A801" s="4"/>
      <c r="B801" s="4"/>
      <c r="C801" s="4"/>
      <c r="D801" s="4"/>
      <c r="E801" s="29"/>
      <c r="F801" s="2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6"/>
    </row>
    <row r="802" customHeight="1" spans="1:26">
      <c r="A802" s="4"/>
      <c r="B802" s="4"/>
      <c r="C802" s="4"/>
      <c r="D802" s="4"/>
      <c r="E802" s="29"/>
      <c r="F802" s="2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6"/>
    </row>
    <row r="803" customHeight="1" spans="1:26">
      <c r="A803" s="4"/>
      <c r="B803" s="4"/>
      <c r="C803" s="4"/>
      <c r="D803" s="4"/>
      <c r="E803" s="29"/>
      <c r="F803" s="2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6"/>
    </row>
    <row r="804" customHeight="1" spans="1:26">
      <c r="A804" s="4"/>
      <c r="B804" s="4"/>
      <c r="C804" s="4"/>
      <c r="D804" s="4"/>
      <c r="E804" s="29"/>
      <c r="F804" s="2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6"/>
    </row>
    <row r="805" customHeight="1" spans="1:26">
      <c r="A805" s="4"/>
      <c r="B805" s="4"/>
      <c r="C805" s="4"/>
      <c r="D805" s="4"/>
      <c r="E805" s="29"/>
      <c r="F805" s="2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6"/>
    </row>
    <row r="806" customHeight="1" spans="1:26">
      <c r="A806" s="4"/>
      <c r="B806" s="4"/>
      <c r="C806" s="4"/>
      <c r="D806" s="4"/>
      <c r="E806" s="29"/>
      <c r="F806" s="2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6"/>
    </row>
    <row r="807" customHeight="1" spans="1:26">
      <c r="A807" s="4"/>
      <c r="B807" s="4"/>
      <c r="C807" s="4"/>
      <c r="D807" s="4"/>
      <c r="E807" s="29"/>
      <c r="F807" s="2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6"/>
    </row>
    <row r="808" customHeight="1" spans="1:26">
      <c r="A808" s="4"/>
      <c r="B808" s="4"/>
      <c r="C808" s="4"/>
      <c r="D808" s="4"/>
      <c r="E808" s="29"/>
      <c r="F808" s="2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6"/>
    </row>
    <row r="809" customHeight="1" spans="1:26">
      <c r="A809" s="4"/>
      <c r="B809" s="4"/>
      <c r="C809" s="4"/>
      <c r="D809" s="4"/>
      <c r="E809" s="29"/>
      <c r="F809" s="2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6"/>
    </row>
    <row r="810" customHeight="1" spans="1:26">
      <c r="A810" s="4"/>
      <c r="B810" s="4"/>
      <c r="C810" s="4"/>
      <c r="D810" s="4"/>
      <c r="E810" s="29"/>
      <c r="F810" s="2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6"/>
    </row>
    <row r="811" customHeight="1" spans="1:26">
      <c r="A811" s="4"/>
      <c r="B811" s="4"/>
      <c r="C811" s="4"/>
      <c r="D811" s="4"/>
      <c r="E811" s="29"/>
      <c r="F811" s="2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6"/>
    </row>
    <row r="812" customHeight="1" spans="1:26">
      <c r="A812" s="4"/>
      <c r="B812" s="4"/>
      <c r="C812" s="4"/>
      <c r="D812" s="4"/>
      <c r="E812" s="29"/>
      <c r="F812" s="2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6"/>
    </row>
    <row r="813" customHeight="1" spans="1:26">
      <c r="A813" s="4"/>
      <c r="B813" s="4"/>
      <c r="C813" s="4"/>
      <c r="D813" s="4"/>
      <c r="E813" s="29"/>
      <c r="F813" s="2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6"/>
    </row>
    <row r="814" customHeight="1" spans="1:26">
      <c r="A814" s="4"/>
      <c r="B814" s="4"/>
      <c r="C814" s="4"/>
      <c r="D814" s="4"/>
      <c r="E814" s="29"/>
      <c r="F814" s="2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6"/>
    </row>
    <row r="815" customHeight="1" spans="1:26">
      <c r="A815" s="4"/>
      <c r="B815" s="4"/>
      <c r="C815" s="4"/>
      <c r="D815" s="4"/>
      <c r="E815" s="29"/>
      <c r="F815" s="2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6"/>
    </row>
    <row r="816" customHeight="1" spans="1:26">
      <c r="A816" s="4"/>
      <c r="B816" s="4"/>
      <c r="C816" s="4"/>
      <c r="D816" s="4"/>
      <c r="E816" s="29"/>
      <c r="F816" s="2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6"/>
    </row>
    <row r="817" customHeight="1" spans="1:26">
      <c r="A817" s="4"/>
      <c r="B817" s="4"/>
      <c r="C817" s="4"/>
      <c r="D817" s="4"/>
      <c r="E817" s="29"/>
      <c r="F817" s="2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6"/>
    </row>
    <row r="818" customHeight="1" spans="1:26">
      <c r="A818" s="4"/>
      <c r="B818" s="4"/>
      <c r="C818" s="4"/>
      <c r="D818" s="4"/>
      <c r="E818" s="29"/>
      <c r="F818" s="2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6"/>
    </row>
    <row r="819" customHeight="1" spans="1:26">
      <c r="A819" s="4"/>
      <c r="B819" s="4"/>
      <c r="C819" s="4"/>
      <c r="D819" s="4"/>
      <c r="E819" s="29"/>
      <c r="F819" s="2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6"/>
    </row>
    <row r="820" customHeight="1" spans="1:26">
      <c r="A820" s="4"/>
      <c r="B820" s="4"/>
      <c r="C820" s="4"/>
      <c r="D820" s="4"/>
      <c r="E820" s="29"/>
      <c r="F820" s="2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6"/>
    </row>
    <row r="821" customHeight="1" spans="1:26">
      <c r="A821" s="4"/>
      <c r="B821" s="4"/>
      <c r="C821" s="4"/>
      <c r="D821" s="4"/>
      <c r="E821" s="29"/>
      <c r="F821" s="2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6"/>
    </row>
    <row r="822" customHeight="1" spans="1:26">
      <c r="A822" s="4"/>
      <c r="B822" s="4"/>
      <c r="C822" s="4"/>
      <c r="D822" s="4"/>
      <c r="E822" s="29"/>
      <c r="F822" s="2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6"/>
    </row>
    <row r="823" customHeight="1" spans="1:26">
      <c r="A823" s="4"/>
      <c r="B823" s="4"/>
      <c r="C823" s="4"/>
      <c r="D823" s="4"/>
      <c r="E823" s="29"/>
      <c r="F823" s="2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6"/>
    </row>
    <row r="824" customHeight="1" spans="1:26">
      <c r="A824" s="4"/>
      <c r="B824" s="4"/>
      <c r="C824" s="4"/>
      <c r="D824" s="4"/>
      <c r="E824" s="29"/>
      <c r="F824" s="2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6"/>
    </row>
    <row r="825" customHeight="1" spans="1:26">
      <c r="A825" s="4"/>
      <c r="B825" s="4"/>
      <c r="C825" s="4"/>
      <c r="D825" s="4"/>
      <c r="E825" s="29"/>
      <c r="F825" s="2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6"/>
    </row>
    <row r="826" customHeight="1" spans="1:26">
      <c r="A826" s="4"/>
      <c r="B826" s="4"/>
      <c r="C826" s="4"/>
      <c r="D826" s="4"/>
      <c r="E826" s="29"/>
      <c r="F826" s="2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6"/>
    </row>
    <row r="827" customHeight="1" spans="1:26">
      <c r="A827" s="4"/>
      <c r="B827" s="4"/>
      <c r="C827" s="4"/>
      <c r="D827" s="4"/>
      <c r="E827" s="29"/>
      <c r="F827" s="2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6"/>
    </row>
    <row r="828" customHeight="1" spans="1:26">
      <c r="A828" s="4"/>
      <c r="B828" s="4"/>
      <c r="C828" s="4"/>
      <c r="D828" s="4"/>
      <c r="E828" s="29"/>
      <c r="F828" s="2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6"/>
    </row>
    <row r="829" customHeight="1" spans="1:26">
      <c r="A829" s="4"/>
      <c r="B829" s="4"/>
      <c r="C829" s="4"/>
      <c r="D829" s="4"/>
      <c r="E829" s="29"/>
      <c r="F829" s="2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6"/>
    </row>
    <row r="830" customHeight="1" spans="1:26">
      <c r="A830" s="4"/>
      <c r="B830" s="4"/>
      <c r="C830" s="4"/>
      <c r="D830" s="4"/>
      <c r="E830" s="29"/>
      <c r="F830" s="2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6"/>
    </row>
    <row r="831" customHeight="1" spans="1:26">
      <c r="A831" s="4"/>
      <c r="B831" s="4"/>
      <c r="C831" s="4"/>
      <c r="D831" s="4"/>
      <c r="E831" s="29"/>
      <c r="F831" s="2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6"/>
    </row>
    <row r="832" customHeight="1" spans="1:26">
      <c r="A832" s="4"/>
      <c r="B832" s="4"/>
      <c r="C832" s="4"/>
      <c r="D832" s="4"/>
      <c r="E832" s="29"/>
      <c r="F832" s="2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6"/>
    </row>
    <row r="833" customHeight="1" spans="1:26">
      <c r="A833" s="4"/>
      <c r="B833" s="4"/>
      <c r="C833" s="4"/>
      <c r="D833" s="4"/>
      <c r="E833" s="29"/>
      <c r="F833" s="2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6"/>
    </row>
    <row r="834" customHeight="1" spans="1:26">
      <c r="A834" s="4"/>
      <c r="B834" s="4"/>
      <c r="C834" s="4"/>
      <c r="D834" s="4"/>
      <c r="E834" s="29"/>
      <c r="F834" s="2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6"/>
    </row>
    <row r="835" customHeight="1" spans="1:26">
      <c r="A835" s="6"/>
      <c r="B835" s="6"/>
      <c r="C835" s="6"/>
      <c r="D835" s="6"/>
      <c r="E835" s="6"/>
      <c r="F835" s="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6"/>
    </row>
    <row r="836" customHeight="1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Height="1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Height="1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Height="1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Height="1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Height="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Height="1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Height="1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Height="1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Height="1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Height="1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Height="1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Height="1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Height="1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Height="1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Height="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Height="1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Height="1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Height="1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Height="1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Height="1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Height="1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Height="1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Height="1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Height="1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Height="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Height="1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Height="1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Height="1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Height="1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Height="1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Height="1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Height="1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Height="1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Height="1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Height="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Height="1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Height="1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Height="1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Height="1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Height="1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Height="1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Height="1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Height="1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Height="1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Height="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Height="1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Height="1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Height="1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Height="1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Height="1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Height="1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Height="1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Height="1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Height="1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Height="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Height="1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Height="1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Height="1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Height="1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Height="1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Height="1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Height="1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Height="1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Height="1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Height="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Height="1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Height="1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Height="1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Height="1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Height="1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Height="1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Height="1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Height="1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Height="1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Height="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Height="1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Height="1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Height="1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Height="1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Height="1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Height="1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Height="1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Height="1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Height="1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Height="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Height="1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Height="1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Height="1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Height="1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Height="1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Height="1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Height="1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Height="1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Height="1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Height="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Height="1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Height="1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Height="1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Height="1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Height="1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Height="1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Height="1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Height="1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Height="1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Height="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Height="1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Height="1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Height="1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Height="1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Height="1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Height="1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Height="1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Height="1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Height="1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Height="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Height="1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Height="1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Height="1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Height="1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Height="1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Height="1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Height="1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Height="1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Height="1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Height="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Height="1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Height="1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Height="1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Height="1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Height="1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Height="1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Height="1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Height="1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Height="1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Height="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Height="1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Height="1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Height="1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Height="1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Height="1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Height="1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Height="1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Height="1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Height="1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Height="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Height="1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Height="1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Height="1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Height="1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Height="1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Height="1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Height="1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Height="1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Height="1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Height="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Height="1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Height="1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Height="1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Height="1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Height="1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Height="1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Height="1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Height="1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Height="1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customHeight="1" spans="1:26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customHeight="1" spans="1:26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customHeight="1" spans="1:26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customHeight="1" spans="1:26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customHeight="1" spans="1:26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customHeight="1" spans="1:2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customHeight="1" spans="1:26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</sheetData>
  <mergeCells count="6">
    <mergeCell ref="A1:F1"/>
    <mergeCell ref="E5:F5"/>
    <mergeCell ref="A5:A6"/>
    <mergeCell ref="B5:B6"/>
    <mergeCell ref="C5:C6"/>
    <mergeCell ref="D5:D6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7"/>
  <sheetViews>
    <sheetView showGridLines="0" workbookViewId="0">
      <selection activeCell="A1" sqref="A1:F1"/>
    </sheetView>
  </sheetViews>
  <sheetFormatPr defaultColWidth="12.6296296296296" defaultRowHeight="15.75" customHeight="1"/>
  <cols>
    <col min="2" max="2" width="15.3796296296296" customWidth="1"/>
  </cols>
  <sheetData>
    <row r="1" customHeight="1" spans="1:26">
      <c r="A1" s="1" t="s">
        <v>243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/>
    </row>
    <row r="2" customHeight="1" spans="1:26">
      <c r="A2" s="5" t="s">
        <v>244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6"/>
    </row>
    <row r="3" customHeight="1" spans="1:26">
      <c r="A3" s="5" t="s">
        <v>245</v>
      </c>
      <c r="B3" s="6"/>
      <c r="C3" s="8" t="s">
        <v>246</v>
      </c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6"/>
    </row>
    <row r="4" customHeight="1" spans="1:26">
      <c r="A4" s="9" t="s">
        <v>247</v>
      </c>
      <c r="B4" s="10"/>
      <c r="C4" s="11" t="s">
        <v>267</v>
      </c>
      <c r="D4" s="10"/>
      <c r="E4" s="10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6"/>
    </row>
    <row r="5" customHeight="1" spans="1:26">
      <c r="A5" s="13" t="s">
        <v>249</v>
      </c>
      <c r="B5" s="13" t="s">
        <v>250</v>
      </c>
      <c r="C5" s="13" t="s">
        <v>251</v>
      </c>
      <c r="D5" s="13" t="s">
        <v>252</v>
      </c>
      <c r="E5" s="14" t="s">
        <v>253</v>
      </c>
      <c r="F5" s="1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6"/>
    </row>
    <row r="6" customHeight="1" spans="1:26">
      <c r="A6" s="16"/>
      <c r="B6" s="16"/>
      <c r="C6" s="16"/>
      <c r="D6" s="16"/>
      <c r="E6" s="17" t="s">
        <v>254</v>
      </c>
      <c r="F6" s="17" t="s">
        <v>45</v>
      </c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6"/>
    </row>
    <row r="7" customHeight="1" spans="1:26">
      <c r="A7" s="18" t="s">
        <v>255</v>
      </c>
      <c r="B7" s="18" t="s">
        <v>16</v>
      </c>
      <c r="C7" s="18" t="s">
        <v>256</v>
      </c>
      <c r="D7" s="19">
        <f>886-123-106-34-178-187</f>
        <v>258</v>
      </c>
      <c r="E7" s="20">
        <v>87.92</v>
      </c>
      <c r="F7" s="20">
        <f t="shared" ref="F7:F22" si="0">E7*D7</f>
        <v>22683.36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6"/>
    </row>
    <row r="8" customHeight="1" spans="1:26">
      <c r="A8" s="18" t="s">
        <v>255</v>
      </c>
      <c r="B8" s="18" t="s">
        <v>16</v>
      </c>
      <c r="C8" s="18" t="s">
        <v>256</v>
      </c>
      <c r="D8" s="19">
        <v>200</v>
      </c>
      <c r="E8" s="20">
        <v>109.9</v>
      </c>
      <c r="F8" s="20">
        <f t="shared" si="0"/>
        <v>21980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6"/>
    </row>
    <row r="9" customHeight="1" spans="1:26">
      <c r="A9" s="21" t="s">
        <v>257</v>
      </c>
      <c r="B9" s="21" t="s">
        <v>58</v>
      </c>
      <c r="C9" s="21" t="s">
        <v>256</v>
      </c>
      <c r="D9" s="22">
        <v>83</v>
      </c>
      <c r="E9" s="23">
        <v>29</v>
      </c>
      <c r="F9" s="23">
        <f t="shared" si="0"/>
        <v>2407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6"/>
    </row>
    <row r="10" customHeight="1" spans="1:26">
      <c r="A10" s="21" t="s">
        <v>257</v>
      </c>
      <c r="B10" s="21" t="s">
        <v>18</v>
      </c>
      <c r="C10" s="21" t="s">
        <v>256</v>
      </c>
      <c r="D10" s="22">
        <v>11</v>
      </c>
      <c r="E10" s="23">
        <v>29</v>
      </c>
      <c r="F10" s="23">
        <f t="shared" si="0"/>
        <v>319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6"/>
    </row>
    <row r="11" customHeight="1" spans="1:26">
      <c r="A11" s="21" t="s">
        <v>258</v>
      </c>
      <c r="B11" s="21" t="s">
        <v>19</v>
      </c>
      <c r="C11" s="21" t="s">
        <v>256</v>
      </c>
      <c r="D11" s="21">
        <v>6046</v>
      </c>
      <c r="E11" s="23">
        <v>0.57</v>
      </c>
      <c r="F11" s="23">
        <f t="shared" si="0"/>
        <v>3446.22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6"/>
    </row>
    <row r="12" customHeight="1" spans="1:26">
      <c r="A12" s="21" t="s">
        <v>258</v>
      </c>
      <c r="B12" s="21" t="s">
        <v>20</v>
      </c>
      <c r="C12" s="21" t="s">
        <v>256</v>
      </c>
      <c r="D12" s="21">
        <v>1208</v>
      </c>
      <c r="E12" s="23">
        <v>4.28</v>
      </c>
      <c r="F12" s="23">
        <f t="shared" si="0"/>
        <v>5170.24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6"/>
    </row>
    <row r="13" customHeight="1" spans="1:26">
      <c r="A13" s="21" t="s">
        <v>259</v>
      </c>
      <c r="B13" s="21" t="s">
        <v>21</v>
      </c>
      <c r="C13" s="21" t="s">
        <v>256</v>
      </c>
      <c r="D13" s="21">
        <v>265</v>
      </c>
      <c r="E13" s="23">
        <v>62.5</v>
      </c>
      <c r="F13" s="23">
        <f t="shared" si="0"/>
        <v>16562.5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6"/>
    </row>
    <row r="14" customHeight="1" spans="1:26">
      <c r="A14" s="21" t="s">
        <v>260</v>
      </c>
      <c r="B14" s="21" t="s">
        <v>22</v>
      </c>
      <c r="C14" s="21" t="s">
        <v>256</v>
      </c>
      <c r="D14" s="21">
        <v>137</v>
      </c>
      <c r="E14" s="23">
        <v>150</v>
      </c>
      <c r="F14" s="23">
        <f t="shared" si="0"/>
        <v>20550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6"/>
    </row>
    <row r="15" customHeight="1" spans="1:26">
      <c r="A15" s="21" t="s">
        <v>260</v>
      </c>
      <c r="B15" s="21" t="s">
        <v>23</v>
      </c>
      <c r="C15" s="21" t="s">
        <v>256</v>
      </c>
      <c r="D15" s="21">
        <v>1</v>
      </c>
      <c r="E15" s="23">
        <v>180</v>
      </c>
      <c r="F15" s="23">
        <f t="shared" si="0"/>
        <v>180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6"/>
    </row>
    <row r="16" customHeight="1" spans="1:26">
      <c r="A16" s="21" t="s">
        <v>261</v>
      </c>
      <c r="B16" s="21" t="s">
        <v>262</v>
      </c>
      <c r="C16" s="21" t="s">
        <v>256</v>
      </c>
      <c r="D16" s="21">
        <v>48</v>
      </c>
      <c r="E16" s="23">
        <v>15</v>
      </c>
      <c r="F16" s="23">
        <f t="shared" si="0"/>
        <v>720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6"/>
    </row>
    <row r="17" customHeight="1" spans="1:26">
      <c r="A17" s="21" t="s">
        <v>255</v>
      </c>
      <c r="B17" s="21" t="s">
        <v>263</v>
      </c>
      <c r="C17" s="21" t="s">
        <v>256</v>
      </c>
      <c r="D17" s="22">
        <v>51</v>
      </c>
      <c r="E17" s="23">
        <v>79.92</v>
      </c>
      <c r="F17" s="23">
        <f t="shared" si="0"/>
        <v>4075.92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6"/>
    </row>
    <row r="18" customHeight="1" spans="1:26">
      <c r="A18" s="21" t="s">
        <v>255</v>
      </c>
      <c r="B18" s="21" t="s">
        <v>264</v>
      </c>
      <c r="C18" s="21" t="s">
        <v>256</v>
      </c>
      <c r="D18" s="21">
        <v>38</v>
      </c>
      <c r="E18" s="23">
        <v>95.92</v>
      </c>
      <c r="F18" s="23">
        <f t="shared" si="0"/>
        <v>3644.96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6"/>
    </row>
    <row r="19" customHeight="1" spans="1:26">
      <c r="A19" s="21" t="s">
        <v>255</v>
      </c>
      <c r="B19" s="21" t="s">
        <v>265</v>
      </c>
      <c r="C19" s="21" t="s">
        <v>256</v>
      </c>
      <c r="D19" s="21">
        <v>6</v>
      </c>
      <c r="E19" s="23">
        <v>95.92</v>
      </c>
      <c r="F19" s="23">
        <f t="shared" si="0"/>
        <v>575.52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6"/>
    </row>
    <row r="20" customHeight="1" spans="1:26">
      <c r="A20" s="21" t="s">
        <v>255</v>
      </c>
      <c r="B20" s="21" t="s">
        <v>266</v>
      </c>
      <c r="C20" s="21" t="s">
        <v>256</v>
      </c>
      <c r="D20" s="21">
        <v>30</v>
      </c>
      <c r="E20" s="23">
        <v>63.92</v>
      </c>
      <c r="F20" s="23">
        <f t="shared" si="0"/>
        <v>1917.6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6"/>
    </row>
    <row r="21" customHeight="1" spans="1:26">
      <c r="A21" s="21" t="s">
        <v>255</v>
      </c>
      <c r="B21" s="21" t="s">
        <v>30</v>
      </c>
      <c r="C21" s="21" t="s">
        <v>256</v>
      </c>
      <c r="D21" s="21">
        <v>6</v>
      </c>
      <c r="E21" s="23">
        <v>119.92</v>
      </c>
      <c r="F21" s="23">
        <f t="shared" si="0"/>
        <v>719.52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6"/>
    </row>
    <row r="22" customHeight="1" spans="1:26">
      <c r="A22" s="21" t="s">
        <v>255</v>
      </c>
      <c r="B22" s="21" t="s">
        <v>31</v>
      </c>
      <c r="C22" s="21" t="s">
        <v>256</v>
      </c>
      <c r="D22" s="21">
        <v>378</v>
      </c>
      <c r="E22" s="23">
        <v>129.9</v>
      </c>
      <c r="F22" s="23">
        <f t="shared" si="0"/>
        <v>49102.2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6"/>
    </row>
    <row r="23" customHeight="1" spans="1:26">
      <c r="A23" s="24"/>
      <c r="B23" s="24"/>
      <c r="C23" s="24"/>
      <c r="D23" s="25"/>
      <c r="E23" s="24"/>
      <c r="F23" s="2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6"/>
    </row>
    <row r="24" customHeight="1" spans="1:26">
      <c r="A24" s="24"/>
      <c r="B24" s="24"/>
      <c r="C24" s="24"/>
      <c r="D24" s="27">
        <f>SUM(D7:D22)</f>
        <v>8766</v>
      </c>
      <c r="E24" s="24"/>
      <c r="F24" s="28">
        <f>SUM(F7:F22)</f>
        <v>154054.04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6"/>
    </row>
    <row r="25" customHeight="1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6"/>
    </row>
    <row r="26" customHeight="1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6"/>
    </row>
    <row r="27" customHeight="1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6"/>
    </row>
    <row r="28" customHeight="1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6"/>
    </row>
    <row r="29" customHeight="1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6"/>
    </row>
    <row r="30" customHeight="1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6"/>
    </row>
    <row r="31" customHeight="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6"/>
    </row>
    <row r="32" customHeight="1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6"/>
    </row>
    <row r="33" customHeight="1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6"/>
    </row>
    <row r="34" customHeight="1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6"/>
    </row>
    <row r="35" customHeight="1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6"/>
    </row>
    <row r="36" customHeight="1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6"/>
    </row>
    <row r="37" customHeight="1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6"/>
    </row>
    <row r="38" customHeight="1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6"/>
    </row>
    <row r="39" customHeight="1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6"/>
    </row>
    <row r="40" customHeight="1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6"/>
    </row>
    <row r="41" customHeight="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6"/>
    </row>
    <row r="42" customHeight="1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6"/>
    </row>
    <row r="43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6"/>
    </row>
    <row r="44" customHeight="1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6"/>
    </row>
    <row r="45" customHeight="1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6"/>
    </row>
    <row r="46" customHeight="1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6"/>
    </row>
    <row r="47" customHeight="1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6"/>
    </row>
    <row r="48" customHeight="1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6"/>
    </row>
    <row r="49" customHeight="1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6"/>
    </row>
    <row r="50" customHeight="1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6"/>
    </row>
    <row r="51" customHeight="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6"/>
    </row>
    <row r="52" customHeight="1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6"/>
    </row>
    <row r="53" customHeight="1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6"/>
    </row>
    <row r="54" customHeight="1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6"/>
    </row>
    <row r="55" customHeight="1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6"/>
    </row>
    <row r="56" customHeight="1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6"/>
    </row>
    <row r="57" customHeight="1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6"/>
    </row>
    <row r="58" customHeight="1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6"/>
    </row>
    <row r="59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6"/>
    </row>
    <row r="60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6"/>
    </row>
    <row r="61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6"/>
    </row>
    <row r="62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6"/>
    </row>
    <row r="63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6"/>
    </row>
    <row r="64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6"/>
    </row>
    <row r="6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6"/>
    </row>
    <row r="66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6"/>
    </row>
    <row r="67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6"/>
    </row>
    <row r="68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6"/>
    </row>
    <row r="69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6"/>
    </row>
    <row r="70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6"/>
    </row>
    <row r="71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6"/>
    </row>
    <row r="72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6"/>
    </row>
    <row r="73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6"/>
    </row>
    <row r="74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6"/>
    </row>
    <row r="7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6"/>
    </row>
    <row r="76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6"/>
    </row>
    <row r="77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6"/>
    </row>
    <row r="78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6"/>
    </row>
    <row r="79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6"/>
    </row>
    <row r="80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6"/>
    </row>
    <row r="81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6"/>
    </row>
    <row r="82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6"/>
    </row>
    <row r="83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6"/>
    </row>
    <row r="84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6"/>
    </row>
    <row r="8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6"/>
    </row>
    <row r="86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6"/>
    </row>
    <row r="87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6"/>
    </row>
    <row r="88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6"/>
    </row>
    <row r="89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6"/>
    </row>
    <row r="90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6"/>
    </row>
    <row r="91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6"/>
    </row>
    <row r="92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6"/>
    </row>
    <row r="93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6"/>
    </row>
    <row r="94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6"/>
    </row>
    <row r="9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6"/>
    </row>
    <row r="96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6"/>
    </row>
    <row r="97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6"/>
    </row>
    <row r="98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6"/>
    </row>
    <row r="99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6"/>
    </row>
    <row r="100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6"/>
    </row>
    <row r="101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6"/>
    </row>
    <row r="102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6"/>
    </row>
    <row r="103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6"/>
    </row>
    <row r="104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6"/>
    </row>
    <row r="10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6"/>
    </row>
    <row r="106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6"/>
    </row>
    <row r="107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6"/>
    </row>
    <row r="108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6"/>
    </row>
    <row r="109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6"/>
    </row>
    <row r="110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6"/>
    </row>
    <row r="111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6"/>
    </row>
    <row r="112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6"/>
    </row>
    <row r="113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6"/>
    </row>
    <row r="114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6"/>
    </row>
    <row r="11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6"/>
    </row>
    <row r="116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6"/>
    </row>
    <row r="117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6"/>
    </row>
    <row r="118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6"/>
    </row>
    <row r="119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6"/>
    </row>
    <row r="120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6"/>
    </row>
    <row r="121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6"/>
    </row>
    <row r="122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6"/>
    </row>
    <row r="123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6"/>
    </row>
    <row r="124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6"/>
    </row>
    <row r="12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6"/>
    </row>
    <row r="126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6"/>
    </row>
    <row r="127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6"/>
    </row>
    <row r="128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6"/>
    </row>
    <row r="129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6"/>
    </row>
    <row r="130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6"/>
    </row>
    <row r="131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6"/>
    </row>
    <row r="132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6"/>
    </row>
    <row r="133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6"/>
    </row>
    <row r="134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6"/>
    </row>
    <row r="13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6"/>
    </row>
    <row r="136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6"/>
    </row>
    <row r="137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6"/>
    </row>
    <row r="138" customHeight="1" spans="1:26">
      <c r="A138" s="4"/>
      <c r="B138" s="4"/>
      <c r="C138" s="4"/>
      <c r="D138" s="4"/>
      <c r="E138" s="29"/>
      <c r="F138" s="2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6"/>
    </row>
    <row r="139" customHeight="1" spans="1:26">
      <c r="A139" s="4"/>
      <c r="B139" s="4"/>
      <c r="C139" s="4"/>
      <c r="D139" s="4"/>
      <c r="E139" s="29"/>
      <c r="F139" s="2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6"/>
    </row>
    <row r="140" customHeight="1" spans="1:26">
      <c r="A140" s="4"/>
      <c r="B140" s="4"/>
      <c r="C140" s="4"/>
      <c r="D140" s="4"/>
      <c r="E140" s="29"/>
      <c r="F140" s="2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6"/>
    </row>
    <row r="141" customHeight="1" spans="1:26">
      <c r="A141" s="4"/>
      <c r="B141" s="4"/>
      <c r="C141" s="4"/>
      <c r="D141" s="4"/>
      <c r="E141" s="29"/>
      <c r="F141" s="2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6"/>
    </row>
    <row r="142" customHeight="1" spans="1:26">
      <c r="A142" s="4"/>
      <c r="B142" s="4"/>
      <c r="C142" s="4"/>
      <c r="D142" s="4"/>
      <c r="E142" s="29"/>
      <c r="F142" s="2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6"/>
    </row>
    <row r="143" customHeight="1" spans="1:26">
      <c r="A143" s="4"/>
      <c r="B143" s="4"/>
      <c r="C143" s="4"/>
      <c r="D143" s="4"/>
      <c r="E143" s="29"/>
      <c r="F143" s="2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6"/>
    </row>
    <row r="144" customHeight="1" spans="1:26">
      <c r="A144" s="4"/>
      <c r="B144" s="4"/>
      <c r="C144" s="4"/>
      <c r="D144" s="4"/>
      <c r="E144" s="29"/>
      <c r="F144" s="2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6"/>
    </row>
    <row r="145" customHeight="1" spans="1:26">
      <c r="A145" s="4"/>
      <c r="B145" s="4"/>
      <c r="C145" s="4"/>
      <c r="D145" s="4"/>
      <c r="E145" s="29"/>
      <c r="F145" s="2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6"/>
    </row>
    <row r="146" customHeight="1" spans="1:26">
      <c r="A146" s="4"/>
      <c r="B146" s="4"/>
      <c r="C146" s="4"/>
      <c r="D146" s="4"/>
      <c r="E146" s="29"/>
      <c r="F146" s="2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6"/>
    </row>
    <row r="147" customHeight="1" spans="1:26">
      <c r="A147" s="4"/>
      <c r="B147" s="4"/>
      <c r="C147" s="4"/>
      <c r="D147" s="4"/>
      <c r="E147" s="29"/>
      <c r="F147" s="2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6"/>
    </row>
    <row r="148" customHeight="1" spans="1:26">
      <c r="A148" s="4"/>
      <c r="B148" s="4"/>
      <c r="C148" s="4"/>
      <c r="D148" s="4"/>
      <c r="E148" s="29"/>
      <c r="F148" s="2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6"/>
    </row>
    <row r="149" customHeight="1" spans="1:26">
      <c r="A149" s="4"/>
      <c r="B149" s="4"/>
      <c r="C149" s="4"/>
      <c r="D149" s="4"/>
      <c r="E149" s="29"/>
      <c r="F149" s="2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6"/>
    </row>
    <row r="150" customHeight="1" spans="1:26">
      <c r="A150" s="4"/>
      <c r="B150" s="4"/>
      <c r="C150" s="4"/>
      <c r="D150" s="4"/>
      <c r="E150" s="29"/>
      <c r="F150" s="2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6"/>
    </row>
    <row r="151" customHeight="1" spans="1:26">
      <c r="A151" s="4"/>
      <c r="B151" s="4"/>
      <c r="C151" s="4"/>
      <c r="D151" s="4"/>
      <c r="E151" s="29"/>
      <c r="F151" s="2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6"/>
    </row>
    <row r="152" customHeight="1" spans="1:26">
      <c r="A152" s="4"/>
      <c r="B152" s="4"/>
      <c r="C152" s="4"/>
      <c r="D152" s="4"/>
      <c r="E152" s="29"/>
      <c r="F152" s="2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6"/>
    </row>
    <row r="153" customHeight="1" spans="1:26">
      <c r="A153" s="4"/>
      <c r="B153" s="4"/>
      <c r="C153" s="4"/>
      <c r="D153" s="4"/>
      <c r="E153" s="29"/>
      <c r="F153" s="2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6"/>
    </row>
    <row r="154" customHeight="1" spans="1:26">
      <c r="A154" s="4"/>
      <c r="B154" s="4"/>
      <c r="C154" s="4"/>
      <c r="D154" s="4"/>
      <c r="E154" s="29"/>
      <c r="F154" s="2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6"/>
    </row>
    <row r="155" customHeight="1" spans="1:26">
      <c r="A155" s="4"/>
      <c r="B155" s="4"/>
      <c r="C155" s="4"/>
      <c r="D155" s="4"/>
      <c r="E155" s="29"/>
      <c r="F155" s="2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6"/>
    </row>
    <row r="156" customHeight="1" spans="1:26">
      <c r="A156" s="4"/>
      <c r="B156" s="4"/>
      <c r="C156" s="4"/>
      <c r="D156" s="4"/>
      <c r="E156" s="29"/>
      <c r="F156" s="2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6"/>
    </row>
    <row r="157" customHeight="1" spans="1:26">
      <c r="A157" s="4"/>
      <c r="B157" s="4"/>
      <c r="C157" s="4"/>
      <c r="D157" s="4"/>
      <c r="E157" s="29"/>
      <c r="F157" s="2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6"/>
    </row>
    <row r="158" customHeight="1" spans="1:26">
      <c r="A158" s="4"/>
      <c r="B158" s="4"/>
      <c r="C158" s="4"/>
      <c r="D158" s="4"/>
      <c r="E158" s="29"/>
      <c r="F158" s="2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6"/>
    </row>
    <row r="159" customHeight="1" spans="1:26">
      <c r="A159" s="4"/>
      <c r="B159" s="4"/>
      <c r="C159" s="4"/>
      <c r="D159" s="4"/>
      <c r="E159" s="29"/>
      <c r="F159" s="2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6"/>
    </row>
    <row r="160" customHeight="1" spans="1:26">
      <c r="A160" s="4"/>
      <c r="B160" s="4"/>
      <c r="C160" s="4"/>
      <c r="D160" s="4"/>
      <c r="E160" s="29"/>
      <c r="F160" s="2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6"/>
    </row>
    <row r="161" customHeight="1" spans="1:26">
      <c r="A161" s="4"/>
      <c r="B161" s="4"/>
      <c r="C161" s="4"/>
      <c r="D161" s="4"/>
      <c r="E161" s="29"/>
      <c r="F161" s="2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6"/>
    </row>
    <row r="162" customHeight="1" spans="1:26">
      <c r="A162" s="4"/>
      <c r="B162" s="4"/>
      <c r="C162" s="4"/>
      <c r="D162" s="4"/>
      <c r="E162" s="29"/>
      <c r="F162" s="2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6"/>
    </row>
    <row r="163" customHeight="1" spans="1:26">
      <c r="A163" s="4"/>
      <c r="B163" s="4"/>
      <c r="C163" s="4"/>
      <c r="D163" s="4"/>
      <c r="E163" s="29"/>
      <c r="F163" s="2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6"/>
    </row>
    <row r="164" customHeight="1" spans="1:26">
      <c r="A164" s="4"/>
      <c r="B164" s="4"/>
      <c r="C164" s="4"/>
      <c r="D164" s="4"/>
      <c r="E164" s="29"/>
      <c r="F164" s="2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6"/>
    </row>
    <row r="165" customHeight="1" spans="1:26">
      <c r="A165" s="4"/>
      <c r="B165" s="4"/>
      <c r="C165" s="4"/>
      <c r="D165" s="4"/>
      <c r="E165" s="29"/>
      <c r="F165" s="2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6"/>
    </row>
    <row r="166" customHeight="1" spans="1:26">
      <c r="A166" s="4"/>
      <c r="B166" s="4"/>
      <c r="C166" s="4"/>
      <c r="D166" s="4"/>
      <c r="E166" s="29"/>
      <c r="F166" s="2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6"/>
    </row>
    <row r="167" customHeight="1" spans="1:26">
      <c r="A167" s="4"/>
      <c r="B167" s="4"/>
      <c r="C167" s="4"/>
      <c r="D167" s="4"/>
      <c r="E167" s="29"/>
      <c r="F167" s="2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6"/>
    </row>
    <row r="168" customHeight="1" spans="1:26">
      <c r="A168" s="4"/>
      <c r="B168" s="4"/>
      <c r="C168" s="4"/>
      <c r="D168" s="4"/>
      <c r="E168" s="29"/>
      <c r="F168" s="2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6"/>
    </row>
    <row r="169" customHeight="1" spans="1:26">
      <c r="A169" s="4"/>
      <c r="B169" s="4"/>
      <c r="C169" s="4"/>
      <c r="D169" s="4"/>
      <c r="E169" s="29"/>
      <c r="F169" s="2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6"/>
    </row>
    <row r="170" customHeight="1" spans="1:26">
      <c r="A170" s="4"/>
      <c r="B170" s="4"/>
      <c r="C170" s="4"/>
      <c r="D170" s="4"/>
      <c r="E170" s="29"/>
      <c r="F170" s="2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6"/>
    </row>
    <row r="171" customHeight="1" spans="1:26">
      <c r="A171" s="4"/>
      <c r="B171" s="4"/>
      <c r="C171" s="4"/>
      <c r="D171" s="4"/>
      <c r="E171" s="29"/>
      <c r="F171" s="2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6"/>
    </row>
    <row r="172" customHeight="1" spans="1:26">
      <c r="A172" s="4"/>
      <c r="B172" s="4"/>
      <c r="C172" s="4"/>
      <c r="D172" s="4"/>
      <c r="E172" s="29"/>
      <c r="F172" s="2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6"/>
    </row>
    <row r="173" customHeight="1" spans="1:26">
      <c r="A173" s="4"/>
      <c r="B173" s="4"/>
      <c r="C173" s="4"/>
      <c r="D173" s="4"/>
      <c r="E173" s="29"/>
      <c r="F173" s="2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6"/>
    </row>
    <row r="174" customHeight="1" spans="1:26">
      <c r="A174" s="4"/>
      <c r="B174" s="4"/>
      <c r="C174" s="4"/>
      <c r="D174" s="4"/>
      <c r="E174" s="29"/>
      <c r="F174" s="2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6"/>
    </row>
    <row r="175" customHeight="1" spans="1:26">
      <c r="A175" s="4"/>
      <c r="B175" s="4"/>
      <c r="C175" s="4"/>
      <c r="D175" s="4"/>
      <c r="E175" s="29"/>
      <c r="F175" s="2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6"/>
    </row>
    <row r="176" customHeight="1" spans="1:26">
      <c r="A176" s="4"/>
      <c r="B176" s="4"/>
      <c r="C176" s="4"/>
      <c r="D176" s="4"/>
      <c r="E176" s="29"/>
      <c r="F176" s="2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6"/>
    </row>
    <row r="177" customHeight="1" spans="1:26">
      <c r="A177" s="4"/>
      <c r="B177" s="4"/>
      <c r="C177" s="4"/>
      <c r="D177" s="4"/>
      <c r="E177" s="29"/>
      <c r="F177" s="2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6"/>
    </row>
    <row r="178" customHeight="1" spans="1:26">
      <c r="A178" s="4"/>
      <c r="B178" s="4"/>
      <c r="C178" s="4"/>
      <c r="D178" s="4"/>
      <c r="E178" s="29"/>
      <c r="F178" s="2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6"/>
    </row>
    <row r="179" customHeight="1" spans="1:26">
      <c r="A179" s="4"/>
      <c r="B179" s="4"/>
      <c r="C179" s="4"/>
      <c r="D179" s="4"/>
      <c r="E179" s="29"/>
      <c r="F179" s="2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6"/>
    </row>
    <row r="180" customHeight="1" spans="1:26">
      <c r="A180" s="4"/>
      <c r="B180" s="4"/>
      <c r="C180" s="4"/>
      <c r="D180" s="4"/>
      <c r="E180" s="29"/>
      <c r="F180" s="2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6"/>
    </row>
    <row r="181" customHeight="1" spans="1:26">
      <c r="A181" s="4"/>
      <c r="B181" s="4"/>
      <c r="C181" s="4"/>
      <c r="D181" s="4"/>
      <c r="E181" s="29"/>
      <c r="F181" s="2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6"/>
    </row>
    <row r="182" customHeight="1" spans="1:26">
      <c r="A182" s="4"/>
      <c r="B182" s="4"/>
      <c r="C182" s="4"/>
      <c r="D182" s="4"/>
      <c r="E182" s="29"/>
      <c r="F182" s="2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6"/>
    </row>
    <row r="183" customHeight="1" spans="1:26">
      <c r="A183" s="4"/>
      <c r="B183" s="4"/>
      <c r="C183" s="4"/>
      <c r="D183" s="4"/>
      <c r="E183" s="29"/>
      <c r="F183" s="2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6"/>
    </row>
    <row r="184" customHeight="1" spans="1:26">
      <c r="A184" s="4"/>
      <c r="B184" s="4"/>
      <c r="C184" s="4"/>
      <c r="D184" s="4"/>
      <c r="E184" s="29"/>
      <c r="F184" s="2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6"/>
    </row>
    <row r="185" customHeight="1" spans="1:26">
      <c r="A185" s="4"/>
      <c r="B185" s="4"/>
      <c r="C185" s="4"/>
      <c r="D185" s="4"/>
      <c r="E185" s="29"/>
      <c r="F185" s="2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6"/>
    </row>
    <row r="186" customHeight="1" spans="1:26">
      <c r="A186" s="4"/>
      <c r="B186" s="4"/>
      <c r="C186" s="4"/>
      <c r="D186" s="4"/>
      <c r="E186" s="29"/>
      <c r="F186" s="2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6"/>
    </row>
    <row r="187" customHeight="1" spans="1:26">
      <c r="A187" s="4"/>
      <c r="B187" s="4"/>
      <c r="C187" s="4"/>
      <c r="D187" s="4"/>
      <c r="E187" s="29"/>
      <c r="F187" s="2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6"/>
    </row>
    <row r="188" customHeight="1" spans="1:26">
      <c r="A188" s="4"/>
      <c r="B188" s="4"/>
      <c r="C188" s="4"/>
      <c r="D188" s="4"/>
      <c r="E188" s="29"/>
      <c r="F188" s="2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6"/>
    </row>
    <row r="189" customHeight="1" spans="1:26">
      <c r="A189" s="4"/>
      <c r="B189" s="4"/>
      <c r="C189" s="4"/>
      <c r="D189" s="4"/>
      <c r="E189" s="29"/>
      <c r="F189" s="2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6"/>
    </row>
    <row r="190" customHeight="1" spans="1:26">
      <c r="A190" s="4"/>
      <c r="B190" s="4"/>
      <c r="C190" s="4"/>
      <c r="D190" s="4"/>
      <c r="E190" s="29"/>
      <c r="F190" s="2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6"/>
    </row>
    <row r="191" customHeight="1" spans="1:26">
      <c r="A191" s="4"/>
      <c r="B191" s="4"/>
      <c r="C191" s="4"/>
      <c r="D191" s="4"/>
      <c r="E191" s="29"/>
      <c r="F191" s="2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6"/>
    </row>
    <row r="192" customHeight="1" spans="1:26">
      <c r="A192" s="4"/>
      <c r="B192" s="4"/>
      <c r="C192" s="4"/>
      <c r="D192" s="4"/>
      <c r="E192" s="29"/>
      <c r="F192" s="2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6"/>
    </row>
    <row r="193" customHeight="1" spans="1:26">
      <c r="A193" s="4"/>
      <c r="B193" s="4"/>
      <c r="C193" s="4"/>
      <c r="D193" s="4"/>
      <c r="E193" s="29"/>
      <c r="F193" s="2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6"/>
    </row>
    <row r="194" customHeight="1" spans="1:26">
      <c r="A194" s="4"/>
      <c r="B194" s="4"/>
      <c r="C194" s="4"/>
      <c r="D194" s="4"/>
      <c r="E194" s="29"/>
      <c r="F194" s="2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6"/>
    </row>
    <row r="195" customHeight="1" spans="1:26">
      <c r="A195" s="4"/>
      <c r="B195" s="4"/>
      <c r="C195" s="4"/>
      <c r="D195" s="4"/>
      <c r="E195" s="29"/>
      <c r="F195" s="2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6"/>
    </row>
    <row r="196" customHeight="1" spans="1:26">
      <c r="A196" s="4"/>
      <c r="B196" s="4"/>
      <c r="C196" s="4"/>
      <c r="D196" s="4"/>
      <c r="E196" s="29"/>
      <c r="F196" s="2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6"/>
    </row>
    <row r="197" customHeight="1" spans="1:26">
      <c r="A197" s="4"/>
      <c r="B197" s="4"/>
      <c r="C197" s="4"/>
      <c r="D197" s="4"/>
      <c r="E197" s="29"/>
      <c r="F197" s="2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6"/>
    </row>
    <row r="198" customHeight="1" spans="1:26">
      <c r="A198" s="4"/>
      <c r="B198" s="4"/>
      <c r="C198" s="4"/>
      <c r="D198" s="4"/>
      <c r="E198" s="29"/>
      <c r="F198" s="2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6"/>
    </row>
    <row r="199" customHeight="1" spans="1:26">
      <c r="A199" s="4"/>
      <c r="B199" s="4"/>
      <c r="C199" s="4"/>
      <c r="D199" s="4"/>
      <c r="E199" s="29"/>
      <c r="F199" s="2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6"/>
    </row>
    <row r="200" customHeight="1" spans="1:26">
      <c r="A200" s="4"/>
      <c r="B200" s="4"/>
      <c r="C200" s="4"/>
      <c r="D200" s="4"/>
      <c r="E200" s="29"/>
      <c r="F200" s="2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6"/>
    </row>
    <row r="201" customHeight="1" spans="1:26">
      <c r="A201" s="4"/>
      <c r="B201" s="4"/>
      <c r="C201" s="4"/>
      <c r="D201" s="4"/>
      <c r="E201" s="29"/>
      <c r="F201" s="2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6"/>
    </row>
    <row r="202" customHeight="1" spans="1:26">
      <c r="A202" s="4"/>
      <c r="B202" s="4"/>
      <c r="C202" s="4"/>
      <c r="D202" s="4"/>
      <c r="E202" s="29"/>
      <c r="F202" s="2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6"/>
    </row>
    <row r="203" customHeight="1" spans="1:26">
      <c r="A203" s="4"/>
      <c r="B203" s="4"/>
      <c r="C203" s="4"/>
      <c r="D203" s="4"/>
      <c r="E203" s="29"/>
      <c r="F203" s="2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6"/>
    </row>
    <row r="204" customHeight="1" spans="1:26">
      <c r="A204" s="4"/>
      <c r="B204" s="4"/>
      <c r="C204" s="4"/>
      <c r="D204" s="4"/>
      <c r="E204" s="29"/>
      <c r="F204" s="2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6"/>
    </row>
    <row r="205" customHeight="1" spans="1:26">
      <c r="A205" s="4"/>
      <c r="B205" s="4"/>
      <c r="C205" s="4"/>
      <c r="D205" s="4"/>
      <c r="E205" s="29"/>
      <c r="F205" s="2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6"/>
    </row>
    <row r="206" customHeight="1" spans="1:26">
      <c r="A206" s="4"/>
      <c r="B206" s="4"/>
      <c r="C206" s="4"/>
      <c r="D206" s="4"/>
      <c r="E206" s="29"/>
      <c r="F206" s="2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6"/>
    </row>
    <row r="207" customHeight="1" spans="1:26">
      <c r="A207" s="4"/>
      <c r="B207" s="4"/>
      <c r="C207" s="4"/>
      <c r="D207" s="4"/>
      <c r="E207" s="29"/>
      <c r="F207" s="2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6"/>
    </row>
    <row r="208" customHeight="1" spans="1:26">
      <c r="A208" s="4"/>
      <c r="B208" s="4"/>
      <c r="C208" s="4"/>
      <c r="D208" s="4"/>
      <c r="E208" s="29"/>
      <c r="F208" s="2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6"/>
    </row>
    <row r="209" customHeight="1" spans="1:26">
      <c r="A209" s="4"/>
      <c r="B209" s="4"/>
      <c r="C209" s="4"/>
      <c r="D209" s="4"/>
      <c r="E209" s="29"/>
      <c r="F209" s="2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6"/>
    </row>
    <row r="210" customHeight="1" spans="1:26">
      <c r="A210" s="4"/>
      <c r="B210" s="4"/>
      <c r="C210" s="4"/>
      <c r="D210" s="4"/>
      <c r="E210" s="29"/>
      <c r="F210" s="2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6"/>
    </row>
    <row r="211" customHeight="1" spans="1:26">
      <c r="A211" s="4"/>
      <c r="B211" s="4"/>
      <c r="C211" s="4"/>
      <c r="D211" s="4"/>
      <c r="E211" s="29"/>
      <c r="F211" s="2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6"/>
    </row>
    <row r="212" customHeight="1" spans="1:26">
      <c r="A212" s="4"/>
      <c r="B212" s="4"/>
      <c r="C212" s="4"/>
      <c r="D212" s="4"/>
      <c r="E212" s="29"/>
      <c r="F212" s="2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6"/>
    </row>
    <row r="213" customHeight="1" spans="1:26">
      <c r="A213" s="4"/>
      <c r="B213" s="4"/>
      <c r="C213" s="4"/>
      <c r="D213" s="4"/>
      <c r="E213" s="29"/>
      <c r="F213" s="2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6"/>
    </row>
    <row r="214" customHeight="1" spans="1:26">
      <c r="A214" s="4"/>
      <c r="B214" s="4"/>
      <c r="C214" s="4"/>
      <c r="D214" s="4"/>
      <c r="E214" s="29"/>
      <c r="F214" s="2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6"/>
    </row>
    <row r="215" customHeight="1" spans="1:26">
      <c r="A215" s="4"/>
      <c r="B215" s="4"/>
      <c r="C215" s="4"/>
      <c r="D215" s="4"/>
      <c r="E215" s="29"/>
      <c r="F215" s="2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6"/>
    </row>
    <row r="216" customHeight="1" spans="1:26">
      <c r="A216" s="4"/>
      <c r="B216" s="4"/>
      <c r="C216" s="4"/>
      <c r="D216" s="4"/>
      <c r="E216" s="29"/>
      <c r="F216" s="2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6"/>
    </row>
    <row r="217" customHeight="1" spans="1:26">
      <c r="A217" s="4"/>
      <c r="B217" s="4"/>
      <c r="C217" s="4"/>
      <c r="D217" s="4"/>
      <c r="E217" s="29"/>
      <c r="F217" s="2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6"/>
    </row>
    <row r="218" customHeight="1" spans="1:26">
      <c r="A218" s="4"/>
      <c r="B218" s="4"/>
      <c r="C218" s="4"/>
      <c r="D218" s="4"/>
      <c r="E218" s="29"/>
      <c r="F218" s="2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6"/>
    </row>
    <row r="219" customHeight="1" spans="1:26">
      <c r="A219" s="4"/>
      <c r="B219" s="4"/>
      <c r="C219" s="4"/>
      <c r="D219" s="4"/>
      <c r="E219" s="29"/>
      <c r="F219" s="2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6"/>
    </row>
    <row r="220" customHeight="1" spans="1:26">
      <c r="A220" s="4"/>
      <c r="B220" s="4"/>
      <c r="C220" s="4"/>
      <c r="D220" s="4"/>
      <c r="E220" s="29"/>
      <c r="F220" s="2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6"/>
    </row>
    <row r="221" customHeight="1" spans="1:26">
      <c r="A221" s="4"/>
      <c r="B221" s="4"/>
      <c r="C221" s="4"/>
      <c r="D221" s="4"/>
      <c r="E221" s="29"/>
      <c r="F221" s="2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6"/>
    </row>
    <row r="222" customHeight="1" spans="1:26">
      <c r="A222" s="4"/>
      <c r="B222" s="4"/>
      <c r="C222" s="4"/>
      <c r="D222" s="4"/>
      <c r="E222" s="29"/>
      <c r="F222" s="2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6"/>
    </row>
    <row r="223" customHeight="1" spans="1:26">
      <c r="A223" s="4"/>
      <c r="B223" s="4"/>
      <c r="C223" s="4"/>
      <c r="D223" s="4"/>
      <c r="E223" s="29"/>
      <c r="F223" s="2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6"/>
    </row>
    <row r="224" customHeight="1" spans="1:26">
      <c r="A224" s="4"/>
      <c r="B224" s="4"/>
      <c r="C224" s="4"/>
      <c r="D224" s="4"/>
      <c r="E224" s="29"/>
      <c r="F224" s="2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6"/>
    </row>
    <row r="225" customHeight="1" spans="1:26">
      <c r="A225" s="4"/>
      <c r="B225" s="4"/>
      <c r="C225" s="4"/>
      <c r="D225" s="4"/>
      <c r="E225" s="29"/>
      <c r="F225" s="2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6"/>
    </row>
    <row r="226" customHeight="1" spans="1:26">
      <c r="A226" s="4"/>
      <c r="B226" s="4"/>
      <c r="C226" s="4"/>
      <c r="D226" s="4"/>
      <c r="E226" s="29"/>
      <c r="F226" s="2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6"/>
    </row>
    <row r="227" customHeight="1" spans="1:26">
      <c r="A227" s="4"/>
      <c r="B227" s="4"/>
      <c r="C227" s="4"/>
      <c r="D227" s="4"/>
      <c r="E227" s="29"/>
      <c r="F227" s="2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6"/>
    </row>
    <row r="228" customHeight="1" spans="1:26">
      <c r="A228" s="4"/>
      <c r="B228" s="4"/>
      <c r="C228" s="4"/>
      <c r="D228" s="4"/>
      <c r="E228" s="29"/>
      <c r="F228" s="2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6"/>
    </row>
    <row r="229" customHeight="1" spans="1:26">
      <c r="A229" s="4"/>
      <c r="B229" s="4"/>
      <c r="C229" s="4"/>
      <c r="D229" s="4"/>
      <c r="E229" s="29"/>
      <c r="F229" s="2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6"/>
    </row>
    <row r="230" customHeight="1" spans="1:26">
      <c r="A230" s="4"/>
      <c r="B230" s="4"/>
      <c r="C230" s="4"/>
      <c r="D230" s="4"/>
      <c r="E230" s="29"/>
      <c r="F230" s="2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6"/>
    </row>
    <row r="231" customHeight="1" spans="1:26">
      <c r="A231" s="4"/>
      <c r="B231" s="4"/>
      <c r="C231" s="4"/>
      <c r="D231" s="4"/>
      <c r="E231" s="29"/>
      <c r="F231" s="2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6"/>
    </row>
    <row r="232" customHeight="1" spans="1:26">
      <c r="A232" s="4"/>
      <c r="B232" s="4"/>
      <c r="C232" s="4"/>
      <c r="D232" s="4"/>
      <c r="E232" s="29"/>
      <c r="F232" s="2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6"/>
    </row>
    <row r="233" customHeight="1" spans="1:26">
      <c r="A233" s="4"/>
      <c r="B233" s="4"/>
      <c r="C233" s="4"/>
      <c r="D233" s="4"/>
      <c r="E233" s="29"/>
      <c r="F233" s="2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6"/>
    </row>
    <row r="234" customHeight="1" spans="1:26">
      <c r="A234" s="4"/>
      <c r="B234" s="4"/>
      <c r="C234" s="4"/>
      <c r="D234" s="4"/>
      <c r="E234" s="29"/>
      <c r="F234" s="2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6"/>
    </row>
    <row r="235" customHeight="1" spans="1:26">
      <c r="A235" s="4"/>
      <c r="B235" s="4"/>
      <c r="C235" s="4"/>
      <c r="D235" s="4"/>
      <c r="E235" s="29"/>
      <c r="F235" s="2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6"/>
    </row>
    <row r="236" customHeight="1" spans="1:26">
      <c r="A236" s="4"/>
      <c r="B236" s="4"/>
      <c r="C236" s="4"/>
      <c r="D236" s="4"/>
      <c r="E236" s="29"/>
      <c r="F236" s="2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6"/>
    </row>
    <row r="237" customHeight="1" spans="1:26">
      <c r="A237" s="4"/>
      <c r="B237" s="4"/>
      <c r="C237" s="4"/>
      <c r="D237" s="4"/>
      <c r="E237" s="29"/>
      <c r="F237" s="2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6"/>
    </row>
    <row r="238" customHeight="1" spans="1:26">
      <c r="A238" s="4"/>
      <c r="B238" s="4"/>
      <c r="C238" s="4"/>
      <c r="D238" s="4"/>
      <c r="E238" s="29"/>
      <c r="F238" s="2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6"/>
    </row>
    <row r="239" customHeight="1" spans="1:26">
      <c r="A239" s="4"/>
      <c r="B239" s="4"/>
      <c r="C239" s="4"/>
      <c r="D239" s="4"/>
      <c r="E239" s="29"/>
      <c r="F239" s="2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6"/>
    </row>
    <row r="240" customHeight="1" spans="1:26">
      <c r="A240" s="4"/>
      <c r="B240" s="4"/>
      <c r="C240" s="4"/>
      <c r="D240" s="4"/>
      <c r="E240" s="29"/>
      <c r="F240" s="2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6"/>
    </row>
    <row r="241" customHeight="1" spans="1:26">
      <c r="A241" s="4"/>
      <c r="B241" s="4"/>
      <c r="C241" s="4"/>
      <c r="D241" s="4"/>
      <c r="E241" s="29"/>
      <c r="F241" s="2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6"/>
    </row>
    <row r="242" customHeight="1" spans="1:26">
      <c r="A242" s="4"/>
      <c r="B242" s="4"/>
      <c r="C242" s="4"/>
      <c r="D242" s="4"/>
      <c r="E242" s="29"/>
      <c r="F242" s="2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6"/>
    </row>
    <row r="243" customHeight="1" spans="1:26">
      <c r="A243" s="4"/>
      <c r="B243" s="4"/>
      <c r="C243" s="4"/>
      <c r="D243" s="4"/>
      <c r="E243" s="29"/>
      <c r="F243" s="2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6"/>
    </row>
    <row r="244" customHeight="1" spans="1:26">
      <c r="A244" s="4"/>
      <c r="B244" s="4"/>
      <c r="C244" s="4"/>
      <c r="D244" s="4"/>
      <c r="E244" s="29"/>
      <c r="F244" s="2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6"/>
    </row>
    <row r="245" customHeight="1" spans="1:26">
      <c r="A245" s="4"/>
      <c r="B245" s="4"/>
      <c r="C245" s="4"/>
      <c r="D245" s="4"/>
      <c r="E245" s="29"/>
      <c r="F245" s="2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6"/>
    </row>
    <row r="246" customHeight="1" spans="1:26">
      <c r="A246" s="4"/>
      <c r="B246" s="4"/>
      <c r="C246" s="4"/>
      <c r="D246" s="4"/>
      <c r="E246" s="29"/>
      <c r="F246" s="2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6"/>
    </row>
    <row r="247" customHeight="1" spans="1:26">
      <c r="A247" s="4"/>
      <c r="B247" s="4"/>
      <c r="C247" s="4"/>
      <c r="D247" s="4"/>
      <c r="E247" s="29"/>
      <c r="F247" s="2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6"/>
    </row>
    <row r="248" customHeight="1" spans="1:26">
      <c r="A248" s="4"/>
      <c r="B248" s="4"/>
      <c r="C248" s="4"/>
      <c r="D248" s="4"/>
      <c r="E248" s="29"/>
      <c r="F248" s="2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6"/>
    </row>
    <row r="249" customHeight="1" spans="1:26">
      <c r="A249" s="4"/>
      <c r="B249" s="4"/>
      <c r="C249" s="4"/>
      <c r="D249" s="4"/>
      <c r="E249" s="29"/>
      <c r="F249" s="2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6"/>
    </row>
    <row r="250" customHeight="1" spans="1:26">
      <c r="A250" s="4"/>
      <c r="B250" s="4"/>
      <c r="C250" s="4"/>
      <c r="D250" s="4"/>
      <c r="E250" s="29"/>
      <c r="F250" s="2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6"/>
    </row>
    <row r="251" customHeight="1" spans="1:26">
      <c r="A251" s="4"/>
      <c r="B251" s="4"/>
      <c r="C251" s="4"/>
      <c r="D251" s="4"/>
      <c r="E251" s="29"/>
      <c r="F251" s="2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6"/>
    </row>
    <row r="252" customHeight="1" spans="1:26">
      <c r="A252" s="4"/>
      <c r="B252" s="4"/>
      <c r="C252" s="4"/>
      <c r="D252" s="4"/>
      <c r="E252" s="29"/>
      <c r="F252" s="2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6"/>
    </row>
    <row r="253" customHeight="1" spans="1:26">
      <c r="A253" s="4"/>
      <c r="B253" s="4"/>
      <c r="C253" s="4"/>
      <c r="D253" s="4"/>
      <c r="E253" s="29"/>
      <c r="F253" s="2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6"/>
    </row>
    <row r="254" customHeight="1" spans="1:26">
      <c r="A254" s="4"/>
      <c r="B254" s="4"/>
      <c r="C254" s="4"/>
      <c r="D254" s="4"/>
      <c r="E254" s="29"/>
      <c r="F254" s="2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6"/>
    </row>
    <row r="255" customHeight="1" spans="1:26">
      <c r="A255" s="4"/>
      <c r="B255" s="4"/>
      <c r="C255" s="4"/>
      <c r="D255" s="4"/>
      <c r="E255" s="29"/>
      <c r="F255" s="2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6"/>
    </row>
    <row r="256" customHeight="1" spans="1:26">
      <c r="A256" s="4"/>
      <c r="B256" s="4"/>
      <c r="C256" s="4"/>
      <c r="D256" s="4"/>
      <c r="E256" s="29"/>
      <c r="F256" s="2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6"/>
    </row>
    <row r="257" customHeight="1" spans="1:26">
      <c r="A257" s="4"/>
      <c r="B257" s="4"/>
      <c r="C257" s="4"/>
      <c r="D257" s="4"/>
      <c r="E257" s="29"/>
      <c r="F257" s="2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6"/>
    </row>
    <row r="258" customHeight="1" spans="1:26">
      <c r="A258" s="4"/>
      <c r="B258" s="4"/>
      <c r="C258" s="4"/>
      <c r="D258" s="4"/>
      <c r="E258" s="29"/>
      <c r="F258" s="2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6"/>
    </row>
    <row r="259" customHeight="1" spans="1:26">
      <c r="A259" s="4"/>
      <c r="B259" s="4"/>
      <c r="C259" s="4"/>
      <c r="D259" s="4"/>
      <c r="E259" s="29"/>
      <c r="F259" s="2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6"/>
    </row>
    <row r="260" customHeight="1" spans="1:26">
      <c r="A260" s="4"/>
      <c r="B260" s="4"/>
      <c r="C260" s="4"/>
      <c r="D260" s="4"/>
      <c r="E260" s="29"/>
      <c r="F260" s="2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6"/>
    </row>
    <row r="261" customHeight="1" spans="1:26">
      <c r="A261" s="4"/>
      <c r="B261" s="4"/>
      <c r="C261" s="4"/>
      <c r="D261" s="4"/>
      <c r="E261" s="29"/>
      <c r="F261" s="2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6"/>
    </row>
    <row r="262" customHeight="1" spans="1:26">
      <c r="A262" s="4"/>
      <c r="B262" s="4"/>
      <c r="C262" s="4"/>
      <c r="D262" s="4"/>
      <c r="E262" s="29"/>
      <c r="F262" s="2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6"/>
    </row>
    <row r="263" customHeight="1" spans="1:26">
      <c r="A263" s="4"/>
      <c r="B263" s="4"/>
      <c r="C263" s="4"/>
      <c r="D263" s="4"/>
      <c r="E263" s="29"/>
      <c r="F263" s="2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6"/>
    </row>
    <row r="264" customHeight="1" spans="1:26">
      <c r="A264" s="4"/>
      <c r="B264" s="4"/>
      <c r="C264" s="4"/>
      <c r="D264" s="4"/>
      <c r="E264" s="29"/>
      <c r="F264" s="2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6"/>
    </row>
    <row r="265" customHeight="1" spans="1:26">
      <c r="A265" s="4"/>
      <c r="B265" s="4"/>
      <c r="C265" s="4"/>
      <c r="D265" s="4"/>
      <c r="E265" s="29"/>
      <c r="F265" s="2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6"/>
    </row>
    <row r="266" customHeight="1" spans="1:26">
      <c r="A266" s="4"/>
      <c r="B266" s="4"/>
      <c r="C266" s="4"/>
      <c r="D266" s="4"/>
      <c r="E266" s="29"/>
      <c r="F266" s="2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6"/>
    </row>
    <row r="267" customHeight="1" spans="1:26">
      <c r="A267" s="4"/>
      <c r="B267" s="4"/>
      <c r="C267" s="4"/>
      <c r="D267" s="4"/>
      <c r="E267" s="29"/>
      <c r="F267" s="2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6"/>
    </row>
    <row r="268" customHeight="1" spans="1:26">
      <c r="A268" s="4"/>
      <c r="B268" s="4"/>
      <c r="C268" s="4"/>
      <c r="D268" s="4"/>
      <c r="E268" s="29"/>
      <c r="F268" s="2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6"/>
    </row>
    <row r="269" customHeight="1" spans="1:26">
      <c r="A269" s="4"/>
      <c r="B269" s="4"/>
      <c r="C269" s="4"/>
      <c r="D269" s="4"/>
      <c r="E269" s="29"/>
      <c r="F269" s="2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6"/>
    </row>
    <row r="270" customHeight="1" spans="1:26">
      <c r="A270" s="4"/>
      <c r="B270" s="4"/>
      <c r="C270" s="4"/>
      <c r="D270" s="4"/>
      <c r="E270" s="29"/>
      <c r="F270" s="2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6"/>
    </row>
    <row r="271" customHeight="1" spans="1:26">
      <c r="A271" s="4"/>
      <c r="B271" s="4"/>
      <c r="C271" s="4"/>
      <c r="D271" s="4"/>
      <c r="E271" s="29"/>
      <c r="F271" s="2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6"/>
    </row>
    <row r="272" customHeight="1" spans="1:26">
      <c r="A272" s="4"/>
      <c r="B272" s="4"/>
      <c r="C272" s="4"/>
      <c r="D272" s="4"/>
      <c r="E272" s="29"/>
      <c r="F272" s="2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6"/>
    </row>
    <row r="273" customHeight="1" spans="1:26">
      <c r="A273" s="4"/>
      <c r="B273" s="4"/>
      <c r="C273" s="4"/>
      <c r="D273" s="4"/>
      <c r="E273" s="29"/>
      <c r="F273" s="2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6"/>
    </row>
    <row r="274" customHeight="1" spans="1:26">
      <c r="A274" s="4"/>
      <c r="B274" s="4"/>
      <c r="C274" s="4"/>
      <c r="D274" s="4"/>
      <c r="E274" s="29"/>
      <c r="F274" s="2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6"/>
    </row>
    <row r="275" customHeight="1" spans="1:26">
      <c r="A275" s="4"/>
      <c r="B275" s="4"/>
      <c r="C275" s="4"/>
      <c r="D275" s="4"/>
      <c r="E275" s="29"/>
      <c r="F275" s="2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6"/>
    </row>
    <row r="276" customHeight="1" spans="1:26">
      <c r="A276" s="4"/>
      <c r="B276" s="4"/>
      <c r="C276" s="4"/>
      <c r="D276" s="4"/>
      <c r="E276" s="29"/>
      <c r="F276" s="2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6"/>
    </row>
    <row r="277" customHeight="1" spans="1:26">
      <c r="A277" s="4"/>
      <c r="B277" s="4"/>
      <c r="C277" s="4"/>
      <c r="D277" s="4"/>
      <c r="E277" s="29"/>
      <c r="F277" s="2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6"/>
    </row>
    <row r="278" customHeight="1" spans="1:26">
      <c r="A278" s="4"/>
      <c r="B278" s="4"/>
      <c r="C278" s="4"/>
      <c r="D278" s="4"/>
      <c r="E278" s="29"/>
      <c r="F278" s="2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6"/>
    </row>
    <row r="279" customHeight="1" spans="1:26">
      <c r="A279" s="4"/>
      <c r="B279" s="4"/>
      <c r="C279" s="4"/>
      <c r="D279" s="4"/>
      <c r="E279" s="29"/>
      <c r="F279" s="2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6"/>
    </row>
    <row r="280" customHeight="1" spans="1:26">
      <c r="A280" s="4"/>
      <c r="B280" s="4"/>
      <c r="C280" s="4"/>
      <c r="D280" s="4"/>
      <c r="E280" s="29"/>
      <c r="F280" s="2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6"/>
    </row>
    <row r="281" customHeight="1" spans="1:26">
      <c r="A281" s="4"/>
      <c r="B281" s="4"/>
      <c r="C281" s="4"/>
      <c r="D281" s="4"/>
      <c r="E281" s="29"/>
      <c r="F281" s="2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6"/>
    </row>
    <row r="282" customHeight="1" spans="1:26">
      <c r="A282" s="4"/>
      <c r="B282" s="4"/>
      <c r="C282" s="4"/>
      <c r="D282" s="4"/>
      <c r="E282" s="29"/>
      <c r="F282" s="2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6"/>
    </row>
    <row r="283" customHeight="1" spans="1:26">
      <c r="A283" s="4"/>
      <c r="B283" s="4"/>
      <c r="C283" s="4"/>
      <c r="D283" s="4"/>
      <c r="E283" s="29"/>
      <c r="F283" s="2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6"/>
    </row>
    <row r="284" customHeight="1" spans="1:26">
      <c r="A284" s="4"/>
      <c r="B284" s="4"/>
      <c r="C284" s="4"/>
      <c r="D284" s="4"/>
      <c r="E284" s="29"/>
      <c r="F284" s="2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6"/>
    </row>
    <row r="285" customHeight="1" spans="1:26">
      <c r="A285" s="4"/>
      <c r="B285" s="4"/>
      <c r="C285" s="4"/>
      <c r="D285" s="4"/>
      <c r="E285" s="29"/>
      <c r="F285" s="2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6"/>
    </row>
    <row r="286" customHeight="1" spans="1:26">
      <c r="A286" s="4"/>
      <c r="B286" s="4"/>
      <c r="C286" s="4"/>
      <c r="D286" s="4"/>
      <c r="E286" s="29"/>
      <c r="F286" s="2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6"/>
    </row>
    <row r="287" customHeight="1" spans="1:26">
      <c r="A287" s="4"/>
      <c r="B287" s="4"/>
      <c r="C287" s="4"/>
      <c r="D287" s="4"/>
      <c r="E287" s="29"/>
      <c r="F287" s="2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6"/>
    </row>
    <row r="288" customHeight="1" spans="1:26">
      <c r="A288" s="4"/>
      <c r="B288" s="4"/>
      <c r="C288" s="4"/>
      <c r="D288" s="4"/>
      <c r="E288" s="29"/>
      <c r="F288" s="2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6"/>
    </row>
    <row r="289" customHeight="1" spans="1:26">
      <c r="A289" s="4"/>
      <c r="B289" s="4"/>
      <c r="C289" s="4"/>
      <c r="D289" s="4"/>
      <c r="E289" s="29"/>
      <c r="F289" s="2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6"/>
    </row>
    <row r="290" customHeight="1" spans="1:26">
      <c r="A290" s="4"/>
      <c r="B290" s="4"/>
      <c r="C290" s="4"/>
      <c r="D290" s="4"/>
      <c r="E290" s="29"/>
      <c r="F290" s="2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6"/>
    </row>
    <row r="291" customHeight="1" spans="1:26">
      <c r="A291" s="4"/>
      <c r="B291" s="4"/>
      <c r="C291" s="4"/>
      <c r="D291" s="4"/>
      <c r="E291" s="29"/>
      <c r="F291" s="2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6"/>
    </row>
    <row r="292" customHeight="1" spans="1:26">
      <c r="A292" s="4"/>
      <c r="B292" s="4"/>
      <c r="C292" s="4"/>
      <c r="D292" s="4"/>
      <c r="E292" s="29"/>
      <c r="F292" s="2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6"/>
    </row>
    <row r="293" customHeight="1" spans="1:26">
      <c r="A293" s="4"/>
      <c r="B293" s="4"/>
      <c r="C293" s="4"/>
      <c r="D293" s="4"/>
      <c r="E293" s="29"/>
      <c r="F293" s="2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6"/>
    </row>
    <row r="294" customHeight="1" spans="1:26">
      <c r="A294" s="4"/>
      <c r="B294" s="4"/>
      <c r="C294" s="4"/>
      <c r="D294" s="4"/>
      <c r="E294" s="29"/>
      <c r="F294" s="2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6"/>
    </row>
    <row r="295" customHeight="1" spans="1:26">
      <c r="A295" s="4"/>
      <c r="B295" s="4"/>
      <c r="C295" s="4"/>
      <c r="D295" s="4"/>
      <c r="E295" s="29"/>
      <c r="F295" s="2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6"/>
    </row>
    <row r="296" customHeight="1" spans="1:26">
      <c r="A296" s="4"/>
      <c r="B296" s="4"/>
      <c r="C296" s="4"/>
      <c r="D296" s="4"/>
      <c r="E296" s="29"/>
      <c r="F296" s="2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6"/>
    </row>
    <row r="297" customHeight="1" spans="1:26">
      <c r="A297" s="4"/>
      <c r="B297" s="4"/>
      <c r="C297" s="4"/>
      <c r="D297" s="4"/>
      <c r="E297" s="29"/>
      <c r="F297" s="2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6"/>
    </row>
    <row r="298" customHeight="1" spans="1:26">
      <c r="A298" s="4"/>
      <c r="B298" s="4"/>
      <c r="C298" s="4"/>
      <c r="D298" s="4"/>
      <c r="E298" s="29"/>
      <c r="F298" s="2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6"/>
    </row>
    <row r="299" customHeight="1" spans="1:26">
      <c r="A299" s="4"/>
      <c r="B299" s="4"/>
      <c r="C299" s="4"/>
      <c r="D299" s="4"/>
      <c r="E299" s="29"/>
      <c r="F299" s="2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6"/>
    </row>
    <row r="300" customHeight="1" spans="1:26">
      <c r="A300" s="4"/>
      <c r="B300" s="4"/>
      <c r="C300" s="4"/>
      <c r="D300" s="4"/>
      <c r="E300" s="29"/>
      <c r="F300" s="2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6"/>
    </row>
    <row r="301" customHeight="1" spans="1:26">
      <c r="A301" s="4"/>
      <c r="B301" s="4"/>
      <c r="C301" s="4"/>
      <c r="D301" s="4"/>
      <c r="E301" s="29"/>
      <c r="F301" s="2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6"/>
    </row>
    <row r="302" customHeight="1" spans="1:26">
      <c r="A302" s="4"/>
      <c r="B302" s="4"/>
      <c r="C302" s="4"/>
      <c r="D302" s="4"/>
      <c r="E302" s="29"/>
      <c r="F302" s="2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6"/>
    </row>
    <row r="303" customHeight="1" spans="1:26">
      <c r="A303" s="4"/>
      <c r="B303" s="4"/>
      <c r="C303" s="4"/>
      <c r="D303" s="4"/>
      <c r="E303" s="29"/>
      <c r="F303" s="2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6"/>
    </row>
    <row r="304" customHeight="1" spans="1:26">
      <c r="A304" s="4"/>
      <c r="B304" s="4"/>
      <c r="C304" s="4"/>
      <c r="D304" s="4"/>
      <c r="E304" s="29"/>
      <c r="F304" s="2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6"/>
    </row>
    <row r="305" customHeight="1" spans="1:26">
      <c r="A305" s="4"/>
      <c r="B305" s="4"/>
      <c r="C305" s="4"/>
      <c r="D305" s="4"/>
      <c r="E305" s="29"/>
      <c r="F305" s="2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6"/>
    </row>
    <row r="306" customHeight="1" spans="1:26">
      <c r="A306" s="4"/>
      <c r="B306" s="4"/>
      <c r="C306" s="4"/>
      <c r="D306" s="4"/>
      <c r="E306" s="29"/>
      <c r="F306" s="2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6"/>
    </row>
    <row r="307" customHeight="1" spans="1:26">
      <c r="A307" s="4"/>
      <c r="B307" s="4"/>
      <c r="C307" s="4"/>
      <c r="D307" s="4"/>
      <c r="E307" s="29"/>
      <c r="F307" s="2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6"/>
    </row>
    <row r="308" customHeight="1" spans="1:26">
      <c r="A308" s="4"/>
      <c r="B308" s="4"/>
      <c r="C308" s="4"/>
      <c r="D308" s="4"/>
      <c r="E308" s="29"/>
      <c r="F308" s="2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6"/>
    </row>
    <row r="309" customHeight="1" spans="1:26">
      <c r="A309" s="4"/>
      <c r="B309" s="4"/>
      <c r="C309" s="4"/>
      <c r="D309" s="4"/>
      <c r="E309" s="29"/>
      <c r="F309" s="2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6"/>
    </row>
    <row r="310" customHeight="1" spans="1:26">
      <c r="A310" s="4"/>
      <c r="B310" s="4"/>
      <c r="C310" s="4"/>
      <c r="D310" s="4"/>
      <c r="E310" s="29"/>
      <c r="F310" s="2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6"/>
    </row>
    <row r="311" customHeight="1" spans="1:26">
      <c r="A311" s="4"/>
      <c r="B311" s="4"/>
      <c r="C311" s="4"/>
      <c r="D311" s="4"/>
      <c r="E311" s="29"/>
      <c r="F311" s="2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6"/>
    </row>
    <row r="312" customHeight="1" spans="1:26">
      <c r="A312" s="4"/>
      <c r="B312" s="4"/>
      <c r="C312" s="4"/>
      <c r="D312" s="4"/>
      <c r="E312" s="29"/>
      <c r="F312" s="2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6"/>
    </row>
    <row r="313" customHeight="1" spans="1:26">
      <c r="A313" s="4"/>
      <c r="B313" s="4"/>
      <c r="C313" s="4"/>
      <c r="D313" s="4"/>
      <c r="E313" s="29"/>
      <c r="F313" s="2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6"/>
    </row>
    <row r="314" customHeight="1" spans="1:26">
      <c r="A314" s="4"/>
      <c r="B314" s="4"/>
      <c r="C314" s="4"/>
      <c r="D314" s="4"/>
      <c r="E314" s="29"/>
      <c r="F314" s="2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6"/>
    </row>
    <row r="315" customHeight="1" spans="1:26">
      <c r="A315" s="4"/>
      <c r="B315" s="4"/>
      <c r="C315" s="4"/>
      <c r="D315" s="4"/>
      <c r="E315" s="29"/>
      <c r="F315" s="2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6"/>
    </row>
    <row r="316" customHeight="1" spans="1:26">
      <c r="A316" s="4"/>
      <c r="B316" s="4"/>
      <c r="C316" s="4"/>
      <c r="D316" s="4"/>
      <c r="E316" s="29"/>
      <c r="F316" s="2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6"/>
    </row>
    <row r="317" customHeight="1" spans="1:26">
      <c r="A317" s="4"/>
      <c r="B317" s="4"/>
      <c r="C317" s="4"/>
      <c r="D317" s="4"/>
      <c r="E317" s="29"/>
      <c r="F317" s="2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6"/>
    </row>
    <row r="318" customHeight="1" spans="1:26">
      <c r="A318" s="4"/>
      <c r="B318" s="4"/>
      <c r="C318" s="4"/>
      <c r="D318" s="4"/>
      <c r="E318" s="29"/>
      <c r="F318" s="2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6"/>
    </row>
    <row r="319" customHeight="1" spans="1:26">
      <c r="A319" s="4"/>
      <c r="B319" s="4"/>
      <c r="C319" s="4"/>
      <c r="D319" s="4"/>
      <c r="E319" s="29"/>
      <c r="F319" s="2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6"/>
    </row>
    <row r="320" customHeight="1" spans="1:26">
      <c r="A320" s="4"/>
      <c r="B320" s="4"/>
      <c r="C320" s="4"/>
      <c r="D320" s="4"/>
      <c r="E320" s="29"/>
      <c r="F320" s="2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6"/>
    </row>
    <row r="321" customHeight="1" spans="1:26">
      <c r="A321" s="4"/>
      <c r="B321" s="4"/>
      <c r="C321" s="4"/>
      <c r="D321" s="4"/>
      <c r="E321" s="29"/>
      <c r="F321" s="2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6"/>
    </row>
    <row r="322" customHeight="1" spans="1:26">
      <c r="A322" s="4"/>
      <c r="B322" s="4"/>
      <c r="C322" s="4"/>
      <c r="D322" s="4"/>
      <c r="E322" s="29"/>
      <c r="F322" s="2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6"/>
    </row>
    <row r="323" customHeight="1" spans="1:26">
      <c r="A323" s="4"/>
      <c r="B323" s="4"/>
      <c r="C323" s="4"/>
      <c r="D323" s="4"/>
      <c r="E323" s="29"/>
      <c r="F323" s="2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6"/>
    </row>
    <row r="324" customHeight="1" spans="1:26">
      <c r="A324" s="4"/>
      <c r="B324" s="4"/>
      <c r="C324" s="4"/>
      <c r="D324" s="4"/>
      <c r="E324" s="29"/>
      <c r="F324" s="2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6"/>
    </row>
    <row r="325" customHeight="1" spans="1:26">
      <c r="A325" s="4"/>
      <c r="B325" s="4"/>
      <c r="C325" s="4"/>
      <c r="D325" s="4"/>
      <c r="E325" s="29"/>
      <c r="F325" s="2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6"/>
    </row>
    <row r="326" customHeight="1" spans="1:26">
      <c r="A326" s="4"/>
      <c r="B326" s="4"/>
      <c r="C326" s="4"/>
      <c r="D326" s="4"/>
      <c r="E326" s="29"/>
      <c r="F326" s="2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6"/>
    </row>
    <row r="327" customHeight="1" spans="1:26">
      <c r="A327" s="4"/>
      <c r="B327" s="4"/>
      <c r="C327" s="4"/>
      <c r="D327" s="4"/>
      <c r="E327" s="29"/>
      <c r="F327" s="2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6"/>
    </row>
    <row r="328" customHeight="1" spans="1:26">
      <c r="A328" s="4"/>
      <c r="B328" s="4"/>
      <c r="C328" s="4"/>
      <c r="D328" s="4"/>
      <c r="E328" s="29"/>
      <c r="F328" s="2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6"/>
    </row>
    <row r="329" customHeight="1" spans="1:26">
      <c r="A329" s="4"/>
      <c r="B329" s="4"/>
      <c r="C329" s="4"/>
      <c r="D329" s="4"/>
      <c r="E329" s="29"/>
      <c r="F329" s="2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6"/>
    </row>
    <row r="330" customHeight="1" spans="1:26">
      <c r="A330" s="4"/>
      <c r="B330" s="4"/>
      <c r="C330" s="4"/>
      <c r="D330" s="4"/>
      <c r="E330" s="29"/>
      <c r="F330" s="2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6"/>
    </row>
    <row r="331" customHeight="1" spans="1:26">
      <c r="A331" s="4"/>
      <c r="B331" s="4"/>
      <c r="C331" s="4"/>
      <c r="D331" s="4"/>
      <c r="E331" s="29"/>
      <c r="F331" s="2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6"/>
    </row>
    <row r="332" customHeight="1" spans="1:26">
      <c r="A332" s="4"/>
      <c r="B332" s="4"/>
      <c r="C332" s="4"/>
      <c r="D332" s="4"/>
      <c r="E332" s="29"/>
      <c r="F332" s="2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6"/>
    </row>
    <row r="333" customHeight="1" spans="1:26">
      <c r="A333" s="4"/>
      <c r="B333" s="4"/>
      <c r="C333" s="4"/>
      <c r="D333" s="4"/>
      <c r="E333" s="29"/>
      <c r="F333" s="2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6"/>
    </row>
    <row r="334" customHeight="1" spans="1:26">
      <c r="A334" s="4"/>
      <c r="B334" s="4"/>
      <c r="C334" s="4"/>
      <c r="D334" s="4"/>
      <c r="E334" s="29"/>
      <c r="F334" s="2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6"/>
    </row>
    <row r="335" customHeight="1" spans="1:26">
      <c r="A335" s="4"/>
      <c r="B335" s="4"/>
      <c r="C335" s="4"/>
      <c r="D335" s="4"/>
      <c r="E335" s="29"/>
      <c r="F335" s="2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6"/>
    </row>
    <row r="336" customHeight="1" spans="1:26">
      <c r="A336" s="4"/>
      <c r="B336" s="4"/>
      <c r="C336" s="4"/>
      <c r="D336" s="4"/>
      <c r="E336" s="29"/>
      <c r="F336" s="2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6"/>
    </row>
    <row r="337" customHeight="1" spans="1:26">
      <c r="A337" s="4"/>
      <c r="B337" s="4"/>
      <c r="C337" s="4"/>
      <c r="D337" s="4"/>
      <c r="E337" s="29"/>
      <c r="F337" s="2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6"/>
    </row>
    <row r="338" customHeight="1" spans="1:26">
      <c r="A338" s="4"/>
      <c r="B338" s="4"/>
      <c r="C338" s="4"/>
      <c r="D338" s="4"/>
      <c r="E338" s="29"/>
      <c r="F338" s="2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6"/>
    </row>
    <row r="339" customHeight="1" spans="1:26">
      <c r="A339" s="4"/>
      <c r="B339" s="4"/>
      <c r="C339" s="4"/>
      <c r="D339" s="4"/>
      <c r="E339" s="29"/>
      <c r="F339" s="2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6"/>
    </row>
    <row r="340" customHeight="1" spans="1:26">
      <c r="A340" s="4"/>
      <c r="B340" s="4"/>
      <c r="C340" s="4"/>
      <c r="D340" s="4"/>
      <c r="E340" s="29"/>
      <c r="F340" s="2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6"/>
    </row>
    <row r="341" customHeight="1" spans="1:26">
      <c r="A341" s="4"/>
      <c r="B341" s="4"/>
      <c r="C341" s="4"/>
      <c r="D341" s="4"/>
      <c r="E341" s="29"/>
      <c r="F341" s="2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6"/>
    </row>
    <row r="342" customHeight="1" spans="1:26">
      <c r="A342" s="4"/>
      <c r="B342" s="4"/>
      <c r="C342" s="4"/>
      <c r="D342" s="4"/>
      <c r="E342" s="29"/>
      <c r="F342" s="2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6"/>
    </row>
    <row r="343" customHeight="1" spans="1:26">
      <c r="A343" s="4"/>
      <c r="B343" s="4"/>
      <c r="C343" s="4"/>
      <c r="D343" s="4"/>
      <c r="E343" s="29"/>
      <c r="F343" s="2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6"/>
    </row>
    <row r="344" customHeight="1" spans="1:26">
      <c r="A344" s="4"/>
      <c r="B344" s="4"/>
      <c r="C344" s="4"/>
      <c r="D344" s="4"/>
      <c r="E344" s="29"/>
      <c r="F344" s="2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6"/>
    </row>
    <row r="345" customHeight="1" spans="1:26">
      <c r="A345" s="4"/>
      <c r="B345" s="4"/>
      <c r="C345" s="4"/>
      <c r="D345" s="4"/>
      <c r="E345" s="29"/>
      <c r="F345" s="2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6"/>
    </row>
    <row r="346" customHeight="1" spans="1:26">
      <c r="A346" s="4"/>
      <c r="B346" s="4"/>
      <c r="C346" s="4"/>
      <c r="D346" s="4"/>
      <c r="E346" s="29"/>
      <c r="F346" s="2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6"/>
    </row>
    <row r="347" customHeight="1" spans="1:26">
      <c r="A347" s="4"/>
      <c r="B347" s="4"/>
      <c r="C347" s="4"/>
      <c r="D347" s="4"/>
      <c r="E347" s="29"/>
      <c r="F347" s="2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6"/>
    </row>
    <row r="348" customHeight="1" spans="1:26">
      <c r="A348" s="4"/>
      <c r="B348" s="4"/>
      <c r="C348" s="4"/>
      <c r="D348" s="4"/>
      <c r="E348" s="29"/>
      <c r="F348" s="2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6"/>
    </row>
    <row r="349" customHeight="1" spans="1:26">
      <c r="A349" s="4"/>
      <c r="B349" s="4"/>
      <c r="C349" s="4"/>
      <c r="D349" s="4"/>
      <c r="E349" s="29"/>
      <c r="F349" s="2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6"/>
    </row>
    <row r="350" customHeight="1" spans="1:26">
      <c r="A350" s="4"/>
      <c r="B350" s="4"/>
      <c r="C350" s="4"/>
      <c r="D350" s="4"/>
      <c r="E350" s="29"/>
      <c r="F350" s="2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6"/>
    </row>
    <row r="351" customHeight="1" spans="1:26">
      <c r="A351" s="4"/>
      <c r="B351" s="4"/>
      <c r="C351" s="4"/>
      <c r="D351" s="4"/>
      <c r="E351" s="29"/>
      <c r="F351" s="2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6"/>
    </row>
    <row r="352" customHeight="1" spans="1:26">
      <c r="A352" s="4"/>
      <c r="B352" s="4"/>
      <c r="C352" s="4"/>
      <c r="D352" s="4"/>
      <c r="E352" s="29"/>
      <c r="F352" s="2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6"/>
    </row>
    <row r="353" customHeight="1" spans="1:26">
      <c r="A353" s="4"/>
      <c r="B353" s="4"/>
      <c r="C353" s="4"/>
      <c r="D353" s="4"/>
      <c r="E353" s="29"/>
      <c r="F353" s="2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6"/>
    </row>
    <row r="354" customHeight="1" spans="1:26">
      <c r="A354" s="4"/>
      <c r="B354" s="4"/>
      <c r="C354" s="4"/>
      <c r="D354" s="4"/>
      <c r="E354" s="29"/>
      <c r="F354" s="2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6"/>
    </row>
    <row r="355" customHeight="1" spans="1:26">
      <c r="A355" s="4"/>
      <c r="B355" s="4"/>
      <c r="C355" s="4"/>
      <c r="D355" s="4"/>
      <c r="E355" s="29"/>
      <c r="F355" s="2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6"/>
    </row>
    <row r="356" customHeight="1" spans="1:26">
      <c r="A356" s="4"/>
      <c r="B356" s="4"/>
      <c r="C356" s="4"/>
      <c r="D356" s="4"/>
      <c r="E356" s="29"/>
      <c r="F356" s="2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6"/>
    </row>
    <row r="357" customHeight="1" spans="1:26">
      <c r="A357" s="4"/>
      <c r="B357" s="4"/>
      <c r="C357" s="4"/>
      <c r="D357" s="4"/>
      <c r="E357" s="29"/>
      <c r="F357" s="2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6"/>
    </row>
    <row r="358" customHeight="1" spans="1:26">
      <c r="A358" s="4"/>
      <c r="B358" s="4"/>
      <c r="C358" s="4"/>
      <c r="D358" s="4"/>
      <c r="E358" s="29"/>
      <c r="F358" s="2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6"/>
    </row>
    <row r="359" customHeight="1" spans="1:26">
      <c r="A359" s="4"/>
      <c r="B359" s="4"/>
      <c r="C359" s="4"/>
      <c r="D359" s="4"/>
      <c r="E359" s="29"/>
      <c r="F359" s="2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6"/>
    </row>
    <row r="360" customHeight="1" spans="1:26">
      <c r="A360" s="4"/>
      <c r="B360" s="4"/>
      <c r="C360" s="4"/>
      <c r="D360" s="4"/>
      <c r="E360" s="29"/>
      <c r="F360" s="2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6"/>
    </row>
    <row r="361" customHeight="1" spans="1:26">
      <c r="A361" s="4"/>
      <c r="B361" s="4"/>
      <c r="C361" s="4"/>
      <c r="D361" s="4"/>
      <c r="E361" s="29"/>
      <c r="F361" s="2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6"/>
    </row>
    <row r="362" customHeight="1" spans="1:26">
      <c r="A362" s="4"/>
      <c r="B362" s="4"/>
      <c r="C362" s="4"/>
      <c r="D362" s="4"/>
      <c r="E362" s="29"/>
      <c r="F362" s="2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6"/>
    </row>
    <row r="363" customHeight="1" spans="1:26">
      <c r="A363" s="4"/>
      <c r="B363" s="4"/>
      <c r="C363" s="4"/>
      <c r="D363" s="4"/>
      <c r="E363" s="29"/>
      <c r="F363" s="2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6"/>
    </row>
    <row r="364" customHeight="1" spans="1:26">
      <c r="A364" s="4"/>
      <c r="B364" s="4"/>
      <c r="C364" s="4"/>
      <c r="D364" s="4"/>
      <c r="E364" s="29"/>
      <c r="F364" s="2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6"/>
    </row>
    <row r="365" customHeight="1" spans="1:26">
      <c r="A365" s="4"/>
      <c r="B365" s="4"/>
      <c r="C365" s="4"/>
      <c r="D365" s="4"/>
      <c r="E365" s="29"/>
      <c r="F365" s="2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6"/>
    </row>
    <row r="366" customHeight="1" spans="1:26">
      <c r="A366" s="4"/>
      <c r="B366" s="4"/>
      <c r="C366" s="4"/>
      <c r="D366" s="4"/>
      <c r="E366" s="29"/>
      <c r="F366" s="2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6"/>
    </row>
    <row r="367" customHeight="1" spans="1:26">
      <c r="A367" s="4"/>
      <c r="B367" s="4"/>
      <c r="C367" s="4"/>
      <c r="D367" s="4"/>
      <c r="E367" s="29"/>
      <c r="F367" s="2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6"/>
    </row>
    <row r="368" customHeight="1" spans="1:26">
      <c r="A368" s="4"/>
      <c r="B368" s="4"/>
      <c r="C368" s="4"/>
      <c r="D368" s="4"/>
      <c r="E368" s="29"/>
      <c r="F368" s="2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6"/>
    </row>
    <row r="369" customHeight="1" spans="1:26">
      <c r="A369" s="4"/>
      <c r="B369" s="4"/>
      <c r="C369" s="4"/>
      <c r="D369" s="4"/>
      <c r="E369" s="29"/>
      <c r="F369" s="2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6"/>
    </row>
    <row r="370" customHeight="1" spans="1:26">
      <c r="A370" s="4"/>
      <c r="B370" s="4"/>
      <c r="C370" s="4"/>
      <c r="D370" s="4"/>
      <c r="E370" s="29"/>
      <c r="F370" s="2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6"/>
    </row>
    <row r="371" customHeight="1" spans="1:26">
      <c r="A371" s="4"/>
      <c r="B371" s="4"/>
      <c r="C371" s="4"/>
      <c r="D371" s="4"/>
      <c r="E371" s="29"/>
      <c r="F371" s="2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6"/>
    </row>
    <row r="372" customHeight="1" spans="1:26">
      <c r="A372" s="4"/>
      <c r="B372" s="4"/>
      <c r="C372" s="4"/>
      <c r="D372" s="4"/>
      <c r="E372" s="29"/>
      <c r="F372" s="2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6"/>
    </row>
    <row r="373" customHeight="1" spans="1:26">
      <c r="A373" s="4"/>
      <c r="B373" s="4"/>
      <c r="C373" s="4"/>
      <c r="D373" s="4"/>
      <c r="E373" s="29"/>
      <c r="F373" s="2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6"/>
    </row>
    <row r="374" customHeight="1" spans="1:26">
      <c r="A374" s="4"/>
      <c r="B374" s="4"/>
      <c r="C374" s="4"/>
      <c r="D374" s="4"/>
      <c r="E374" s="29"/>
      <c r="F374" s="2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6"/>
    </row>
    <row r="375" customHeight="1" spans="1:26">
      <c r="A375" s="4"/>
      <c r="B375" s="4"/>
      <c r="C375" s="4"/>
      <c r="D375" s="4"/>
      <c r="E375" s="29"/>
      <c r="F375" s="2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6"/>
    </row>
    <row r="376" customHeight="1" spans="1:26">
      <c r="A376" s="4"/>
      <c r="B376" s="4"/>
      <c r="C376" s="4"/>
      <c r="D376" s="4"/>
      <c r="E376" s="29"/>
      <c r="F376" s="2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6"/>
    </row>
    <row r="377" customHeight="1" spans="1:26">
      <c r="A377" s="4"/>
      <c r="B377" s="4"/>
      <c r="C377" s="4"/>
      <c r="D377" s="4"/>
      <c r="E377" s="29"/>
      <c r="F377" s="2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6"/>
    </row>
    <row r="378" customHeight="1" spans="1:26">
      <c r="A378" s="4"/>
      <c r="B378" s="4"/>
      <c r="C378" s="4"/>
      <c r="D378" s="4"/>
      <c r="E378" s="29"/>
      <c r="F378" s="2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6"/>
    </row>
    <row r="379" customHeight="1" spans="1:26">
      <c r="A379" s="4"/>
      <c r="B379" s="4"/>
      <c r="C379" s="4"/>
      <c r="D379" s="4"/>
      <c r="E379" s="29"/>
      <c r="F379" s="2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6"/>
    </row>
    <row r="380" customHeight="1" spans="1:26">
      <c r="A380" s="4"/>
      <c r="B380" s="4"/>
      <c r="C380" s="4"/>
      <c r="D380" s="4"/>
      <c r="E380" s="29"/>
      <c r="F380" s="2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6"/>
    </row>
    <row r="381" customHeight="1" spans="1:26">
      <c r="A381" s="4"/>
      <c r="B381" s="4"/>
      <c r="C381" s="4"/>
      <c r="D381" s="4"/>
      <c r="E381" s="29"/>
      <c r="F381" s="2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6"/>
    </row>
    <row r="382" customHeight="1" spans="1:26">
      <c r="A382" s="4"/>
      <c r="B382" s="4"/>
      <c r="C382" s="4"/>
      <c r="D382" s="4"/>
      <c r="E382" s="29"/>
      <c r="F382" s="2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6"/>
    </row>
    <row r="383" customHeight="1" spans="1:26">
      <c r="A383" s="4"/>
      <c r="B383" s="4"/>
      <c r="C383" s="4"/>
      <c r="D383" s="4"/>
      <c r="E383" s="29"/>
      <c r="F383" s="2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6"/>
    </row>
    <row r="384" customHeight="1" spans="1:26">
      <c r="A384" s="4"/>
      <c r="B384" s="4"/>
      <c r="C384" s="4"/>
      <c r="D384" s="4"/>
      <c r="E384" s="29"/>
      <c r="F384" s="2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6"/>
    </row>
    <row r="385" customHeight="1" spans="1:26">
      <c r="A385" s="4"/>
      <c r="B385" s="4"/>
      <c r="C385" s="4"/>
      <c r="D385" s="4"/>
      <c r="E385" s="29"/>
      <c r="F385" s="2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6"/>
    </row>
    <row r="386" customHeight="1" spans="1:26">
      <c r="A386" s="4"/>
      <c r="B386" s="4"/>
      <c r="C386" s="4"/>
      <c r="D386" s="4"/>
      <c r="E386" s="29"/>
      <c r="F386" s="2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6"/>
    </row>
    <row r="387" customHeight="1" spans="1:26">
      <c r="A387" s="4"/>
      <c r="B387" s="4"/>
      <c r="C387" s="4"/>
      <c r="D387" s="4"/>
      <c r="E387" s="29"/>
      <c r="F387" s="2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6"/>
    </row>
    <row r="388" customHeight="1" spans="1:26">
      <c r="A388" s="4"/>
      <c r="B388" s="4"/>
      <c r="C388" s="4"/>
      <c r="D388" s="4"/>
      <c r="E388" s="29"/>
      <c r="F388" s="2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6"/>
    </row>
    <row r="389" customHeight="1" spans="1:26">
      <c r="A389" s="4"/>
      <c r="B389" s="4"/>
      <c r="C389" s="4"/>
      <c r="D389" s="4"/>
      <c r="E389" s="29"/>
      <c r="F389" s="2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6"/>
    </row>
    <row r="390" customHeight="1" spans="1:26">
      <c r="A390" s="4"/>
      <c r="B390" s="4"/>
      <c r="C390" s="4"/>
      <c r="D390" s="4"/>
      <c r="E390" s="29"/>
      <c r="F390" s="2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6"/>
    </row>
    <row r="391" customHeight="1" spans="1:26">
      <c r="A391" s="4"/>
      <c r="B391" s="4"/>
      <c r="C391" s="4"/>
      <c r="D391" s="4"/>
      <c r="E391" s="29"/>
      <c r="F391" s="2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6"/>
    </row>
    <row r="392" customHeight="1" spans="1:26">
      <c r="A392" s="4"/>
      <c r="B392" s="4"/>
      <c r="C392" s="4"/>
      <c r="D392" s="4"/>
      <c r="E392" s="29"/>
      <c r="F392" s="2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6"/>
    </row>
    <row r="393" customHeight="1" spans="1:26">
      <c r="A393" s="4"/>
      <c r="B393" s="4"/>
      <c r="C393" s="4"/>
      <c r="D393" s="4"/>
      <c r="E393" s="29"/>
      <c r="F393" s="2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6"/>
    </row>
    <row r="394" customHeight="1" spans="1:26">
      <c r="A394" s="4"/>
      <c r="B394" s="4"/>
      <c r="C394" s="4"/>
      <c r="D394" s="4"/>
      <c r="E394" s="29"/>
      <c r="F394" s="2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6"/>
    </row>
    <row r="395" customHeight="1" spans="1:26">
      <c r="A395" s="4"/>
      <c r="B395" s="4"/>
      <c r="C395" s="4"/>
      <c r="D395" s="4"/>
      <c r="E395" s="29"/>
      <c r="F395" s="2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6"/>
    </row>
    <row r="396" customHeight="1" spans="1:26">
      <c r="A396" s="4"/>
      <c r="B396" s="4"/>
      <c r="C396" s="4"/>
      <c r="D396" s="4"/>
      <c r="E396" s="29"/>
      <c r="F396" s="2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6"/>
    </row>
    <row r="397" customHeight="1" spans="1:26">
      <c r="A397" s="4"/>
      <c r="B397" s="4"/>
      <c r="C397" s="4"/>
      <c r="D397" s="4"/>
      <c r="E397" s="29"/>
      <c r="F397" s="2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6"/>
    </row>
    <row r="398" customHeight="1" spans="1:26">
      <c r="A398" s="4"/>
      <c r="B398" s="4"/>
      <c r="C398" s="4"/>
      <c r="D398" s="4"/>
      <c r="E398" s="29"/>
      <c r="F398" s="2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6"/>
    </row>
    <row r="399" customHeight="1" spans="1:26">
      <c r="A399" s="4"/>
      <c r="B399" s="4"/>
      <c r="C399" s="4"/>
      <c r="D399" s="4"/>
      <c r="E399" s="29"/>
      <c r="F399" s="2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6"/>
    </row>
    <row r="400" customHeight="1" spans="1:26">
      <c r="A400" s="4"/>
      <c r="B400" s="4"/>
      <c r="C400" s="4"/>
      <c r="D400" s="4"/>
      <c r="E400" s="29"/>
      <c r="F400" s="2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6"/>
    </row>
    <row r="401" customHeight="1" spans="1:26">
      <c r="A401" s="4"/>
      <c r="B401" s="4"/>
      <c r="C401" s="4"/>
      <c r="D401" s="4"/>
      <c r="E401" s="29"/>
      <c r="F401" s="2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6"/>
    </row>
    <row r="402" customHeight="1" spans="1:26">
      <c r="A402" s="4"/>
      <c r="B402" s="4"/>
      <c r="C402" s="4"/>
      <c r="D402" s="4"/>
      <c r="E402" s="29"/>
      <c r="F402" s="2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6"/>
    </row>
    <row r="403" customHeight="1" spans="1:26">
      <c r="A403" s="4"/>
      <c r="B403" s="4"/>
      <c r="C403" s="4"/>
      <c r="D403" s="4"/>
      <c r="E403" s="29"/>
      <c r="F403" s="2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6"/>
    </row>
    <row r="404" customHeight="1" spans="1:26">
      <c r="A404" s="4"/>
      <c r="B404" s="4"/>
      <c r="C404" s="4"/>
      <c r="D404" s="4"/>
      <c r="E404" s="29"/>
      <c r="F404" s="2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6"/>
    </row>
    <row r="405" customHeight="1" spans="1:26">
      <c r="A405" s="4"/>
      <c r="B405" s="4"/>
      <c r="C405" s="4"/>
      <c r="D405" s="4"/>
      <c r="E405" s="29"/>
      <c r="F405" s="2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6"/>
    </row>
    <row r="406" customHeight="1" spans="1:26">
      <c r="A406" s="4"/>
      <c r="B406" s="4"/>
      <c r="C406" s="4"/>
      <c r="D406" s="4"/>
      <c r="E406" s="29"/>
      <c r="F406" s="2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6"/>
    </row>
    <row r="407" customHeight="1" spans="1:26">
      <c r="A407" s="4"/>
      <c r="B407" s="4"/>
      <c r="C407" s="4"/>
      <c r="D407" s="4"/>
      <c r="E407" s="29"/>
      <c r="F407" s="2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6"/>
    </row>
    <row r="408" customHeight="1" spans="1:26">
      <c r="A408" s="4"/>
      <c r="B408" s="4"/>
      <c r="C408" s="4"/>
      <c r="D408" s="4"/>
      <c r="E408" s="29"/>
      <c r="F408" s="2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6"/>
    </row>
    <row r="409" customHeight="1" spans="1:26">
      <c r="A409" s="4"/>
      <c r="B409" s="4"/>
      <c r="C409" s="4"/>
      <c r="D409" s="4"/>
      <c r="E409" s="29"/>
      <c r="F409" s="2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6"/>
    </row>
    <row r="410" customHeight="1" spans="1:26">
      <c r="A410" s="4"/>
      <c r="B410" s="4"/>
      <c r="C410" s="4"/>
      <c r="D410" s="4"/>
      <c r="E410" s="29"/>
      <c r="F410" s="2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6"/>
    </row>
    <row r="411" customHeight="1" spans="1:26">
      <c r="A411" s="4"/>
      <c r="B411" s="4"/>
      <c r="C411" s="4"/>
      <c r="D411" s="4"/>
      <c r="E411" s="29"/>
      <c r="F411" s="2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6"/>
    </row>
    <row r="412" customHeight="1" spans="1:26">
      <c r="A412" s="4"/>
      <c r="B412" s="4"/>
      <c r="C412" s="4"/>
      <c r="D412" s="4"/>
      <c r="E412" s="29"/>
      <c r="F412" s="2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6"/>
    </row>
    <row r="413" customHeight="1" spans="1:26">
      <c r="A413" s="4"/>
      <c r="B413" s="4"/>
      <c r="C413" s="4"/>
      <c r="D413" s="4"/>
      <c r="E413" s="29"/>
      <c r="F413" s="2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6"/>
    </row>
    <row r="414" customHeight="1" spans="1:26">
      <c r="A414" s="4"/>
      <c r="B414" s="4"/>
      <c r="C414" s="4"/>
      <c r="D414" s="4"/>
      <c r="E414" s="29"/>
      <c r="F414" s="2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6"/>
    </row>
    <row r="415" customHeight="1" spans="1:26">
      <c r="A415" s="4"/>
      <c r="B415" s="4"/>
      <c r="C415" s="4"/>
      <c r="D415" s="4"/>
      <c r="E415" s="29"/>
      <c r="F415" s="2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6"/>
    </row>
    <row r="416" customHeight="1" spans="1:26">
      <c r="A416" s="4"/>
      <c r="B416" s="4"/>
      <c r="C416" s="4"/>
      <c r="D416" s="4"/>
      <c r="E416" s="29"/>
      <c r="F416" s="2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6"/>
    </row>
    <row r="417" customHeight="1" spans="1:26">
      <c r="A417" s="4"/>
      <c r="B417" s="4"/>
      <c r="C417" s="4"/>
      <c r="D417" s="4"/>
      <c r="E417" s="29"/>
      <c r="F417" s="2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6"/>
    </row>
    <row r="418" customHeight="1" spans="1:26">
      <c r="A418" s="4"/>
      <c r="B418" s="4"/>
      <c r="C418" s="4"/>
      <c r="D418" s="4"/>
      <c r="E418" s="29"/>
      <c r="F418" s="2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6"/>
    </row>
    <row r="419" customHeight="1" spans="1:26">
      <c r="A419" s="4"/>
      <c r="B419" s="4"/>
      <c r="C419" s="4"/>
      <c r="D419" s="4"/>
      <c r="E419" s="29"/>
      <c r="F419" s="2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6"/>
    </row>
    <row r="420" customHeight="1" spans="1:26">
      <c r="A420" s="4"/>
      <c r="B420" s="4"/>
      <c r="C420" s="4"/>
      <c r="D420" s="4"/>
      <c r="E420" s="29"/>
      <c r="F420" s="2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6"/>
    </row>
    <row r="421" customHeight="1" spans="1:26">
      <c r="A421" s="4"/>
      <c r="B421" s="4"/>
      <c r="C421" s="4"/>
      <c r="D421" s="4"/>
      <c r="E421" s="29"/>
      <c r="F421" s="2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6"/>
    </row>
    <row r="422" customHeight="1" spans="1:26">
      <c r="A422" s="4"/>
      <c r="B422" s="4"/>
      <c r="C422" s="4"/>
      <c r="D422" s="4"/>
      <c r="E422" s="29"/>
      <c r="F422" s="2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6"/>
    </row>
    <row r="423" customHeight="1" spans="1:26">
      <c r="A423" s="4"/>
      <c r="B423" s="4"/>
      <c r="C423" s="4"/>
      <c r="D423" s="4"/>
      <c r="E423" s="29"/>
      <c r="F423" s="2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6"/>
    </row>
    <row r="424" customHeight="1" spans="1:26">
      <c r="A424" s="4"/>
      <c r="B424" s="4"/>
      <c r="C424" s="4"/>
      <c r="D424" s="4"/>
      <c r="E424" s="29"/>
      <c r="F424" s="2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6"/>
    </row>
    <row r="425" customHeight="1" spans="1:26">
      <c r="A425" s="4"/>
      <c r="B425" s="4"/>
      <c r="C425" s="4"/>
      <c r="D425" s="4"/>
      <c r="E425" s="29"/>
      <c r="F425" s="2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6"/>
    </row>
    <row r="426" customHeight="1" spans="1:26">
      <c r="A426" s="4"/>
      <c r="B426" s="4"/>
      <c r="C426" s="4"/>
      <c r="D426" s="4"/>
      <c r="E426" s="29"/>
      <c r="F426" s="2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6"/>
    </row>
    <row r="427" customHeight="1" spans="1:26">
      <c r="A427" s="4"/>
      <c r="B427" s="4"/>
      <c r="C427" s="4"/>
      <c r="D427" s="4"/>
      <c r="E427" s="29"/>
      <c r="F427" s="2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6"/>
    </row>
    <row r="428" customHeight="1" spans="1:26">
      <c r="A428" s="4"/>
      <c r="B428" s="4"/>
      <c r="C428" s="4"/>
      <c r="D428" s="4"/>
      <c r="E428" s="29"/>
      <c r="F428" s="2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6"/>
    </row>
    <row r="429" customHeight="1" spans="1:26">
      <c r="A429" s="4"/>
      <c r="B429" s="4"/>
      <c r="C429" s="4"/>
      <c r="D429" s="4"/>
      <c r="E429" s="29"/>
      <c r="F429" s="2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6"/>
    </row>
    <row r="430" customHeight="1" spans="1:26">
      <c r="A430" s="4"/>
      <c r="B430" s="4"/>
      <c r="C430" s="4"/>
      <c r="D430" s="4"/>
      <c r="E430" s="29"/>
      <c r="F430" s="2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6"/>
    </row>
    <row r="431" customHeight="1" spans="1:26">
      <c r="A431" s="4"/>
      <c r="B431" s="4"/>
      <c r="C431" s="4"/>
      <c r="D431" s="4"/>
      <c r="E431" s="29"/>
      <c r="F431" s="2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6"/>
    </row>
    <row r="432" customHeight="1" spans="1:26">
      <c r="A432" s="4"/>
      <c r="B432" s="4"/>
      <c r="C432" s="4"/>
      <c r="D432" s="4"/>
      <c r="E432" s="29"/>
      <c r="F432" s="2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6"/>
    </row>
    <row r="433" customHeight="1" spans="1:26">
      <c r="A433" s="4"/>
      <c r="B433" s="4"/>
      <c r="C433" s="4"/>
      <c r="D433" s="4"/>
      <c r="E433" s="29"/>
      <c r="F433" s="2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6"/>
    </row>
    <row r="434" customHeight="1" spans="1:26">
      <c r="A434" s="4"/>
      <c r="B434" s="4"/>
      <c r="C434" s="4"/>
      <c r="D434" s="4"/>
      <c r="E434" s="29"/>
      <c r="F434" s="2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6"/>
    </row>
    <row r="435" customHeight="1" spans="1:26">
      <c r="A435" s="4"/>
      <c r="B435" s="4"/>
      <c r="C435" s="4"/>
      <c r="D435" s="4"/>
      <c r="E435" s="29"/>
      <c r="F435" s="2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6"/>
    </row>
    <row r="436" customHeight="1" spans="1:26">
      <c r="A436" s="4"/>
      <c r="B436" s="4"/>
      <c r="C436" s="4"/>
      <c r="D436" s="4"/>
      <c r="E436" s="29"/>
      <c r="F436" s="2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6"/>
    </row>
    <row r="437" customHeight="1" spans="1:26">
      <c r="A437" s="4"/>
      <c r="B437" s="4"/>
      <c r="C437" s="4"/>
      <c r="D437" s="4"/>
      <c r="E437" s="29"/>
      <c r="F437" s="2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6"/>
    </row>
    <row r="438" customHeight="1" spans="1:26">
      <c r="A438" s="4"/>
      <c r="B438" s="4"/>
      <c r="C438" s="4"/>
      <c r="D438" s="4"/>
      <c r="E438" s="29"/>
      <c r="F438" s="2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6"/>
    </row>
    <row r="439" customHeight="1" spans="1:26">
      <c r="A439" s="4"/>
      <c r="B439" s="4"/>
      <c r="C439" s="4"/>
      <c r="D439" s="4"/>
      <c r="E439" s="29"/>
      <c r="F439" s="2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6"/>
    </row>
    <row r="440" customHeight="1" spans="1:26">
      <c r="A440" s="4"/>
      <c r="B440" s="4"/>
      <c r="C440" s="4"/>
      <c r="D440" s="4"/>
      <c r="E440" s="29"/>
      <c r="F440" s="2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6"/>
    </row>
    <row r="441" customHeight="1" spans="1:26">
      <c r="A441" s="4"/>
      <c r="B441" s="4"/>
      <c r="C441" s="4"/>
      <c r="D441" s="4"/>
      <c r="E441" s="29"/>
      <c r="F441" s="2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6"/>
    </row>
    <row r="442" customHeight="1" spans="1:26">
      <c r="A442" s="4"/>
      <c r="B442" s="4"/>
      <c r="C442" s="4"/>
      <c r="D442" s="4"/>
      <c r="E442" s="29"/>
      <c r="F442" s="2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6"/>
    </row>
    <row r="443" customHeight="1" spans="1:26">
      <c r="A443" s="4"/>
      <c r="B443" s="4"/>
      <c r="C443" s="4"/>
      <c r="D443" s="4"/>
      <c r="E443" s="29"/>
      <c r="F443" s="2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6"/>
    </row>
    <row r="444" customHeight="1" spans="1:26">
      <c r="A444" s="4"/>
      <c r="B444" s="4"/>
      <c r="C444" s="4"/>
      <c r="D444" s="4"/>
      <c r="E444" s="29"/>
      <c r="F444" s="2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6"/>
    </row>
    <row r="445" customHeight="1" spans="1:26">
      <c r="A445" s="4"/>
      <c r="B445" s="4"/>
      <c r="C445" s="4"/>
      <c r="D445" s="4"/>
      <c r="E445" s="29"/>
      <c r="F445" s="2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6"/>
    </row>
    <row r="446" customHeight="1" spans="1:26">
      <c r="A446" s="4"/>
      <c r="B446" s="4"/>
      <c r="C446" s="4"/>
      <c r="D446" s="4"/>
      <c r="E446" s="29"/>
      <c r="F446" s="2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6"/>
    </row>
    <row r="447" customHeight="1" spans="1:26">
      <c r="A447" s="4"/>
      <c r="B447" s="4"/>
      <c r="C447" s="4"/>
      <c r="D447" s="4"/>
      <c r="E447" s="29"/>
      <c r="F447" s="2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6"/>
    </row>
    <row r="448" customHeight="1" spans="1:26">
      <c r="A448" s="4"/>
      <c r="B448" s="4"/>
      <c r="C448" s="4"/>
      <c r="D448" s="4"/>
      <c r="E448" s="29"/>
      <c r="F448" s="2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6"/>
    </row>
    <row r="449" customHeight="1" spans="1:26">
      <c r="A449" s="4"/>
      <c r="B449" s="4"/>
      <c r="C449" s="4"/>
      <c r="D449" s="4"/>
      <c r="E449" s="29"/>
      <c r="F449" s="2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6"/>
    </row>
    <row r="450" customHeight="1" spans="1:26">
      <c r="A450" s="4"/>
      <c r="B450" s="4"/>
      <c r="C450" s="4"/>
      <c r="D450" s="4"/>
      <c r="E450" s="29"/>
      <c r="F450" s="2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6"/>
    </row>
    <row r="451" customHeight="1" spans="1:26">
      <c r="A451" s="4"/>
      <c r="B451" s="4"/>
      <c r="C451" s="4"/>
      <c r="D451" s="4"/>
      <c r="E451" s="29"/>
      <c r="F451" s="2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6"/>
    </row>
    <row r="452" customHeight="1" spans="1:26">
      <c r="A452" s="4"/>
      <c r="B452" s="4"/>
      <c r="C452" s="4"/>
      <c r="D452" s="4"/>
      <c r="E452" s="29"/>
      <c r="F452" s="2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6"/>
    </row>
    <row r="453" customHeight="1" spans="1:26">
      <c r="A453" s="4"/>
      <c r="B453" s="4"/>
      <c r="C453" s="4"/>
      <c r="D453" s="4"/>
      <c r="E453" s="29"/>
      <c r="F453" s="2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6"/>
    </row>
    <row r="454" customHeight="1" spans="1:26">
      <c r="A454" s="4"/>
      <c r="B454" s="4"/>
      <c r="C454" s="4"/>
      <c r="D454" s="4"/>
      <c r="E454" s="29"/>
      <c r="F454" s="2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6"/>
    </row>
    <row r="455" customHeight="1" spans="1:26">
      <c r="A455" s="4"/>
      <c r="B455" s="4"/>
      <c r="C455" s="4"/>
      <c r="D455" s="4"/>
      <c r="E455" s="29"/>
      <c r="F455" s="2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6"/>
    </row>
    <row r="456" customHeight="1" spans="1:26">
      <c r="A456" s="4"/>
      <c r="B456" s="4"/>
      <c r="C456" s="4"/>
      <c r="D456" s="4"/>
      <c r="E456" s="29"/>
      <c r="F456" s="2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6"/>
    </row>
    <row r="457" customHeight="1" spans="1:26">
      <c r="A457" s="4"/>
      <c r="B457" s="4"/>
      <c r="C457" s="4"/>
      <c r="D457" s="4"/>
      <c r="E457" s="29"/>
      <c r="F457" s="2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6"/>
    </row>
    <row r="458" customHeight="1" spans="1:26">
      <c r="A458" s="4"/>
      <c r="B458" s="4"/>
      <c r="C458" s="4"/>
      <c r="D458" s="4"/>
      <c r="E458" s="29"/>
      <c r="F458" s="2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6"/>
    </row>
    <row r="459" customHeight="1" spans="1:26">
      <c r="A459" s="4"/>
      <c r="B459" s="4"/>
      <c r="C459" s="4"/>
      <c r="D459" s="4"/>
      <c r="E459" s="29"/>
      <c r="F459" s="2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6"/>
    </row>
    <row r="460" customHeight="1" spans="1:26">
      <c r="A460" s="4"/>
      <c r="B460" s="4"/>
      <c r="C460" s="4"/>
      <c r="D460" s="4"/>
      <c r="E460" s="29"/>
      <c r="F460" s="2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6"/>
    </row>
    <row r="461" customHeight="1" spans="1:26">
      <c r="A461" s="4"/>
      <c r="B461" s="4"/>
      <c r="C461" s="4"/>
      <c r="D461" s="4"/>
      <c r="E461" s="29"/>
      <c r="F461" s="2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6"/>
    </row>
    <row r="462" customHeight="1" spans="1:26">
      <c r="A462" s="4"/>
      <c r="B462" s="4"/>
      <c r="C462" s="4"/>
      <c r="D462" s="4"/>
      <c r="E462" s="29"/>
      <c r="F462" s="2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6"/>
    </row>
    <row r="463" customHeight="1" spans="1:26">
      <c r="A463" s="4"/>
      <c r="B463" s="4"/>
      <c r="C463" s="4"/>
      <c r="D463" s="4"/>
      <c r="E463" s="29"/>
      <c r="F463" s="2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6"/>
    </row>
    <row r="464" customHeight="1" spans="1:26">
      <c r="A464" s="4"/>
      <c r="B464" s="4"/>
      <c r="C464" s="4"/>
      <c r="D464" s="4"/>
      <c r="E464" s="29"/>
      <c r="F464" s="2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6"/>
    </row>
    <row r="465" customHeight="1" spans="1:26">
      <c r="A465" s="4"/>
      <c r="B465" s="4"/>
      <c r="C465" s="4"/>
      <c r="D465" s="4"/>
      <c r="E465" s="29"/>
      <c r="F465" s="2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6"/>
    </row>
    <row r="466" customHeight="1" spans="1:26">
      <c r="A466" s="4"/>
      <c r="B466" s="4"/>
      <c r="C466" s="4"/>
      <c r="D466" s="4"/>
      <c r="E466" s="29"/>
      <c r="F466" s="2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6"/>
    </row>
    <row r="467" customHeight="1" spans="1:26">
      <c r="A467" s="4"/>
      <c r="B467" s="4"/>
      <c r="C467" s="4"/>
      <c r="D467" s="4"/>
      <c r="E467" s="29"/>
      <c r="F467" s="2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6"/>
    </row>
    <row r="468" customHeight="1" spans="1:26">
      <c r="A468" s="4"/>
      <c r="B468" s="4"/>
      <c r="C468" s="4"/>
      <c r="D468" s="4"/>
      <c r="E468" s="29"/>
      <c r="F468" s="2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6"/>
    </row>
    <row r="469" customHeight="1" spans="1:26">
      <c r="A469" s="4"/>
      <c r="B469" s="4"/>
      <c r="C469" s="4"/>
      <c r="D469" s="4"/>
      <c r="E469" s="29"/>
      <c r="F469" s="2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6"/>
    </row>
    <row r="470" customHeight="1" spans="1:26">
      <c r="A470" s="4"/>
      <c r="B470" s="4"/>
      <c r="C470" s="4"/>
      <c r="D470" s="4"/>
      <c r="E470" s="29"/>
      <c r="F470" s="2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6"/>
    </row>
    <row r="471" customHeight="1" spans="1:26">
      <c r="A471" s="4"/>
      <c r="B471" s="4"/>
      <c r="C471" s="4"/>
      <c r="D471" s="4"/>
      <c r="E471" s="29"/>
      <c r="F471" s="2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6"/>
    </row>
    <row r="472" customHeight="1" spans="1:26">
      <c r="A472" s="4"/>
      <c r="B472" s="4"/>
      <c r="C472" s="4"/>
      <c r="D472" s="4"/>
      <c r="E472" s="29"/>
      <c r="F472" s="2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6"/>
    </row>
    <row r="473" customHeight="1" spans="1:26">
      <c r="A473" s="4"/>
      <c r="B473" s="4"/>
      <c r="C473" s="4"/>
      <c r="D473" s="4"/>
      <c r="E473" s="29"/>
      <c r="F473" s="2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6"/>
    </row>
    <row r="474" customHeight="1" spans="1:26">
      <c r="A474" s="4"/>
      <c r="B474" s="4"/>
      <c r="C474" s="4"/>
      <c r="D474" s="4"/>
      <c r="E474" s="29"/>
      <c r="F474" s="2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6"/>
    </row>
    <row r="475" customHeight="1" spans="1:26">
      <c r="A475" s="4"/>
      <c r="B475" s="4"/>
      <c r="C475" s="4"/>
      <c r="D475" s="4"/>
      <c r="E475" s="29"/>
      <c r="F475" s="2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6"/>
    </row>
    <row r="476" customHeight="1" spans="1:26">
      <c r="A476" s="4"/>
      <c r="B476" s="4"/>
      <c r="C476" s="4"/>
      <c r="D476" s="4"/>
      <c r="E476" s="29"/>
      <c r="F476" s="2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6"/>
    </row>
    <row r="477" customHeight="1" spans="1:26">
      <c r="A477" s="4"/>
      <c r="B477" s="4"/>
      <c r="C477" s="4"/>
      <c r="D477" s="4"/>
      <c r="E477" s="29"/>
      <c r="F477" s="2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6"/>
    </row>
    <row r="478" customHeight="1" spans="1:26">
      <c r="A478" s="4"/>
      <c r="B478" s="4"/>
      <c r="C478" s="4"/>
      <c r="D478" s="4"/>
      <c r="E478" s="29"/>
      <c r="F478" s="2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6"/>
    </row>
    <row r="479" customHeight="1" spans="1:26">
      <c r="A479" s="4"/>
      <c r="B479" s="4"/>
      <c r="C479" s="4"/>
      <c r="D479" s="4"/>
      <c r="E479" s="29"/>
      <c r="F479" s="2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6"/>
    </row>
    <row r="480" customHeight="1" spans="1:26">
      <c r="A480" s="4"/>
      <c r="B480" s="4"/>
      <c r="C480" s="4"/>
      <c r="D480" s="4"/>
      <c r="E480" s="29"/>
      <c r="F480" s="2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6"/>
    </row>
    <row r="481" customHeight="1" spans="1:26">
      <c r="A481" s="4"/>
      <c r="B481" s="4"/>
      <c r="C481" s="4"/>
      <c r="D481" s="4"/>
      <c r="E481" s="29"/>
      <c r="F481" s="2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6"/>
    </row>
    <row r="482" customHeight="1" spans="1:26">
      <c r="A482" s="4"/>
      <c r="B482" s="4"/>
      <c r="C482" s="4"/>
      <c r="D482" s="4"/>
      <c r="E482" s="29"/>
      <c r="F482" s="2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6"/>
    </row>
    <row r="483" customHeight="1" spans="1:26">
      <c r="A483" s="4"/>
      <c r="B483" s="4"/>
      <c r="C483" s="4"/>
      <c r="D483" s="4"/>
      <c r="E483" s="29"/>
      <c r="F483" s="2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6"/>
    </row>
    <row r="484" customHeight="1" spans="1:26">
      <c r="A484" s="4"/>
      <c r="B484" s="4"/>
      <c r="C484" s="4"/>
      <c r="D484" s="4"/>
      <c r="E484" s="29"/>
      <c r="F484" s="2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6"/>
    </row>
    <row r="485" customHeight="1" spans="1:26">
      <c r="A485" s="4"/>
      <c r="B485" s="4"/>
      <c r="C485" s="4"/>
      <c r="D485" s="4"/>
      <c r="E485" s="29"/>
      <c r="F485" s="2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6"/>
    </row>
    <row r="486" customHeight="1" spans="1:26">
      <c r="A486" s="4"/>
      <c r="B486" s="4"/>
      <c r="C486" s="4"/>
      <c r="D486" s="4"/>
      <c r="E486" s="29"/>
      <c r="F486" s="2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6"/>
    </row>
    <row r="487" customHeight="1" spans="1:26">
      <c r="A487" s="4"/>
      <c r="B487" s="4"/>
      <c r="C487" s="4"/>
      <c r="D487" s="4"/>
      <c r="E487" s="29"/>
      <c r="F487" s="2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6"/>
    </row>
    <row r="488" customHeight="1" spans="1:26">
      <c r="A488" s="4"/>
      <c r="B488" s="4"/>
      <c r="C488" s="4"/>
      <c r="D488" s="4"/>
      <c r="E488" s="29"/>
      <c r="F488" s="2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6"/>
    </row>
    <row r="489" customHeight="1" spans="1:26">
      <c r="A489" s="4"/>
      <c r="B489" s="4"/>
      <c r="C489" s="4"/>
      <c r="D489" s="4"/>
      <c r="E489" s="29"/>
      <c r="F489" s="2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6"/>
    </row>
    <row r="490" customHeight="1" spans="1:26">
      <c r="A490" s="4"/>
      <c r="B490" s="4"/>
      <c r="C490" s="4"/>
      <c r="D490" s="4"/>
      <c r="E490" s="29"/>
      <c r="F490" s="2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6"/>
    </row>
    <row r="491" customHeight="1" spans="1:26">
      <c r="A491" s="4"/>
      <c r="B491" s="4"/>
      <c r="C491" s="4"/>
      <c r="D491" s="4"/>
      <c r="E491" s="29"/>
      <c r="F491" s="2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6"/>
    </row>
    <row r="492" customHeight="1" spans="1:26">
      <c r="A492" s="4"/>
      <c r="B492" s="4"/>
      <c r="C492" s="4"/>
      <c r="D492" s="4"/>
      <c r="E492" s="29"/>
      <c r="F492" s="2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6"/>
    </row>
    <row r="493" customHeight="1" spans="1:26">
      <c r="A493" s="4"/>
      <c r="B493" s="4"/>
      <c r="C493" s="4"/>
      <c r="D493" s="4"/>
      <c r="E493" s="29"/>
      <c r="F493" s="2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6"/>
    </row>
    <row r="494" customHeight="1" spans="1:26">
      <c r="A494" s="4"/>
      <c r="B494" s="4"/>
      <c r="C494" s="4"/>
      <c r="D494" s="4"/>
      <c r="E494" s="29"/>
      <c r="F494" s="2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6"/>
    </row>
    <row r="495" customHeight="1" spans="1:26">
      <c r="A495" s="4"/>
      <c r="B495" s="4"/>
      <c r="C495" s="4"/>
      <c r="D495" s="4"/>
      <c r="E495" s="29"/>
      <c r="F495" s="2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6"/>
    </row>
    <row r="496" customHeight="1" spans="1:26">
      <c r="A496" s="4"/>
      <c r="B496" s="4"/>
      <c r="C496" s="4"/>
      <c r="D496" s="4"/>
      <c r="E496" s="29"/>
      <c r="F496" s="2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6"/>
    </row>
    <row r="497" customHeight="1" spans="1:26">
      <c r="A497" s="4"/>
      <c r="B497" s="4"/>
      <c r="C497" s="4"/>
      <c r="D497" s="4"/>
      <c r="E497" s="29"/>
      <c r="F497" s="2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6"/>
    </row>
    <row r="498" customHeight="1" spans="1:26">
      <c r="A498" s="4"/>
      <c r="B498" s="4"/>
      <c r="C498" s="4"/>
      <c r="D498" s="4"/>
      <c r="E498" s="29"/>
      <c r="F498" s="2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6"/>
    </row>
    <row r="499" customHeight="1" spans="1:26">
      <c r="A499" s="4"/>
      <c r="B499" s="4"/>
      <c r="C499" s="4"/>
      <c r="D499" s="4"/>
      <c r="E499" s="29"/>
      <c r="F499" s="2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6"/>
    </row>
    <row r="500" customHeight="1" spans="1:26">
      <c r="A500" s="4"/>
      <c r="B500" s="4"/>
      <c r="C500" s="4"/>
      <c r="D500" s="4"/>
      <c r="E500" s="29"/>
      <c r="F500" s="2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6"/>
    </row>
    <row r="501" customHeight="1" spans="1:26">
      <c r="A501" s="4"/>
      <c r="B501" s="4"/>
      <c r="C501" s="4"/>
      <c r="D501" s="4"/>
      <c r="E501" s="29"/>
      <c r="F501" s="2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6"/>
    </row>
    <row r="502" customHeight="1" spans="1:26">
      <c r="A502" s="4"/>
      <c r="B502" s="4"/>
      <c r="C502" s="4"/>
      <c r="D502" s="4"/>
      <c r="E502" s="29"/>
      <c r="F502" s="2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6"/>
    </row>
    <row r="503" customHeight="1" spans="1:26">
      <c r="A503" s="4"/>
      <c r="B503" s="4"/>
      <c r="C503" s="4"/>
      <c r="D503" s="4"/>
      <c r="E503" s="29"/>
      <c r="F503" s="2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6"/>
    </row>
    <row r="504" customHeight="1" spans="1:26">
      <c r="A504" s="4"/>
      <c r="B504" s="4"/>
      <c r="C504" s="4"/>
      <c r="D504" s="4"/>
      <c r="E504" s="29"/>
      <c r="F504" s="2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6"/>
    </row>
    <row r="505" customHeight="1" spans="1:26">
      <c r="A505" s="4"/>
      <c r="B505" s="4"/>
      <c r="C505" s="4"/>
      <c r="D505" s="4"/>
      <c r="E505" s="29"/>
      <c r="F505" s="2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6"/>
    </row>
    <row r="506" customHeight="1" spans="1:26">
      <c r="A506" s="4"/>
      <c r="B506" s="4"/>
      <c r="C506" s="4"/>
      <c r="D506" s="4"/>
      <c r="E506" s="29"/>
      <c r="F506" s="2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6"/>
    </row>
    <row r="507" customHeight="1" spans="1:26">
      <c r="A507" s="4"/>
      <c r="B507" s="4"/>
      <c r="C507" s="4"/>
      <c r="D507" s="4"/>
      <c r="E507" s="29"/>
      <c r="F507" s="2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6"/>
    </row>
    <row r="508" customHeight="1" spans="1:26">
      <c r="A508" s="4"/>
      <c r="B508" s="4"/>
      <c r="C508" s="4"/>
      <c r="D508" s="4"/>
      <c r="E508" s="29"/>
      <c r="F508" s="2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6"/>
    </row>
    <row r="509" customHeight="1" spans="1:26">
      <c r="A509" s="4"/>
      <c r="B509" s="4"/>
      <c r="C509" s="4"/>
      <c r="D509" s="4"/>
      <c r="E509" s="29"/>
      <c r="F509" s="2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6"/>
    </row>
    <row r="510" customHeight="1" spans="1:26">
      <c r="A510" s="4"/>
      <c r="B510" s="4"/>
      <c r="C510" s="4"/>
      <c r="D510" s="4"/>
      <c r="E510" s="29"/>
      <c r="F510" s="2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6"/>
    </row>
    <row r="511" customHeight="1" spans="1:26">
      <c r="A511" s="4"/>
      <c r="B511" s="4"/>
      <c r="C511" s="4"/>
      <c r="D511" s="4"/>
      <c r="E511" s="29"/>
      <c r="F511" s="2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6"/>
    </row>
    <row r="512" customHeight="1" spans="1:26">
      <c r="A512" s="4"/>
      <c r="B512" s="4"/>
      <c r="C512" s="4"/>
      <c r="D512" s="4"/>
      <c r="E512" s="29"/>
      <c r="F512" s="2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6"/>
    </row>
    <row r="513" customHeight="1" spans="1:26">
      <c r="A513" s="4"/>
      <c r="B513" s="4"/>
      <c r="C513" s="4"/>
      <c r="D513" s="4"/>
      <c r="E513" s="29"/>
      <c r="F513" s="2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6"/>
    </row>
    <row r="514" customHeight="1" spans="1:26">
      <c r="A514" s="4"/>
      <c r="B514" s="4"/>
      <c r="C514" s="4"/>
      <c r="D514" s="4"/>
      <c r="E514" s="29"/>
      <c r="F514" s="2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6"/>
    </row>
    <row r="515" customHeight="1" spans="1:26">
      <c r="A515" s="4"/>
      <c r="B515" s="4"/>
      <c r="C515" s="4"/>
      <c r="D515" s="4"/>
      <c r="E515" s="29"/>
      <c r="F515" s="2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6"/>
    </row>
    <row r="516" customHeight="1" spans="1:26">
      <c r="A516" s="4"/>
      <c r="B516" s="4"/>
      <c r="C516" s="4"/>
      <c r="D516" s="4"/>
      <c r="E516" s="29"/>
      <c r="F516" s="2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6"/>
    </row>
    <row r="517" customHeight="1" spans="1:26">
      <c r="A517" s="4"/>
      <c r="B517" s="4"/>
      <c r="C517" s="4"/>
      <c r="D517" s="4"/>
      <c r="E517" s="29"/>
      <c r="F517" s="2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6"/>
    </row>
    <row r="518" customHeight="1" spans="1:26">
      <c r="A518" s="4"/>
      <c r="B518" s="4"/>
      <c r="C518" s="4"/>
      <c r="D518" s="4"/>
      <c r="E518" s="29"/>
      <c r="F518" s="2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6"/>
    </row>
    <row r="519" customHeight="1" spans="1:26">
      <c r="A519" s="4"/>
      <c r="B519" s="4"/>
      <c r="C519" s="4"/>
      <c r="D519" s="4"/>
      <c r="E519" s="29"/>
      <c r="F519" s="2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6"/>
    </row>
    <row r="520" customHeight="1" spans="1:26">
      <c r="A520" s="4"/>
      <c r="B520" s="4"/>
      <c r="C520" s="4"/>
      <c r="D520" s="4"/>
      <c r="E520" s="29"/>
      <c r="F520" s="2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6"/>
    </row>
    <row r="521" customHeight="1" spans="1:26">
      <c r="A521" s="4"/>
      <c r="B521" s="4"/>
      <c r="C521" s="4"/>
      <c r="D521" s="4"/>
      <c r="E521" s="29"/>
      <c r="F521" s="2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6"/>
    </row>
    <row r="522" customHeight="1" spans="1:26">
      <c r="A522" s="4"/>
      <c r="B522" s="4"/>
      <c r="C522" s="4"/>
      <c r="D522" s="4"/>
      <c r="E522" s="29"/>
      <c r="F522" s="2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6"/>
    </row>
    <row r="523" customHeight="1" spans="1:26">
      <c r="A523" s="4"/>
      <c r="B523" s="4"/>
      <c r="C523" s="4"/>
      <c r="D523" s="4"/>
      <c r="E523" s="29"/>
      <c r="F523" s="2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6"/>
    </row>
    <row r="524" customHeight="1" spans="1:26">
      <c r="A524" s="4"/>
      <c r="B524" s="4"/>
      <c r="C524" s="4"/>
      <c r="D524" s="4"/>
      <c r="E524" s="29"/>
      <c r="F524" s="2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6"/>
    </row>
    <row r="525" customHeight="1" spans="1:26">
      <c r="A525" s="4"/>
      <c r="B525" s="4"/>
      <c r="C525" s="4"/>
      <c r="D525" s="4"/>
      <c r="E525" s="29"/>
      <c r="F525" s="2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6"/>
    </row>
    <row r="526" customHeight="1" spans="1:26">
      <c r="A526" s="4"/>
      <c r="B526" s="4"/>
      <c r="C526" s="4"/>
      <c r="D526" s="4"/>
      <c r="E526" s="29"/>
      <c r="F526" s="2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6"/>
    </row>
    <row r="527" customHeight="1" spans="1:26">
      <c r="A527" s="4"/>
      <c r="B527" s="4"/>
      <c r="C527" s="4"/>
      <c r="D527" s="4"/>
      <c r="E527" s="29"/>
      <c r="F527" s="2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6"/>
    </row>
    <row r="528" customHeight="1" spans="1:26">
      <c r="A528" s="4"/>
      <c r="B528" s="4"/>
      <c r="C528" s="4"/>
      <c r="D528" s="4"/>
      <c r="E528" s="29"/>
      <c r="F528" s="2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6"/>
    </row>
    <row r="529" customHeight="1" spans="1:26">
      <c r="A529" s="4"/>
      <c r="B529" s="4"/>
      <c r="C529" s="4"/>
      <c r="D529" s="4"/>
      <c r="E529" s="29"/>
      <c r="F529" s="2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6"/>
    </row>
    <row r="530" customHeight="1" spans="1:26">
      <c r="A530" s="4"/>
      <c r="B530" s="4"/>
      <c r="C530" s="4"/>
      <c r="D530" s="4"/>
      <c r="E530" s="29"/>
      <c r="F530" s="2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6"/>
    </row>
    <row r="531" customHeight="1" spans="1:26">
      <c r="A531" s="4"/>
      <c r="B531" s="4"/>
      <c r="C531" s="4"/>
      <c r="D531" s="4"/>
      <c r="E531" s="29"/>
      <c r="F531" s="2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6"/>
    </row>
    <row r="532" customHeight="1" spans="1:26">
      <c r="A532" s="4"/>
      <c r="B532" s="4"/>
      <c r="C532" s="4"/>
      <c r="D532" s="4"/>
      <c r="E532" s="29"/>
      <c r="F532" s="2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6"/>
    </row>
    <row r="533" customHeight="1" spans="1:26">
      <c r="A533" s="4"/>
      <c r="B533" s="4"/>
      <c r="C533" s="4"/>
      <c r="D533" s="4"/>
      <c r="E533" s="29"/>
      <c r="F533" s="2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6"/>
    </row>
    <row r="534" customHeight="1" spans="1:26">
      <c r="A534" s="4"/>
      <c r="B534" s="4"/>
      <c r="C534" s="4"/>
      <c r="D534" s="4"/>
      <c r="E534" s="29"/>
      <c r="F534" s="2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6"/>
    </row>
    <row r="535" customHeight="1" spans="1:26">
      <c r="A535" s="4"/>
      <c r="B535" s="4"/>
      <c r="C535" s="4"/>
      <c r="D535" s="4"/>
      <c r="E535" s="29"/>
      <c r="F535" s="2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6"/>
    </row>
    <row r="536" customHeight="1" spans="1:26">
      <c r="A536" s="4"/>
      <c r="B536" s="4"/>
      <c r="C536" s="4"/>
      <c r="D536" s="4"/>
      <c r="E536" s="29"/>
      <c r="F536" s="2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6"/>
    </row>
    <row r="537" customHeight="1" spans="1:26">
      <c r="A537" s="4"/>
      <c r="B537" s="4"/>
      <c r="C537" s="4"/>
      <c r="D537" s="4"/>
      <c r="E537" s="29"/>
      <c r="F537" s="2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6"/>
    </row>
    <row r="538" customHeight="1" spans="1:26">
      <c r="A538" s="4"/>
      <c r="B538" s="4"/>
      <c r="C538" s="4"/>
      <c r="D538" s="4"/>
      <c r="E538" s="29"/>
      <c r="F538" s="2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6"/>
    </row>
    <row r="539" customHeight="1" spans="1:26">
      <c r="A539" s="4"/>
      <c r="B539" s="4"/>
      <c r="C539" s="4"/>
      <c r="D539" s="4"/>
      <c r="E539" s="29"/>
      <c r="F539" s="2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6"/>
    </row>
    <row r="540" customHeight="1" spans="1:26">
      <c r="A540" s="4"/>
      <c r="B540" s="4"/>
      <c r="C540" s="4"/>
      <c r="D540" s="4"/>
      <c r="E540" s="29"/>
      <c r="F540" s="2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6"/>
    </row>
    <row r="541" customHeight="1" spans="1:26">
      <c r="A541" s="4"/>
      <c r="B541" s="4"/>
      <c r="C541" s="4"/>
      <c r="D541" s="4"/>
      <c r="E541" s="29"/>
      <c r="F541" s="2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6"/>
    </row>
    <row r="542" customHeight="1" spans="1:26">
      <c r="A542" s="4"/>
      <c r="B542" s="4"/>
      <c r="C542" s="4"/>
      <c r="D542" s="4"/>
      <c r="E542" s="29"/>
      <c r="F542" s="2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6"/>
    </row>
    <row r="543" customHeight="1" spans="1:26">
      <c r="A543" s="4"/>
      <c r="B543" s="4"/>
      <c r="C543" s="4"/>
      <c r="D543" s="4"/>
      <c r="E543" s="29"/>
      <c r="F543" s="2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6"/>
    </row>
    <row r="544" customHeight="1" spans="1:26">
      <c r="A544" s="4"/>
      <c r="B544" s="4"/>
      <c r="C544" s="4"/>
      <c r="D544" s="4"/>
      <c r="E544" s="29"/>
      <c r="F544" s="2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6"/>
    </row>
    <row r="545" customHeight="1" spans="1:26">
      <c r="A545" s="4"/>
      <c r="B545" s="4"/>
      <c r="C545" s="4"/>
      <c r="D545" s="4"/>
      <c r="E545" s="29"/>
      <c r="F545" s="2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6"/>
    </row>
    <row r="546" customHeight="1" spans="1:26">
      <c r="A546" s="4"/>
      <c r="B546" s="4"/>
      <c r="C546" s="4"/>
      <c r="D546" s="4"/>
      <c r="E546" s="29"/>
      <c r="F546" s="2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6"/>
    </row>
    <row r="547" customHeight="1" spans="1:26">
      <c r="A547" s="4"/>
      <c r="B547" s="4"/>
      <c r="C547" s="4"/>
      <c r="D547" s="4"/>
      <c r="E547" s="29"/>
      <c r="F547" s="2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6"/>
    </row>
    <row r="548" customHeight="1" spans="1:26">
      <c r="A548" s="4"/>
      <c r="B548" s="4"/>
      <c r="C548" s="4"/>
      <c r="D548" s="4"/>
      <c r="E548" s="29"/>
      <c r="F548" s="2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6"/>
    </row>
    <row r="549" customHeight="1" spans="1:26">
      <c r="A549" s="4"/>
      <c r="B549" s="4"/>
      <c r="C549" s="4"/>
      <c r="D549" s="4"/>
      <c r="E549" s="29"/>
      <c r="F549" s="2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6"/>
    </row>
    <row r="550" customHeight="1" spans="1:26">
      <c r="A550" s="4"/>
      <c r="B550" s="4"/>
      <c r="C550" s="4"/>
      <c r="D550" s="4"/>
      <c r="E550" s="29"/>
      <c r="F550" s="2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6"/>
    </row>
    <row r="551" customHeight="1" spans="1:26">
      <c r="A551" s="4"/>
      <c r="B551" s="4"/>
      <c r="C551" s="4"/>
      <c r="D551" s="4"/>
      <c r="E551" s="29"/>
      <c r="F551" s="2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6"/>
    </row>
    <row r="552" customHeight="1" spans="1:26">
      <c r="A552" s="4"/>
      <c r="B552" s="4"/>
      <c r="C552" s="4"/>
      <c r="D552" s="4"/>
      <c r="E552" s="29"/>
      <c r="F552" s="2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6"/>
    </row>
    <row r="553" customHeight="1" spans="1:26">
      <c r="A553" s="4"/>
      <c r="B553" s="4"/>
      <c r="C553" s="4"/>
      <c r="D553" s="4"/>
      <c r="E553" s="29"/>
      <c r="F553" s="2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6"/>
    </row>
    <row r="554" customHeight="1" spans="1:26">
      <c r="A554" s="4"/>
      <c r="B554" s="4"/>
      <c r="C554" s="4"/>
      <c r="D554" s="4"/>
      <c r="E554" s="29"/>
      <c r="F554" s="2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6"/>
    </row>
    <row r="555" customHeight="1" spans="1:26">
      <c r="A555" s="4"/>
      <c r="B555" s="4"/>
      <c r="C555" s="4"/>
      <c r="D555" s="4"/>
      <c r="E555" s="29"/>
      <c r="F555" s="2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6"/>
    </row>
    <row r="556" customHeight="1" spans="1:26">
      <c r="A556" s="4"/>
      <c r="B556" s="4"/>
      <c r="C556" s="4"/>
      <c r="D556" s="4"/>
      <c r="E556" s="29"/>
      <c r="F556" s="2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6"/>
    </row>
    <row r="557" customHeight="1" spans="1:26">
      <c r="A557" s="4"/>
      <c r="B557" s="4"/>
      <c r="C557" s="4"/>
      <c r="D557" s="4"/>
      <c r="E557" s="29"/>
      <c r="F557" s="2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6"/>
    </row>
    <row r="558" customHeight="1" spans="1:26">
      <c r="A558" s="4"/>
      <c r="B558" s="4"/>
      <c r="C558" s="4"/>
      <c r="D558" s="4"/>
      <c r="E558" s="29"/>
      <c r="F558" s="2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6"/>
    </row>
    <row r="559" customHeight="1" spans="1:26">
      <c r="A559" s="4"/>
      <c r="B559" s="4"/>
      <c r="C559" s="4"/>
      <c r="D559" s="4"/>
      <c r="E559" s="29"/>
      <c r="F559" s="2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6"/>
    </row>
    <row r="560" customHeight="1" spans="1:26">
      <c r="A560" s="4"/>
      <c r="B560" s="4"/>
      <c r="C560" s="4"/>
      <c r="D560" s="4"/>
      <c r="E560" s="29"/>
      <c r="F560" s="2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6"/>
    </row>
    <row r="561" customHeight="1" spans="1:26">
      <c r="A561" s="4"/>
      <c r="B561" s="4"/>
      <c r="C561" s="4"/>
      <c r="D561" s="4"/>
      <c r="E561" s="29"/>
      <c r="F561" s="2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6"/>
    </row>
    <row r="562" customHeight="1" spans="1:26">
      <c r="A562" s="4"/>
      <c r="B562" s="4"/>
      <c r="C562" s="4"/>
      <c r="D562" s="4"/>
      <c r="E562" s="29"/>
      <c r="F562" s="2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6"/>
    </row>
    <row r="563" customHeight="1" spans="1:26">
      <c r="A563" s="4"/>
      <c r="B563" s="4"/>
      <c r="C563" s="4"/>
      <c r="D563" s="4"/>
      <c r="E563" s="29"/>
      <c r="F563" s="2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6"/>
    </row>
    <row r="564" customHeight="1" spans="1:26">
      <c r="A564" s="4"/>
      <c r="B564" s="4"/>
      <c r="C564" s="4"/>
      <c r="D564" s="4"/>
      <c r="E564" s="29"/>
      <c r="F564" s="2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6"/>
    </row>
    <row r="565" customHeight="1" spans="1:26">
      <c r="A565" s="4"/>
      <c r="B565" s="4"/>
      <c r="C565" s="4"/>
      <c r="D565" s="4"/>
      <c r="E565" s="29"/>
      <c r="F565" s="2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6"/>
    </row>
    <row r="566" customHeight="1" spans="1:26">
      <c r="A566" s="4"/>
      <c r="B566" s="4"/>
      <c r="C566" s="4"/>
      <c r="D566" s="4"/>
      <c r="E566" s="29"/>
      <c r="F566" s="2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6"/>
    </row>
    <row r="567" customHeight="1" spans="1:26">
      <c r="A567" s="4"/>
      <c r="B567" s="4"/>
      <c r="C567" s="4"/>
      <c r="D567" s="4"/>
      <c r="E567" s="29"/>
      <c r="F567" s="2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6"/>
    </row>
    <row r="568" customHeight="1" spans="1:26">
      <c r="A568" s="4"/>
      <c r="B568" s="4"/>
      <c r="C568" s="4"/>
      <c r="D568" s="4"/>
      <c r="E568" s="29"/>
      <c r="F568" s="2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6"/>
    </row>
    <row r="569" customHeight="1" spans="1:26">
      <c r="A569" s="4"/>
      <c r="B569" s="4"/>
      <c r="C569" s="4"/>
      <c r="D569" s="4"/>
      <c r="E569" s="29"/>
      <c r="F569" s="2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6"/>
    </row>
    <row r="570" customHeight="1" spans="1:26">
      <c r="A570" s="4"/>
      <c r="B570" s="4"/>
      <c r="C570" s="4"/>
      <c r="D570" s="4"/>
      <c r="E570" s="29"/>
      <c r="F570" s="2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6"/>
    </row>
    <row r="571" customHeight="1" spans="1:26">
      <c r="A571" s="4"/>
      <c r="B571" s="4"/>
      <c r="C571" s="4"/>
      <c r="D571" s="4"/>
      <c r="E571" s="29"/>
      <c r="F571" s="2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6"/>
    </row>
    <row r="572" customHeight="1" spans="1:26">
      <c r="A572" s="4"/>
      <c r="B572" s="4"/>
      <c r="C572" s="4"/>
      <c r="D572" s="4"/>
      <c r="E572" s="29"/>
      <c r="F572" s="2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6"/>
    </row>
    <row r="573" customHeight="1" spans="1:26">
      <c r="A573" s="4"/>
      <c r="B573" s="4"/>
      <c r="C573" s="4"/>
      <c r="D573" s="4"/>
      <c r="E573" s="29"/>
      <c r="F573" s="2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6"/>
    </row>
    <row r="574" customHeight="1" spans="1:26">
      <c r="A574" s="4"/>
      <c r="B574" s="4"/>
      <c r="C574" s="4"/>
      <c r="D574" s="4"/>
      <c r="E574" s="29"/>
      <c r="F574" s="2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6"/>
    </row>
    <row r="575" customHeight="1" spans="1:26">
      <c r="A575" s="4"/>
      <c r="B575" s="4"/>
      <c r="C575" s="4"/>
      <c r="D575" s="4"/>
      <c r="E575" s="29"/>
      <c r="F575" s="2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6"/>
    </row>
    <row r="576" customHeight="1" spans="1:26">
      <c r="A576" s="4"/>
      <c r="B576" s="4"/>
      <c r="C576" s="4"/>
      <c r="D576" s="4"/>
      <c r="E576" s="29"/>
      <c r="F576" s="2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6"/>
    </row>
    <row r="577" customHeight="1" spans="1:26">
      <c r="A577" s="4"/>
      <c r="B577" s="4"/>
      <c r="C577" s="4"/>
      <c r="D577" s="4"/>
      <c r="E577" s="29"/>
      <c r="F577" s="2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6"/>
    </row>
    <row r="578" customHeight="1" spans="1:26">
      <c r="A578" s="4"/>
      <c r="B578" s="4"/>
      <c r="C578" s="4"/>
      <c r="D578" s="4"/>
      <c r="E578" s="29"/>
      <c r="F578" s="2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6"/>
    </row>
    <row r="579" customHeight="1" spans="1:26">
      <c r="A579" s="4"/>
      <c r="B579" s="4"/>
      <c r="C579" s="4"/>
      <c r="D579" s="4"/>
      <c r="E579" s="29"/>
      <c r="F579" s="2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6"/>
    </row>
    <row r="580" customHeight="1" spans="1:26">
      <c r="A580" s="4"/>
      <c r="B580" s="4"/>
      <c r="C580" s="4"/>
      <c r="D580" s="4"/>
      <c r="E580" s="29"/>
      <c r="F580" s="2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6"/>
    </row>
    <row r="581" customHeight="1" spans="1:26">
      <c r="A581" s="4"/>
      <c r="B581" s="4"/>
      <c r="C581" s="4"/>
      <c r="D581" s="4"/>
      <c r="E581" s="29"/>
      <c r="F581" s="2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6"/>
    </row>
    <row r="582" customHeight="1" spans="1:26">
      <c r="A582" s="4"/>
      <c r="B582" s="4"/>
      <c r="C582" s="4"/>
      <c r="D582" s="4"/>
      <c r="E582" s="29"/>
      <c r="F582" s="2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6"/>
    </row>
    <row r="583" customHeight="1" spans="1:26">
      <c r="A583" s="4"/>
      <c r="B583" s="4"/>
      <c r="C583" s="4"/>
      <c r="D583" s="4"/>
      <c r="E583" s="29"/>
      <c r="F583" s="2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6"/>
    </row>
    <row r="584" customHeight="1" spans="1:26">
      <c r="A584" s="4"/>
      <c r="B584" s="4"/>
      <c r="C584" s="4"/>
      <c r="D584" s="4"/>
      <c r="E584" s="29"/>
      <c r="F584" s="2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6"/>
    </row>
    <row r="585" customHeight="1" spans="1:26">
      <c r="A585" s="4"/>
      <c r="B585" s="4"/>
      <c r="C585" s="4"/>
      <c r="D585" s="4"/>
      <c r="E585" s="29"/>
      <c r="F585" s="2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6"/>
    </row>
    <row r="586" customHeight="1" spans="1:26">
      <c r="A586" s="4"/>
      <c r="B586" s="4"/>
      <c r="C586" s="4"/>
      <c r="D586" s="4"/>
      <c r="E586" s="29"/>
      <c r="F586" s="2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6"/>
    </row>
    <row r="587" customHeight="1" spans="1:26">
      <c r="A587" s="4"/>
      <c r="B587" s="4"/>
      <c r="C587" s="4"/>
      <c r="D587" s="4"/>
      <c r="E587" s="29"/>
      <c r="F587" s="2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6"/>
    </row>
    <row r="588" customHeight="1" spans="1:26">
      <c r="A588" s="4"/>
      <c r="B588" s="4"/>
      <c r="C588" s="4"/>
      <c r="D588" s="4"/>
      <c r="E588" s="29"/>
      <c r="F588" s="2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6"/>
    </row>
    <row r="589" customHeight="1" spans="1:26">
      <c r="A589" s="4"/>
      <c r="B589" s="4"/>
      <c r="C589" s="4"/>
      <c r="D589" s="4"/>
      <c r="E589" s="29"/>
      <c r="F589" s="2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6"/>
    </row>
    <row r="590" customHeight="1" spans="1:26">
      <c r="A590" s="4"/>
      <c r="B590" s="4"/>
      <c r="C590" s="4"/>
      <c r="D590" s="4"/>
      <c r="E590" s="29"/>
      <c r="F590" s="2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6"/>
    </row>
    <row r="591" customHeight="1" spans="1:26">
      <c r="A591" s="4"/>
      <c r="B591" s="4"/>
      <c r="C591" s="4"/>
      <c r="D591" s="4"/>
      <c r="E591" s="29"/>
      <c r="F591" s="2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6"/>
    </row>
    <row r="592" customHeight="1" spans="1:26">
      <c r="A592" s="4"/>
      <c r="B592" s="4"/>
      <c r="C592" s="4"/>
      <c r="D592" s="4"/>
      <c r="E592" s="29"/>
      <c r="F592" s="2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6"/>
    </row>
    <row r="593" customHeight="1" spans="1:26">
      <c r="A593" s="4"/>
      <c r="B593" s="4"/>
      <c r="C593" s="4"/>
      <c r="D593" s="4"/>
      <c r="E593" s="29"/>
      <c r="F593" s="2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6"/>
    </row>
    <row r="594" customHeight="1" spans="1:26">
      <c r="A594" s="4"/>
      <c r="B594" s="4"/>
      <c r="C594" s="4"/>
      <c r="D594" s="4"/>
      <c r="E594" s="29"/>
      <c r="F594" s="2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6"/>
    </row>
    <row r="595" customHeight="1" spans="1:26">
      <c r="A595" s="4"/>
      <c r="B595" s="4"/>
      <c r="C595" s="4"/>
      <c r="D595" s="4"/>
      <c r="E595" s="29"/>
      <c r="F595" s="2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6"/>
    </row>
    <row r="596" customHeight="1" spans="1:26">
      <c r="A596" s="4"/>
      <c r="B596" s="4"/>
      <c r="C596" s="4"/>
      <c r="D596" s="4"/>
      <c r="E596" s="29"/>
      <c r="F596" s="2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6"/>
    </row>
    <row r="597" customHeight="1" spans="1:26">
      <c r="A597" s="4"/>
      <c r="B597" s="4"/>
      <c r="C597" s="4"/>
      <c r="D597" s="4"/>
      <c r="E597" s="29"/>
      <c r="F597" s="2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6"/>
    </row>
    <row r="598" customHeight="1" spans="1:26">
      <c r="A598" s="4"/>
      <c r="B598" s="4"/>
      <c r="C598" s="4"/>
      <c r="D598" s="4"/>
      <c r="E598" s="29"/>
      <c r="F598" s="2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6"/>
    </row>
    <row r="599" customHeight="1" spans="1:26">
      <c r="A599" s="4"/>
      <c r="B599" s="4"/>
      <c r="C599" s="4"/>
      <c r="D599" s="4"/>
      <c r="E599" s="29"/>
      <c r="F599" s="2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6"/>
    </row>
    <row r="600" customHeight="1" spans="1:26">
      <c r="A600" s="4"/>
      <c r="B600" s="4"/>
      <c r="C600" s="4"/>
      <c r="D600" s="4"/>
      <c r="E600" s="29"/>
      <c r="F600" s="2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6"/>
    </row>
    <row r="601" customHeight="1" spans="1:26">
      <c r="A601" s="4"/>
      <c r="B601" s="4"/>
      <c r="C601" s="4"/>
      <c r="D601" s="4"/>
      <c r="E601" s="29"/>
      <c r="F601" s="2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6"/>
    </row>
    <row r="602" customHeight="1" spans="1:26">
      <c r="A602" s="4"/>
      <c r="B602" s="4"/>
      <c r="C602" s="4"/>
      <c r="D602" s="4"/>
      <c r="E602" s="29"/>
      <c r="F602" s="2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6"/>
    </row>
    <row r="603" customHeight="1" spans="1:26">
      <c r="A603" s="4"/>
      <c r="B603" s="4"/>
      <c r="C603" s="4"/>
      <c r="D603" s="4"/>
      <c r="E603" s="29"/>
      <c r="F603" s="2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6"/>
    </row>
    <row r="604" customHeight="1" spans="1:26">
      <c r="A604" s="4"/>
      <c r="B604" s="4"/>
      <c r="C604" s="4"/>
      <c r="D604" s="4"/>
      <c r="E604" s="29"/>
      <c r="F604" s="2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6"/>
    </row>
    <row r="605" customHeight="1" spans="1:26">
      <c r="A605" s="4"/>
      <c r="B605" s="4"/>
      <c r="C605" s="4"/>
      <c r="D605" s="4"/>
      <c r="E605" s="29"/>
      <c r="F605" s="2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6"/>
    </row>
    <row r="606" customHeight="1" spans="1:26">
      <c r="A606" s="4"/>
      <c r="B606" s="4"/>
      <c r="C606" s="4"/>
      <c r="D606" s="4"/>
      <c r="E606" s="29"/>
      <c r="F606" s="2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6"/>
    </row>
    <row r="607" customHeight="1" spans="1:26">
      <c r="A607" s="4"/>
      <c r="B607" s="4"/>
      <c r="C607" s="4"/>
      <c r="D607" s="4"/>
      <c r="E607" s="29"/>
      <c r="F607" s="2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6"/>
    </row>
    <row r="608" customHeight="1" spans="1:26">
      <c r="A608" s="4"/>
      <c r="B608" s="4"/>
      <c r="C608" s="4"/>
      <c r="D608" s="4"/>
      <c r="E608" s="29"/>
      <c r="F608" s="2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6"/>
    </row>
    <row r="609" customHeight="1" spans="1:26">
      <c r="A609" s="4"/>
      <c r="B609" s="4"/>
      <c r="C609" s="4"/>
      <c r="D609" s="4"/>
      <c r="E609" s="29"/>
      <c r="F609" s="2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6"/>
    </row>
    <row r="610" customHeight="1" spans="1:26">
      <c r="A610" s="4"/>
      <c r="B610" s="4"/>
      <c r="C610" s="4"/>
      <c r="D610" s="4"/>
      <c r="E610" s="29"/>
      <c r="F610" s="2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6"/>
    </row>
    <row r="611" customHeight="1" spans="1:26">
      <c r="A611" s="4"/>
      <c r="B611" s="4"/>
      <c r="C611" s="4"/>
      <c r="D611" s="4"/>
      <c r="E611" s="29"/>
      <c r="F611" s="2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6"/>
    </row>
    <row r="612" customHeight="1" spans="1:26">
      <c r="A612" s="4"/>
      <c r="B612" s="4"/>
      <c r="C612" s="4"/>
      <c r="D612" s="4"/>
      <c r="E612" s="29"/>
      <c r="F612" s="2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6"/>
    </row>
    <row r="613" customHeight="1" spans="1:26">
      <c r="A613" s="4"/>
      <c r="B613" s="4"/>
      <c r="C613" s="4"/>
      <c r="D613" s="4"/>
      <c r="E613" s="29"/>
      <c r="F613" s="2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6"/>
    </row>
    <row r="614" customHeight="1" spans="1:26">
      <c r="A614" s="4"/>
      <c r="B614" s="4"/>
      <c r="C614" s="4"/>
      <c r="D614" s="4"/>
      <c r="E614" s="29"/>
      <c r="F614" s="2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6"/>
    </row>
    <row r="615" customHeight="1" spans="1:26">
      <c r="A615" s="4"/>
      <c r="B615" s="4"/>
      <c r="C615" s="4"/>
      <c r="D615" s="4"/>
      <c r="E615" s="29"/>
      <c r="F615" s="2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6"/>
    </row>
    <row r="616" customHeight="1" spans="1:26">
      <c r="A616" s="4"/>
      <c r="B616" s="4"/>
      <c r="C616" s="4"/>
      <c r="D616" s="4"/>
      <c r="E616" s="29"/>
      <c r="F616" s="2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6"/>
    </row>
    <row r="617" customHeight="1" spans="1:26">
      <c r="A617" s="4"/>
      <c r="B617" s="4"/>
      <c r="C617" s="4"/>
      <c r="D617" s="4"/>
      <c r="E617" s="29"/>
      <c r="F617" s="2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6"/>
    </row>
    <row r="618" customHeight="1" spans="1:26">
      <c r="A618" s="4"/>
      <c r="B618" s="4"/>
      <c r="C618" s="4"/>
      <c r="D618" s="4"/>
      <c r="E618" s="29"/>
      <c r="F618" s="2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6"/>
    </row>
    <row r="619" customHeight="1" spans="1:26">
      <c r="A619" s="4"/>
      <c r="B619" s="4"/>
      <c r="C619" s="4"/>
      <c r="D619" s="4"/>
      <c r="E619" s="29"/>
      <c r="F619" s="2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6"/>
    </row>
    <row r="620" customHeight="1" spans="1:26">
      <c r="A620" s="4"/>
      <c r="B620" s="4"/>
      <c r="C620" s="4"/>
      <c r="D620" s="4"/>
      <c r="E620" s="29"/>
      <c r="F620" s="2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6"/>
    </row>
    <row r="621" customHeight="1" spans="1:26">
      <c r="A621" s="4"/>
      <c r="B621" s="4"/>
      <c r="C621" s="4"/>
      <c r="D621" s="4"/>
      <c r="E621" s="29"/>
      <c r="F621" s="2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6"/>
    </row>
    <row r="622" customHeight="1" spans="1:26">
      <c r="A622" s="4"/>
      <c r="B622" s="4"/>
      <c r="C622" s="4"/>
      <c r="D622" s="4"/>
      <c r="E622" s="29"/>
      <c r="F622" s="2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6"/>
    </row>
    <row r="623" customHeight="1" spans="1:26">
      <c r="A623" s="4"/>
      <c r="B623" s="4"/>
      <c r="C623" s="4"/>
      <c r="D623" s="4"/>
      <c r="E623" s="29"/>
      <c r="F623" s="2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6"/>
    </row>
    <row r="624" customHeight="1" spans="1:26">
      <c r="A624" s="4"/>
      <c r="B624" s="4"/>
      <c r="C624" s="4"/>
      <c r="D624" s="4"/>
      <c r="E624" s="29"/>
      <c r="F624" s="2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6"/>
    </row>
    <row r="625" customHeight="1" spans="1:26">
      <c r="A625" s="4"/>
      <c r="B625" s="4"/>
      <c r="C625" s="4"/>
      <c r="D625" s="4"/>
      <c r="E625" s="29"/>
      <c r="F625" s="2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6"/>
    </row>
    <row r="626" customHeight="1" spans="1:26">
      <c r="A626" s="4"/>
      <c r="B626" s="4"/>
      <c r="C626" s="4"/>
      <c r="D626" s="4"/>
      <c r="E626" s="29"/>
      <c r="F626" s="2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6"/>
    </row>
    <row r="627" customHeight="1" spans="1:26">
      <c r="A627" s="4"/>
      <c r="B627" s="4"/>
      <c r="C627" s="4"/>
      <c r="D627" s="4"/>
      <c r="E627" s="29"/>
      <c r="F627" s="2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6"/>
    </row>
    <row r="628" customHeight="1" spans="1:26">
      <c r="A628" s="4"/>
      <c r="B628" s="4"/>
      <c r="C628" s="4"/>
      <c r="D628" s="4"/>
      <c r="E628" s="29"/>
      <c r="F628" s="2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6"/>
    </row>
    <row r="629" customHeight="1" spans="1:26">
      <c r="A629" s="4"/>
      <c r="B629" s="4"/>
      <c r="C629" s="4"/>
      <c r="D629" s="4"/>
      <c r="E629" s="29"/>
      <c r="F629" s="2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6"/>
    </row>
    <row r="630" customHeight="1" spans="1:26">
      <c r="A630" s="4"/>
      <c r="B630" s="4"/>
      <c r="C630" s="4"/>
      <c r="D630" s="4"/>
      <c r="E630" s="29"/>
      <c r="F630" s="2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6"/>
    </row>
    <row r="631" customHeight="1" spans="1:26">
      <c r="A631" s="4"/>
      <c r="B631" s="4"/>
      <c r="C631" s="4"/>
      <c r="D631" s="4"/>
      <c r="E631" s="29"/>
      <c r="F631" s="2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6"/>
    </row>
    <row r="632" customHeight="1" spans="1:26">
      <c r="A632" s="4"/>
      <c r="B632" s="4"/>
      <c r="C632" s="4"/>
      <c r="D632" s="4"/>
      <c r="E632" s="29"/>
      <c r="F632" s="2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6"/>
    </row>
    <row r="633" customHeight="1" spans="1:26">
      <c r="A633" s="4"/>
      <c r="B633" s="4"/>
      <c r="C633" s="4"/>
      <c r="D633" s="4"/>
      <c r="E633" s="29"/>
      <c r="F633" s="2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6"/>
    </row>
    <row r="634" customHeight="1" spans="1:26">
      <c r="A634" s="4"/>
      <c r="B634" s="4"/>
      <c r="C634" s="4"/>
      <c r="D634" s="4"/>
      <c r="E634" s="29"/>
      <c r="F634" s="2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6"/>
    </row>
    <row r="635" customHeight="1" spans="1:26">
      <c r="A635" s="4"/>
      <c r="B635" s="4"/>
      <c r="C635" s="4"/>
      <c r="D635" s="4"/>
      <c r="E635" s="29"/>
      <c r="F635" s="2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6"/>
    </row>
    <row r="636" customHeight="1" spans="1:26">
      <c r="A636" s="4"/>
      <c r="B636" s="4"/>
      <c r="C636" s="4"/>
      <c r="D636" s="4"/>
      <c r="E636" s="29"/>
      <c r="F636" s="2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6"/>
    </row>
    <row r="637" customHeight="1" spans="1:26">
      <c r="A637" s="4"/>
      <c r="B637" s="4"/>
      <c r="C637" s="4"/>
      <c r="D637" s="4"/>
      <c r="E637" s="29"/>
      <c r="F637" s="2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6"/>
    </row>
    <row r="638" customHeight="1" spans="1:26">
      <c r="A638" s="4"/>
      <c r="B638" s="4"/>
      <c r="C638" s="4"/>
      <c r="D638" s="4"/>
      <c r="E638" s="29"/>
      <c r="F638" s="2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6"/>
    </row>
    <row r="639" customHeight="1" spans="1:26">
      <c r="A639" s="4"/>
      <c r="B639" s="4"/>
      <c r="C639" s="4"/>
      <c r="D639" s="4"/>
      <c r="E639" s="29"/>
      <c r="F639" s="2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6"/>
    </row>
    <row r="640" customHeight="1" spans="1:26">
      <c r="A640" s="4"/>
      <c r="B640" s="4"/>
      <c r="C640" s="4"/>
      <c r="D640" s="4"/>
      <c r="E640" s="29"/>
      <c r="F640" s="2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6"/>
    </row>
    <row r="641" customHeight="1" spans="1:26">
      <c r="A641" s="4"/>
      <c r="B641" s="4"/>
      <c r="C641" s="4"/>
      <c r="D641" s="4"/>
      <c r="E641" s="29"/>
      <c r="F641" s="2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6"/>
    </row>
    <row r="642" customHeight="1" spans="1:26">
      <c r="A642" s="4"/>
      <c r="B642" s="4"/>
      <c r="C642" s="4"/>
      <c r="D642" s="4"/>
      <c r="E642" s="29"/>
      <c r="F642" s="2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6"/>
    </row>
    <row r="643" customHeight="1" spans="1:26">
      <c r="A643" s="4"/>
      <c r="B643" s="4"/>
      <c r="C643" s="4"/>
      <c r="D643" s="4"/>
      <c r="E643" s="29"/>
      <c r="F643" s="2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6"/>
    </row>
    <row r="644" customHeight="1" spans="1:26">
      <c r="A644" s="4"/>
      <c r="B644" s="4"/>
      <c r="C644" s="4"/>
      <c r="D644" s="4"/>
      <c r="E644" s="29"/>
      <c r="F644" s="2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6"/>
    </row>
    <row r="645" customHeight="1" spans="1:26">
      <c r="A645" s="4"/>
      <c r="B645" s="4"/>
      <c r="C645" s="4"/>
      <c r="D645" s="4"/>
      <c r="E645" s="29"/>
      <c r="F645" s="2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6"/>
    </row>
    <row r="646" customHeight="1" spans="1:26">
      <c r="A646" s="4"/>
      <c r="B646" s="4"/>
      <c r="C646" s="4"/>
      <c r="D646" s="4"/>
      <c r="E646" s="29"/>
      <c r="F646" s="2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6"/>
    </row>
    <row r="647" customHeight="1" spans="1:26">
      <c r="A647" s="4"/>
      <c r="B647" s="4"/>
      <c r="C647" s="4"/>
      <c r="D647" s="4"/>
      <c r="E647" s="29"/>
      <c r="F647" s="2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6"/>
    </row>
    <row r="648" customHeight="1" spans="1:26">
      <c r="A648" s="4"/>
      <c r="B648" s="4"/>
      <c r="C648" s="4"/>
      <c r="D648" s="4"/>
      <c r="E648" s="29"/>
      <c r="F648" s="2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6"/>
    </row>
    <row r="649" customHeight="1" spans="1:26">
      <c r="A649" s="4"/>
      <c r="B649" s="4"/>
      <c r="C649" s="4"/>
      <c r="D649" s="4"/>
      <c r="E649" s="29"/>
      <c r="F649" s="2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6"/>
    </row>
    <row r="650" customHeight="1" spans="1:26">
      <c r="A650" s="4"/>
      <c r="B650" s="4"/>
      <c r="C650" s="4"/>
      <c r="D650" s="4"/>
      <c r="E650" s="29"/>
      <c r="F650" s="2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6"/>
    </row>
    <row r="651" customHeight="1" spans="1:26">
      <c r="A651" s="4"/>
      <c r="B651" s="4"/>
      <c r="C651" s="4"/>
      <c r="D651" s="4"/>
      <c r="E651" s="29"/>
      <c r="F651" s="2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6"/>
    </row>
    <row r="652" customHeight="1" spans="1:26">
      <c r="A652" s="4"/>
      <c r="B652" s="4"/>
      <c r="C652" s="4"/>
      <c r="D652" s="4"/>
      <c r="E652" s="29"/>
      <c r="F652" s="2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6"/>
    </row>
    <row r="653" customHeight="1" spans="1:26">
      <c r="A653" s="4"/>
      <c r="B653" s="4"/>
      <c r="C653" s="4"/>
      <c r="D653" s="4"/>
      <c r="E653" s="29"/>
      <c r="F653" s="2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6"/>
    </row>
    <row r="654" customHeight="1" spans="1:26">
      <c r="A654" s="4"/>
      <c r="B654" s="4"/>
      <c r="C654" s="4"/>
      <c r="D654" s="4"/>
      <c r="E654" s="29"/>
      <c r="F654" s="2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6"/>
    </row>
    <row r="655" customHeight="1" spans="1:26">
      <c r="A655" s="4"/>
      <c r="B655" s="4"/>
      <c r="C655" s="4"/>
      <c r="D655" s="4"/>
      <c r="E655" s="29"/>
      <c r="F655" s="2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6"/>
    </row>
    <row r="656" customHeight="1" spans="1:26">
      <c r="A656" s="4"/>
      <c r="B656" s="4"/>
      <c r="C656" s="4"/>
      <c r="D656" s="4"/>
      <c r="E656" s="29"/>
      <c r="F656" s="2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6"/>
    </row>
    <row r="657" customHeight="1" spans="1:26">
      <c r="A657" s="4"/>
      <c r="B657" s="4"/>
      <c r="C657" s="4"/>
      <c r="D657" s="4"/>
      <c r="E657" s="29"/>
      <c r="F657" s="2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6"/>
    </row>
    <row r="658" customHeight="1" spans="1:26">
      <c r="A658" s="4"/>
      <c r="B658" s="4"/>
      <c r="C658" s="4"/>
      <c r="D658" s="4"/>
      <c r="E658" s="29"/>
      <c r="F658" s="2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6"/>
    </row>
    <row r="659" customHeight="1" spans="1:26">
      <c r="A659" s="4"/>
      <c r="B659" s="4"/>
      <c r="C659" s="4"/>
      <c r="D659" s="4"/>
      <c r="E659" s="29"/>
      <c r="F659" s="2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6"/>
    </row>
    <row r="660" customHeight="1" spans="1:26">
      <c r="A660" s="4"/>
      <c r="B660" s="4"/>
      <c r="C660" s="4"/>
      <c r="D660" s="4"/>
      <c r="E660" s="29"/>
      <c r="F660" s="2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6"/>
    </row>
    <row r="661" customHeight="1" spans="1:26">
      <c r="A661" s="4"/>
      <c r="B661" s="4"/>
      <c r="C661" s="4"/>
      <c r="D661" s="4"/>
      <c r="E661" s="29"/>
      <c r="F661" s="2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6"/>
    </row>
    <row r="662" customHeight="1" spans="1:26">
      <c r="A662" s="4"/>
      <c r="B662" s="4"/>
      <c r="C662" s="4"/>
      <c r="D662" s="4"/>
      <c r="E662" s="29"/>
      <c r="F662" s="2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6"/>
    </row>
    <row r="663" customHeight="1" spans="1:26">
      <c r="A663" s="4"/>
      <c r="B663" s="4"/>
      <c r="C663" s="4"/>
      <c r="D663" s="4"/>
      <c r="E663" s="29"/>
      <c r="F663" s="2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6"/>
    </row>
    <row r="664" customHeight="1" spans="1:26">
      <c r="A664" s="4"/>
      <c r="B664" s="4"/>
      <c r="C664" s="4"/>
      <c r="D664" s="4"/>
      <c r="E664" s="29"/>
      <c r="F664" s="2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6"/>
    </row>
    <row r="665" customHeight="1" spans="1:26">
      <c r="A665" s="4"/>
      <c r="B665" s="4"/>
      <c r="C665" s="4"/>
      <c r="D665" s="4"/>
      <c r="E665" s="29"/>
      <c r="F665" s="2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6"/>
    </row>
    <row r="666" customHeight="1" spans="1:26">
      <c r="A666" s="4"/>
      <c r="B666" s="4"/>
      <c r="C666" s="4"/>
      <c r="D666" s="4"/>
      <c r="E666" s="29"/>
      <c r="F666" s="2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6"/>
    </row>
    <row r="667" customHeight="1" spans="1:26">
      <c r="A667" s="4"/>
      <c r="B667" s="4"/>
      <c r="C667" s="4"/>
      <c r="D667" s="4"/>
      <c r="E667" s="29"/>
      <c r="F667" s="2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6"/>
    </row>
    <row r="668" customHeight="1" spans="1:26">
      <c r="A668" s="4"/>
      <c r="B668" s="4"/>
      <c r="C668" s="4"/>
      <c r="D668" s="4"/>
      <c r="E668" s="29"/>
      <c r="F668" s="2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6"/>
    </row>
    <row r="669" customHeight="1" spans="1:26">
      <c r="A669" s="4"/>
      <c r="B669" s="4"/>
      <c r="C669" s="4"/>
      <c r="D669" s="4"/>
      <c r="E669" s="29"/>
      <c r="F669" s="2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6"/>
    </row>
    <row r="670" customHeight="1" spans="1:26">
      <c r="A670" s="4"/>
      <c r="B670" s="4"/>
      <c r="C670" s="4"/>
      <c r="D670" s="4"/>
      <c r="E670" s="29"/>
      <c r="F670" s="2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6"/>
    </row>
    <row r="671" customHeight="1" spans="1:26">
      <c r="A671" s="4"/>
      <c r="B671" s="4"/>
      <c r="C671" s="4"/>
      <c r="D671" s="4"/>
      <c r="E671" s="29"/>
      <c r="F671" s="2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6"/>
    </row>
    <row r="672" customHeight="1" spans="1:26">
      <c r="A672" s="4"/>
      <c r="B672" s="4"/>
      <c r="C672" s="4"/>
      <c r="D672" s="4"/>
      <c r="E672" s="29"/>
      <c r="F672" s="2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6"/>
    </row>
    <row r="673" customHeight="1" spans="1:26">
      <c r="A673" s="4"/>
      <c r="B673" s="4"/>
      <c r="C673" s="4"/>
      <c r="D673" s="4"/>
      <c r="E673" s="29"/>
      <c r="F673" s="2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6"/>
    </row>
    <row r="674" customHeight="1" spans="1:26">
      <c r="A674" s="4"/>
      <c r="B674" s="4"/>
      <c r="C674" s="4"/>
      <c r="D674" s="4"/>
      <c r="E674" s="29"/>
      <c r="F674" s="2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6"/>
    </row>
    <row r="675" customHeight="1" spans="1:26">
      <c r="A675" s="4"/>
      <c r="B675" s="4"/>
      <c r="C675" s="4"/>
      <c r="D675" s="4"/>
      <c r="E675" s="29"/>
      <c r="F675" s="2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6"/>
    </row>
    <row r="676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6"/>
    </row>
    <row r="677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6"/>
    </row>
    <row r="678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6"/>
    </row>
    <row r="679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6"/>
    </row>
    <row r="680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6"/>
    </row>
    <row r="681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6"/>
    </row>
    <row r="682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6"/>
    </row>
    <row r="683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6"/>
    </row>
    <row r="684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6"/>
    </row>
    <row r="68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6"/>
    </row>
    <row r="686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6"/>
    </row>
    <row r="687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6"/>
    </row>
    <row r="688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6"/>
    </row>
    <row r="689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6"/>
    </row>
    <row r="690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6"/>
    </row>
    <row r="691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6"/>
    </row>
    <row r="692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6"/>
    </row>
    <row r="693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6"/>
    </row>
    <row r="694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6"/>
    </row>
    <row r="69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6"/>
    </row>
    <row r="696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6"/>
    </row>
    <row r="697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6"/>
    </row>
    <row r="698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6"/>
    </row>
    <row r="699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6"/>
    </row>
    <row r="700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6"/>
    </row>
    <row r="701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6"/>
    </row>
    <row r="702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6"/>
    </row>
    <row r="703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6"/>
    </row>
    <row r="704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6"/>
    </row>
    <row r="70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6"/>
    </row>
    <row r="706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6"/>
    </row>
    <row r="707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6"/>
    </row>
    <row r="708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6"/>
    </row>
    <row r="709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6"/>
    </row>
    <row r="710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6"/>
    </row>
    <row r="711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6"/>
    </row>
    <row r="712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6"/>
    </row>
    <row r="713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6"/>
    </row>
    <row r="714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6"/>
    </row>
    <row r="71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6"/>
    </row>
    <row r="716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6"/>
    </row>
    <row r="717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6"/>
    </row>
    <row r="718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6"/>
    </row>
    <row r="719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6"/>
    </row>
    <row r="720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6"/>
    </row>
    <row r="721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6"/>
    </row>
    <row r="722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6"/>
    </row>
    <row r="723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6"/>
    </row>
    <row r="724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6"/>
    </row>
    <row r="72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6"/>
    </row>
    <row r="726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6"/>
    </row>
    <row r="727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6"/>
    </row>
    <row r="728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6"/>
    </row>
    <row r="729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6"/>
    </row>
    <row r="730" customHeight="1" spans="1:26">
      <c r="A730" s="4"/>
      <c r="B730" s="4"/>
      <c r="C730" s="4"/>
      <c r="D730" s="4"/>
      <c r="E730" s="29"/>
      <c r="F730" s="2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6"/>
    </row>
    <row r="731" customHeight="1" spans="1:26">
      <c r="A731" s="4"/>
      <c r="B731" s="4"/>
      <c r="C731" s="4"/>
      <c r="D731" s="4"/>
      <c r="E731" s="29"/>
      <c r="F731" s="2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6"/>
    </row>
    <row r="732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6"/>
    </row>
    <row r="733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6"/>
    </row>
    <row r="734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6"/>
    </row>
    <row r="73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6"/>
    </row>
    <row r="736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6"/>
    </row>
    <row r="737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6"/>
    </row>
    <row r="738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6"/>
    </row>
    <row r="739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6"/>
    </row>
    <row r="740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6"/>
    </row>
    <row r="741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6"/>
    </row>
    <row r="742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6"/>
    </row>
    <row r="743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6"/>
    </row>
    <row r="744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6"/>
    </row>
    <row r="74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6"/>
    </row>
    <row r="746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6"/>
    </row>
    <row r="747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6"/>
    </row>
    <row r="748" customHeight="1" spans="1:26">
      <c r="A748" s="4"/>
      <c r="B748" s="4"/>
      <c r="C748" s="4"/>
      <c r="D748" s="4"/>
      <c r="E748" s="29"/>
      <c r="F748" s="2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6"/>
    </row>
    <row r="749" customHeight="1" spans="1:26">
      <c r="A749" s="4"/>
      <c r="B749" s="4"/>
      <c r="C749" s="4"/>
      <c r="D749" s="4"/>
      <c r="E749" s="29"/>
      <c r="F749" s="2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6"/>
    </row>
    <row r="750" customHeight="1" spans="1:26">
      <c r="A750" s="4"/>
      <c r="B750" s="4"/>
      <c r="C750" s="4"/>
      <c r="D750" s="4"/>
      <c r="E750" s="29"/>
      <c r="F750" s="2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6"/>
    </row>
    <row r="751" customHeight="1" spans="1:26">
      <c r="A751" s="4"/>
      <c r="B751" s="4"/>
      <c r="C751" s="4"/>
      <c r="D751" s="4"/>
      <c r="E751" s="29"/>
      <c r="F751" s="2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6"/>
    </row>
    <row r="752" customHeight="1" spans="1:26">
      <c r="A752" s="4"/>
      <c r="B752" s="4"/>
      <c r="C752" s="4"/>
      <c r="D752" s="4"/>
      <c r="E752" s="29"/>
      <c r="F752" s="2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6"/>
    </row>
    <row r="753" customHeight="1" spans="1:26">
      <c r="A753" s="4"/>
      <c r="B753" s="4"/>
      <c r="C753" s="4"/>
      <c r="D753" s="4"/>
      <c r="E753" s="29"/>
      <c r="F753" s="2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6"/>
    </row>
    <row r="754" customHeight="1" spans="1:26">
      <c r="A754" s="4"/>
      <c r="B754" s="4"/>
      <c r="C754" s="4"/>
      <c r="D754" s="4"/>
      <c r="E754" s="29"/>
      <c r="F754" s="2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6"/>
    </row>
    <row r="755" customHeight="1" spans="1:26">
      <c r="A755" s="4"/>
      <c r="B755" s="4"/>
      <c r="C755" s="4"/>
      <c r="D755" s="4"/>
      <c r="E755" s="29"/>
      <c r="F755" s="2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6"/>
    </row>
    <row r="756" customHeight="1" spans="1:26">
      <c r="A756" s="4"/>
      <c r="B756" s="4"/>
      <c r="C756" s="4"/>
      <c r="D756" s="4"/>
      <c r="E756" s="29"/>
      <c r="F756" s="2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6"/>
    </row>
    <row r="757" customHeight="1" spans="1:26">
      <c r="A757" s="4"/>
      <c r="B757" s="4"/>
      <c r="C757" s="4"/>
      <c r="D757" s="4"/>
      <c r="E757" s="29"/>
      <c r="F757" s="2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6"/>
    </row>
    <row r="758" customHeight="1" spans="1:26">
      <c r="A758" s="4"/>
      <c r="B758" s="4"/>
      <c r="C758" s="4"/>
      <c r="D758" s="4"/>
      <c r="E758" s="29"/>
      <c r="F758" s="2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6"/>
    </row>
    <row r="759" customHeight="1" spans="1:26">
      <c r="A759" s="4"/>
      <c r="B759" s="4"/>
      <c r="C759" s="4"/>
      <c r="D759" s="4"/>
      <c r="E759" s="29"/>
      <c r="F759" s="2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6"/>
    </row>
    <row r="760" customHeight="1" spans="1:26">
      <c r="A760" s="4"/>
      <c r="B760" s="4"/>
      <c r="C760" s="4"/>
      <c r="D760" s="4"/>
      <c r="E760" s="29"/>
      <c r="F760" s="2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6"/>
    </row>
    <row r="761" customHeight="1" spans="1:26">
      <c r="A761" s="4"/>
      <c r="B761" s="4"/>
      <c r="C761" s="4"/>
      <c r="D761" s="4"/>
      <c r="E761" s="29"/>
      <c r="F761" s="2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6"/>
    </row>
    <row r="762" customHeight="1" spans="1:26">
      <c r="A762" s="4"/>
      <c r="B762" s="4"/>
      <c r="C762" s="4"/>
      <c r="D762" s="4"/>
      <c r="E762" s="29"/>
      <c r="F762" s="2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6"/>
    </row>
    <row r="763" customHeight="1" spans="1:26">
      <c r="A763" s="4"/>
      <c r="B763" s="4"/>
      <c r="C763" s="4"/>
      <c r="D763" s="4"/>
      <c r="E763" s="29"/>
      <c r="F763" s="2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6"/>
    </row>
    <row r="764" customHeight="1" spans="1:26">
      <c r="A764" s="4"/>
      <c r="B764" s="4"/>
      <c r="C764" s="4"/>
      <c r="D764" s="4"/>
      <c r="E764" s="29"/>
      <c r="F764" s="2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6"/>
    </row>
    <row r="765" customHeight="1" spans="1:26">
      <c r="A765" s="4"/>
      <c r="B765" s="4"/>
      <c r="C765" s="4"/>
      <c r="D765" s="4"/>
      <c r="E765" s="29"/>
      <c r="F765" s="2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6"/>
    </row>
    <row r="766" customHeight="1" spans="1:26">
      <c r="A766" s="4"/>
      <c r="B766" s="4"/>
      <c r="C766" s="4"/>
      <c r="D766" s="4"/>
      <c r="E766" s="29"/>
      <c r="F766" s="2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6"/>
    </row>
    <row r="767" customHeight="1" spans="1:26">
      <c r="A767" s="4"/>
      <c r="B767" s="4"/>
      <c r="C767" s="4"/>
      <c r="D767" s="4"/>
      <c r="E767" s="29"/>
      <c r="F767" s="2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6"/>
    </row>
    <row r="768" customHeight="1" spans="1:26">
      <c r="A768" s="4"/>
      <c r="B768" s="4"/>
      <c r="C768" s="4"/>
      <c r="D768" s="4"/>
      <c r="E768" s="29"/>
      <c r="F768" s="2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6"/>
    </row>
    <row r="769" customHeight="1" spans="1:26">
      <c r="A769" s="4"/>
      <c r="B769" s="4"/>
      <c r="C769" s="4"/>
      <c r="D769" s="4"/>
      <c r="E769" s="29"/>
      <c r="F769" s="2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6"/>
    </row>
    <row r="770" customHeight="1" spans="1:26">
      <c r="A770" s="4"/>
      <c r="B770" s="4"/>
      <c r="C770" s="4"/>
      <c r="D770" s="4"/>
      <c r="E770" s="29"/>
      <c r="F770" s="2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6"/>
    </row>
    <row r="771" customHeight="1" spans="1:26">
      <c r="A771" s="4"/>
      <c r="B771" s="4"/>
      <c r="C771" s="4"/>
      <c r="D771" s="4"/>
      <c r="E771" s="29"/>
      <c r="F771" s="2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6"/>
    </row>
    <row r="772" customHeight="1" spans="1:26">
      <c r="A772" s="4"/>
      <c r="B772" s="4"/>
      <c r="C772" s="4"/>
      <c r="D772" s="4"/>
      <c r="E772" s="29"/>
      <c r="F772" s="2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6"/>
    </row>
    <row r="773" customHeight="1" spans="1:26">
      <c r="A773" s="4"/>
      <c r="B773" s="4"/>
      <c r="C773" s="4"/>
      <c r="D773" s="4"/>
      <c r="E773" s="29"/>
      <c r="F773" s="2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6"/>
    </row>
    <row r="774" customHeight="1" spans="1:26">
      <c r="A774" s="4"/>
      <c r="B774" s="4"/>
      <c r="C774" s="4"/>
      <c r="D774" s="4"/>
      <c r="E774" s="29"/>
      <c r="F774" s="2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6"/>
    </row>
    <row r="775" customHeight="1" spans="1:26">
      <c r="A775" s="4"/>
      <c r="B775" s="4"/>
      <c r="C775" s="4"/>
      <c r="D775" s="4"/>
      <c r="E775" s="29"/>
      <c r="F775" s="2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6"/>
    </row>
    <row r="776" customHeight="1" spans="1:26">
      <c r="A776" s="4"/>
      <c r="B776" s="4"/>
      <c r="C776" s="4"/>
      <c r="D776" s="4"/>
      <c r="E776" s="29"/>
      <c r="F776" s="2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6"/>
    </row>
    <row r="777" customHeight="1" spans="1:26">
      <c r="A777" s="4"/>
      <c r="B777" s="4"/>
      <c r="C777" s="4"/>
      <c r="D777" s="4"/>
      <c r="E777" s="29"/>
      <c r="F777" s="2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6"/>
    </row>
    <row r="778" customHeight="1" spans="1:26">
      <c r="A778" s="4"/>
      <c r="B778" s="4"/>
      <c r="C778" s="4"/>
      <c r="D778" s="4"/>
      <c r="E778" s="29"/>
      <c r="F778" s="2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6"/>
    </row>
    <row r="779" customHeight="1" spans="1:26">
      <c r="A779" s="4"/>
      <c r="B779" s="4"/>
      <c r="C779" s="4"/>
      <c r="D779" s="4"/>
      <c r="E779" s="29"/>
      <c r="F779" s="2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6"/>
    </row>
    <row r="780" customHeight="1" spans="1:26">
      <c r="A780" s="4"/>
      <c r="B780" s="4"/>
      <c r="C780" s="4"/>
      <c r="D780" s="4"/>
      <c r="E780" s="29"/>
      <c r="F780" s="2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6"/>
    </row>
    <row r="781" customHeight="1" spans="1:26">
      <c r="A781" s="4"/>
      <c r="B781" s="4"/>
      <c r="C781" s="4"/>
      <c r="D781" s="4"/>
      <c r="E781" s="29"/>
      <c r="F781" s="2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6"/>
    </row>
    <row r="782" customHeight="1" spans="1:26">
      <c r="A782" s="4"/>
      <c r="B782" s="4"/>
      <c r="C782" s="4"/>
      <c r="D782" s="4"/>
      <c r="E782" s="29"/>
      <c r="F782" s="2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6"/>
    </row>
    <row r="783" customHeight="1" spans="1:26">
      <c r="A783" s="4"/>
      <c r="B783" s="4"/>
      <c r="C783" s="4"/>
      <c r="D783" s="4"/>
      <c r="E783" s="29"/>
      <c r="F783" s="2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6"/>
    </row>
    <row r="784" customHeight="1" spans="1:26">
      <c r="A784" s="4"/>
      <c r="B784" s="4"/>
      <c r="C784" s="4"/>
      <c r="D784" s="4"/>
      <c r="E784" s="29"/>
      <c r="F784" s="2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6"/>
    </row>
    <row r="785" customHeight="1" spans="1:26">
      <c r="A785" s="4"/>
      <c r="B785" s="4"/>
      <c r="C785" s="4"/>
      <c r="D785" s="4"/>
      <c r="E785" s="29"/>
      <c r="F785" s="2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6"/>
    </row>
    <row r="786" customHeight="1" spans="1:26">
      <c r="A786" s="4"/>
      <c r="B786" s="4"/>
      <c r="C786" s="4"/>
      <c r="D786" s="4"/>
      <c r="E786" s="29"/>
      <c r="F786" s="2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6"/>
    </row>
    <row r="787" customHeight="1" spans="1:26">
      <c r="A787" s="4"/>
      <c r="B787" s="4"/>
      <c r="C787" s="4"/>
      <c r="D787" s="4"/>
      <c r="E787" s="29"/>
      <c r="F787" s="2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6"/>
    </row>
    <row r="788" customHeight="1" spans="1:26">
      <c r="A788" s="4"/>
      <c r="B788" s="4"/>
      <c r="C788" s="4"/>
      <c r="D788" s="4"/>
      <c r="E788" s="29"/>
      <c r="F788" s="2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6"/>
    </row>
    <row r="789" customHeight="1" spans="1:26">
      <c r="A789" s="4"/>
      <c r="B789" s="4"/>
      <c r="C789" s="4"/>
      <c r="D789" s="4"/>
      <c r="E789" s="29"/>
      <c r="F789" s="2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6"/>
    </row>
    <row r="790" customHeight="1" spans="1:26">
      <c r="A790" s="4"/>
      <c r="B790" s="4"/>
      <c r="C790" s="4"/>
      <c r="D790" s="4"/>
      <c r="E790" s="29"/>
      <c r="F790" s="2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6"/>
    </row>
    <row r="791" customHeight="1" spans="1:26">
      <c r="A791" s="4"/>
      <c r="B791" s="4"/>
      <c r="C791" s="4"/>
      <c r="D791" s="4"/>
      <c r="E791" s="29"/>
      <c r="F791" s="2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6"/>
    </row>
    <row r="792" customHeight="1" spans="1:26">
      <c r="A792" s="4"/>
      <c r="B792" s="4"/>
      <c r="C792" s="4"/>
      <c r="D792" s="4"/>
      <c r="E792" s="29"/>
      <c r="F792" s="2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6"/>
    </row>
    <row r="793" customHeight="1" spans="1:26">
      <c r="A793" s="4"/>
      <c r="B793" s="4"/>
      <c r="C793" s="4"/>
      <c r="D793" s="4"/>
      <c r="E793" s="29"/>
      <c r="F793" s="2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6"/>
    </row>
    <row r="794" customHeight="1" spans="1:26">
      <c r="A794" s="4"/>
      <c r="B794" s="4"/>
      <c r="C794" s="4"/>
      <c r="D794" s="4"/>
      <c r="E794" s="29"/>
      <c r="F794" s="2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6"/>
    </row>
    <row r="795" customHeight="1" spans="1:26">
      <c r="A795" s="4"/>
      <c r="B795" s="4"/>
      <c r="C795" s="4"/>
      <c r="D795" s="4"/>
      <c r="E795" s="29"/>
      <c r="F795" s="2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6"/>
    </row>
    <row r="796" customHeight="1" spans="1:26">
      <c r="A796" s="4"/>
      <c r="B796" s="4"/>
      <c r="C796" s="4"/>
      <c r="D796" s="4"/>
      <c r="E796" s="29"/>
      <c r="F796" s="2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6"/>
    </row>
    <row r="797" customHeight="1" spans="1:26">
      <c r="A797" s="4"/>
      <c r="B797" s="4"/>
      <c r="C797" s="4"/>
      <c r="D797" s="4"/>
      <c r="E797" s="29"/>
      <c r="F797" s="2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6"/>
    </row>
    <row r="798" customHeight="1" spans="1:26">
      <c r="A798" s="4"/>
      <c r="B798" s="4"/>
      <c r="C798" s="4"/>
      <c r="D798" s="4"/>
      <c r="E798" s="29"/>
      <c r="F798" s="2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6"/>
    </row>
    <row r="799" customHeight="1" spans="1:26">
      <c r="A799" s="4"/>
      <c r="B799" s="4"/>
      <c r="C799" s="4"/>
      <c r="D799" s="4"/>
      <c r="E799" s="29"/>
      <c r="F799" s="2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6"/>
    </row>
    <row r="800" customHeight="1" spans="1:26">
      <c r="A800" s="4"/>
      <c r="B800" s="4"/>
      <c r="C800" s="4"/>
      <c r="D800" s="4"/>
      <c r="E800" s="29"/>
      <c r="F800" s="2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6"/>
    </row>
    <row r="801" customHeight="1" spans="1:26">
      <c r="A801" s="4"/>
      <c r="B801" s="4"/>
      <c r="C801" s="4"/>
      <c r="D801" s="4"/>
      <c r="E801" s="29"/>
      <c r="F801" s="2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6"/>
    </row>
    <row r="802" customHeight="1" spans="1:26">
      <c r="A802" s="4"/>
      <c r="B802" s="4"/>
      <c r="C802" s="4"/>
      <c r="D802" s="4"/>
      <c r="E802" s="29"/>
      <c r="F802" s="2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6"/>
    </row>
    <row r="803" customHeight="1" spans="1:26">
      <c r="A803" s="4"/>
      <c r="B803" s="4"/>
      <c r="C803" s="4"/>
      <c r="D803" s="4"/>
      <c r="E803" s="29"/>
      <c r="F803" s="2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6"/>
    </row>
    <row r="804" customHeight="1" spans="1:26">
      <c r="A804" s="4"/>
      <c r="B804" s="4"/>
      <c r="C804" s="4"/>
      <c r="D804" s="4"/>
      <c r="E804" s="29"/>
      <c r="F804" s="2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6"/>
    </row>
    <row r="805" customHeight="1" spans="1:26">
      <c r="A805" s="4"/>
      <c r="B805" s="4"/>
      <c r="C805" s="4"/>
      <c r="D805" s="4"/>
      <c r="E805" s="29"/>
      <c r="F805" s="2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6"/>
    </row>
    <row r="806" customHeight="1" spans="1:26">
      <c r="A806" s="4"/>
      <c r="B806" s="4"/>
      <c r="C806" s="4"/>
      <c r="D806" s="4"/>
      <c r="E806" s="29"/>
      <c r="F806" s="2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6"/>
    </row>
    <row r="807" customHeight="1" spans="1:26">
      <c r="A807" s="4"/>
      <c r="B807" s="4"/>
      <c r="C807" s="4"/>
      <c r="D807" s="4"/>
      <c r="E807" s="29"/>
      <c r="F807" s="2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6"/>
    </row>
    <row r="808" customHeight="1" spans="1:26">
      <c r="A808" s="4"/>
      <c r="B808" s="4"/>
      <c r="C808" s="4"/>
      <c r="D808" s="4"/>
      <c r="E808" s="29"/>
      <c r="F808" s="2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6"/>
    </row>
    <row r="809" customHeight="1" spans="1:26">
      <c r="A809" s="4"/>
      <c r="B809" s="4"/>
      <c r="C809" s="4"/>
      <c r="D809" s="4"/>
      <c r="E809" s="29"/>
      <c r="F809" s="2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6"/>
    </row>
    <row r="810" customHeight="1" spans="1:26">
      <c r="A810" s="4"/>
      <c r="B810" s="4"/>
      <c r="C810" s="4"/>
      <c r="D810" s="4"/>
      <c r="E810" s="29"/>
      <c r="F810" s="2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6"/>
    </row>
    <row r="811" customHeight="1" spans="1:26">
      <c r="A811" s="4"/>
      <c r="B811" s="4"/>
      <c r="C811" s="4"/>
      <c r="D811" s="4"/>
      <c r="E811" s="29"/>
      <c r="F811" s="2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6"/>
    </row>
    <row r="812" customHeight="1" spans="1:26">
      <c r="A812" s="4"/>
      <c r="B812" s="4"/>
      <c r="C812" s="4"/>
      <c r="D812" s="4"/>
      <c r="E812" s="29"/>
      <c r="F812" s="2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6"/>
    </row>
    <row r="813" customHeight="1" spans="1:26">
      <c r="A813" s="4"/>
      <c r="B813" s="4"/>
      <c r="C813" s="4"/>
      <c r="D813" s="4"/>
      <c r="E813" s="29"/>
      <c r="F813" s="2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6"/>
    </row>
    <row r="814" customHeight="1" spans="1:26">
      <c r="A814" s="4"/>
      <c r="B814" s="4"/>
      <c r="C814" s="4"/>
      <c r="D814" s="4"/>
      <c r="E814" s="29"/>
      <c r="F814" s="2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6"/>
    </row>
    <row r="815" customHeight="1" spans="1:26">
      <c r="A815" s="4"/>
      <c r="B815" s="4"/>
      <c r="C815" s="4"/>
      <c r="D815" s="4"/>
      <c r="E815" s="29"/>
      <c r="F815" s="2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6"/>
    </row>
    <row r="816" customHeight="1" spans="1:26">
      <c r="A816" s="4"/>
      <c r="B816" s="4"/>
      <c r="C816" s="4"/>
      <c r="D816" s="4"/>
      <c r="E816" s="29"/>
      <c r="F816" s="2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6"/>
    </row>
    <row r="817" customHeight="1" spans="1:26">
      <c r="A817" s="4"/>
      <c r="B817" s="4"/>
      <c r="C817" s="4"/>
      <c r="D817" s="4"/>
      <c r="E817" s="29"/>
      <c r="F817" s="2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6"/>
    </row>
    <row r="818" customHeight="1" spans="1:26">
      <c r="A818" s="4"/>
      <c r="B818" s="4"/>
      <c r="C818" s="4"/>
      <c r="D818" s="4"/>
      <c r="E818" s="29"/>
      <c r="F818" s="2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6"/>
    </row>
    <row r="819" customHeight="1" spans="1:26">
      <c r="A819" s="4"/>
      <c r="B819" s="4"/>
      <c r="C819" s="4"/>
      <c r="D819" s="4"/>
      <c r="E819" s="29"/>
      <c r="F819" s="2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6"/>
    </row>
    <row r="820" customHeight="1" spans="1:26">
      <c r="A820" s="4"/>
      <c r="B820" s="4"/>
      <c r="C820" s="4"/>
      <c r="D820" s="4"/>
      <c r="E820" s="29"/>
      <c r="F820" s="2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6"/>
    </row>
    <row r="821" customHeight="1" spans="1:26">
      <c r="A821" s="4"/>
      <c r="B821" s="4"/>
      <c r="C821" s="4"/>
      <c r="D821" s="4"/>
      <c r="E821" s="29"/>
      <c r="F821" s="2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6"/>
    </row>
    <row r="822" customHeight="1" spans="1:26">
      <c r="A822" s="4"/>
      <c r="B822" s="4"/>
      <c r="C822" s="4"/>
      <c r="D822" s="4"/>
      <c r="E822" s="29"/>
      <c r="F822" s="2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6"/>
    </row>
    <row r="823" customHeight="1" spans="1:26">
      <c r="A823" s="4"/>
      <c r="B823" s="4"/>
      <c r="C823" s="4"/>
      <c r="D823" s="4"/>
      <c r="E823" s="29"/>
      <c r="F823" s="2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6"/>
    </row>
    <row r="824" customHeight="1" spans="1:26">
      <c r="A824" s="4"/>
      <c r="B824" s="4"/>
      <c r="C824" s="4"/>
      <c r="D824" s="4"/>
      <c r="E824" s="29"/>
      <c r="F824" s="2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6"/>
    </row>
    <row r="825" customHeight="1" spans="1:26">
      <c r="A825" s="4"/>
      <c r="B825" s="4"/>
      <c r="C825" s="4"/>
      <c r="D825" s="4"/>
      <c r="E825" s="29"/>
      <c r="F825" s="2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6"/>
    </row>
    <row r="826" customHeight="1" spans="1:26">
      <c r="A826" s="4"/>
      <c r="B826" s="4"/>
      <c r="C826" s="4"/>
      <c r="D826" s="4"/>
      <c r="E826" s="29"/>
      <c r="F826" s="2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6"/>
    </row>
    <row r="827" customHeight="1" spans="1:26">
      <c r="A827" s="4"/>
      <c r="B827" s="4"/>
      <c r="C827" s="4"/>
      <c r="D827" s="4"/>
      <c r="E827" s="29"/>
      <c r="F827" s="2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6"/>
    </row>
    <row r="828" customHeight="1" spans="1:26">
      <c r="A828" s="4"/>
      <c r="B828" s="4"/>
      <c r="C828" s="4"/>
      <c r="D828" s="4"/>
      <c r="E828" s="29"/>
      <c r="F828" s="2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6"/>
    </row>
    <row r="829" customHeight="1" spans="1:26">
      <c r="A829" s="4"/>
      <c r="B829" s="4"/>
      <c r="C829" s="4"/>
      <c r="D829" s="4"/>
      <c r="E829" s="29"/>
      <c r="F829" s="2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6"/>
    </row>
    <row r="830" customHeight="1" spans="1:26">
      <c r="A830" s="4"/>
      <c r="B830" s="4"/>
      <c r="C830" s="4"/>
      <c r="D830" s="4"/>
      <c r="E830" s="29"/>
      <c r="F830" s="2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6"/>
    </row>
    <row r="831" customHeight="1" spans="1:26">
      <c r="A831" s="4"/>
      <c r="B831" s="4"/>
      <c r="C831" s="4"/>
      <c r="D831" s="4"/>
      <c r="E831" s="29"/>
      <c r="F831" s="2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6"/>
    </row>
    <row r="832" customHeight="1" spans="1:26">
      <c r="A832" s="4"/>
      <c r="B832" s="4"/>
      <c r="C832" s="4"/>
      <c r="D832" s="4"/>
      <c r="E832" s="29"/>
      <c r="F832" s="2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6"/>
    </row>
    <row r="833" customHeight="1" spans="1:26">
      <c r="A833" s="4"/>
      <c r="B833" s="4"/>
      <c r="C833" s="4"/>
      <c r="D833" s="4"/>
      <c r="E833" s="29"/>
      <c r="F833" s="2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6"/>
    </row>
    <row r="834" customHeight="1" spans="1:26">
      <c r="A834" s="4"/>
      <c r="B834" s="4"/>
      <c r="C834" s="4"/>
      <c r="D834" s="4"/>
      <c r="E834" s="29"/>
      <c r="F834" s="2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6"/>
    </row>
    <row r="835" customHeight="1" spans="1:26">
      <c r="A835" s="6"/>
      <c r="B835" s="6"/>
      <c r="C835" s="6"/>
      <c r="D835" s="6"/>
      <c r="E835" s="6"/>
      <c r="F835" s="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6"/>
    </row>
    <row r="836" customHeight="1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Height="1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Height="1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Height="1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Height="1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Height="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Height="1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Height="1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Height="1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Height="1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Height="1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Height="1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Height="1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Height="1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Height="1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Height="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Height="1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Height="1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Height="1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Height="1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Height="1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Height="1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Height="1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Height="1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Height="1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Height="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Height="1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Height="1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Height="1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Height="1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Height="1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Height="1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Height="1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Height="1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Height="1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Height="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Height="1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Height="1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Height="1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Height="1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Height="1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Height="1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Height="1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Height="1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Height="1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Height="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Height="1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Height="1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Height="1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Height="1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Height="1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Height="1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Height="1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Height="1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Height="1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Height="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Height="1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Height="1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Height="1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Height="1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Height="1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Height="1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Height="1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Height="1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Height="1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Height="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Height="1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Height="1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Height="1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Height="1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Height="1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Height="1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Height="1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Height="1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Height="1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Height="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Height="1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Height="1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Height="1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Height="1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Height="1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Height="1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Height="1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Height="1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Height="1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Height="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Height="1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Height="1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Height="1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Height="1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Height="1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Height="1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Height="1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Height="1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Height="1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Height="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Height="1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Height="1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Height="1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Height="1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Height="1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Height="1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Height="1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Height="1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Height="1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Height="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Height="1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Height="1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Height="1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Height="1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Height="1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Height="1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Height="1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Height="1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Height="1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Height="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Height="1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Height="1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Height="1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Height="1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Height="1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Height="1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Height="1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Height="1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Height="1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Height="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Height="1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Height="1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Height="1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Height="1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Height="1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Height="1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Height="1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Height="1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Height="1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Height="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Height="1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Height="1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Height="1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Height="1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Height="1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Height="1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Height="1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Height="1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Height="1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Height="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Height="1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Height="1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Height="1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Height="1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Height="1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Height="1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Height="1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Height="1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Height="1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Height="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Height="1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Height="1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Height="1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Height="1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Height="1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Height="1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Height="1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Height="1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Height="1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customHeight="1" spans="1:26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customHeight="1" spans="1:26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customHeight="1" spans="1:26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customHeight="1" spans="1:26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customHeight="1" spans="1:26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customHeight="1" spans="1:2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customHeight="1" spans="1:26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</sheetData>
  <mergeCells count="6">
    <mergeCell ref="A1:F1"/>
    <mergeCell ref="E5:F5"/>
    <mergeCell ref="A5:A6"/>
    <mergeCell ref="B5:B6"/>
    <mergeCell ref="C5:C6"/>
    <mergeCell ref="D5:D6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7"/>
  <sheetViews>
    <sheetView showGridLines="0" workbookViewId="0">
      <selection activeCell="A1" sqref="A1:F1"/>
    </sheetView>
  </sheetViews>
  <sheetFormatPr defaultColWidth="12.6296296296296" defaultRowHeight="15.75" customHeight="1"/>
  <cols>
    <col min="2" max="2" width="15.3796296296296" customWidth="1"/>
  </cols>
  <sheetData>
    <row r="1" customHeight="1" spans="1:26">
      <c r="A1" s="1" t="s">
        <v>243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/>
    </row>
    <row r="2" customHeight="1" spans="1:26">
      <c r="A2" s="5" t="s">
        <v>244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6"/>
    </row>
    <row r="3" customHeight="1" spans="1:26">
      <c r="A3" s="5" t="s">
        <v>245</v>
      </c>
      <c r="B3" s="6"/>
      <c r="C3" s="8" t="s">
        <v>246</v>
      </c>
      <c r="D3" s="6"/>
      <c r="E3" s="6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6"/>
    </row>
    <row r="4" customHeight="1" spans="1:26">
      <c r="A4" s="9" t="s">
        <v>247</v>
      </c>
      <c r="B4" s="10"/>
      <c r="C4" s="11" t="s">
        <v>268</v>
      </c>
      <c r="D4" s="10"/>
      <c r="E4" s="10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6"/>
    </row>
    <row r="5" customHeight="1" spans="1:26">
      <c r="A5" s="13" t="s">
        <v>249</v>
      </c>
      <c r="B5" s="13" t="s">
        <v>250</v>
      </c>
      <c r="C5" s="13" t="s">
        <v>251</v>
      </c>
      <c r="D5" s="13" t="s">
        <v>252</v>
      </c>
      <c r="E5" s="14" t="s">
        <v>253</v>
      </c>
      <c r="F5" s="1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6"/>
    </row>
    <row r="6" customHeight="1" spans="1:26">
      <c r="A6" s="16"/>
      <c r="B6" s="16"/>
      <c r="C6" s="16"/>
      <c r="D6" s="16"/>
      <c r="E6" s="17" t="s">
        <v>254</v>
      </c>
      <c r="F6" s="17" t="s">
        <v>45</v>
      </c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6"/>
    </row>
    <row r="7" customHeight="1" spans="1:26">
      <c r="A7" s="18" t="s">
        <v>255</v>
      </c>
      <c r="B7" s="18" t="s">
        <v>16</v>
      </c>
      <c r="C7" s="18" t="s">
        <v>256</v>
      </c>
      <c r="D7" s="19">
        <f>886-123-106-34-178-187-36</f>
        <v>222</v>
      </c>
      <c r="E7" s="20">
        <v>87.92</v>
      </c>
      <c r="F7" s="20">
        <f t="shared" ref="F7:F22" si="0">E7*D7</f>
        <v>19518.24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6"/>
    </row>
    <row r="8" customHeight="1" spans="1:26">
      <c r="A8" s="18" t="s">
        <v>255</v>
      </c>
      <c r="B8" s="18" t="s">
        <v>16</v>
      </c>
      <c r="C8" s="18" t="s">
        <v>256</v>
      </c>
      <c r="D8" s="19">
        <v>200</v>
      </c>
      <c r="E8" s="20">
        <v>109.9</v>
      </c>
      <c r="F8" s="20">
        <f t="shared" si="0"/>
        <v>21980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6"/>
    </row>
    <row r="9" customHeight="1" spans="1:26">
      <c r="A9" s="21" t="s">
        <v>257</v>
      </c>
      <c r="B9" s="21" t="s">
        <v>58</v>
      </c>
      <c r="C9" s="21" t="s">
        <v>256</v>
      </c>
      <c r="D9" s="22">
        <v>80</v>
      </c>
      <c r="E9" s="23">
        <v>29</v>
      </c>
      <c r="F9" s="23">
        <f t="shared" si="0"/>
        <v>2320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6"/>
    </row>
    <row r="10" customHeight="1" spans="1:26">
      <c r="A10" s="21" t="s">
        <v>257</v>
      </c>
      <c r="B10" s="21" t="s">
        <v>18</v>
      </c>
      <c r="C10" s="21" t="s">
        <v>256</v>
      </c>
      <c r="D10" s="22">
        <v>11</v>
      </c>
      <c r="E10" s="23">
        <v>29</v>
      </c>
      <c r="F10" s="23">
        <f t="shared" si="0"/>
        <v>319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6"/>
    </row>
    <row r="11" customHeight="1" spans="1:26">
      <c r="A11" s="21" t="s">
        <v>258</v>
      </c>
      <c r="B11" s="21" t="s">
        <v>19</v>
      </c>
      <c r="C11" s="21" t="s">
        <v>256</v>
      </c>
      <c r="D11" s="21">
        <v>6046</v>
      </c>
      <c r="E11" s="23">
        <v>0.57</v>
      </c>
      <c r="F11" s="23">
        <f t="shared" si="0"/>
        <v>3446.22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6"/>
    </row>
    <row r="12" customHeight="1" spans="1:26">
      <c r="A12" s="21" t="s">
        <v>258</v>
      </c>
      <c r="B12" s="21" t="s">
        <v>20</v>
      </c>
      <c r="C12" s="21" t="s">
        <v>256</v>
      </c>
      <c r="D12" s="21">
        <v>1208</v>
      </c>
      <c r="E12" s="23">
        <v>4.28</v>
      </c>
      <c r="F12" s="23">
        <f t="shared" si="0"/>
        <v>5170.24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6"/>
    </row>
    <row r="13" customHeight="1" spans="1:26">
      <c r="A13" s="21" t="s">
        <v>259</v>
      </c>
      <c r="B13" s="21" t="s">
        <v>21</v>
      </c>
      <c r="C13" s="21" t="s">
        <v>256</v>
      </c>
      <c r="D13" s="21">
        <v>265</v>
      </c>
      <c r="E13" s="23">
        <v>62.5</v>
      </c>
      <c r="F13" s="23">
        <f t="shared" si="0"/>
        <v>16562.5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6"/>
    </row>
    <row r="14" customHeight="1" spans="1:26">
      <c r="A14" s="21" t="s">
        <v>260</v>
      </c>
      <c r="B14" s="21" t="s">
        <v>22</v>
      </c>
      <c r="C14" s="21" t="s">
        <v>256</v>
      </c>
      <c r="D14" s="21">
        <v>137</v>
      </c>
      <c r="E14" s="23">
        <v>150</v>
      </c>
      <c r="F14" s="23">
        <f t="shared" si="0"/>
        <v>20550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6"/>
    </row>
    <row r="15" customHeight="1" spans="1:26">
      <c r="A15" s="21" t="s">
        <v>260</v>
      </c>
      <c r="B15" s="21" t="s">
        <v>23</v>
      </c>
      <c r="C15" s="21" t="s">
        <v>256</v>
      </c>
      <c r="D15" s="21">
        <v>1</v>
      </c>
      <c r="E15" s="23">
        <v>180</v>
      </c>
      <c r="F15" s="23">
        <f t="shared" si="0"/>
        <v>180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6"/>
    </row>
    <row r="16" customHeight="1" spans="1:26">
      <c r="A16" s="21" t="s">
        <v>261</v>
      </c>
      <c r="B16" s="21" t="s">
        <v>262</v>
      </c>
      <c r="C16" s="21" t="s">
        <v>256</v>
      </c>
      <c r="D16" s="21">
        <v>48</v>
      </c>
      <c r="E16" s="23">
        <v>15</v>
      </c>
      <c r="F16" s="23">
        <f t="shared" si="0"/>
        <v>720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6"/>
    </row>
    <row r="17" customHeight="1" spans="1:26">
      <c r="A17" s="21" t="s">
        <v>255</v>
      </c>
      <c r="B17" s="21" t="s">
        <v>263</v>
      </c>
      <c r="C17" s="21" t="s">
        <v>256</v>
      </c>
      <c r="D17" s="22">
        <v>51</v>
      </c>
      <c r="E17" s="23">
        <v>79.92</v>
      </c>
      <c r="F17" s="23">
        <f t="shared" si="0"/>
        <v>4075.92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6"/>
    </row>
    <row r="18" customHeight="1" spans="1:26">
      <c r="A18" s="21" t="s">
        <v>255</v>
      </c>
      <c r="B18" s="21" t="s">
        <v>264</v>
      </c>
      <c r="C18" s="21" t="s">
        <v>256</v>
      </c>
      <c r="D18" s="21">
        <v>37</v>
      </c>
      <c r="E18" s="23">
        <v>95.92</v>
      </c>
      <c r="F18" s="23">
        <f t="shared" si="0"/>
        <v>3549.04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6"/>
    </row>
    <row r="19" customHeight="1" spans="1:26">
      <c r="A19" s="21" t="s">
        <v>255</v>
      </c>
      <c r="B19" s="21" t="s">
        <v>265</v>
      </c>
      <c r="C19" s="21" t="s">
        <v>256</v>
      </c>
      <c r="D19" s="21">
        <v>6</v>
      </c>
      <c r="E19" s="23">
        <v>95.92</v>
      </c>
      <c r="F19" s="23">
        <f t="shared" si="0"/>
        <v>575.52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6"/>
    </row>
    <row r="20" customHeight="1" spans="1:26">
      <c r="A20" s="21" t="s">
        <v>255</v>
      </c>
      <c r="B20" s="21" t="s">
        <v>266</v>
      </c>
      <c r="C20" s="21" t="s">
        <v>256</v>
      </c>
      <c r="D20" s="21">
        <v>30</v>
      </c>
      <c r="E20" s="23">
        <v>63.92</v>
      </c>
      <c r="F20" s="23">
        <f t="shared" si="0"/>
        <v>1917.6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6"/>
    </row>
    <row r="21" customHeight="1" spans="1:26">
      <c r="A21" s="21" t="s">
        <v>255</v>
      </c>
      <c r="B21" s="21" t="s">
        <v>30</v>
      </c>
      <c r="C21" s="21" t="s">
        <v>256</v>
      </c>
      <c r="D21" s="21">
        <v>6</v>
      </c>
      <c r="E21" s="23">
        <v>119.92</v>
      </c>
      <c r="F21" s="23">
        <f t="shared" si="0"/>
        <v>719.52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6"/>
    </row>
    <row r="22" customHeight="1" spans="1:26">
      <c r="A22" s="21" t="s">
        <v>255</v>
      </c>
      <c r="B22" s="21" t="s">
        <v>31</v>
      </c>
      <c r="C22" s="21" t="s">
        <v>256</v>
      </c>
      <c r="D22" s="21">
        <v>372</v>
      </c>
      <c r="E22" s="23">
        <v>129.9</v>
      </c>
      <c r="F22" s="23">
        <f t="shared" si="0"/>
        <v>48322.8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6"/>
    </row>
    <row r="23" customHeight="1" spans="1:26">
      <c r="A23" s="24"/>
      <c r="B23" s="24"/>
      <c r="C23" s="24"/>
      <c r="D23" s="25"/>
      <c r="E23" s="24"/>
      <c r="F23" s="2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6"/>
    </row>
    <row r="24" customHeight="1" spans="1:26">
      <c r="A24" s="24"/>
      <c r="B24" s="24"/>
      <c r="C24" s="24"/>
      <c r="D24" s="27">
        <f>SUM(D7:D22)</f>
        <v>8720</v>
      </c>
      <c r="E24" s="24"/>
      <c r="F24" s="28">
        <f>SUM(F7:F22)</f>
        <v>149926.6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6"/>
    </row>
    <row r="25" customHeight="1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6"/>
    </row>
    <row r="26" customHeight="1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6"/>
    </row>
    <row r="27" customHeight="1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6"/>
    </row>
    <row r="28" customHeight="1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6"/>
    </row>
    <row r="29" customHeight="1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6"/>
    </row>
    <row r="30" customHeight="1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6"/>
    </row>
    <row r="31" customHeight="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6"/>
    </row>
    <row r="32" customHeight="1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6"/>
    </row>
    <row r="33" customHeight="1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6"/>
    </row>
    <row r="34" customHeight="1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6"/>
    </row>
    <row r="35" customHeight="1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6"/>
    </row>
    <row r="36" customHeight="1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6"/>
    </row>
    <row r="37" customHeight="1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6"/>
    </row>
    <row r="38" customHeight="1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6"/>
    </row>
    <row r="39" customHeight="1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6"/>
    </row>
    <row r="40" customHeight="1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6"/>
    </row>
    <row r="41" customHeight="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6"/>
    </row>
    <row r="42" customHeight="1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6"/>
    </row>
    <row r="43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6"/>
    </row>
    <row r="44" customHeight="1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6"/>
    </row>
    <row r="45" customHeight="1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6"/>
    </row>
    <row r="46" customHeight="1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6"/>
    </row>
    <row r="47" customHeight="1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6"/>
    </row>
    <row r="48" customHeight="1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6"/>
    </row>
    <row r="49" customHeight="1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6"/>
    </row>
    <row r="50" customHeight="1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6"/>
    </row>
    <row r="51" customHeight="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6"/>
    </row>
    <row r="52" customHeight="1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6"/>
    </row>
    <row r="53" customHeight="1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6"/>
    </row>
    <row r="54" customHeight="1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6"/>
    </row>
    <row r="55" customHeight="1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6"/>
    </row>
    <row r="56" customHeight="1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6"/>
    </row>
    <row r="57" customHeight="1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6"/>
    </row>
    <row r="58" customHeight="1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6"/>
    </row>
    <row r="59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6"/>
    </row>
    <row r="60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6"/>
    </row>
    <row r="61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6"/>
    </row>
    <row r="62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6"/>
    </row>
    <row r="63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6"/>
    </row>
    <row r="64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6"/>
    </row>
    <row r="6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6"/>
    </row>
    <row r="66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6"/>
    </row>
    <row r="67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6"/>
    </row>
    <row r="68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6"/>
    </row>
    <row r="69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6"/>
    </row>
    <row r="70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6"/>
    </row>
    <row r="71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6"/>
    </row>
    <row r="72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6"/>
    </row>
    <row r="73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6"/>
    </row>
    <row r="74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6"/>
    </row>
    <row r="7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6"/>
    </row>
    <row r="76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6"/>
    </row>
    <row r="77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6"/>
    </row>
    <row r="78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6"/>
    </row>
    <row r="79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6"/>
    </row>
    <row r="80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6"/>
    </row>
    <row r="81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6"/>
    </row>
    <row r="82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6"/>
    </row>
    <row r="83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6"/>
    </row>
    <row r="84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6"/>
    </row>
    <row r="8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6"/>
    </row>
    <row r="86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6"/>
    </row>
    <row r="87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6"/>
    </row>
    <row r="88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6"/>
    </row>
    <row r="89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6"/>
    </row>
    <row r="90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6"/>
    </row>
    <row r="91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6"/>
    </row>
    <row r="92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6"/>
    </row>
    <row r="93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6"/>
    </row>
    <row r="94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6"/>
    </row>
    <row r="9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6"/>
    </row>
    <row r="96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6"/>
    </row>
    <row r="97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6"/>
    </row>
    <row r="98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6"/>
    </row>
    <row r="99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6"/>
    </row>
    <row r="100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6"/>
    </row>
    <row r="101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6"/>
    </row>
    <row r="102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6"/>
    </row>
    <row r="103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6"/>
    </row>
    <row r="104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6"/>
    </row>
    <row r="10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6"/>
    </row>
    <row r="106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6"/>
    </row>
    <row r="107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6"/>
    </row>
    <row r="108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6"/>
    </row>
    <row r="109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6"/>
    </row>
    <row r="110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6"/>
    </row>
    <row r="111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6"/>
    </row>
    <row r="112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6"/>
    </row>
    <row r="113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6"/>
    </row>
    <row r="114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6"/>
    </row>
    <row r="11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6"/>
    </row>
    <row r="116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6"/>
    </row>
    <row r="117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6"/>
    </row>
    <row r="118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6"/>
    </row>
    <row r="119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6"/>
    </row>
    <row r="120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6"/>
    </row>
    <row r="121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6"/>
    </row>
    <row r="122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6"/>
    </row>
    <row r="123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6"/>
    </row>
    <row r="124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6"/>
    </row>
    <row r="12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6"/>
    </row>
    <row r="126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6"/>
    </row>
    <row r="127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6"/>
    </row>
    <row r="128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6"/>
    </row>
    <row r="129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6"/>
    </row>
    <row r="130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6"/>
    </row>
    <row r="131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6"/>
    </row>
    <row r="132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6"/>
    </row>
    <row r="133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6"/>
    </row>
    <row r="134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6"/>
    </row>
    <row r="13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6"/>
    </row>
    <row r="136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6"/>
    </row>
    <row r="137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6"/>
    </row>
    <row r="138" customHeight="1" spans="1:26">
      <c r="A138" s="4"/>
      <c r="B138" s="4"/>
      <c r="C138" s="4"/>
      <c r="D138" s="4"/>
      <c r="E138" s="29"/>
      <c r="F138" s="2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6"/>
    </row>
    <row r="139" customHeight="1" spans="1:26">
      <c r="A139" s="4"/>
      <c r="B139" s="4"/>
      <c r="C139" s="4"/>
      <c r="D139" s="4"/>
      <c r="E139" s="29"/>
      <c r="F139" s="2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6"/>
    </row>
    <row r="140" customHeight="1" spans="1:26">
      <c r="A140" s="4"/>
      <c r="B140" s="4"/>
      <c r="C140" s="4"/>
      <c r="D140" s="4"/>
      <c r="E140" s="29"/>
      <c r="F140" s="2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6"/>
    </row>
    <row r="141" customHeight="1" spans="1:26">
      <c r="A141" s="4"/>
      <c r="B141" s="4"/>
      <c r="C141" s="4"/>
      <c r="D141" s="4"/>
      <c r="E141" s="29"/>
      <c r="F141" s="2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6"/>
    </row>
    <row r="142" customHeight="1" spans="1:26">
      <c r="A142" s="4"/>
      <c r="B142" s="4"/>
      <c r="C142" s="4"/>
      <c r="D142" s="4"/>
      <c r="E142" s="29"/>
      <c r="F142" s="2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6"/>
    </row>
    <row r="143" customHeight="1" spans="1:26">
      <c r="A143" s="4"/>
      <c r="B143" s="4"/>
      <c r="C143" s="4"/>
      <c r="D143" s="4"/>
      <c r="E143" s="29"/>
      <c r="F143" s="2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6"/>
    </row>
    <row r="144" customHeight="1" spans="1:26">
      <c r="A144" s="4"/>
      <c r="B144" s="4"/>
      <c r="C144" s="4"/>
      <c r="D144" s="4"/>
      <c r="E144" s="29"/>
      <c r="F144" s="2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6"/>
    </row>
    <row r="145" customHeight="1" spans="1:26">
      <c r="A145" s="4"/>
      <c r="B145" s="4"/>
      <c r="C145" s="4"/>
      <c r="D145" s="4"/>
      <c r="E145" s="29"/>
      <c r="F145" s="2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6"/>
    </row>
    <row r="146" customHeight="1" spans="1:26">
      <c r="A146" s="4"/>
      <c r="B146" s="4"/>
      <c r="C146" s="4"/>
      <c r="D146" s="4"/>
      <c r="E146" s="29"/>
      <c r="F146" s="2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6"/>
    </row>
    <row r="147" customHeight="1" spans="1:26">
      <c r="A147" s="4"/>
      <c r="B147" s="4"/>
      <c r="C147" s="4"/>
      <c r="D147" s="4"/>
      <c r="E147" s="29"/>
      <c r="F147" s="2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6"/>
    </row>
    <row r="148" customHeight="1" spans="1:26">
      <c r="A148" s="4"/>
      <c r="B148" s="4"/>
      <c r="C148" s="4"/>
      <c r="D148" s="4"/>
      <c r="E148" s="29"/>
      <c r="F148" s="2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6"/>
    </row>
    <row r="149" customHeight="1" spans="1:26">
      <c r="A149" s="4"/>
      <c r="B149" s="4"/>
      <c r="C149" s="4"/>
      <c r="D149" s="4"/>
      <c r="E149" s="29"/>
      <c r="F149" s="2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6"/>
    </row>
    <row r="150" customHeight="1" spans="1:26">
      <c r="A150" s="4"/>
      <c r="B150" s="4"/>
      <c r="C150" s="4"/>
      <c r="D150" s="4"/>
      <c r="E150" s="29"/>
      <c r="F150" s="2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6"/>
    </row>
    <row r="151" customHeight="1" spans="1:26">
      <c r="A151" s="4"/>
      <c r="B151" s="4"/>
      <c r="C151" s="4"/>
      <c r="D151" s="4"/>
      <c r="E151" s="29"/>
      <c r="F151" s="2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6"/>
    </row>
    <row r="152" customHeight="1" spans="1:26">
      <c r="A152" s="4"/>
      <c r="B152" s="4"/>
      <c r="C152" s="4"/>
      <c r="D152" s="4"/>
      <c r="E152" s="29"/>
      <c r="F152" s="2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6"/>
    </row>
    <row r="153" customHeight="1" spans="1:26">
      <c r="A153" s="4"/>
      <c r="B153" s="4"/>
      <c r="C153" s="4"/>
      <c r="D153" s="4"/>
      <c r="E153" s="29"/>
      <c r="F153" s="2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6"/>
    </row>
    <row r="154" customHeight="1" spans="1:26">
      <c r="A154" s="4"/>
      <c r="B154" s="4"/>
      <c r="C154" s="4"/>
      <c r="D154" s="4"/>
      <c r="E154" s="29"/>
      <c r="F154" s="2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6"/>
    </row>
    <row r="155" customHeight="1" spans="1:26">
      <c r="A155" s="4"/>
      <c r="B155" s="4"/>
      <c r="C155" s="4"/>
      <c r="D155" s="4"/>
      <c r="E155" s="29"/>
      <c r="F155" s="2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6"/>
    </row>
    <row r="156" customHeight="1" spans="1:26">
      <c r="A156" s="4"/>
      <c r="B156" s="4"/>
      <c r="C156" s="4"/>
      <c r="D156" s="4"/>
      <c r="E156" s="29"/>
      <c r="F156" s="2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6"/>
    </row>
    <row r="157" customHeight="1" spans="1:26">
      <c r="A157" s="4"/>
      <c r="B157" s="4"/>
      <c r="C157" s="4"/>
      <c r="D157" s="4"/>
      <c r="E157" s="29"/>
      <c r="F157" s="2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6"/>
    </row>
    <row r="158" customHeight="1" spans="1:26">
      <c r="A158" s="4"/>
      <c r="B158" s="4"/>
      <c r="C158" s="4"/>
      <c r="D158" s="4"/>
      <c r="E158" s="29"/>
      <c r="F158" s="2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6"/>
    </row>
    <row r="159" customHeight="1" spans="1:26">
      <c r="A159" s="4"/>
      <c r="B159" s="4"/>
      <c r="C159" s="4"/>
      <c r="D159" s="4"/>
      <c r="E159" s="29"/>
      <c r="F159" s="2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6"/>
    </row>
    <row r="160" customHeight="1" spans="1:26">
      <c r="A160" s="4"/>
      <c r="B160" s="4"/>
      <c r="C160" s="4"/>
      <c r="D160" s="4"/>
      <c r="E160" s="29"/>
      <c r="F160" s="2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6"/>
    </row>
    <row r="161" customHeight="1" spans="1:26">
      <c r="A161" s="4"/>
      <c r="B161" s="4"/>
      <c r="C161" s="4"/>
      <c r="D161" s="4"/>
      <c r="E161" s="29"/>
      <c r="F161" s="2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6"/>
    </row>
    <row r="162" customHeight="1" spans="1:26">
      <c r="A162" s="4"/>
      <c r="B162" s="4"/>
      <c r="C162" s="4"/>
      <c r="D162" s="4"/>
      <c r="E162" s="29"/>
      <c r="F162" s="2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6"/>
    </row>
    <row r="163" customHeight="1" spans="1:26">
      <c r="A163" s="4"/>
      <c r="B163" s="4"/>
      <c r="C163" s="4"/>
      <c r="D163" s="4"/>
      <c r="E163" s="29"/>
      <c r="F163" s="2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6"/>
    </row>
    <row r="164" customHeight="1" spans="1:26">
      <c r="A164" s="4"/>
      <c r="B164" s="4"/>
      <c r="C164" s="4"/>
      <c r="D164" s="4"/>
      <c r="E164" s="29"/>
      <c r="F164" s="2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6"/>
    </row>
    <row r="165" customHeight="1" spans="1:26">
      <c r="A165" s="4"/>
      <c r="B165" s="4"/>
      <c r="C165" s="4"/>
      <c r="D165" s="4"/>
      <c r="E165" s="29"/>
      <c r="F165" s="2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6"/>
    </row>
    <row r="166" customHeight="1" spans="1:26">
      <c r="A166" s="4"/>
      <c r="B166" s="4"/>
      <c r="C166" s="4"/>
      <c r="D166" s="4"/>
      <c r="E166" s="29"/>
      <c r="F166" s="2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6"/>
    </row>
    <row r="167" customHeight="1" spans="1:26">
      <c r="A167" s="4"/>
      <c r="B167" s="4"/>
      <c r="C167" s="4"/>
      <c r="D167" s="4"/>
      <c r="E167" s="29"/>
      <c r="F167" s="2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6"/>
    </row>
    <row r="168" customHeight="1" spans="1:26">
      <c r="A168" s="4"/>
      <c r="B168" s="4"/>
      <c r="C168" s="4"/>
      <c r="D168" s="4"/>
      <c r="E168" s="29"/>
      <c r="F168" s="2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6"/>
    </row>
    <row r="169" customHeight="1" spans="1:26">
      <c r="A169" s="4"/>
      <c r="B169" s="4"/>
      <c r="C169" s="4"/>
      <c r="D169" s="4"/>
      <c r="E169" s="29"/>
      <c r="F169" s="2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6"/>
    </row>
    <row r="170" customHeight="1" spans="1:26">
      <c r="A170" s="4"/>
      <c r="B170" s="4"/>
      <c r="C170" s="4"/>
      <c r="D170" s="4"/>
      <c r="E170" s="29"/>
      <c r="F170" s="2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6"/>
    </row>
    <row r="171" customHeight="1" spans="1:26">
      <c r="A171" s="4"/>
      <c r="B171" s="4"/>
      <c r="C171" s="4"/>
      <c r="D171" s="4"/>
      <c r="E171" s="29"/>
      <c r="F171" s="2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6"/>
    </row>
    <row r="172" customHeight="1" spans="1:26">
      <c r="A172" s="4"/>
      <c r="B172" s="4"/>
      <c r="C172" s="4"/>
      <c r="D172" s="4"/>
      <c r="E172" s="29"/>
      <c r="F172" s="2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6"/>
    </row>
    <row r="173" customHeight="1" spans="1:26">
      <c r="A173" s="4"/>
      <c r="B173" s="4"/>
      <c r="C173" s="4"/>
      <c r="D173" s="4"/>
      <c r="E173" s="29"/>
      <c r="F173" s="2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6"/>
    </row>
    <row r="174" customHeight="1" spans="1:26">
      <c r="A174" s="4"/>
      <c r="B174" s="4"/>
      <c r="C174" s="4"/>
      <c r="D174" s="4"/>
      <c r="E174" s="29"/>
      <c r="F174" s="2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6"/>
    </row>
    <row r="175" customHeight="1" spans="1:26">
      <c r="A175" s="4"/>
      <c r="B175" s="4"/>
      <c r="C175" s="4"/>
      <c r="D175" s="4"/>
      <c r="E175" s="29"/>
      <c r="F175" s="2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6"/>
    </row>
    <row r="176" customHeight="1" spans="1:26">
      <c r="A176" s="4"/>
      <c r="B176" s="4"/>
      <c r="C176" s="4"/>
      <c r="D176" s="4"/>
      <c r="E176" s="29"/>
      <c r="F176" s="2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6"/>
    </row>
    <row r="177" customHeight="1" spans="1:26">
      <c r="A177" s="4"/>
      <c r="B177" s="4"/>
      <c r="C177" s="4"/>
      <c r="D177" s="4"/>
      <c r="E177" s="29"/>
      <c r="F177" s="2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6"/>
    </row>
    <row r="178" customHeight="1" spans="1:26">
      <c r="A178" s="4"/>
      <c r="B178" s="4"/>
      <c r="C178" s="4"/>
      <c r="D178" s="4"/>
      <c r="E178" s="29"/>
      <c r="F178" s="2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6"/>
    </row>
    <row r="179" customHeight="1" spans="1:26">
      <c r="A179" s="4"/>
      <c r="B179" s="4"/>
      <c r="C179" s="4"/>
      <c r="D179" s="4"/>
      <c r="E179" s="29"/>
      <c r="F179" s="2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6"/>
    </row>
    <row r="180" customHeight="1" spans="1:26">
      <c r="A180" s="4"/>
      <c r="B180" s="4"/>
      <c r="C180" s="4"/>
      <c r="D180" s="4"/>
      <c r="E180" s="29"/>
      <c r="F180" s="2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6"/>
    </row>
    <row r="181" customHeight="1" spans="1:26">
      <c r="A181" s="4"/>
      <c r="B181" s="4"/>
      <c r="C181" s="4"/>
      <c r="D181" s="4"/>
      <c r="E181" s="29"/>
      <c r="F181" s="2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6"/>
    </row>
    <row r="182" customHeight="1" spans="1:26">
      <c r="A182" s="4"/>
      <c r="B182" s="4"/>
      <c r="C182" s="4"/>
      <c r="D182" s="4"/>
      <c r="E182" s="29"/>
      <c r="F182" s="2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6"/>
    </row>
    <row r="183" customHeight="1" spans="1:26">
      <c r="A183" s="4"/>
      <c r="B183" s="4"/>
      <c r="C183" s="4"/>
      <c r="D183" s="4"/>
      <c r="E183" s="29"/>
      <c r="F183" s="2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6"/>
    </row>
    <row r="184" customHeight="1" spans="1:26">
      <c r="A184" s="4"/>
      <c r="B184" s="4"/>
      <c r="C184" s="4"/>
      <c r="D184" s="4"/>
      <c r="E184" s="29"/>
      <c r="F184" s="2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6"/>
    </row>
    <row r="185" customHeight="1" spans="1:26">
      <c r="A185" s="4"/>
      <c r="B185" s="4"/>
      <c r="C185" s="4"/>
      <c r="D185" s="4"/>
      <c r="E185" s="29"/>
      <c r="F185" s="2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6"/>
    </row>
    <row r="186" customHeight="1" spans="1:26">
      <c r="A186" s="4"/>
      <c r="B186" s="4"/>
      <c r="C186" s="4"/>
      <c r="D186" s="4"/>
      <c r="E186" s="29"/>
      <c r="F186" s="2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6"/>
    </row>
    <row r="187" customHeight="1" spans="1:26">
      <c r="A187" s="4"/>
      <c r="B187" s="4"/>
      <c r="C187" s="4"/>
      <c r="D187" s="4"/>
      <c r="E187" s="29"/>
      <c r="F187" s="2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6"/>
    </row>
    <row r="188" customHeight="1" spans="1:26">
      <c r="A188" s="4"/>
      <c r="B188" s="4"/>
      <c r="C188" s="4"/>
      <c r="D188" s="4"/>
      <c r="E188" s="29"/>
      <c r="F188" s="2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6"/>
    </row>
    <row r="189" customHeight="1" spans="1:26">
      <c r="A189" s="4"/>
      <c r="B189" s="4"/>
      <c r="C189" s="4"/>
      <c r="D189" s="4"/>
      <c r="E189" s="29"/>
      <c r="F189" s="2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6"/>
    </row>
    <row r="190" customHeight="1" spans="1:26">
      <c r="A190" s="4"/>
      <c r="B190" s="4"/>
      <c r="C190" s="4"/>
      <c r="D190" s="4"/>
      <c r="E190" s="29"/>
      <c r="F190" s="2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6"/>
    </row>
    <row r="191" customHeight="1" spans="1:26">
      <c r="A191" s="4"/>
      <c r="B191" s="4"/>
      <c r="C191" s="4"/>
      <c r="D191" s="4"/>
      <c r="E191" s="29"/>
      <c r="F191" s="2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6"/>
    </row>
    <row r="192" customHeight="1" spans="1:26">
      <c r="A192" s="4"/>
      <c r="B192" s="4"/>
      <c r="C192" s="4"/>
      <c r="D192" s="4"/>
      <c r="E192" s="29"/>
      <c r="F192" s="2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6"/>
    </row>
    <row r="193" customHeight="1" spans="1:26">
      <c r="A193" s="4"/>
      <c r="B193" s="4"/>
      <c r="C193" s="4"/>
      <c r="D193" s="4"/>
      <c r="E193" s="29"/>
      <c r="F193" s="2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6"/>
    </row>
    <row r="194" customHeight="1" spans="1:26">
      <c r="A194" s="4"/>
      <c r="B194" s="4"/>
      <c r="C194" s="4"/>
      <c r="D194" s="4"/>
      <c r="E194" s="29"/>
      <c r="F194" s="2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6"/>
    </row>
    <row r="195" customHeight="1" spans="1:26">
      <c r="A195" s="4"/>
      <c r="B195" s="4"/>
      <c r="C195" s="4"/>
      <c r="D195" s="4"/>
      <c r="E195" s="29"/>
      <c r="F195" s="2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6"/>
    </row>
    <row r="196" customHeight="1" spans="1:26">
      <c r="A196" s="4"/>
      <c r="B196" s="4"/>
      <c r="C196" s="4"/>
      <c r="D196" s="4"/>
      <c r="E196" s="29"/>
      <c r="F196" s="2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6"/>
    </row>
    <row r="197" customHeight="1" spans="1:26">
      <c r="A197" s="4"/>
      <c r="B197" s="4"/>
      <c r="C197" s="4"/>
      <c r="D197" s="4"/>
      <c r="E197" s="29"/>
      <c r="F197" s="2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6"/>
    </row>
    <row r="198" customHeight="1" spans="1:26">
      <c r="A198" s="4"/>
      <c r="B198" s="4"/>
      <c r="C198" s="4"/>
      <c r="D198" s="4"/>
      <c r="E198" s="29"/>
      <c r="F198" s="2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6"/>
    </row>
    <row r="199" customHeight="1" spans="1:26">
      <c r="A199" s="4"/>
      <c r="B199" s="4"/>
      <c r="C199" s="4"/>
      <c r="D199" s="4"/>
      <c r="E199" s="29"/>
      <c r="F199" s="2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6"/>
    </row>
    <row r="200" customHeight="1" spans="1:26">
      <c r="A200" s="4"/>
      <c r="B200" s="4"/>
      <c r="C200" s="4"/>
      <c r="D200" s="4"/>
      <c r="E200" s="29"/>
      <c r="F200" s="2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6"/>
    </row>
    <row r="201" customHeight="1" spans="1:26">
      <c r="A201" s="4"/>
      <c r="B201" s="4"/>
      <c r="C201" s="4"/>
      <c r="D201" s="4"/>
      <c r="E201" s="29"/>
      <c r="F201" s="2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6"/>
    </row>
    <row r="202" customHeight="1" spans="1:26">
      <c r="A202" s="4"/>
      <c r="B202" s="4"/>
      <c r="C202" s="4"/>
      <c r="D202" s="4"/>
      <c r="E202" s="29"/>
      <c r="F202" s="2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6"/>
    </row>
    <row r="203" customHeight="1" spans="1:26">
      <c r="A203" s="4"/>
      <c r="B203" s="4"/>
      <c r="C203" s="4"/>
      <c r="D203" s="4"/>
      <c r="E203" s="29"/>
      <c r="F203" s="2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6"/>
    </row>
    <row r="204" customHeight="1" spans="1:26">
      <c r="A204" s="4"/>
      <c r="B204" s="4"/>
      <c r="C204" s="4"/>
      <c r="D204" s="4"/>
      <c r="E204" s="29"/>
      <c r="F204" s="2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6"/>
    </row>
    <row r="205" customHeight="1" spans="1:26">
      <c r="A205" s="4"/>
      <c r="B205" s="4"/>
      <c r="C205" s="4"/>
      <c r="D205" s="4"/>
      <c r="E205" s="29"/>
      <c r="F205" s="2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6"/>
    </row>
    <row r="206" customHeight="1" spans="1:26">
      <c r="A206" s="4"/>
      <c r="B206" s="4"/>
      <c r="C206" s="4"/>
      <c r="D206" s="4"/>
      <c r="E206" s="29"/>
      <c r="F206" s="2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6"/>
    </row>
    <row r="207" customHeight="1" spans="1:26">
      <c r="A207" s="4"/>
      <c r="B207" s="4"/>
      <c r="C207" s="4"/>
      <c r="D207" s="4"/>
      <c r="E207" s="29"/>
      <c r="F207" s="2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6"/>
    </row>
    <row r="208" customHeight="1" spans="1:26">
      <c r="A208" s="4"/>
      <c r="B208" s="4"/>
      <c r="C208" s="4"/>
      <c r="D208" s="4"/>
      <c r="E208" s="29"/>
      <c r="F208" s="2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6"/>
    </row>
    <row r="209" customHeight="1" spans="1:26">
      <c r="A209" s="4"/>
      <c r="B209" s="4"/>
      <c r="C209" s="4"/>
      <c r="D209" s="4"/>
      <c r="E209" s="29"/>
      <c r="F209" s="2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6"/>
    </row>
    <row r="210" customHeight="1" spans="1:26">
      <c r="A210" s="4"/>
      <c r="B210" s="4"/>
      <c r="C210" s="4"/>
      <c r="D210" s="4"/>
      <c r="E210" s="29"/>
      <c r="F210" s="2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6"/>
    </row>
    <row r="211" customHeight="1" spans="1:26">
      <c r="A211" s="4"/>
      <c r="B211" s="4"/>
      <c r="C211" s="4"/>
      <c r="D211" s="4"/>
      <c r="E211" s="29"/>
      <c r="F211" s="2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6"/>
    </row>
    <row r="212" customHeight="1" spans="1:26">
      <c r="A212" s="4"/>
      <c r="B212" s="4"/>
      <c r="C212" s="4"/>
      <c r="D212" s="4"/>
      <c r="E212" s="29"/>
      <c r="F212" s="2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6"/>
    </row>
    <row r="213" customHeight="1" spans="1:26">
      <c r="A213" s="4"/>
      <c r="B213" s="4"/>
      <c r="C213" s="4"/>
      <c r="D213" s="4"/>
      <c r="E213" s="29"/>
      <c r="F213" s="2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6"/>
    </row>
    <row r="214" customHeight="1" spans="1:26">
      <c r="A214" s="4"/>
      <c r="B214" s="4"/>
      <c r="C214" s="4"/>
      <c r="D214" s="4"/>
      <c r="E214" s="29"/>
      <c r="F214" s="2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6"/>
    </row>
    <row r="215" customHeight="1" spans="1:26">
      <c r="A215" s="4"/>
      <c r="B215" s="4"/>
      <c r="C215" s="4"/>
      <c r="D215" s="4"/>
      <c r="E215" s="29"/>
      <c r="F215" s="2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6"/>
    </row>
    <row r="216" customHeight="1" spans="1:26">
      <c r="A216" s="4"/>
      <c r="B216" s="4"/>
      <c r="C216" s="4"/>
      <c r="D216" s="4"/>
      <c r="E216" s="29"/>
      <c r="F216" s="2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6"/>
    </row>
    <row r="217" customHeight="1" spans="1:26">
      <c r="A217" s="4"/>
      <c r="B217" s="4"/>
      <c r="C217" s="4"/>
      <c r="D217" s="4"/>
      <c r="E217" s="29"/>
      <c r="F217" s="2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6"/>
    </row>
    <row r="218" customHeight="1" spans="1:26">
      <c r="A218" s="4"/>
      <c r="B218" s="4"/>
      <c r="C218" s="4"/>
      <c r="D218" s="4"/>
      <c r="E218" s="29"/>
      <c r="F218" s="2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6"/>
    </row>
    <row r="219" customHeight="1" spans="1:26">
      <c r="A219" s="4"/>
      <c r="B219" s="4"/>
      <c r="C219" s="4"/>
      <c r="D219" s="4"/>
      <c r="E219" s="29"/>
      <c r="F219" s="2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6"/>
    </row>
    <row r="220" customHeight="1" spans="1:26">
      <c r="A220" s="4"/>
      <c r="B220" s="4"/>
      <c r="C220" s="4"/>
      <c r="D220" s="4"/>
      <c r="E220" s="29"/>
      <c r="F220" s="2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6"/>
    </row>
    <row r="221" customHeight="1" spans="1:26">
      <c r="A221" s="4"/>
      <c r="B221" s="4"/>
      <c r="C221" s="4"/>
      <c r="D221" s="4"/>
      <c r="E221" s="29"/>
      <c r="F221" s="2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6"/>
    </row>
    <row r="222" customHeight="1" spans="1:26">
      <c r="A222" s="4"/>
      <c r="B222" s="4"/>
      <c r="C222" s="4"/>
      <c r="D222" s="4"/>
      <c r="E222" s="29"/>
      <c r="F222" s="2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6"/>
    </row>
    <row r="223" customHeight="1" spans="1:26">
      <c r="A223" s="4"/>
      <c r="B223" s="4"/>
      <c r="C223" s="4"/>
      <c r="D223" s="4"/>
      <c r="E223" s="29"/>
      <c r="F223" s="2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6"/>
    </row>
    <row r="224" customHeight="1" spans="1:26">
      <c r="A224" s="4"/>
      <c r="B224" s="4"/>
      <c r="C224" s="4"/>
      <c r="D224" s="4"/>
      <c r="E224" s="29"/>
      <c r="F224" s="2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6"/>
    </row>
    <row r="225" customHeight="1" spans="1:26">
      <c r="A225" s="4"/>
      <c r="B225" s="4"/>
      <c r="C225" s="4"/>
      <c r="D225" s="4"/>
      <c r="E225" s="29"/>
      <c r="F225" s="2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6"/>
    </row>
    <row r="226" customHeight="1" spans="1:26">
      <c r="A226" s="4"/>
      <c r="B226" s="4"/>
      <c r="C226" s="4"/>
      <c r="D226" s="4"/>
      <c r="E226" s="29"/>
      <c r="F226" s="2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6"/>
    </row>
    <row r="227" customHeight="1" spans="1:26">
      <c r="A227" s="4"/>
      <c r="B227" s="4"/>
      <c r="C227" s="4"/>
      <c r="D227" s="4"/>
      <c r="E227" s="29"/>
      <c r="F227" s="2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6"/>
    </row>
    <row r="228" customHeight="1" spans="1:26">
      <c r="A228" s="4"/>
      <c r="B228" s="4"/>
      <c r="C228" s="4"/>
      <c r="D228" s="4"/>
      <c r="E228" s="29"/>
      <c r="F228" s="2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6"/>
    </row>
    <row r="229" customHeight="1" spans="1:26">
      <c r="A229" s="4"/>
      <c r="B229" s="4"/>
      <c r="C229" s="4"/>
      <c r="D229" s="4"/>
      <c r="E229" s="29"/>
      <c r="F229" s="2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6"/>
    </row>
    <row r="230" customHeight="1" spans="1:26">
      <c r="A230" s="4"/>
      <c r="B230" s="4"/>
      <c r="C230" s="4"/>
      <c r="D230" s="4"/>
      <c r="E230" s="29"/>
      <c r="F230" s="2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6"/>
    </row>
    <row r="231" customHeight="1" spans="1:26">
      <c r="A231" s="4"/>
      <c r="B231" s="4"/>
      <c r="C231" s="4"/>
      <c r="D231" s="4"/>
      <c r="E231" s="29"/>
      <c r="F231" s="2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6"/>
    </row>
    <row r="232" customHeight="1" spans="1:26">
      <c r="A232" s="4"/>
      <c r="B232" s="4"/>
      <c r="C232" s="4"/>
      <c r="D232" s="4"/>
      <c r="E232" s="29"/>
      <c r="F232" s="2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6"/>
    </row>
    <row r="233" customHeight="1" spans="1:26">
      <c r="A233" s="4"/>
      <c r="B233" s="4"/>
      <c r="C233" s="4"/>
      <c r="D233" s="4"/>
      <c r="E233" s="29"/>
      <c r="F233" s="2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6"/>
    </row>
    <row r="234" customHeight="1" spans="1:26">
      <c r="A234" s="4"/>
      <c r="B234" s="4"/>
      <c r="C234" s="4"/>
      <c r="D234" s="4"/>
      <c r="E234" s="29"/>
      <c r="F234" s="2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6"/>
    </row>
    <row r="235" customHeight="1" spans="1:26">
      <c r="A235" s="4"/>
      <c r="B235" s="4"/>
      <c r="C235" s="4"/>
      <c r="D235" s="4"/>
      <c r="E235" s="29"/>
      <c r="F235" s="2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6"/>
    </row>
    <row r="236" customHeight="1" spans="1:26">
      <c r="A236" s="4"/>
      <c r="B236" s="4"/>
      <c r="C236" s="4"/>
      <c r="D236" s="4"/>
      <c r="E236" s="29"/>
      <c r="F236" s="2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6"/>
    </row>
    <row r="237" customHeight="1" spans="1:26">
      <c r="A237" s="4"/>
      <c r="B237" s="4"/>
      <c r="C237" s="4"/>
      <c r="D237" s="4"/>
      <c r="E237" s="29"/>
      <c r="F237" s="2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6"/>
    </row>
    <row r="238" customHeight="1" spans="1:26">
      <c r="A238" s="4"/>
      <c r="B238" s="4"/>
      <c r="C238" s="4"/>
      <c r="D238" s="4"/>
      <c r="E238" s="29"/>
      <c r="F238" s="2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6"/>
    </row>
    <row r="239" customHeight="1" spans="1:26">
      <c r="A239" s="4"/>
      <c r="B239" s="4"/>
      <c r="C239" s="4"/>
      <c r="D239" s="4"/>
      <c r="E239" s="29"/>
      <c r="F239" s="2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6"/>
    </row>
    <row r="240" customHeight="1" spans="1:26">
      <c r="A240" s="4"/>
      <c r="B240" s="4"/>
      <c r="C240" s="4"/>
      <c r="D240" s="4"/>
      <c r="E240" s="29"/>
      <c r="F240" s="2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6"/>
    </row>
    <row r="241" customHeight="1" spans="1:26">
      <c r="A241" s="4"/>
      <c r="B241" s="4"/>
      <c r="C241" s="4"/>
      <c r="D241" s="4"/>
      <c r="E241" s="29"/>
      <c r="F241" s="2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6"/>
    </row>
    <row r="242" customHeight="1" spans="1:26">
      <c r="A242" s="4"/>
      <c r="B242" s="4"/>
      <c r="C242" s="4"/>
      <c r="D242" s="4"/>
      <c r="E242" s="29"/>
      <c r="F242" s="2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6"/>
    </row>
    <row r="243" customHeight="1" spans="1:26">
      <c r="A243" s="4"/>
      <c r="B243" s="4"/>
      <c r="C243" s="4"/>
      <c r="D243" s="4"/>
      <c r="E243" s="29"/>
      <c r="F243" s="2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6"/>
    </row>
    <row r="244" customHeight="1" spans="1:26">
      <c r="A244" s="4"/>
      <c r="B244" s="4"/>
      <c r="C244" s="4"/>
      <c r="D244" s="4"/>
      <c r="E244" s="29"/>
      <c r="F244" s="2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6"/>
    </row>
    <row r="245" customHeight="1" spans="1:26">
      <c r="A245" s="4"/>
      <c r="B245" s="4"/>
      <c r="C245" s="4"/>
      <c r="D245" s="4"/>
      <c r="E245" s="29"/>
      <c r="F245" s="2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6"/>
    </row>
    <row r="246" customHeight="1" spans="1:26">
      <c r="A246" s="4"/>
      <c r="B246" s="4"/>
      <c r="C246" s="4"/>
      <c r="D246" s="4"/>
      <c r="E246" s="29"/>
      <c r="F246" s="2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6"/>
    </row>
    <row r="247" customHeight="1" spans="1:26">
      <c r="A247" s="4"/>
      <c r="B247" s="4"/>
      <c r="C247" s="4"/>
      <c r="D247" s="4"/>
      <c r="E247" s="29"/>
      <c r="F247" s="2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6"/>
    </row>
    <row r="248" customHeight="1" spans="1:26">
      <c r="A248" s="4"/>
      <c r="B248" s="4"/>
      <c r="C248" s="4"/>
      <c r="D248" s="4"/>
      <c r="E248" s="29"/>
      <c r="F248" s="2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6"/>
    </row>
    <row r="249" customHeight="1" spans="1:26">
      <c r="A249" s="4"/>
      <c r="B249" s="4"/>
      <c r="C249" s="4"/>
      <c r="D249" s="4"/>
      <c r="E249" s="29"/>
      <c r="F249" s="2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6"/>
    </row>
    <row r="250" customHeight="1" spans="1:26">
      <c r="A250" s="4"/>
      <c r="B250" s="4"/>
      <c r="C250" s="4"/>
      <c r="D250" s="4"/>
      <c r="E250" s="29"/>
      <c r="F250" s="2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6"/>
    </row>
    <row r="251" customHeight="1" spans="1:26">
      <c r="A251" s="4"/>
      <c r="B251" s="4"/>
      <c r="C251" s="4"/>
      <c r="D251" s="4"/>
      <c r="E251" s="29"/>
      <c r="F251" s="2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6"/>
    </row>
    <row r="252" customHeight="1" spans="1:26">
      <c r="A252" s="4"/>
      <c r="B252" s="4"/>
      <c r="C252" s="4"/>
      <c r="D252" s="4"/>
      <c r="E252" s="29"/>
      <c r="F252" s="2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6"/>
    </row>
    <row r="253" customHeight="1" spans="1:26">
      <c r="A253" s="4"/>
      <c r="B253" s="4"/>
      <c r="C253" s="4"/>
      <c r="D253" s="4"/>
      <c r="E253" s="29"/>
      <c r="F253" s="2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6"/>
    </row>
    <row r="254" customHeight="1" spans="1:26">
      <c r="A254" s="4"/>
      <c r="B254" s="4"/>
      <c r="C254" s="4"/>
      <c r="D254" s="4"/>
      <c r="E254" s="29"/>
      <c r="F254" s="2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6"/>
    </row>
    <row r="255" customHeight="1" spans="1:26">
      <c r="A255" s="4"/>
      <c r="B255" s="4"/>
      <c r="C255" s="4"/>
      <c r="D255" s="4"/>
      <c r="E255" s="29"/>
      <c r="F255" s="2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6"/>
    </row>
    <row r="256" customHeight="1" spans="1:26">
      <c r="A256" s="4"/>
      <c r="B256" s="4"/>
      <c r="C256" s="4"/>
      <c r="D256" s="4"/>
      <c r="E256" s="29"/>
      <c r="F256" s="2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6"/>
    </row>
    <row r="257" customHeight="1" spans="1:26">
      <c r="A257" s="4"/>
      <c r="B257" s="4"/>
      <c r="C257" s="4"/>
      <c r="D257" s="4"/>
      <c r="E257" s="29"/>
      <c r="F257" s="2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6"/>
    </row>
    <row r="258" customHeight="1" spans="1:26">
      <c r="A258" s="4"/>
      <c r="B258" s="4"/>
      <c r="C258" s="4"/>
      <c r="D258" s="4"/>
      <c r="E258" s="29"/>
      <c r="F258" s="2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6"/>
    </row>
    <row r="259" customHeight="1" spans="1:26">
      <c r="A259" s="4"/>
      <c r="B259" s="4"/>
      <c r="C259" s="4"/>
      <c r="D259" s="4"/>
      <c r="E259" s="29"/>
      <c r="F259" s="2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6"/>
    </row>
    <row r="260" customHeight="1" spans="1:26">
      <c r="A260" s="4"/>
      <c r="B260" s="4"/>
      <c r="C260" s="4"/>
      <c r="D260" s="4"/>
      <c r="E260" s="29"/>
      <c r="F260" s="2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6"/>
    </row>
    <row r="261" customHeight="1" spans="1:26">
      <c r="A261" s="4"/>
      <c r="B261" s="4"/>
      <c r="C261" s="4"/>
      <c r="D261" s="4"/>
      <c r="E261" s="29"/>
      <c r="F261" s="2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6"/>
    </row>
    <row r="262" customHeight="1" spans="1:26">
      <c r="A262" s="4"/>
      <c r="B262" s="4"/>
      <c r="C262" s="4"/>
      <c r="D262" s="4"/>
      <c r="E262" s="29"/>
      <c r="F262" s="2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6"/>
    </row>
    <row r="263" customHeight="1" spans="1:26">
      <c r="A263" s="4"/>
      <c r="B263" s="4"/>
      <c r="C263" s="4"/>
      <c r="D263" s="4"/>
      <c r="E263" s="29"/>
      <c r="F263" s="2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6"/>
    </row>
    <row r="264" customHeight="1" spans="1:26">
      <c r="A264" s="4"/>
      <c r="B264" s="4"/>
      <c r="C264" s="4"/>
      <c r="D264" s="4"/>
      <c r="E264" s="29"/>
      <c r="F264" s="2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6"/>
    </row>
    <row r="265" customHeight="1" spans="1:26">
      <c r="A265" s="4"/>
      <c r="B265" s="4"/>
      <c r="C265" s="4"/>
      <c r="D265" s="4"/>
      <c r="E265" s="29"/>
      <c r="F265" s="2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6"/>
    </row>
    <row r="266" customHeight="1" spans="1:26">
      <c r="A266" s="4"/>
      <c r="B266" s="4"/>
      <c r="C266" s="4"/>
      <c r="D266" s="4"/>
      <c r="E266" s="29"/>
      <c r="F266" s="2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6"/>
    </row>
    <row r="267" customHeight="1" spans="1:26">
      <c r="A267" s="4"/>
      <c r="B267" s="4"/>
      <c r="C267" s="4"/>
      <c r="D267" s="4"/>
      <c r="E267" s="29"/>
      <c r="F267" s="2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6"/>
    </row>
    <row r="268" customHeight="1" spans="1:26">
      <c r="A268" s="4"/>
      <c r="B268" s="4"/>
      <c r="C268" s="4"/>
      <c r="D268" s="4"/>
      <c r="E268" s="29"/>
      <c r="F268" s="2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6"/>
    </row>
    <row r="269" customHeight="1" spans="1:26">
      <c r="A269" s="4"/>
      <c r="B269" s="4"/>
      <c r="C269" s="4"/>
      <c r="D269" s="4"/>
      <c r="E269" s="29"/>
      <c r="F269" s="2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6"/>
    </row>
    <row r="270" customHeight="1" spans="1:26">
      <c r="A270" s="4"/>
      <c r="B270" s="4"/>
      <c r="C270" s="4"/>
      <c r="D270" s="4"/>
      <c r="E270" s="29"/>
      <c r="F270" s="2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6"/>
    </row>
    <row r="271" customHeight="1" spans="1:26">
      <c r="A271" s="4"/>
      <c r="B271" s="4"/>
      <c r="C271" s="4"/>
      <c r="D271" s="4"/>
      <c r="E271" s="29"/>
      <c r="F271" s="2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6"/>
    </row>
    <row r="272" customHeight="1" spans="1:26">
      <c r="A272" s="4"/>
      <c r="B272" s="4"/>
      <c r="C272" s="4"/>
      <c r="D272" s="4"/>
      <c r="E272" s="29"/>
      <c r="F272" s="2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6"/>
    </row>
    <row r="273" customHeight="1" spans="1:26">
      <c r="A273" s="4"/>
      <c r="B273" s="4"/>
      <c r="C273" s="4"/>
      <c r="D273" s="4"/>
      <c r="E273" s="29"/>
      <c r="F273" s="2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6"/>
    </row>
    <row r="274" customHeight="1" spans="1:26">
      <c r="A274" s="4"/>
      <c r="B274" s="4"/>
      <c r="C274" s="4"/>
      <c r="D274" s="4"/>
      <c r="E274" s="29"/>
      <c r="F274" s="2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6"/>
    </row>
    <row r="275" customHeight="1" spans="1:26">
      <c r="A275" s="4"/>
      <c r="B275" s="4"/>
      <c r="C275" s="4"/>
      <c r="D275" s="4"/>
      <c r="E275" s="29"/>
      <c r="F275" s="2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6"/>
    </row>
    <row r="276" customHeight="1" spans="1:26">
      <c r="A276" s="4"/>
      <c r="B276" s="4"/>
      <c r="C276" s="4"/>
      <c r="D276" s="4"/>
      <c r="E276" s="29"/>
      <c r="F276" s="2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6"/>
    </row>
    <row r="277" customHeight="1" spans="1:26">
      <c r="A277" s="4"/>
      <c r="B277" s="4"/>
      <c r="C277" s="4"/>
      <c r="D277" s="4"/>
      <c r="E277" s="29"/>
      <c r="F277" s="2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6"/>
    </row>
    <row r="278" customHeight="1" spans="1:26">
      <c r="A278" s="4"/>
      <c r="B278" s="4"/>
      <c r="C278" s="4"/>
      <c r="D278" s="4"/>
      <c r="E278" s="29"/>
      <c r="F278" s="2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6"/>
    </row>
    <row r="279" customHeight="1" spans="1:26">
      <c r="A279" s="4"/>
      <c r="B279" s="4"/>
      <c r="C279" s="4"/>
      <c r="D279" s="4"/>
      <c r="E279" s="29"/>
      <c r="F279" s="2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6"/>
    </row>
    <row r="280" customHeight="1" spans="1:26">
      <c r="A280" s="4"/>
      <c r="B280" s="4"/>
      <c r="C280" s="4"/>
      <c r="D280" s="4"/>
      <c r="E280" s="29"/>
      <c r="F280" s="2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6"/>
    </row>
    <row r="281" customHeight="1" spans="1:26">
      <c r="A281" s="4"/>
      <c r="B281" s="4"/>
      <c r="C281" s="4"/>
      <c r="D281" s="4"/>
      <c r="E281" s="29"/>
      <c r="F281" s="2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6"/>
    </row>
    <row r="282" customHeight="1" spans="1:26">
      <c r="A282" s="4"/>
      <c r="B282" s="4"/>
      <c r="C282" s="4"/>
      <c r="D282" s="4"/>
      <c r="E282" s="29"/>
      <c r="F282" s="2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6"/>
    </row>
    <row r="283" customHeight="1" spans="1:26">
      <c r="A283" s="4"/>
      <c r="B283" s="4"/>
      <c r="C283" s="4"/>
      <c r="D283" s="4"/>
      <c r="E283" s="29"/>
      <c r="F283" s="2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6"/>
    </row>
    <row r="284" customHeight="1" spans="1:26">
      <c r="A284" s="4"/>
      <c r="B284" s="4"/>
      <c r="C284" s="4"/>
      <c r="D284" s="4"/>
      <c r="E284" s="29"/>
      <c r="F284" s="2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6"/>
    </row>
    <row r="285" customHeight="1" spans="1:26">
      <c r="A285" s="4"/>
      <c r="B285" s="4"/>
      <c r="C285" s="4"/>
      <c r="D285" s="4"/>
      <c r="E285" s="29"/>
      <c r="F285" s="2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6"/>
    </row>
    <row r="286" customHeight="1" spans="1:26">
      <c r="A286" s="4"/>
      <c r="B286" s="4"/>
      <c r="C286" s="4"/>
      <c r="D286" s="4"/>
      <c r="E286" s="29"/>
      <c r="F286" s="2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6"/>
    </row>
    <row r="287" customHeight="1" spans="1:26">
      <c r="A287" s="4"/>
      <c r="B287" s="4"/>
      <c r="C287" s="4"/>
      <c r="D287" s="4"/>
      <c r="E287" s="29"/>
      <c r="F287" s="2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6"/>
    </row>
    <row r="288" customHeight="1" spans="1:26">
      <c r="A288" s="4"/>
      <c r="B288" s="4"/>
      <c r="C288" s="4"/>
      <c r="D288" s="4"/>
      <c r="E288" s="29"/>
      <c r="F288" s="2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6"/>
    </row>
    <row r="289" customHeight="1" spans="1:26">
      <c r="A289" s="4"/>
      <c r="B289" s="4"/>
      <c r="C289" s="4"/>
      <c r="D289" s="4"/>
      <c r="E289" s="29"/>
      <c r="F289" s="2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6"/>
    </row>
    <row r="290" customHeight="1" spans="1:26">
      <c r="A290" s="4"/>
      <c r="B290" s="4"/>
      <c r="C290" s="4"/>
      <c r="D290" s="4"/>
      <c r="E290" s="29"/>
      <c r="F290" s="2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6"/>
    </row>
    <row r="291" customHeight="1" spans="1:26">
      <c r="A291" s="4"/>
      <c r="B291" s="4"/>
      <c r="C291" s="4"/>
      <c r="D291" s="4"/>
      <c r="E291" s="29"/>
      <c r="F291" s="2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6"/>
    </row>
    <row r="292" customHeight="1" spans="1:26">
      <c r="A292" s="4"/>
      <c r="B292" s="4"/>
      <c r="C292" s="4"/>
      <c r="D292" s="4"/>
      <c r="E292" s="29"/>
      <c r="F292" s="2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6"/>
    </row>
    <row r="293" customHeight="1" spans="1:26">
      <c r="A293" s="4"/>
      <c r="B293" s="4"/>
      <c r="C293" s="4"/>
      <c r="D293" s="4"/>
      <c r="E293" s="29"/>
      <c r="F293" s="2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6"/>
    </row>
    <row r="294" customHeight="1" spans="1:26">
      <c r="A294" s="4"/>
      <c r="B294" s="4"/>
      <c r="C294" s="4"/>
      <c r="D294" s="4"/>
      <c r="E294" s="29"/>
      <c r="F294" s="2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6"/>
    </row>
    <row r="295" customHeight="1" spans="1:26">
      <c r="A295" s="4"/>
      <c r="B295" s="4"/>
      <c r="C295" s="4"/>
      <c r="D295" s="4"/>
      <c r="E295" s="29"/>
      <c r="F295" s="2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6"/>
    </row>
    <row r="296" customHeight="1" spans="1:26">
      <c r="A296" s="4"/>
      <c r="B296" s="4"/>
      <c r="C296" s="4"/>
      <c r="D296" s="4"/>
      <c r="E296" s="29"/>
      <c r="F296" s="2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6"/>
    </row>
    <row r="297" customHeight="1" spans="1:26">
      <c r="A297" s="4"/>
      <c r="B297" s="4"/>
      <c r="C297" s="4"/>
      <c r="D297" s="4"/>
      <c r="E297" s="29"/>
      <c r="F297" s="2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6"/>
    </row>
    <row r="298" customHeight="1" spans="1:26">
      <c r="A298" s="4"/>
      <c r="B298" s="4"/>
      <c r="C298" s="4"/>
      <c r="D298" s="4"/>
      <c r="E298" s="29"/>
      <c r="F298" s="2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6"/>
    </row>
    <row r="299" customHeight="1" spans="1:26">
      <c r="A299" s="4"/>
      <c r="B299" s="4"/>
      <c r="C299" s="4"/>
      <c r="D299" s="4"/>
      <c r="E299" s="29"/>
      <c r="F299" s="2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6"/>
    </row>
    <row r="300" customHeight="1" spans="1:26">
      <c r="A300" s="4"/>
      <c r="B300" s="4"/>
      <c r="C300" s="4"/>
      <c r="D300" s="4"/>
      <c r="E300" s="29"/>
      <c r="F300" s="2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6"/>
    </row>
    <row r="301" customHeight="1" spans="1:26">
      <c r="A301" s="4"/>
      <c r="B301" s="4"/>
      <c r="C301" s="4"/>
      <c r="D301" s="4"/>
      <c r="E301" s="29"/>
      <c r="F301" s="2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6"/>
    </row>
    <row r="302" customHeight="1" spans="1:26">
      <c r="A302" s="4"/>
      <c r="B302" s="4"/>
      <c r="C302" s="4"/>
      <c r="D302" s="4"/>
      <c r="E302" s="29"/>
      <c r="F302" s="2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6"/>
    </row>
    <row r="303" customHeight="1" spans="1:26">
      <c r="A303" s="4"/>
      <c r="B303" s="4"/>
      <c r="C303" s="4"/>
      <c r="D303" s="4"/>
      <c r="E303" s="29"/>
      <c r="F303" s="2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6"/>
    </row>
    <row r="304" customHeight="1" spans="1:26">
      <c r="A304" s="4"/>
      <c r="B304" s="4"/>
      <c r="C304" s="4"/>
      <c r="D304" s="4"/>
      <c r="E304" s="29"/>
      <c r="F304" s="2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6"/>
    </row>
    <row r="305" customHeight="1" spans="1:26">
      <c r="A305" s="4"/>
      <c r="B305" s="4"/>
      <c r="C305" s="4"/>
      <c r="D305" s="4"/>
      <c r="E305" s="29"/>
      <c r="F305" s="2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6"/>
    </row>
    <row r="306" customHeight="1" spans="1:26">
      <c r="A306" s="4"/>
      <c r="B306" s="4"/>
      <c r="C306" s="4"/>
      <c r="D306" s="4"/>
      <c r="E306" s="29"/>
      <c r="F306" s="2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6"/>
    </row>
    <row r="307" customHeight="1" spans="1:26">
      <c r="A307" s="4"/>
      <c r="B307" s="4"/>
      <c r="C307" s="4"/>
      <c r="D307" s="4"/>
      <c r="E307" s="29"/>
      <c r="F307" s="2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6"/>
    </row>
    <row r="308" customHeight="1" spans="1:26">
      <c r="A308" s="4"/>
      <c r="B308" s="4"/>
      <c r="C308" s="4"/>
      <c r="D308" s="4"/>
      <c r="E308" s="29"/>
      <c r="F308" s="2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6"/>
    </row>
    <row r="309" customHeight="1" spans="1:26">
      <c r="A309" s="4"/>
      <c r="B309" s="4"/>
      <c r="C309" s="4"/>
      <c r="D309" s="4"/>
      <c r="E309" s="29"/>
      <c r="F309" s="2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6"/>
    </row>
    <row r="310" customHeight="1" spans="1:26">
      <c r="A310" s="4"/>
      <c r="B310" s="4"/>
      <c r="C310" s="4"/>
      <c r="D310" s="4"/>
      <c r="E310" s="29"/>
      <c r="F310" s="2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6"/>
    </row>
    <row r="311" customHeight="1" spans="1:26">
      <c r="A311" s="4"/>
      <c r="B311" s="4"/>
      <c r="C311" s="4"/>
      <c r="D311" s="4"/>
      <c r="E311" s="29"/>
      <c r="F311" s="2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6"/>
    </row>
    <row r="312" customHeight="1" spans="1:26">
      <c r="A312" s="4"/>
      <c r="B312" s="4"/>
      <c r="C312" s="4"/>
      <c r="D312" s="4"/>
      <c r="E312" s="29"/>
      <c r="F312" s="2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6"/>
    </row>
    <row r="313" customHeight="1" spans="1:26">
      <c r="A313" s="4"/>
      <c r="B313" s="4"/>
      <c r="C313" s="4"/>
      <c r="D313" s="4"/>
      <c r="E313" s="29"/>
      <c r="F313" s="2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6"/>
    </row>
    <row r="314" customHeight="1" spans="1:26">
      <c r="A314" s="4"/>
      <c r="B314" s="4"/>
      <c r="C314" s="4"/>
      <c r="D314" s="4"/>
      <c r="E314" s="29"/>
      <c r="F314" s="2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6"/>
    </row>
    <row r="315" customHeight="1" spans="1:26">
      <c r="A315" s="4"/>
      <c r="B315" s="4"/>
      <c r="C315" s="4"/>
      <c r="D315" s="4"/>
      <c r="E315" s="29"/>
      <c r="F315" s="2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6"/>
    </row>
    <row r="316" customHeight="1" spans="1:26">
      <c r="A316" s="4"/>
      <c r="B316" s="4"/>
      <c r="C316" s="4"/>
      <c r="D316" s="4"/>
      <c r="E316" s="29"/>
      <c r="F316" s="2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6"/>
    </row>
    <row r="317" customHeight="1" spans="1:26">
      <c r="A317" s="4"/>
      <c r="B317" s="4"/>
      <c r="C317" s="4"/>
      <c r="D317" s="4"/>
      <c r="E317" s="29"/>
      <c r="F317" s="2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6"/>
    </row>
    <row r="318" customHeight="1" spans="1:26">
      <c r="A318" s="4"/>
      <c r="B318" s="4"/>
      <c r="C318" s="4"/>
      <c r="D318" s="4"/>
      <c r="E318" s="29"/>
      <c r="F318" s="2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6"/>
    </row>
    <row r="319" customHeight="1" spans="1:26">
      <c r="A319" s="4"/>
      <c r="B319" s="4"/>
      <c r="C319" s="4"/>
      <c r="D319" s="4"/>
      <c r="E319" s="29"/>
      <c r="F319" s="2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6"/>
    </row>
    <row r="320" customHeight="1" spans="1:26">
      <c r="A320" s="4"/>
      <c r="B320" s="4"/>
      <c r="C320" s="4"/>
      <c r="D320" s="4"/>
      <c r="E320" s="29"/>
      <c r="F320" s="2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6"/>
    </row>
    <row r="321" customHeight="1" spans="1:26">
      <c r="A321" s="4"/>
      <c r="B321" s="4"/>
      <c r="C321" s="4"/>
      <c r="D321" s="4"/>
      <c r="E321" s="29"/>
      <c r="F321" s="2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6"/>
    </row>
    <row r="322" customHeight="1" spans="1:26">
      <c r="A322" s="4"/>
      <c r="B322" s="4"/>
      <c r="C322" s="4"/>
      <c r="D322" s="4"/>
      <c r="E322" s="29"/>
      <c r="F322" s="2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6"/>
    </row>
    <row r="323" customHeight="1" spans="1:26">
      <c r="A323" s="4"/>
      <c r="B323" s="4"/>
      <c r="C323" s="4"/>
      <c r="D323" s="4"/>
      <c r="E323" s="29"/>
      <c r="F323" s="2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6"/>
    </row>
    <row r="324" customHeight="1" spans="1:26">
      <c r="A324" s="4"/>
      <c r="B324" s="4"/>
      <c r="C324" s="4"/>
      <c r="D324" s="4"/>
      <c r="E324" s="29"/>
      <c r="F324" s="2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6"/>
    </row>
    <row r="325" customHeight="1" spans="1:26">
      <c r="A325" s="4"/>
      <c r="B325" s="4"/>
      <c r="C325" s="4"/>
      <c r="D325" s="4"/>
      <c r="E325" s="29"/>
      <c r="F325" s="2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6"/>
    </row>
    <row r="326" customHeight="1" spans="1:26">
      <c r="A326" s="4"/>
      <c r="B326" s="4"/>
      <c r="C326" s="4"/>
      <c r="D326" s="4"/>
      <c r="E326" s="29"/>
      <c r="F326" s="2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6"/>
    </row>
    <row r="327" customHeight="1" spans="1:26">
      <c r="A327" s="4"/>
      <c r="B327" s="4"/>
      <c r="C327" s="4"/>
      <c r="D327" s="4"/>
      <c r="E327" s="29"/>
      <c r="F327" s="2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6"/>
    </row>
    <row r="328" customHeight="1" spans="1:26">
      <c r="A328" s="4"/>
      <c r="B328" s="4"/>
      <c r="C328" s="4"/>
      <c r="D328" s="4"/>
      <c r="E328" s="29"/>
      <c r="F328" s="2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6"/>
    </row>
    <row r="329" customHeight="1" spans="1:26">
      <c r="A329" s="4"/>
      <c r="B329" s="4"/>
      <c r="C329" s="4"/>
      <c r="D329" s="4"/>
      <c r="E329" s="29"/>
      <c r="F329" s="2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6"/>
    </row>
    <row r="330" customHeight="1" spans="1:26">
      <c r="A330" s="4"/>
      <c r="B330" s="4"/>
      <c r="C330" s="4"/>
      <c r="D330" s="4"/>
      <c r="E330" s="29"/>
      <c r="F330" s="2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6"/>
    </row>
    <row r="331" customHeight="1" spans="1:26">
      <c r="A331" s="4"/>
      <c r="B331" s="4"/>
      <c r="C331" s="4"/>
      <c r="D331" s="4"/>
      <c r="E331" s="29"/>
      <c r="F331" s="2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6"/>
    </row>
    <row r="332" customHeight="1" spans="1:26">
      <c r="A332" s="4"/>
      <c r="B332" s="4"/>
      <c r="C332" s="4"/>
      <c r="D332" s="4"/>
      <c r="E332" s="29"/>
      <c r="F332" s="2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6"/>
    </row>
    <row r="333" customHeight="1" spans="1:26">
      <c r="A333" s="4"/>
      <c r="B333" s="4"/>
      <c r="C333" s="4"/>
      <c r="D333" s="4"/>
      <c r="E333" s="29"/>
      <c r="F333" s="2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6"/>
    </row>
    <row r="334" customHeight="1" spans="1:26">
      <c r="A334" s="4"/>
      <c r="B334" s="4"/>
      <c r="C334" s="4"/>
      <c r="D334" s="4"/>
      <c r="E334" s="29"/>
      <c r="F334" s="2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6"/>
    </row>
    <row r="335" customHeight="1" spans="1:26">
      <c r="A335" s="4"/>
      <c r="B335" s="4"/>
      <c r="C335" s="4"/>
      <c r="D335" s="4"/>
      <c r="E335" s="29"/>
      <c r="F335" s="2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6"/>
    </row>
    <row r="336" customHeight="1" spans="1:26">
      <c r="A336" s="4"/>
      <c r="B336" s="4"/>
      <c r="C336" s="4"/>
      <c r="D336" s="4"/>
      <c r="E336" s="29"/>
      <c r="F336" s="2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6"/>
    </row>
    <row r="337" customHeight="1" spans="1:26">
      <c r="A337" s="4"/>
      <c r="B337" s="4"/>
      <c r="C337" s="4"/>
      <c r="D337" s="4"/>
      <c r="E337" s="29"/>
      <c r="F337" s="2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6"/>
    </row>
    <row r="338" customHeight="1" spans="1:26">
      <c r="A338" s="4"/>
      <c r="B338" s="4"/>
      <c r="C338" s="4"/>
      <c r="D338" s="4"/>
      <c r="E338" s="29"/>
      <c r="F338" s="2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6"/>
    </row>
    <row r="339" customHeight="1" spans="1:26">
      <c r="A339" s="4"/>
      <c r="B339" s="4"/>
      <c r="C339" s="4"/>
      <c r="D339" s="4"/>
      <c r="E339" s="29"/>
      <c r="F339" s="2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6"/>
    </row>
    <row r="340" customHeight="1" spans="1:26">
      <c r="A340" s="4"/>
      <c r="B340" s="4"/>
      <c r="C340" s="4"/>
      <c r="D340" s="4"/>
      <c r="E340" s="29"/>
      <c r="F340" s="2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6"/>
    </row>
    <row r="341" customHeight="1" spans="1:26">
      <c r="A341" s="4"/>
      <c r="B341" s="4"/>
      <c r="C341" s="4"/>
      <c r="D341" s="4"/>
      <c r="E341" s="29"/>
      <c r="F341" s="2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6"/>
    </row>
    <row r="342" customHeight="1" spans="1:26">
      <c r="A342" s="4"/>
      <c r="B342" s="4"/>
      <c r="C342" s="4"/>
      <c r="D342" s="4"/>
      <c r="E342" s="29"/>
      <c r="F342" s="2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6"/>
    </row>
    <row r="343" customHeight="1" spans="1:26">
      <c r="A343" s="4"/>
      <c r="B343" s="4"/>
      <c r="C343" s="4"/>
      <c r="D343" s="4"/>
      <c r="E343" s="29"/>
      <c r="F343" s="2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6"/>
    </row>
    <row r="344" customHeight="1" spans="1:26">
      <c r="A344" s="4"/>
      <c r="B344" s="4"/>
      <c r="C344" s="4"/>
      <c r="D344" s="4"/>
      <c r="E344" s="29"/>
      <c r="F344" s="2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6"/>
    </row>
    <row r="345" customHeight="1" spans="1:26">
      <c r="A345" s="4"/>
      <c r="B345" s="4"/>
      <c r="C345" s="4"/>
      <c r="D345" s="4"/>
      <c r="E345" s="29"/>
      <c r="F345" s="2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6"/>
    </row>
    <row r="346" customHeight="1" spans="1:26">
      <c r="A346" s="4"/>
      <c r="B346" s="4"/>
      <c r="C346" s="4"/>
      <c r="D346" s="4"/>
      <c r="E346" s="29"/>
      <c r="F346" s="2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6"/>
    </row>
    <row r="347" customHeight="1" spans="1:26">
      <c r="A347" s="4"/>
      <c r="B347" s="4"/>
      <c r="C347" s="4"/>
      <c r="D347" s="4"/>
      <c r="E347" s="29"/>
      <c r="F347" s="2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6"/>
    </row>
    <row r="348" customHeight="1" spans="1:26">
      <c r="A348" s="4"/>
      <c r="B348" s="4"/>
      <c r="C348" s="4"/>
      <c r="D348" s="4"/>
      <c r="E348" s="29"/>
      <c r="F348" s="2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6"/>
    </row>
    <row r="349" customHeight="1" spans="1:26">
      <c r="A349" s="4"/>
      <c r="B349" s="4"/>
      <c r="C349" s="4"/>
      <c r="D349" s="4"/>
      <c r="E349" s="29"/>
      <c r="F349" s="2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6"/>
    </row>
    <row r="350" customHeight="1" spans="1:26">
      <c r="A350" s="4"/>
      <c r="B350" s="4"/>
      <c r="C350" s="4"/>
      <c r="D350" s="4"/>
      <c r="E350" s="29"/>
      <c r="F350" s="2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6"/>
    </row>
    <row r="351" customHeight="1" spans="1:26">
      <c r="A351" s="4"/>
      <c r="B351" s="4"/>
      <c r="C351" s="4"/>
      <c r="D351" s="4"/>
      <c r="E351" s="29"/>
      <c r="F351" s="2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6"/>
    </row>
    <row r="352" customHeight="1" spans="1:26">
      <c r="A352" s="4"/>
      <c r="B352" s="4"/>
      <c r="C352" s="4"/>
      <c r="D352" s="4"/>
      <c r="E352" s="29"/>
      <c r="F352" s="2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6"/>
    </row>
    <row r="353" customHeight="1" spans="1:26">
      <c r="A353" s="4"/>
      <c r="B353" s="4"/>
      <c r="C353" s="4"/>
      <c r="D353" s="4"/>
      <c r="E353" s="29"/>
      <c r="F353" s="2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6"/>
    </row>
    <row r="354" customHeight="1" spans="1:26">
      <c r="A354" s="4"/>
      <c r="B354" s="4"/>
      <c r="C354" s="4"/>
      <c r="D354" s="4"/>
      <c r="E354" s="29"/>
      <c r="F354" s="2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6"/>
    </row>
    <row r="355" customHeight="1" spans="1:26">
      <c r="A355" s="4"/>
      <c r="B355" s="4"/>
      <c r="C355" s="4"/>
      <c r="D355" s="4"/>
      <c r="E355" s="29"/>
      <c r="F355" s="2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6"/>
    </row>
    <row r="356" customHeight="1" spans="1:26">
      <c r="A356" s="4"/>
      <c r="B356" s="4"/>
      <c r="C356" s="4"/>
      <c r="D356" s="4"/>
      <c r="E356" s="29"/>
      <c r="F356" s="2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6"/>
    </row>
    <row r="357" customHeight="1" spans="1:26">
      <c r="A357" s="4"/>
      <c r="B357" s="4"/>
      <c r="C357" s="4"/>
      <c r="D357" s="4"/>
      <c r="E357" s="29"/>
      <c r="F357" s="2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6"/>
    </row>
    <row r="358" customHeight="1" spans="1:26">
      <c r="A358" s="4"/>
      <c r="B358" s="4"/>
      <c r="C358" s="4"/>
      <c r="D358" s="4"/>
      <c r="E358" s="29"/>
      <c r="F358" s="2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6"/>
    </row>
    <row r="359" customHeight="1" spans="1:26">
      <c r="A359" s="4"/>
      <c r="B359" s="4"/>
      <c r="C359" s="4"/>
      <c r="D359" s="4"/>
      <c r="E359" s="29"/>
      <c r="F359" s="2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6"/>
    </row>
    <row r="360" customHeight="1" spans="1:26">
      <c r="A360" s="4"/>
      <c r="B360" s="4"/>
      <c r="C360" s="4"/>
      <c r="D360" s="4"/>
      <c r="E360" s="29"/>
      <c r="F360" s="2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6"/>
    </row>
    <row r="361" customHeight="1" spans="1:26">
      <c r="A361" s="4"/>
      <c r="B361" s="4"/>
      <c r="C361" s="4"/>
      <c r="D361" s="4"/>
      <c r="E361" s="29"/>
      <c r="F361" s="2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6"/>
    </row>
    <row r="362" customHeight="1" spans="1:26">
      <c r="A362" s="4"/>
      <c r="B362" s="4"/>
      <c r="C362" s="4"/>
      <c r="D362" s="4"/>
      <c r="E362" s="29"/>
      <c r="F362" s="2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6"/>
    </row>
    <row r="363" customHeight="1" spans="1:26">
      <c r="A363" s="4"/>
      <c r="B363" s="4"/>
      <c r="C363" s="4"/>
      <c r="D363" s="4"/>
      <c r="E363" s="29"/>
      <c r="F363" s="2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6"/>
    </row>
    <row r="364" customHeight="1" spans="1:26">
      <c r="A364" s="4"/>
      <c r="B364" s="4"/>
      <c r="C364" s="4"/>
      <c r="D364" s="4"/>
      <c r="E364" s="29"/>
      <c r="F364" s="2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6"/>
    </row>
    <row r="365" customHeight="1" spans="1:26">
      <c r="A365" s="4"/>
      <c r="B365" s="4"/>
      <c r="C365" s="4"/>
      <c r="D365" s="4"/>
      <c r="E365" s="29"/>
      <c r="F365" s="2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6"/>
    </row>
    <row r="366" customHeight="1" spans="1:26">
      <c r="A366" s="4"/>
      <c r="B366" s="4"/>
      <c r="C366" s="4"/>
      <c r="D366" s="4"/>
      <c r="E366" s="29"/>
      <c r="F366" s="2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6"/>
    </row>
    <row r="367" customHeight="1" spans="1:26">
      <c r="A367" s="4"/>
      <c r="B367" s="4"/>
      <c r="C367" s="4"/>
      <c r="D367" s="4"/>
      <c r="E367" s="29"/>
      <c r="F367" s="2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6"/>
    </row>
    <row r="368" customHeight="1" spans="1:26">
      <c r="A368" s="4"/>
      <c r="B368" s="4"/>
      <c r="C368" s="4"/>
      <c r="D368" s="4"/>
      <c r="E368" s="29"/>
      <c r="F368" s="2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6"/>
    </row>
    <row r="369" customHeight="1" spans="1:26">
      <c r="A369" s="4"/>
      <c r="B369" s="4"/>
      <c r="C369" s="4"/>
      <c r="D369" s="4"/>
      <c r="E369" s="29"/>
      <c r="F369" s="2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6"/>
    </row>
    <row r="370" customHeight="1" spans="1:26">
      <c r="A370" s="4"/>
      <c r="B370" s="4"/>
      <c r="C370" s="4"/>
      <c r="D370" s="4"/>
      <c r="E370" s="29"/>
      <c r="F370" s="2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6"/>
    </row>
    <row r="371" customHeight="1" spans="1:26">
      <c r="A371" s="4"/>
      <c r="B371" s="4"/>
      <c r="C371" s="4"/>
      <c r="D371" s="4"/>
      <c r="E371" s="29"/>
      <c r="F371" s="2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6"/>
    </row>
    <row r="372" customHeight="1" spans="1:26">
      <c r="A372" s="4"/>
      <c r="B372" s="4"/>
      <c r="C372" s="4"/>
      <c r="D372" s="4"/>
      <c r="E372" s="29"/>
      <c r="F372" s="2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6"/>
    </row>
    <row r="373" customHeight="1" spans="1:26">
      <c r="A373" s="4"/>
      <c r="B373" s="4"/>
      <c r="C373" s="4"/>
      <c r="D373" s="4"/>
      <c r="E373" s="29"/>
      <c r="F373" s="2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6"/>
    </row>
    <row r="374" customHeight="1" spans="1:26">
      <c r="A374" s="4"/>
      <c r="B374" s="4"/>
      <c r="C374" s="4"/>
      <c r="D374" s="4"/>
      <c r="E374" s="29"/>
      <c r="F374" s="2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6"/>
    </row>
    <row r="375" customHeight="1" spans="1:26">
      <c r="A375" s="4"/>
      <c r="B375" s="4"/>
      <c r="C375" s="4"/>
      <c r="D375" s="4"/>
      <c r="E375" s="29"/>
      <c r="F375" s="2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6"/>
    </row>
    <row r="376" customHeight="1" spans="1:26">
      <c r="A376" s="4"/>
      <c r="B376" s="4"/>
      <c r="C376" s="4"/>
      <c r="D376" s="4"/>
      <c r="E376" s="29"/>
      <c r="F376" s="2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6"/>
    </row>
    <row r="377" customHeight="1" spans="1:26">
      <c r="A377" s="4"/>
      <c r="B377" s="4"/>
      <c r="C377" s="4"/>
      <c r="D377" s="4"/>
      <c r="E377" s="29"/>
      <c r="F377" s="2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6"/>
    </row>
    <row r="378" customHeight="1" spans="1:26">
      <c r="A378" s="4"/>
      <c r="B378" s="4"/>
      <c r="C378" s="4"/>
      <c r="D378" s="4"/>
      <c r="E378" s="29"/>
      <c r="F378" s="2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6"/>
    </row>
    <row r="379" customHeight="1" spans="1:26">
      <c r="A379" s="4"/>
      <c r="B379" s="4"/>
      <c r="C379" s="4"/>
      <c r="D379" s="4"/>
      <c r="E379" s="29"/>
      <c r="F379" s="2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6"/>
    </row>
    <row r="380" customHeight="1" spans="1:26">
      <c r="A380" s="4"/>
      <c r="B380" s="4"/>
      <c r="C380" s="4"/>
      <c r="D380" s="4"/>
      <c r="E380" s="29"/>
      <c r="F380" s="2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6"/>
    </row>
    <row r="381" customHeight="1" spans="1:26">
      <c r="A381" s="4"/>
      <c r="B381" s="4"/>
      <c r="C381" s="4"/>
      <c r="D381" s="4"/>
      <c r="E381" s="29"/>
      <c r="F381" s="2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6"/>
    </row>
    <row r="382" customHeight="1" spans="1:26">
      <c r="A382" s="4"/>
      <c r="B382" s="4"/>
      <c r="C382" s="4"/>
      <c r="D382" s="4"/>
      <c r="E382" s="29"/>
      <c r="F382" s="2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6"/>
    </row>
    <row r="383" customHeight="1" spans="1:26">
      <c r="A383" s="4"/>
      <c r="B383" s="4"/>
      <c r="C383" s="4"/>
      <c r="D383" s="4"/>
      <c r="E383" s="29"/>
      <c r="F383" s="2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6"/>
    </row>
    <row r="384" customHeight="1" spans="1:26">
      <c r="A384" s="4"/>
      <c r="B384" s="4"/>
      <c r="C384" s="4"/>
      <c r="D384" s="4"/>
      <c r="E384" s="29"/>
      <c r="F384" s="2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6"/>
    </row>
    <row r="385" customHeight="1" spans="1:26">
      <c r="A385" s="4"/>
      <c r="B385" s="4"/>
      <c r="C385" s="4"/>
      <c r="D385" s="4"/>
      <c r="E385" s="29"/>
      <c r="F385" s="2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6"/>
    </row>
    <row r="386" customHeight="1" spans="1:26">
      <c r="A386" s="4"/>
      <c r="B386" s="4"/>
      <c r="C386" s="4"/>
      <c r="D386" s="4"/>
      <c r="E386" s="29"/>
      <c r="F386" s="2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6"/>
    </row>
    <row r="387" customHeight="1" spans="1:26">
      <c r="A387" s="4"/>
      <c r="B387" s="4"/>
      <c r="C387" s="4"/>
      <c r="D387" s="4"/>
      <c r="E387" s="29"/>
      <c r="F387" s="2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6"/>
    </row>
    <row r="388" customHeight="1" spans="1:26">
      <c r="A388" s="4"/>
      <c r="B388" s="4"/>
      <c r="C388" s="4"/>
      <c r="D388" s="4"/>
      <c r="E388" s="29"/>
      <c r="F388" s="2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6"/>
    </row>
    <row r="389" customHeight="1" spans="1:26">
      <c r="A389" s="4"/>
      <c r="B389" s="4"/>
      <c r="C389" s="4"/>
      <c r="D389" s="4"/>
      <c r="E389" s="29"/>
      <c r="F389" s="2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6"/>
    </row>
    <row r="390" customHeight="1" spans="1:26">
      <c r="A390" s="4"/>
      <c r="B390" s="4"/>
      <c r="C390" s="4"/>
      <c r="D390" s="4"/>
      <c r="E390" s="29"/>
      <c r="F390" s="2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6"/>
    </row>
    <row r="391" customHeight="1" spans="1:26">
      <c r="A391" s="4"/>
      <c r="B391" s="4"/>
      <c r="C391" s="4"/>
      <c r="D391" s="4"/>
      <c r="E391" s="29"/>
      <c r="F391" s="2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6"/>
    </row>
    <row r="392" customHeight="1" spans="1:26">
      <c r="A392" s="4"/>
      <c r="B392" s="4"/>
      <c r="C392" s="4"/>
      <c r="D392" s="4"/>
      <c r="E392" s="29"/>
      <c r="F392" s="2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6"/>
    </row>
    <row r="393" customHeight="1" spans="1:26">
      <c r="A393" s="4"/>
      <c r="B393" s="4"/>
      <c r="C393" s="4"/>
      <c r="D393" s="4"/>
      <c r="E393" s="29"/>
      <c r="F393" s="2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6"/>
    </row>
    <row r="394" customHeight="1" spans="1:26">
      <c r="A394" s="4"/>
      <c r="B394" s="4"/>
      <c r="C394" s="4"/>
      <c r="D394" s="4"/>
      <c r="E394" s="29"/>
      <c r="F394" s="2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6"/>
    </row>
    <row r="395" customHeight="1" spans="1:26">
      <c r="A395" s="4"/>
      <c r="B395" s="4"/>
      <c r="C395" s="4"/>
      <c r="D395" s="4"/>
      <c r="E395" s="29"/>
      <c r="F395" s="2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6"/>
    </row>
    <row r="396" customHeight="1" spans="1:26">
      <c r="A396" s="4"/>
      <c r="B396" s="4"/>
      <c r="C396" s="4"/>
      <c r="D396" s="4"/>
      <c r="E396" s="29"/>
      <c r="F396" s="2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6"/>
    </row>
    <row r="397" customHeight="1" spans="1:26">
      <c r="A397" s="4"/>
      <c r="B397" s="4"/>
      <c r="C397" s="4"/>
      <c r="D397" s="4"/>
      <c r="E397" s="29"/>
      <c r="F397" s="2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6"/>
    </row>
    <row r="398" customHeight="1" spans="1:26">
      <c r="A398" s="4"/>
      <c r="B398" s="4"/>
      <c r="C398" s="4"/>
      <c r="D398" s="4"/>
      <c r="E398" s="29"/>
      <c r="F398" s="2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6"/>
    </row>
    <row r="399" customHeight="1" spans="1:26">
      <c r="A399" s="4"/>
      <c r="B399" s="4"/>
      <c r="C399" s="4"/>
      <c r="D399" s="4"/>
      <c r="E399" s="29"/>
      <c r="F399" s="2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6"/>
    </row>
    <row r="400" customHeight="1" spans="1:26">
      <c r="A400" s="4"/>
      <c r="B400" s="4"/>
      <c r="C400" s="4"/>
      <c r="D400" s="4"/>
      <c r="E400" s="29"/>
      <c r="F400" s="2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6"/>
    </row>
    <row r="401" customHeight="1" spans="1:26">
      <c r="A401" s="4"/>
      <c r="B401" s="4"/>
      <c r="C401" s="4"/>
      <c r="D401" s="4"/>
      <c r="E401" s="29"/>
      <c r="F401" s="2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6"/>
    </row>
    <row r="402" customHeight="1" spans="1:26">
      <c r="A402" s="4"/>
      <c r="B402" s="4"/>
      <c r="C402" s="4"/>
      <c r="D402" s="4"/>
      <c r="E402" s="29"/>
      <c r="F402" s="2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6"/>
    </row>
    <row r="403" customHeight="1" spans="1:26">
      <c r="A403" s="4"/>
      <c r="B403" s="4"/>
      <c r="C403" s="4"/>
      <c r="D403" s="4"/>
      <c r="E403" s="29"/>
      <c r="F403" s="2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6"/>
    </row>
    <row r="404" customHeight="1" spans="1:26">
      <c r="A404" s="4"/>
      <c r="B404" s="4"/>
      <c r="C404" s="4"/>
      <c r="D404" s="4"/>
      <c r="E404" s="29"/>
      <c r="F404" s="2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6"/>
    </row>
    <row r="405" customHeight="1" spans="1:26">
      <c r="A405" s="4"/>
      <c r="B405" s="4"/>
      <c r="C405" s="4"/>
      <c r="D405" s="4"/>
      <c r="E405" s="29"/>
      <c r="F405" s="2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6"/>
    </row>
    <row r="406" customHeight="1" spans="1:26">
      <c r="A406" s="4"/>
      <c r="B406" s="4"/>
      <c r="C406" s="4"/>
      <c r="D406" s="4"/>
      <c r="E406" s="29"/>
      <c r="F406" s="2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6"/>
    </row>
    <row r="407" customHeight="1" spans="1:26">
      <c r="A407" s="4"/>
      <c r="B407" s="4"/>
      <c r="C407" s="4"/>
      <c r="D407" s="4"/>
      <c r="E407" s="29"/>
      <c r="F407" s="2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6"/>
    </row>
    <row r="408" customHeight="1" spans="1:26">
      <c r="A408" s="4"/>
      <c r="B408" s="4"/>
      <c r="C408" s="4"/>
      <c r="D408" s="4"/>
      <c r="E408" s="29"/>
      <c r="F408" s="2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6"/>
    </row>
    <row r="409" customHeight="1" spans="1:26">
      <c r="A409" s="4"/>
      <c r="B409" s="4"/>
      <c r="C409" s="4"/>
      <c r="D409" s="4"/>
      <c r="E409" s="29"/>
      <c r="F409" s="2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6"/>
    </row>
    <row r="410" customHeight="1" spans="1:26">
      <c r="A410" s="4"/>
      <c r="B410" s="4"/>
      <c r="C410" s="4"/>
      <c r="D410" s="4"/>
      <c r="E410" s="29"/>
      <c r="F410" s="2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6"/>
    </row>
    <row r="411" customHeight="1" spans="1:26">
      <c r="A411" s="4"/>
      <c r="B411" s="4"/>
      <c r="C411" s="4"/>
      <c r="D411" s="4"/>
      <c r="E411" s="29"/>
      <c r="F411" s="2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6"/>
    </row>
    <row r="412" customHeight="1" spans="1:26">
      <c r="A412" s="4"/>
      <c r="B412" s="4"/>
      <c r="C412" s="4"/>
      <c r="D412" s="4"/>
      <c r="E412" s="29"/>
      <c r="F412" s="2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6"/>
    </row>
    <row r="413" customHeight="1" spans="1:26">
      <c r="A413" s="4"/>
      <c r="B413" s="4"/>
      <c r="C413" s="4"/>
      <c r="D413" s="4"/>
      <c r="E413" s="29"/>
      <c r="F413" s="2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6"/>
    </row>
    <row r="414" customHeight="1" spans="1:26">
      <c r="A414" s="4"/>
      <c r="B414" s="4"/>
      <c r="C414" s="4"/>
      <c r="D414" s="4"/>
      <c r="E414" s="29"/>
      <c r="F414" s="2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6"/>
    </row>
    <row r="415" customHeight="1" spans="1:26">
      <c r="A415" s="4"/>
      <c r="B415" s="4"/>
      <c r="C415" s="4"/>
      <c r="D415" s="4"/>
      <c r="E415" s="29"/>
      <c r="F415" s="2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6"/>
    </row>
    <row r="416" customHeight="1" spans="1:26">
      <c r="A416" s="4"/>
      <c r="B416" s="4"/>
      <c r="C416" s="4"/>
      <c r="D416" s="4"/>
      <c r="E416" s="29"/>
      <c r="F416" s="2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6"/>
    </row>
    <row r="417" customHeight="1" spans="1:26">
      <c r="A417" s="4"/>
      <c r="B417" s="4"/>
      <c r="C417" s="4"/>
      <c r="D417" s="4"/>
      <c r="E417" s="29"/>
      <c r="F417" s="2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6"/>
    </row>
    <row r="418" customHeight="1" spans="1:26">
      <c r="A418" s="4"/>
      <c r="B418" s="4"/>
      <c r="C418" s="4"/>
      <c r="D418" s="4"/>
      <c r="E418" s="29"/>
      <c r="F418" s="2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6"/>
    </row>
    <row r="419" customHeight="1" spans="1:26">
      <c r="A419" s="4"/>
      <c r="B419" s="4"/>
      <c r="C419" s="4"/>
      <c r="D419" s="4"/>
      <c r="E419" s="29"/>
      <c r="F419" s="2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6"/>
    </row>
    <row r="420" customHeight="1" spans="1:26">
      <c r="A420" s="4"/>
      <c r="B420" s="4"/>
      <c r="C420" s="4"/>
      <c r="D420" s="4"/>
      <c r="E420" s="29"/>
      <c r="F420" s="2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6"/>
    </row>
    <row r="421" customHeight="1" spans="1:26">
      <c r="A421" s="4"/>
      <c r="B421" s="4"/>
      <c r="C421" s="4"/>
      <c r="D421" s="4"/>
      <c r="E421" s="29"/>
      <c r="F421" s="2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6"/>
    </row>
    <row r="422" customHeight="1" spans="1:26">
      <c r="A422" s="4"/>
      <c r="B422" s="4"/>
      <c r="C422" s="4"/>
      <c r="D422" s="4"/>
      <c r="E422" s="29"/>
      <c r="F422" s="2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6"/>
    </row>
    <row r="423" customHeight="1" spans="1:26">
      <c r="A423" s="4"/>
      <c r="B423" s="4"/>
      <c r="C423" s="4"/>
      <c r="D423" s="4"/>
      <c r="E423" s="29"/>
      <c r="F423" s="2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6"/>
    </row>
    <row r="424" customHeight="1" spans="1:26">
      <c r="A424" s="4"/>
      <c r="B424" s="4"/>
      <c r="C424" s="4"/>
      <c r="D424" s="4"/>
      <c r="E424" s="29"/>
      <c r="F424" s="2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6"/>
    </row>
    <row r="425" customHeight="1" spans="1:26">
      <c r="A425" s="4"/>
      <c r="B425" s="4"/>
      <c r="C425" s="4"/>
      <c r="D425" s="4"/>
      <c r="E425" s="29"/>
      <c r="F425" s="2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6"/>
    </row>
    <row r="426" customHeight="1" spans="1:26">
      <c r="A426" s="4"/>
      <c r="B426" s="4"/>
      <c r="C426" s="4"/>
      <c r="D426" s="4"/>
      <c r="E426" s="29"/>
      <c r="F426" s="2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6"/>
    </row>
    <row r="427" customHeight="1" spans="1:26">
      <c r="A427" s="4"/>
      <c r="B427" s="4"/>
      <c r="C427" s="4"/>
      <c r="D427" s="4"/>
      <c r="E427" s="29"/>
      <c r="F427" s="2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6"/>
    </row>
    <row r="428" customHeight="1" spans="1:26">
      <c r="A428" s="4"/>
      <c r="B428" s="4"/>
      <c r="C428" s="4"/>
      <c r="D428" s="4"/>
      <c r="E428" s="29"/>
      <c r="F428" s="2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6"/>
    </row>
    <row r="429" customHeight="1" spans="1:26">
      <c r="A429" s="4"/>
      <c r="B429" s="4"/>
      <c r="C429" s="4"/>
      <c r="D429" s="4"/>
      <c r="E429" s="29"/>
      <c r="F429" s="2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6"/>
    </row>
    <row r="430" customHeight="1" spans="1:26">
      <c r="A430" s="4"/>
      <c r="B430" s="4"/>
      <c r="C430" s="4"/>
      <c r="D430" s="4"/>
      <c r="E430" s="29"/>
      <c r="F430" s="2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6"/>
    </row>
    <row r="431" customHeight="1" spans="1:26">
      <c r="A431" s="4"/>
      <c r="B431" s="4"/>
      <c r="C431" s="4"/>
      <c r="D431" s="4"/>
      <c r="E431" s="29"/>
      <c r="F431" s="2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6"/>
    </row>
    <row r="432" customHeight="1" spans="1:26">
      <c r="A432" s="4"/>
      <c r="B432" s="4"/>
      <c r="C432" s="4"/>
      <c r="D432" s="4"/>
      <c r="E432" s="29"/>
      <c r="F432" s="2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6"/>
    </row>
    <row r="433" customHeight="1" spans="1:26">
      <c r="A433" s="4"/>
      <c r="B433" s="4"/>
      <c r="C433" s="4"/>
      <c r="D433" s="4"/>
      <c r="E433" s="29"/>
      <c r="F433" s="2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6"/>
    </row>
    <row r="434" customHeight="1" spans="1:26">
      <c r="A434" s="4"/>
      <c r="B434" s="4"/>
      <c r="C434" s="4"/>
      <c r="D434" s="4"/>
      <c r="E434" s="29"/>
      <c r="F434" s="2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6"/>
    </row>
    <row r="435" customHeight="1" spans="1:26">
      <c r="A435" s="4"/>
      <c r="B435" s="4"/>
      <c r="C435" s="4"/>
      <c r="D435" s="4"/>
      <c r="E435" s="29"/>
      <c r="F435" s="2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6"/>
    </row>
    <row r="436" customHeight="1" spans="1:26">
      <c r="A436" s="4"/>
      <c r="B436" s="4"/>
      <c r="C436" s="4"/>
      <c r="D436" s="4"/>
      <c r="E436" s="29"/>
      <c r="F436" s="2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6"/>
    </row>
    <row r="437" customHeight="1" spans="1:26">
      <c r="A437" s="4"/>
      <c r="B437" s="4"/>
      <c r="C437" s="4"/>
      <c r="D437" s="4"/>
      <c r="E437" s="29"/>
      <c r="F437" s="2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6"/>
    </row>
    <row r="438" customHeight="1" spans="1:26">
      <c r="A438" s="4"/>
      <c r="B438" s="4"/>
      <c r="C438" s="4"/>
      <c r="D438" s="4"/>
      <c r="E438" s="29"/>
      <c r="F438" s="2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6"/>
    </row>
    <row r="439" customHeight="1" spans="1:26">
      <c r="A439" s="4"/>
      <c r="B439" s="4"/>
      <c r="C439" s="4"/>
      <c r="D439" s="4"/>
      <c r="E439" s="29"/>
      <c r="F439" s="2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6"/>
    </row>
    <row r="440" customHeight="1" spans="1:26">
      <c r="A440" s="4"/>
      <c r="B440" s="4"/>
      <c r="C440" s="4"/>
      <c r="D440" s="4"/>
      <c r="E440" s="29"/>
      <c r="F440" s="2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6"/>
    </row>
    <row r="441" customHeight="1" spans="1:26">
      <c r="A441" s="4"/>
      <c r="B441" s="4"/>
      <c r="C441" s="4"/>
      <c r="D441" s="4"/>
      <c r="E441" s="29"/>
      <c r="F441" s="2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6"/>
    </row>
    <row r="442" customHeight="1" spans="1:26">
      <c r="A442" s="4"/>
      <c r="B442" s="4"/>
      <c r="C442" s="4"/>
      <c r="D442" s="4"/>
      <c r="E442" s="29"/>
      <c r="F442" s="2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6"/>
    </row>
    <row r="443" customHeight="1" spans="1:26">
      <c r="A443" s="4"/>
      <c r="B443" s="4"/>
      <c r="C443" s="4"/>
      <c r="D443" s="4"/>
      <c r="E443" s="29"/>
      <c r="F443" s="2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6"/>
    </row>
    <row r="444" customHeight="1" spans="1:26">
      <c r="A444" s="4"/>
      <c r="B444" s="4"/>
      <c r="C444" s="4"/>
      <c r="D444" s="4"/>
      <c r="E444" s="29"/>
      <c r="F444" s="2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6"/>
    </row>
    <row r="445" customHeight="1" spans="1:26">
      <c r="A445" s="4"/>
      <c r="B445" s="4"/>
      <c r="C445" s="4"/>
      <c r="D445" s="4"/>
      <c r="E445" s="29"/>
      <c r="F445" s="2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6"/>
    </row>
    <row r="446" customHeight="1" spans="1:26">
      <c r="A446" s="4"/>
      <c r="B446" s="4"/>
      <c r="C446" s="4"/>
      <c r="D446" s="4"/>
      <c r="E446" s="29"/>
      <c r="F446" s="2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6"/>
    </row>
    <row r="447" customHeight="1" spans="1:26">
      <c r="A447" s="4"/>
      <c r="B447" s="4"/>
      <c r="C447" s="4"/>
      <c r="D447" s="4"/>
      <c r="E447" s="29"/>
      <c r="F447" s="2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6"/>
    </row>
    <row r="448" customHeight="1" spans="1:26">
      <c r="A448" s="4"/>
      <c r="B448" s="4"/>
      <c r="C448" s="4"/>
      <c r="D448" s="4"/>
      <c r="E448" s="29"/>
      <c r="F448" s="2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6"/>
    </row>
    <row r="449" customHeight="1" spans="1:26">
      <c r="A449" s="4"/>
      <c r="B449" s="4"/>
      <c r="C449" s="4"/>
      <c r="D449" s="4"/>
      <c r="E449" s="29"/>
      <c r="F449" s="2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6"/>
    </row>
    <row r="450" customHeight="1" spans="1:26">
      <c r="A450" s="4"/>
      <c r="B450" s="4"/>
      <c r="C450" s="4"/>
      <c r="D450" s="4"/>
      <c r="E450" s="29"/>
      <c r="F450" s="2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6"/>
    </row>
    <row r="451" customHeight="1" spans="1:26">
      <c r="A451" s="4"/>
      <c r="B451" s="4"/>
      <c r="C451" s="4"/>
      <c r="D451" s="4"/>
      <c r="E451" s="29"/>
      <c r="F451" s="2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6"/>
    </row>
    <row r="452" customHeight="1" spans="1:26">
      <c r="A452" s="4"/>
      <c r="B452" s="4"/>
      <c r="C452" s="4"/>
      <c r="D452" s="4"/>
      <c r="E452" s="29"/>
      <c r="F452" s="2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6"/>
    </row>
    <row r="453" customHeight="1" spans="1:26">
      <c r="A453" s="4"/>
      <c r="B453" s="4"/>
      <c r="C453" s="4"/>
      <c r="D453" s="4"/>
      <c r="E453" s="29"/>
      <c r="F453" s="2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6"/>
    </row>
    <row r="454" customHeight="1" spans="1:26">
      <c r="A454" s="4"/>
      <c r="B454" s="4"/>
      <c r="C454" s="4"/>
      <c r="D454" s="4"/>
      <c r="E454" s="29"/>
      <c r="F454" s="2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6"/>
    </row>
    <row r="455" customHeight="1" spans="1:26">
      <c r="A455" s="4"/>
      <c r="B455" s="4"/>
      <c r="C455" s="4"/>
      <c r="D455" s="4"/>
      <c r="E455" s="29"/>
      <c r="F455" s="2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6"/>
    </row>
    <row r="456" customHeight="1" spans="1:26">
      <c r="A456" s="4"/>
      <c r="B456" s="4"/>
      <c r="C456" s="4"/>
      <c r="D456" s="4"/>
      <c r="E456" s="29"/>
      <c r="F456" s="2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6"/>
    </row>
    <row r="457" customHeight="1" spans="1:26">
      <c r="A457" s="4"/>
      <c r="B457" s="4"/>
      <c r="C457" s="4"/>
      <c r="D457" s="4"/>
      <c r="E457" s="29"/>
      <c r="F457" s="2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6"/>
    </row>
    <row r="458" customHeight="1" spans="1:26">
      <c r="A458" s="4"/>
      <c r="B458" s="4"/>
      <c r="C458" s="4"/>
      <c r="D458" s="4"/>
      <c r="E458" s="29"/>
      <c r="F458" s="2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6"/>
    </row>
    <row r="459" customHeight="1" spans="1:26">
      <c r="A459" s="4"/>
      <c r="B459" s="4"/>
      <c r="C459" s="4"/>
      <c r="D459" s="4"/>
      <c r="E459" s="29"/>
      <c r="F459" s="2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6"/>
    </row>
    <row r="460" customHeight="1" spans="1:26">
      <c r="A460" s="4"/>
      <c r="B460" s="4"/>
      <c r="C460" s="4"/>
      <c r="D460" s="4"/>
      <c r="E460" s="29"/>
      <c r="F460" s="2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6"/>
    </row>
    <row r="461" customHeight="1" spans="1:26">
      <c r="A461" s="4"/>
      <c r="B461" s="4"/>
      <c r="C461" s="4"/>
      <c r="D461" s="4"/>
      <c r="E461" s="29"/>
      <c r="F461" s="2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6"/>
    </row>
    <row r="462" customHeight="1" spans="1:26">
      <c r="A462" s="4"/>
      <c r="B462" s="4"/>
      <c r="C462" s="4"/>
      <c r="D462" s="4"/>
      <c r="E462" s="29"/>
      <c r="F462" s="2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6"/>
    </row>
    <row r="463" customHeight="1" spans="1:26">
      <c r="A463" s="4"/>
      <c r="B463" s="4"/>
      <c r="C463" s="4"/>
      <c r="D463" s="4"/>
      <c r="E463" s="29"/>
      <c r="F463" s="2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6"/>
    </row>
    <row r="464" customHeight="1" spans="1:26">
      <c r="A464" s="4"/>
      <c r="B464" s="4"/>
      <c r="C464" s="4"/>
      <c r="D464" s="4"/>
      <c r="E464" s="29"/>
      <c r="F464" s="2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6"/>
    </row>
    <row r="465" customHeight="1" spans="1:26">
      <c r="A465" s="4"/>
      <c r="B465" s="4"/>
      <c r="C465" s="4"/>
      <c r="D465" s="4"/>
      <c r="E465" s="29"/>
      <c r="F465" s="2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6"/>
    </row>
    <row r="466" customHeight="1" spans="1:26">
      <c r="A466" s="4"/>
      <c r="B466" s="4"/>
      <c r="C466" s="4"/>
      <c r="D466" s="4"/>
      <c r="E466" s="29"/>
      <c r="F466" s="2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6"/>
    </row>
    <row r="467" customHeight="1" spans="1:26">
      <c r="A467" s="4"/>
      <c r="B467" s="4"/>
      <c r="C467" s="4"/>
      <c r="D467" s="4"/>
      <c r="E467" s="29"/>
      <c r="F467" s="2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6"/>
    </row>
    <row r="468" customHeight="1" spans="1:26">
      <c r="A468" s="4"/>
      <c r="B468" s="4"/>
      <c r="C468" s="4"/>
      <c r="D468" s="4"/>
      <c r="E468" s="29"/>
      <c r="F468" s="2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6"/>
    </row>
    <row r="469" customHeight="1" spans="1:26">
      <c r="A469" s="4"/>
      <c r="B469" s="4"/>
      <c r="C469" s="4"/>
      <c r="D469" s="4"/>
      <c r="E469" s="29"/>
      <c r="F469" s="2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6"/>
    </row>
    <row r="470" customHeight="1" spans="1:26">
      <c r="A470" s="4"/>
      <c r="B470" s="4"/>
      <c r="C470" s="4"/>
      <c r="D470" s="4"/>
      <c r="E470" s="29"/>
      <c r="F470" s="2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6"/>
    </row>
    <row r="471" customHeight="1" spans="1:26">
      <c r="A471" s="4"/>
      <c r="B471" s="4"/>
      <c r="C471" s="4"/>
      <c r="D471" s="4"/>
      <c r="E471" s="29"/>
      <c r="F471" s="2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6"/>
    </row>
    <row r="472" customHeight="1" spans="1:26">
      <c r="A472" s="4"/>
      <c r="B472" s="4"/>
      <c r="C472" s="4"/>
      <c r="D472" s="4"/>
      <c r="E472" s="29"/>
      <c r="F472" s="2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6"/>
    </row>
    <row r="473" customHeight="1" spans="1:26">
      <c r="A473" s="4"/>
      <c r="B473" s="4"/>
      <c r="C473" s="4"/>
      <c r="D473" s="4"/>
      <c r="E473" s="29"/>
      <c r="F473" s="2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6"/>
    </row>
    <row r="474" customHeight="1" spans="1:26">
      <c r="A474" s="4"/>
      <c r="B474" s="4"/>
      <c r="C474" s="4"/>
      <c r="D474" s="4"/>
      <c r="E474" s="29"/>
      <c r="F474" s="2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6"/>
    </row>
    <row r="475" customHeight="1" spans="1:26">
      <c r="A475" s="4"/>
      <c r="B475" s="4"/>
      <c r="C475" s="4"/>
      <c r="D475" s="4"/>
      <c r="E475" s="29"/>
      <c r="F475" s="2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6"/>
    </row>
    <row r="476" customHeight="1" spans="1:26">
      <c r="A476" s="4"/>
      <c r="B476" s="4"/>
      <c r="C476" s="4"/>
      <c r="D476" s="4"/>
      <c r="E476" s="29"/>
      <c r="F476" s="2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6"/>
    </row>
    <row r="477" customHeight="1" spans="1:26">
      <c r="A477" s="4"/>
      <c r="B477" s="4"/>
      <c r="C477" s="4"/>
      <c r="D477" s="4"/>
      <c r="E477" s="29"/>
      <c r="F477" s="2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6"/>
    </row>
    <row r="478" customHeight="1" spans="1:26">
      <c r="A478" s="4"/>
      <c r="B478" s="4"/>
      <c r="C478" s="4"/>
      <c r="D478" s="4"/>
      <c r="E478" s="29"/>
      <c r="F478" s="2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6"/>
    </row>
    <row r="479" customHeight="1" spans="1:26">
      <c r="A479" s="4"/>
      <c r="B479" s="4"/>
      <c r="C479" s="4"/>
      <c r="D479" s="4"/>
      <c r="E479" s="29"/>
      <c r="F479" s="2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6"/>
    </row>
    <row r="480" customHeight="1" spans="1:26">
      <c r="A480" s="4"/>
      <c r="B480" s="4"/>
      <c r="C480" s="4"/>
      <c r="D480" s="4"/>
      <c r="E480" s="29"/>
      <c r="F480" s="2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6"/>
    </row>
    <row r="481" customHeight="1" spans="1:26">
      <c r="A481" s="4"/>
      <c r="B481" s="4"/>
      <c r="C481" s="4"/>
      <c r="D481" s="4"/>
      <c r="E481" s="29"/>
      <c r="F481" s="2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6"/>
    </row>
    <row r="482" customHeight="1" spans="1:26">
      <c r="A482" s="4"/>
      <c r="B482" s="4"/>
      <c r="C482" s="4"/>
      <c r="D482" s="4"/>
      <c r="E482" s="29"/>
      <c r="F482" s="2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6"/>
    </row>
    <row r="483" customHeight="1" spans="1:26">
      <c r="A483" s="4"/>
      <c r="B483" s="4"/>
      <c r="C483" s="4"/>
      <c r="D483" s="4"/>
      <c r="E483" s="29"/>
      <c r="F483" s="2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6"/>
    </row>
    <row r="484" customHeight="1" spans="1:26">
      <c r="A484" s="4"/>
      <c r="B484" s="4"/>
      <c r="C484" s="4"/>
      <c r="D484" s="4"/>
      <c r="E484" s="29"/>
      <c r="F484" s="2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6"/>
    </row>
    <row r="485" customHeight="1" spans="1:26">
      <c r="A485" s="4"/>
      <c r="B485" s="4"/>
      <c r="C485" s="4"/>
      <c r="D485" s="4"/>
      <c r="E485" s="29"/>
      <c r="F485" s="2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6"/>
    </row>
    <row r="486" customHeight="1" spans="1:26">
      <c r="A486" s="4"/>
      <c r="B486" s="4"/>
      <c r="C486" s="4"/>
      <c r="D486" s="4"/>
      <c r="E486" s="29"/>
      <c r="F486" s="2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6"/>
    </row>
    <row r="487" customHeight="1" spans="1:26">
      <c r="A487" s="4"/>
      <c r="B487" s="4"/>
      <c r="C487" s="4"/>
      <c r="D487" s="4"/>
      <c r="E487" s="29"/>
      <c r="F487" s="2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6"/>
    </row>
    <row r="488" customHeight="1" spans="1:26">
      <c r="A488" s="4"/>
      <c r="B488" s="4"/>
      <c r="C488" s="4"/>
      <c r="D488" s="4"/>
      <c r="E488" s="29"/>
      <c r="F488" s="2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6"/>
    </row>
    <row r="489" customHeight="1" spans="1:26">
      <c r="A489" s="4"/>
      <c r="B489" s="4"/>
      <c r="C489" s="4"/>
      <c r="D489" s="4"/>
      <c r="E489" s="29"/>
      <c r="F489" s="2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6"/>
    </row>
    <row r="490" customHeight="1" spans="1:26">
      <c r="A490" s="4"/>
      <c r="B490" s="4"/>
      <c r="C490" s="4"/>
      <c r="D490" s="4"/>
      <c r="E490" s="29"/>
      <c r="F490" s="2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6"/>
    </row>
    <row r="491" customHeight="1" spans="1:26">
      <c r="A491" s="4"/>
      <c r="B491" s="4"/>
      <c r="C491" s="4"/>
      <c r="D491" s="4"/>
      <c r="E491" s="29"/>
      <c r="F491" s="2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6"/>
    </row>
    <row r="492" customHeight="1" spans="1:26">
      <c r="A492" s="4"/>
      <c r="B492" s="4"/>
      <c r="C492" s="4"/>
      <c r="D492" s="4"/>
      <c r="E492" s="29"/>
      <c r="F492" s="2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6"/>
    </row>
    <row r="493" customHeight="1" spans="1:26">
      <c r="A493" s="4"/>
      <c r="B493" s="4"/>
      <c r="C493" s="4"/>
      <c r="D493" s="4"/>
      <c r="E493" s="29"/>
      <c r="F493" s="2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6"/>
    </row>
    <row r="494" customHeight="1" spans="1:26">
      <c r="A494" s="4"/>
      <c r="B494" s="4"/>
      <c r="C494" s="4"/>
      <c r="D494" s="4"/>
      <c r="E494" s="29"/>
      <c r="F494" s="2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6"/>
    </row>
    <row r="495" customHeight="1" spans="1:26">
      <c r="A495" s="4"/>
      <c r="B495" s="4"/>
      <c r="C495" s="4"/>
      <c r="D495" s="4"/>
      <c r="E495" s="29"/>
      <c r="F495" s="2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6"/>
    </row>
    <row r="496" customHeight="1" spans="1:26">
      <c r="A496" s="4"/>
      <c r="B496" s="4"/>
      <c r="C496" s="4"/>
      <c r="D496" s="4"/>
      <c r="E496" s="29"/>
      <c r="F496" s="2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6"/>
    </row>
    <row r="497" customHeight="1" spans="1:26">
      <c r="A497" s="4"/>
      <c r="B497" s="4"/>
      <c r="C497" s="4"/>
      <c r="D497" s="4"/>
      <c r="E497" s="29"/>
      <c r="F497" s="2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6"/>
    </row>
    <row r="498" customHeight="1" spans="1:26">
      <c r="A498" s="4"/>
      <c r="B498" s="4"/>
      <c r="C498" s="4"/>
      <c r="D498" s="4"/>
      <c r="E498" s="29"/>
      <c r="F498" s="2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6"/>
    </row>
    <row r="499" customHeight="1" spans="1:26">
      <c r="A499" s="4"/>
      <c r="B499" s="4"/>
      <c r="C499" s="4"/>
      <c r="D499" s="4"/>
      <c r="E499" s="29"/>
      <c r="F499" s="2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6"/>
    </row>
    <row r="500" customHeight="1" spans="1:26">
      <c r="A500" s="4"/>
      <c r="B500" s="4"/>
      <c r="C500" s="4"/>
      <c r="D500" s="4"/>
      <c r="E500" s="29"/>
      <c r="F500" s="2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6"/>
    </row>
    <row r="501" customHeight="1" spans="1:26">
      <c r="A501" s="4"/>
      <c r="B501" s="4"/>
      <c r="C501" s="4"/>
      <c r="D501" s="4"/>
      <c r="E501" s="29"/>
      <c r="F501" s="2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6"/>
    </row>
    <row r="502" customHeight="1" spans="1:26">
      <c r="A502" s="4"/>
      <c r="B502" s="4"/>
      <c r="C502" s="4"/>
      <c r="D502" s="4"/>
      <c r="E502" s="29"/>
      <c r="F502" s="2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6"/>
    </row>
    <row r="503" customHeight="1" spans="1:26">
      <c r="A503" s="4"/>
      <c r="B503" s="4"/>
      <c r="C503" s="4"/>
      <c r="D503" s="4"/>
      <c r="E503" s="29"/>
      <c r="F503" s="2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6"/>
    </row>
    <row r="504" customHeight="1" spans="1:26">
      <c r="A504" s="4"/>
      <c r="B504" s="4"/>
      <c r="C504" s="4"/>
      <c r="D504" s="4"/>
      <c r="E504" s="29"/>
      <c r="F504" s="2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6"/>
    </row>
    <row r="505" customHeight="1" spans="1:26">
      <c r="A505" s="4"/>
      <c r="B505" s="4"/>
      <c r="C505" s="4"/>
      <c r="D505" s="4"/>
      <c r="E505" s="29"/>
      <c r="F505" s="2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6"/>
    </row>
    <row r="506" customHeight="1" spans="1:26">
      <c r="A506" s="4"/>
      <c r="B506" s="4"/>
      <c r="C506" s="4"/>
      <c r="D506" s="4"/>
      <c r="E506" s="29"/>
      <c r="F506" s="2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6"/>
    </row>
    <row r="507" customHeight="1" spans="1:26">
      <c r="A507" s="4"/>
      <c r="B507" s="4"/>
      <c r="C507" s="4"/>
      <c r="D507" s="4"/>
      <c r="E507" s="29"/>
      <c r="F507" s="2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6"/>
    </row>
    <row r="508" customHeight="1" spans="1:26">
      <c r="A508" s="4"/>
      <c r="B508" s="4"/>
      <c r="C508" s="4"/>
      <c r="D508" s="4"/>
      <c r="E508" s="29"/>
      <c r="F508" s="2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6"/>
    </row>
    <row r="509" customHeight="1" spans="1:26">
      <c r="A509" s="4"/>
      <c r="B509" s="4"/>
      <c r="C509" s="4"/>
      <c r="D509" s="4"/>
      <c r="E509" s="29"/>
      <c r="F509" s="2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6"/>
    </row>
    <row r="510" customHeight="1" spans="1:26">
      <c r="A510" s="4"/>
      <c r="B510" s="4"/>
      <c r="C510" s="4"/>
      <c r="D510" s="4"/>
      <c r="E510" s="29"/>
      <c r="F510" s="2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6"/>
    </row>
    <row r="511" customHeight="1" spans="1:26">
      <c r="A511" s="4"/>
      <c r="B511" s="4"/>
      <c r="C511" s="4"/>
      <c r="D511" s="4"/>
      <c r="E511" s="29"/>
      <c r="F511" s="2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6"/>
    </row>
    <row r="512" customHeight="1" spans="1:26">
      <c r="A512" s="4"/>
      <c r="B512" s="4"/>
      <c r="C512" s="4"/>
      <c r="D512" s="4"/>
      <c r="E512" s="29"/>
      <c r="F512" s="2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6"/>
    </row>
    <row r="513" customHeight="1" spans="1:26">
      <c r="A513" s="4"/>
      <c r="B513" s="4"/>
      <c r="C513" s="4"/>
      <c r="D513" s="4"/>
      <c r="E513" s="29"/>
      <c r="F513" s="2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6"/>
    </row>
    <row r="514" customHeight="1" spans="1:26">
      <c r="A514" s="4"/>
      <c r="B514" s="4"/>
      <c r="C514" s="4"/>
      <c r="D514" s="4"/>
      <c r="E514" s="29"/>
      <c r="F514" s="2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6"/>
    </row>
    <row r="515" customHeight="1" spans="1:26">
      <c r="A515" s="4"/>
      <c r="B515" s="4"/>
      <c r="C515" s="4"/>
      <c r="D515" s="4"/>
      <c r="E515" s="29"/>
      <c r="F515" s="2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6"/>
    </row>
    <row r="516" customHeight="1" spans="1:26">
      <c r="A516" s="4"/>
      <c r="B516" s="4"/>
      <c r="C516" s="4"/>
      <c r="D516" s="4"/>
      <c r="E516" s="29"/>
      <c r="F516" s="2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6"/>
    </row>
    <row r="517" customHeight="1" spans="1:26">
      <c r="A517" s="4"/>
      <c r="B517" s="4"/>
      <c r="C517" s="4"/>
      <c r="D517" s="4"/>
      <c r="E517" s="29"/>
      <c r="F517" s="2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6"/>
    </row>
    <row r="518" customHeight="1" spans="1:26">
      <c r="A518" s="4"/>
      <c r="B518" s="4"/>
      <c r="C518" s="4"/>
      <c r="D518" s="4"/>
      <c r="E518" s="29"/>
      <c r="F518" s="2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6"/>
    </row>
    <row r="519" customHeight="1" spans="1:26">
      <c r="A519" s="4"/>
      <c r="B519" s="4"/>
      <c r="C519" s="4"/>
      <c r="D519" s="4"/>
      <c r="E519" s="29"/>
      <c r="F519" s="2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6"/>
    </row>
    <row r="520" customHeight="1" spans="1:26">
      <c r="A520" s="4"/>
      <c r="B520" s="4"/>
      <c r="C520" s="4"/>
      <c r="D520" s="4"/>
      <c r="E520" s="29"/>
      <c r="F520" s="2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6"/>
    </row>
    <row r="521" customHeight="1" spans="1:26">
      <c r="A521" s="4"/>
      <c r="B521" s="4"/>
      <c r="C521" s="4"/>
      <c r="D521" s="4"/>
      <c r="E521" s="29"/>
      <c r="F521" s="2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6"/>
    </row>
    <row r="522" customHeight="1" spans="1:26">
      <c r="A522" s="4"/>
      <c r="B522" s="4"/>
      <c r="C522" s="4"/>
      <c r="D522" s="4"/>
      <c r="E522" s="29"/>
      <c r="F522" s="2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6"/>
    </row>
    <row r="523" customHeight="1" spans="1:26">
      <c r="A523" s="4"/>
      <c r="B523" s="4"/>
      <c r="C523" s="4"/>
      <c r="D523" s="4"/>
      <c r="E523" s="29"/>
      <c r="F523" s="2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6"/>
    </row>
    <row r="524" customHeight="1" spans="1:26">
      <c r="A524" s="4"/>
      <c r="B524" s="4"/>
      <c r="C524" s="4"/>
      <c r="D524" s="4"/>
      <c r="E524" s="29"/>
      <c r="F524" s="2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6"/>
    </row>
    <row r="525" customHeight="1" spans="1:26">
      <c r="A525" s="4"/>
      <c r="B525" s="4"/>
      <c r="C525" s="4"/>
      <c r="D525" s="4"/>
      <c r="E525" s="29"/>
      <c r="F525" s="2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6"/>
    </row>
    <row r="526" customHeight="1" spans="1:26">
      <c r="A526" s="4"/>
      <c r="B526" s="4"/>
      <c r="C526" s="4"/>
      <c r="D526" s="4"/>
      <c r="E526" s="29"/>
      <c r="F526" s="2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6"/>
    </row>
    <row r="527" customHeight="1" spans="1:26">
      <c r="A527" s="4"/>
      <c r="B527" s="4"/>
      <c r="C527" s="4"/>
      <c r="D527" s="4"/>
      <c r="E527" s="29"/>
      <c r="F527" s="2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6"/>
    </row>
    <row r="528" customHeight="1" spans="1:26">
      <c r="A528" s="4"/>
      <c r="B528" s="4"/>
      <c r="C528" s="4"/>
      <c r="D528" s="4"/>
      <c r="E528" s="29"/>
      <c r="F528" s="2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6"/>
    </row>
    <row r="529" customHeight="1" spans="1:26">
      <c r="A529" s="4"/>
      <c r="B529" s="4"/>
      <c r="C529" s="4"/>
      <c r="D529" s="4"/>
      <c r="E529" s="29"/>
      <c r="F529" s="2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6"/>
    </row>
    <row r="530" customHeight="1" spans="1:26">
      <c r="A530" s="4"/>
      <c r="B530" s="4"/>
      <c r="C530" s="4"/>
      <c r="D530" s="4"/>
      <c r="E530" s="29"/>
      <c r="F530" s="2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6"/>
    </row>
    <row r="531" customHeight="1" spans="1:26">
      <c r="A531" s="4"/>
      <c r="B531" s="4"/>
      <c r="C531" s="4"/>
      <c r="D531" s="4"/>
      <c r="E531" s="29"/>
      <c r="F531" s="2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6"/>
    </row>
    <row r="532" customHeight="1" spans="1:26">
      <c r="A532" s="4"/>
      <c r="B532" s="4"/>
      <c r="C532" s="4"/>
      <c r="D532" s="4"/>
      <c r="E532" s="29"/>
      <c r="F532" s="2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6"/>
    </row>
    <row r="533" customHeight="1" spans="1:26">
      <c r="A533" s="4"/>
      <c r="B533" s="4"/>
      <c r="C533" s="4"/>
      <c r="D533" s="4"/>
      <c r="E533" s="29"/>
      <c r="F533" s="2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6"/>
    </row>
    <row r="534" customHeight="1" spans="1:26">
      <c r="A534" s="4"/>
      <c r="B534" s="4"/>
      <c r="C534" s="4"/>
      <c r="D534" s="4"/>
      <c r="E534" s="29"/>
      <c r="F534" s="2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6"/>
    </row>
    <row r="535" customHeight="1" spans="1:26">
      <c r="A535" s="4"/>
      <c r="B535" s="4"/>
      <c r="C535" s="4"/>
      <c r="D535" s="4"/>
      <c r="E535" s="29"/>
      <c r="F535" s="2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6"/>
    </row>
    <row r="536" customHeight="1" spans="1:26">
      <c r="A536" s="4"/>
      <c r="B536" s="4"/>
      <c r="C536" s="4"/>
      <c r="D536" s="4"/>
      <c r="E536" s="29"/>
      <c r="F536" s="2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6"/>
    </row>
    <row r="537" customHeight="1" spans="1:26">
      <c r="A537" s="4"/>
      <c r="B537" s="4"/>
      <c r="C537" s="4"/>
      <c r="D537" s="4"/>
      <c r="E537" s="29"/>
      <c r="F537" s="2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6"/>
    </row>
    <row r="538" customHeight="1" spans="1:26">
      <c r="A538" s="4"/>
      <c r="B538" s="4"/>
      <c r="C538" s="4"/>
      <c r="D538" s="4"/>
      <c r="E538" s="29"/>
      <c r="F538" s="2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6"/>
    </row>
    <row r="539" customHeight="1" spans="1:26">
      <c r="A539" s="4"/>
      <c r="B539" s="4"/>
      <c r="C539" s="4"/>
      <c r="D539" s="4"/>
      <c r="E539" s="29"/>
      <c r="F539" s="2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6"/>
    </row>
    <row r="540" customHeight="1" spans="1:26">
      <c r="A540" s="4"/>
      <c r="B540" s="4"/>
      <c r="C540" s="4"/>
      <c r="D540" s="4"/>
      <c r="E540" s="29"/>
      <c r="F540" s="2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6"/>
    </row>
    <row r="541" customHeight="1" spans="1:26">
      <c r="A541" s="4"/>
      <c r="B541" s="4"/>
      <c r="C541" s="4"/>
      <c r="D541" s="4"/>
      <c r="E541" s="29"/>
      <c r="F541" s="2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6"/>
    </row>
    <row r="542" customHeight="1" spans="1:26">
      <c r="A542" s="4"/>
      <c r="B542" s="4"/>
      <c r="C542" s="4"/>
      <c r="D542" s="4"/>
      <c r="E542" s="29"/>
      <c r="F542" s="2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6"/>
    </row>
    <row r="543" customHeight="1" spans="1:26">
      <c r="A543" s="4"/>
      <c r="B543" s="4"/>
      <c r="C543" s="4"/>
      <c r="D543" s="4"/>
      <c r="E543" s="29"/>
      <c r="F543" s="2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6"/>
    </row>
    <row r="544" customHeight="1" spans="1:26">
      <c r="A544" s="4"/>
      <c r="B544" s="4"/>
      <c r="C544" s="4"/>
      <c r="D544" s="4"/>
      <c r="E544" s="29"/>
      <c r="F544" s="2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6"/>
    </row>
    <row r="545" customHeight="1" spans="1:26">
      <c r="A545" s="4"/>
      <c r="B545" s="4"/>
      <c r="C545" s="4"/>
      <c r="D545" s="4"/>
      <c r="E545" s="29"/>
      <c r="F545" s="2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6"/>
    </row>
    <row r="546" customHeight="1" spans="1:26">
      <c r="A546" s="4"/>
      <c r="B546" s="4"/>
      <c r="C546" s="4"/>
      <c r="D546" s="4"/>
      <c r="E546" s="29"/>
      <c r="F546" s="2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6"/>
    </row>
    <row r="547" customHeight="1" spans="1:26">
      <c r="A547" s="4"/>
      <c r="B547" s="4"/>
      <c r="C547" s="4"/>
      <c r="D547" s="4"/>
      <c r="E547" s="29"/>
      <c r="F547" s="2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6"/>
    </row>
    <row r="548" customHeight="1" spans="1:26">
      <c r="A548" s="4"/>
      <c r="B548" s="4"/>
      <c r="C548" s="4"/>
      <c r="D548" s="4"/>
      <c r="E548" s="29"/>
      <c r="F548" s="2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6"/>
    </row>
    <row r="549" customHeight="1" spans="1:26">
      <c r="A549" s="4"/>
      <c r="B549" s="4"/>
      <c r="C549" s="4"/>
      <c r="D549" s="4"/>
      <c r="E549" s="29"/>
      <c r="F549" s="2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6"/>
    </row>
    <row r="550" customHeight="1" spans="1:26">
      <c r="A550" s="4"/>
      <c r="B550" s="4"/>
      <c r="C550" s="4"/>
      <c r="D550" s="4"/>
      <c r="E550" s="29"/>
      <c r="F550" s="2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6"/>
    </row>
    <row r="551" customHeight="1" spans="1:26">
      <c r="A551" s="4"/>
      <c r="B551" s="4"/>
      <c r="C551" s="4"/>
      <c r="D551" s="4"/>
      <c r="E551" s="29"/>
      <c r="F551" s="2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6"/>
    </row>
    <row r="552" customHeight="1" spans="1:26">
      <c r="A552" s="4"/>
      <c r="B552" s="4"/>
      <c r="C552" s="4"/>
      <c r="D552" s="4"/>
      <c r="E552" s="29"/>
      <c r="F552" s="2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6"/>
    </row>
    <row r="553" customHeight="1" spans="1:26">
      <c r="A553" s="4"/>
      <c r="B553" s="4"/>
      <c r="C553" s="4"/>
      <c r="D553" s="4"/>
      <c r="E553" s="29"/>
      <c r="F553" s="2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6"/>
    </row>
    <row r="554" customHeight="1" spans="1:26">
      <c r="A554" s="4"/>
      <c r="B554" s="4"/>
      <c r="C554" s="4"/>
      <c r="D554" s="4"/>
      <c r="E554" s="29"/>
      <c r="F554" s="2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6"/>
    </row>
    <row r="555" customHeight="1" spans="1:26">
      <c r="A555" s="4"/>
      <c r="B555" s="4"/>
      <c r="C555" s="4"/>
      <c r="D555" s="4"/>
      <c r="E555" s="29"/>
      <c r="F555" s="2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6"/>
    </row>
    <row r="556" customHeight="1" spans="1:26">
      <c r="A556" s="4"/>
      <c r="B556" s="4"/>
      <c r="C556" s="4"/>
      <c r="D556" s="4"/>
      <c r="E556" s="29"/>
      <c r="F556" s="2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6"/>
    </row>
    <row r="557" customHeight="1" spans="1:26">
      <c r="A557" s="4"/>
      <c r="B557" s="4"/>
      <c r="C557" s="4"/>
      <c r="D557" s="4"/>
      <c r="E557" s="29"/>
      <c r="F557" s="2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6"/>
    </row>
    <row r="558" customHeight="1" spans="1:26">
      <c r="A558" s="4"/>
      <c r="B558" s="4"/>
      <c r="C558" s="4"/>
      <c r="D558" s="4"/>
      <c r="E558" s="29"/>
      <c r="F558" s="2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6"/>
    </row>
    <row r="559" customHeight="1" spans="1:26">
      <c r="A559" s="4"/>
      <c r="B559" s="4"/>
      <c r="C559" s="4"/>
      <c r="D559" s="4"/>
      <c r="E559" s="29"/>
      <c r="F559" s="2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6"/>
    </row>
    <row r="560" customHeight="1" spans="1:26">
      <c r="A560" s="4"/>
      <c r="B560" s="4"/>
      <c r="C560" s="4"/>
      <c r="D560" s="4"/>
      <c r="E560" s="29"/>
      <c r="F560" s="2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6"/>
    </row>
    <row r="561" customHeight="1" spans="1:26">
      <c r="A561" s="4"/>
      <c r="B561" s="4"/>
      <c r="C561" s="4"/>
      <c r="D561" s="4"/>
      <c r="E561" s="29"/>
      <c r="F561" s="2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6"/>
    </row>
    <row r="562" customHeight="1" spans="1:26">
      <c r="A562" s="4"/>
      <c r="B562" s="4"/>
      <c r="C562" s="4"/>
      <c r="D562" s="4"/>
      <c r="E562" s="29"/>
      <c r="F562" s="2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6"/>
    </row>
    <row r="563" customHeight="1" spans="1:26">
      <c r="A563" s="4"/>
      <c r="B563" s="4"/>
      <c r="C563" s="4"/>
      <c r="D563" s="4"/>
      <c r="E563" s="29"/>
      <c r="F563" s="2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6"/>
    </row>
    <row r="564" customHeight="1" spans="1:26">
      <c r="A564" s="4"/>
      <c r="B564" s="4"/>
      <c r="C564" s="4"/>
      <c r="D564" s="4"/>
      <c r="E564" s="29"/>
      <c r="F564" s="2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6"/>
    </row>
    <row r="565" customHeight="1" spans="1:26">
      <c r="A565" s="4"/>
      <c r="B565" s="4"/>
      <c r="C565" s="4"/>
      <c r="D565" s="4"/>
      <c r="E565" s="29"/>
      <c r="F565" s="2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6"/>
    </row>
    <row r="566" customHeight="1" spans="1:26">
      <c r="A566" s="4"/>
      <c r="B566" s="4"/>
      <c r="C566" s="4"/>
      <c r="D566" s="4"/>
      <c r="E566" s="29"/>
      <c r="F566" s="2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6"/>
    </row>
    <row r="567" customHeight="1" spans="1:26">
      <c r="A567" s="4"/>
      <c r="B567" s="4"/>
      <c r="C567" s="4"/>
      <c r="D567" s="4"/>
      <c r="E567" s="29"/>
      <c r="F567" s="2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6"/>
    </row>
    <row r="568" customHeight="1" spans="1:26">
      <c r="A568" s="4"/>
      <c r="B568" s="4"/>
      <c r="C568" s="4"/>
      <c r="D568" s="4"/>
      <c r="E568" s="29"/>
      <c r="F568" s="2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6"/>
    </row>
    <row r="569" customHeight="1" spans="1:26">
      <c r="A569" s="4"/>
      <c r="B569" s="4"/>
      <c r="C569" s="4"/>
      <c r="D569" s="4"/>
      <c r="E569" s="29"/>
      <c r="F569" s="2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6"/>
    </row>
    <row r="570" customHeight="1" spans="1:26">
      <c r="A570" s="4"/>
      <c r="B570" s="4"/>
      <c r="C570" s="4"/>
      <c r="D570" s="4"/>
      <c r="E570" s="29"/>
      <c r="F570" s="2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6"/>
    </row>
    <row r="571" customHeight="1" spans="1:26">
      <c r="A571" s="4"/>
      <c r="B571" s="4"/>
      <c r="C571" s="4"/>
      <c r="D571" s="4"/>
      <c r="E571" s="29"/>
      <c r="F571" s="2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6"/>
    </row>
    <row r="572" customHeight="1" spans="1:26">
      <c r="A572" s="4"/>
      <c r="B572" s="4"/>
      <c r="C572" s="4"/>
      <c r="D572" s="4"/>
      <c r="E572" s="29"/>
      <c r="F572" s="2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6"/>
    </row>
    <row r="573" customHeight="1" spans="1:26">
      <c r="A573" s="4"/>
      <c r="B573" s="4"/>
      <c r="C573" s="4"/>
      <c r="D573" s="4"/>
      <c r="E573" s="29"/>
      <c r="F573" s="2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6"/>
    </row>
    <row r="574" customHeight="1" spans="1:26">
      <c r="A574" s="4"/>
      <c r="B574" s="4"/>
      <c r="C574" s="4"/>
      <c r="D574" s="4"/>
      <c r="E574" s="29"/>
      <c r="F574" s="2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6"/>
    </row>
    <row r="575" customHeight="1" spans="1:26">
      <c r="A575" s="4"/>
      <c r="B575" s="4"/>
      <c r="C575" s="4"/>
      <c r="D575" s="4"/>
      <c r="E575" s="29"/>
      <c r="F575" s="2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6"/>
    </row>
    <row r="576" customHeight="1" spans="1:26">
      <c r="A576" s="4"/>
      <c r="B576" s="4"/>
      <c r="C576" s="4"/>
      <c r="D576" s="4"/>
      <c r="E576" s="29"/>
      <c r="F576" s="2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6"/>
    </row>
    <row r="577" customHeight="1" spans="1:26">
      <c r="A577" s="4"/>
      <c r="B577" s="4"/>
      <c r="C577" s="4"/>
      <c r="D577" s="4"/>
      <c r="E577" s="29"/>
      <c r="F577" s="2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6"/>
    </row>
    <row r="578" customHeight="1" spans="1:26">
      <c r="A578" s="4"/>
      <c r="B578" s="4"/>
      <c r="C578" s="4"/>
      <c r="D578" s="4"/>
      <c r="E578" s="29"/>
      <c r="F578" s="2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6"/>
    </row>
    <row r="579" customHeight="1" spans="1:26">
      <c r="A579" s="4"/>
      <c r="B579" s="4"/>
      <c r="C579" s="4"/>
      <c r="D579" s="4"/>
      <c r="E579" s="29"/>
      <c r="F579" s="2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6"/>
    </row>
    <row r="580" customHeight="1" spans="1:26">
      <c r="A580" s="4"/>
      <c r="B580" s="4"/>
      <c r="C580" s="4"/>
      <c r="D580" s="4"/>
      <c r="E580" s="29"/>
      <c r="F580" s="2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6"/>
    </row>
    <row r="581" customHeight="1" spans="1:26">
      <c r="A581" s="4"/>
      <c r="B581" s="4"/>
      <c r="C581" s="4"/>
      <c r="D581" s="4"/>
      <c r="E581" s="29"/>
      <c r="F581" s="2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6"/>
    </row>
    <row r="582" customHeight="1" spans="1:26">
      <c r="A582" s="4"/>
      <c r="B582" s="4"/>
      <c r="C582" s="4"/>
      <c r="D582" s="4"/>
      <c r="E582" s="29"/>
      <c r="F582" s="2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6"/>
    </row>
    <row r="583" customHeight="1" spans="1:26">
      <c r="A583" s="4"/>
      <c r="B583" s="4"/>
      <c r="C583" s="4"/>
      <c r="D583" s="4"/>
      <c r="E583" s="29"/>
      <c r="F583" s="2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6"/>
    </row>
    <row r="584" customHeight="1" spans="1:26">
      <c r="A584" s="4"/>
      <c r="B584" s="4"/>
      <c r="C584" s="4"/>
      <c r="D584" s="4"/>
      <c r="E584" s="29"/>
      <c r="F584" s="2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6"/>
    </row>
    <row r="585" customHeight="1" spans="1:26">
      <c r="A585" s="4"/>
      <c r="B585" s="4"/>
      <c r="C585" s="4"/>
      <c r="D585" s="4"/>
      <c r="E585" s="29"/>
      <c r="F585" s="2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6"/>
    </row>
    <row r="586" customHeight="1" spans="1:26">
      <c r="A586" s="4"/>
      <c r="B586" s="4"/>
      <c r="C586" s="4"/>
      <c r="D586" s="4"/>
      <c r="E586" s="29"/>
      <c r="F586" s="2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6"/>
    </row>
    <row r="587" customHeight="1" spans="1:26">
      <c r="A587" s="4"/>
      <c r="B587" s="4"/>
      <c r="C587" s="4"/>
      <c r="D587" s="4"/>
      <c r="E587" s="29"/>
      <c r="F587" s="2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6"/>
    </row>
    <row r="588" customHeight="1" spans="1:26">
      <c r="A588" s="4"/>
      <c r="B588" s="4"/>
      <c r="C588" s="4"/>
      <c r="D588" s="4"/>
      <c r="E588" s="29"/>
      <c r="F588" s="2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6"/>
    </row>
    <row r="589" customHeight="1" spans="1:26">
      <c r="A589" s="4"/>
      <c r="B589" s="4"/>
      <c r="C589" s="4"/>
      <c r="D589" s="4"/>
      <c r="E589" s="29"/>
      <c r="F589" s="2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6"/>
    </row>
    <row r="590" customHeight="1" spans="1:26">
      <c r="A590" s="4"/>
      <c r="B590" s="4"/>
      <c r="C590" s="4"/>
      <c r="D590" s="4"/>
      <c r="E590" s="29"/>
      <c r="F590" s="2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6"/>
    </row>
    <row r="591" customHeight="1" spans="1:26">
      <c r="A591" s="4"/>
      <c r="B591" s="4"/>
      <c r="C591" s="4"/>
      <c r="D591" s="4"/>
      <c r="E591" s="29"/>
      <c r="F591" s="2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6"/>
    </row>
    <row r="592" customHeight="1" spans="1:26">
      <c r="A592" s="4"/>
      <c r="B592" s="4"/>
      <c r="C592" s="4"/>
      <c r="D592" s="4"/>
      <c r="E592" s="29"/>
      <c r="F592" s="2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6"/>
    </row>
    <row r="593" customHeight="1" spans="1:26">
      <c r="A593" s="4"/>
      <c r="B593" s="4"/>
      <c r="C593" s="4"/>
      <c r="D593" s="4"/>
      <c r="E593" s="29"/>
      <c r="F593" s="2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6"/>
    </row>
    <row r="594" customHeight="1" spans="1:26">
      <c r="A594" s="4"/>
      <c r="B594" s="4"/>
      <c r="C594" s="4"/>
      <c r="D594" s="4"/>
      <c r="E594" s="29"/>
      <c r="F594" s="2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6"/>
    </row>
    <row r="595" customHeight="1" spans="1:26">
      <c r="A595" s="4"/>
      <c r="B595" s="4"/>
      <c r="C595" s="4"/>
      <c r="D595" s="4"/>
      <c r="E595" s="29"/>
      <c r="F595" s="2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6"/>
    </row>
    <row r="596" customHeight="1" spans="1:26">
      <c r="A596" s="4"/>
      <c r="B596" s="4"/>
      <c r="C596" s="4"/>
      <c r="D596" s="4"/>
      <c r="E596" s="29"/>
      <c r="F596" s="2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6"/>
    </row>
    <row r="597" customHeight="1" spans="1:26">
      <c r="A597" s="4"/>
      <c r="B597" s="4"/>
      <c r="C597" s="4"/>
      <c r="D597" s="4"/>
      <c r="E597" s="29"/>
      <c r="F597" s="2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6"/>
    </row>
    <row r="598" customHeight="1" spans="1:26">
      <c r="A598" s="4"/>
      <c r="B598" s="4"/>
      <c r="C598" s="4"/>
      <c r="D598" s="4"/>
      <c r="E598" s="29"/>
      <c r="F598" s="2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6"/>
    </row>
    <row r="599" customHeight="1" spans="1:26">
      <c r="A599" s="4"/>
      <c r="B599" s="4"/>
      <c r="C599" s="4"/>
      <c r="D599" s="4"/>
      <c r="E599" s="29"/>
      <c r="F599" s="2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6"/>
    </row>
    <row r="600" customHeight="1" spans="1:26">
      <c r="A600" s="4"/>
      <c r="B600" s="4"/>
      <c r="C600" s="4"/>
      <c r="D600" s="4"/>
      <c r="E600" s="29"/>
      <c r="F600" s="2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6"/>
    </row>
    <row r="601" customHeight="1" spans="1:26">
      <c r="A601" s="4"/>
      <c r="B601" s="4"/>
      <c r="C601" s="4"/>
      <c r="D601" s="4"/>
      <c r="E601" s="29"/>
      <c r="F601" s="2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6"/>
    </row>
    <row r="602" customHeight="1" spans="1:26">
      <c r="A602" s="4"/>
      <c r="B602" s="4"/>
      <c r="C602" s="4"/>
      <c r="D602" s="4"/>
      <c r="E602" s="29"/>
      <c r="F602" s="2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6"/>
    </row>
    <row r="603" customHeight="1" spans="1:26">
      <c r="A603" s="4"/>
      <c r="B603" s="4"/>
      <c r="C603" s="4"/>
      <c r="D603" s="4"/>
      <c r="E603" s="29"/>
      <c r="F603" s="2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6"/>
    </row>
    <row r="604" customHeight="1" spans="1:26">
      <c r="A604" s="4"/>
      <c r="B604" s="4"/>
      <c r="C604" s="4"/>
      <c r="D604" s="4"/>
      <c r="E604" s="29"/>
      <c r="F604" s="2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6"/>
    </row>
    <row r="605" customHeight="1" spans="1:26">
      <c r="A605" s="4"/>
      <c r="B605" s="4"/>
      <c r="C605" s="4"/>
      <c r="D605" s="4"/>
      <c r="E605" s="29"/>
      <c r="F605" s="2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6"/>
    </row>
    <row r="606" customHeight="1" spans="1:26">
      <c r="A606" s="4"/>
      <c r="B606" s="4"/>
      <c r="C606" s="4"/>
      <c r="D606" s="4"/>
      <c r="E606" s="29"/>
      <c r="F606" s="2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6"/>
    </row>
    <row r="607" customHeight="1" spans="1:26">
      <c r="A607" s="4"/>
      <c r="B607" s="4"/>
      <c r="C607" s="4"/>
      <c r="D607" s="4"/>
      <c r="E607" s="29"/>
      <c r="F607" s="2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6"/>
    </row>
    <row r="608" customHeight="1" spans="1:26">
      <c r="A608" s="4"/>
      <c r="B608" s="4"/>
      <c r="C608" s="4"/>
      <c r="D608" s="4"/>
      <c r="E608" s="29"/>
      <c r="F608" s="2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6"/>
    </row>
    <row r="609" customHeight="1" spans="1:26">
      <c r="A609" s="4"/>
      <c r="B609" s="4"/>
      <c r="C609" s="4"/>
      <c r="D609" s="4"/>
      <c r="E609" s="29"/>
      <c r="F609" s="2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6"/>
    </row>
    <row r="610" customHeight="1" spans="1:26">
      <c r="A610" s="4"/>
      <c r="B610" s="4"/>
      <c r="C610" s="4"/>
      <c r="D610" s="4"/>
      <c r="E610" s="29"/>
      <c r="F610" s="2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6"/>
    </row>
    <row r="611" customHeight="1" spans="1:26">
      <c r="A611" s="4"/>
      <c r="B611" s="4"/>
      <c r="C611" s="4"/>
      <c r="D611" s="4"/>
      <c r="E611" s="29"/>
      <c r="F611" s="2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6"/>
    </row>
    <row r="612" customHeight="1" spans="1:26">
      <c r="A612" s="4"/>
      <c r="B612" s="4"/>
      <c r="C612" s="4"/>
      <c r="D612" s="4"/>
      <c r="E612" s="29"/>
      <c r="F612" s="2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6"/>
    </row>
    <row r="613" customHeight="1" spans="1:26">
      <c r="A613" s="4"/>
      <c r="B613" s="4"/>
      <c r="C613" s="4"/>
      <c r="D613" s="4"/>
      <c r="E613" s="29"/>
      <c r="F613" s="2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6"/>
    </row>
    <row r="614" customHeight="1" spans="1:26">
      <c r="A614" s="4"/>
      <c r="B614" s="4"/>
      <c r="C614" s="4"/>
      <c r="D614" s="4"/>
      <c r="E614" s="29"/>
      <c r="F614" s="2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6"/>
    </row>
    <row r="615" customHeight="1" spans="1:26">
      <c r="A615" s="4"/>
      <c r="B615" s="4"/>
      <c r="C615" s="4"/>
      <c r="D615" s="4"/>
      <c r="E615" s="29"/>
      <c r="F615" s="2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6"/>
    </row>
    <row r="616" customHeight="1" spans="1:26">
      <c r="A616" s="4"/>
      <c r="B616" s="4"/>
      <c r="C616" s="4"/>
      <c r="D616" s="4"/>
      <c r="E616" s="29"/>
      <c r="F616" s="2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6"/>
    </row>
    <row r="617" customHeight="1" spans="1:26">
      <c r="A617" s="4"/>
      <c r="B617" s="4"/>
      <c r="C617" s="4"/>
      <c r="D617" s="4"/>
      <c r="E617" s="29"/>
      <c r="F617" s="2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6"/>
    </row>
    <row r="618" customHeight="1" spans="1:26">
      <c r="A618" s="4"/>
      <c r="B618" s="4"/>
      <c r="C618" s="4"/>
      <c r="D618" s="4"/>
      <c r="E618" s="29"/>
      <c r="F618" s="2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6"/>
    </row>
    <row r="619" customHeight="1" spans="1:26">
      <c r="A619" s="4"/>
      <c r="B619" s="4"/>
      <c r="C619" s="4"/>
      <c r="D619" s="4"/>
      <c r="E619" s="29"/>
      <c r="F619" s="2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6"/>
    </row>
    <row r="620" customHeight="1" spans="1:26">
      <c r="A620" s="4"/>
      <c r="B620" s="4"/>
      <c r="C620" s="4"/>
      <c r="D620" s="4"/>
      <c r="E620" s="29"/>
      <c r="F620" s="2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6"/>
    </row>
    <row r="621" customHeight="1" spans="1:26">
      <c r="A621" s="4"/>
      <c r="B621" s="4"/>
      <c r="C621" s="4"/>
      <c r="D621" s="4"/>
      <c r="E621" s="29"/>
      <c r="F621" s="2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6"/>
    </row>
    <row r="622" customHeight="1" spans="1:26">
      <c r="A622" s="4"/>
      <c r="B622" s="4"/>
      <c r="C622" s="4"/>
      <c r="D622" s="4"/>
      <c r="E622" s="29"/>
      <c r="F622" s="2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6"/>
    </row>
    <row r="623" customHeight="1" spans="1:26">
      <c r="A623" s="4"/>
      <c r="B623" s="4"/>
      <c r="C623" s="4"/>
      <c r="D623" s="4"/>
      <c r="E623" s="29"/>
      <c r="F623" s="2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6"/>
    </row>
    <row r="624" customHeight="1" spans="1:26">
      <c r="A624" s="4"/>
      <c r="B624" s="4"/>
      <c r="C624" s="4"/>
      <c r="D624" s="4"/>
      <c r="E624" s="29"/>
      <c r="F624" s="2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6"/>
    </row>
    <row r="625" customHeight="1" spans="1:26">
      <c r="A625" s="4"/>
      <c r="B625" s="4"/>
      <c r="C625" s="4"/>
      <c r="D625" s="4"/>
      <c r="E625" s="29"/>
      <c r="F625" s="2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6"/>
    </row>
    <row r="626" customHeight="1" spans="1:26">
      <c r="A626" s="4"/>
      <c r="B626" s="4"/>
      <c r="C626" s="4"/>
      <c r="D626" s="4"/>
      <c r="E626" s="29"/>
      <c r="F626" s="2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6"/>
    </row>
    <row r="627" customHeight="1" spans="1:26">
      <c r="A627" s="4"/>
      <c r="B627" s="4"/>
      <c r="C627" s="4"/>
      <c r="D627" s="4"/>
      <c r="E627" s="29"/>
      <c r="F627" s="2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6"/>
    </row>
    <row r="628" customHeight="1" spans="1:26">
      <c r="A628" s="4"/>
      <c r="B628" s="4"/>
      <c r="C628" s="4"/>
      <c r="D628" s="4"/>
      <c r="E628" s="29"/>
      <c r="F628" s="2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6"/>
    </row>
    <row r="629" customHeight="1" spans="1:26">
      <c r="A629" s="4"/>
      <c r="B629" s="4"/>
      <c r="C629" s="4"/>
      <c r="D629" s="4"/>
      <c r="E629" s="29"/>
      <c r="F629" s="2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6"/>
    </row>
    <row r="630" customHeight="1" spans="1:26">
      <c r="A630" s="4"/>
      <c r="B630" s="4"/>
      <c r="C630" s="4"/>
      <c r="D630" s="4"/>
      <c r="E630" s="29"/>
      <c r="F630" s="2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6"/>
    </row>
    <row r="631" customHeight="1" spans="1:26">
      <c r="A631" s="4"/>
      <c r="B631" s="4"/>
      <c r="C631" s="4"/>
      <c r="D631" s="4"/>
      <c r="E631" s="29"/>
      <c r="F631" s="2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6"/>
    </row>
    <row r="632" customHeight="1" spans="1:26">
      <c r="A632" s="4"/>
      <c r="B632" s="4"/>
      <c r="C632" s="4"/>
      <c r="D632" s="4"/>
      <c r="E632" s="29"/>
      <c r="F632" s="2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6"/>
    </row>
    <row r="633" customHeight="1" spans="1:26">
      <c r="A633" s="4"/>
      <c r="B633" s="4"/>
      <c r="C633" s="4"/>
      <c r="D633" s="4"/>
      <c r="E633" s="29"/>
      <c r="F633" s="2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6"/>
    </row>
    <row r="634" customHeight="1" spans="1:26">
      <c r="A634" s="4"/>
      <c r="B634" s="4"/>
      <c r="C634" s="4"/>
      <c r="D634" s="4"/>
      <c r="E634" s="29"/>
      <c r="F634" s="2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6"/>
    </row>
    <row r="635" customHeight="1" spans="1:26">
      <c r="A635" s="4"/>
      <c r="B635" s="4"/>
      <c r="C635" s="4"/>
      <c r="D635" s="4"/>
      <c r="E635" s="29"/>
      <c r="F635" s="2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6"/>
    </row>
    <row r="636" customHeight="1" spans="1:26">
      <c r="A636" s="4"/>
      <c r="B636" s="4"/>
      <c r="C636" s="4"/>
      <c r="D636" s="4"/>
      <c r="E636" s="29"/>
      <c r="F636" s="2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6"/>
    </row>
    <row r="637" customHeight="1" spans="1:26">
      <c r="A637" s="4"/>
      <c r="B637" s="4"/>
      <c r="C637" s="4"/>
      <c r="D637" s="4"/>
      <c r="E637" s="29"/>
      <c r="F637" s="2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6"/>
    </row>
    <row r="638" customHeight="1" spans="1:26">
      <c r="A638" s="4"/>
      <c r="B638" s="4"/>
      <c r="C638" s="4"/>
      <c r="D638" s="4"/>
      <c r="E638" s="29"/>
      <c r="F638" s="2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6"/>
    </row>
    <row r="639" customHeight="1" spans="1:26">
      <c r="A639" s="4"/>
      <c r="B639" s="4"/>
      <c r="C639" s="4"/>
      <c r="D639" s="4"/>
      <c r="E639" s="29"/>
      <c r="F639" s="2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6"/>
    </row>
    <row r="640" customHeight="1" spans="1:26">
      <c r="A640" s="4"/>
      <c r="B640" s="4"/>
      <c r="C640" s="4"/>
      <c r="D640" s="4"/>
      <c r="E640" s="29"/>
      <c r="F640" s="2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6"/>
    </row>
    <row r="641" customHeight="1" spans="1:26">
      <c r="A641" s="4"/>
      <c r="B641" s="4"/>
      <c r="C641" s="4"/>
      <c r="D641" s="4"/>
      <c r="E641" s="29"/>
      <c r="F641" s="2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6"/>
    </row>
    <row r="642" customHeight="1" spans="1:26">
      <c r="A642" s="4"/>
      <c r="B642" s="4"/>
      <c r="C642" s="4"/>
      <c r="D642" s="4"/>
      <c r="E642" s="29"/>
      <c r="F642" s="2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6"/>
    </row>
    <row r="643" customHeight="1" spans="1:26">
      <c r="A643" s="4"/>
      <c r="B643" s="4"/>
      <c r="C643" s="4"/>
      <c r="D643" s="4"/>
      <c r="E643" s="29"/>
      <c r="F643" s="2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6"/>
    </row>
    <row r="644" customHeight="1" spans="1:26">
      <c r="A644" s="4"/>
      <c r="B644" s="4"/>
      <c r="C644" s="4"/>
      <c r="D644" s="4"/>
      <c r="E644" s="29"/>
      <c r="F644" s="2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6"/>
    </row>
    <row r="645" customHeight="1" spans="1:26">
      <c r="A645" s="4"/>
      <c r="B645" s="4"/>
      <c r="C645" s="4"/>
      <c r="D645" s="4"/>
      <c r="E645" s="29"/>
      <c r="F645" s="2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6"/>
    </row>
    <row r="646" customHeight="1" spans="1:26">
      <c r="A646" s="4"/>
      <c r="B646" s="4"/>
      <c r="C646" s="4"/>
      <c r="D646" s="4"/>
      <c r="E646" s="29"/>
      <c r="F646" s="2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6"/>
    </row>
    <row r="647" customHeight="1" spans="1:26">
      <c r="A647" s="4"/>
      <c r="B647" s="4"/>
      <c r="C647" s="4"/>
      <c r="D647" s="4"/>
      <c r="E647" s="29"/>
      <c r="F647" s="2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6"/>
    </row>
    <row r="648" customHeight="1" spans="1:26">
      <c r="A648" s="4"/>
      <c r="B648" s="4"/>
      <c r="C648" s="4"/>
      <c r="D648" s="4"/>
      <c r="E648" s="29"/>
      <c r="F648" s="2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6"/>
    </row>
    <row r="649" customHeight="1" spans="1:26">
      <c r="A649" s="4"/>
      <c r="B649" s="4"/>
      <c r="C649" s="4"/>
      <c r="D649" s="4"/>
      <c r="E649" s="29"/>
      <c r="F649" s="2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6"/>
    </row>
    <row r="650" customHeight="1" spans="1:26">
      <c r="A650" s="4"/>
      <c r="B650" s="4"/>
      <c r="C650" s="4"/>
      <c r="D650" s="4"/>
      <c r="E650" s="29"/>
      <c r="F650" s="2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6"/>
    </row>
    <row r="651" customHeight="1" spans="1:26">
      <c r="A651" s="4"/>
      <c r="B651" s="4"/>
      <c r="C651" s="4"/>
      <c r="D651" s="4"/>
      <c r="E651" s="29"/>
      <c r="F651" s="2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6"/>
    </row>
    <row r="652" customHeight="1" spans="1:26">
      <c r="A652" s="4"/>
      <c r="B652" s="4"/>
      <c r="C652" s="4"/>
      <c r="D652" s="4"/>
      <c r="E652" s="29"/>
      <c r="F652" s="2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6"/>
    </row>
    <row r="653" customHeight="1" spans="1:26">
      <c r="A653" s="4"/>
      <c r="B653" s="4"/>
      <c r="C653" s="4"/>
      <c r="D653" s="4"/>
      <c r="E653" s="29"/>
      <c r="F653" s="2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6"/>
    </row>
    <row r="654" customHeight="1" spans="1:26">
      <c r="A654" s="4"/>
      <c r="B654" s="4"/>
      <c r="C654" s="4"/>
      <c r="D654" s="4"/>
      <c r="E654" s="29"/>
      <c r="F654" s="2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6"/>
    </row>
    <row r="655" customHeight="1" spans="1:26">
      <c r="A655" s="4"/>
      <c r="B655" s="4"/>
      <c r="C655" s="4"/>
      <c r="D655" s="4"/>
      <c r="E655" s="29"/>
      <c r="F655" s="2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6"/>
    </row>
    <row r="656" customHeight="1" spans="1:26">
      <c r="A656" s="4"/>
      <c r="B656" s="4"/>
      <c r="C656" s="4"/>
      <c r="D656" s="4"/>
      <c r="E656" s="29"/>
      <c r="F656" s="2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6"/>
    </row>
    <row r="657" customHeight="1" spans="1:26">
      <c r="A657" s="4"/>
      <c r="B657" s="4"/>
      <c r="C657" s="4"/>
      <c r="D657" s="4"/>
      <c r="E657" s="29"/>
      <c r="F657" s="2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6"/>
    </row>
    <row r="658" customHeight="1" spans="1:26">
      <c r="A658" s="4"/>
      <c r="B658" s="4"/>
      <c r="C658" s="4"/>
      <c r="D658" s="4"/>
      <c r="E658" s="29"/>
      <c r="F658" s="2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6"/>
    </row>
    <row r="659" customHeight="1" spans="1:26">
      <c r="A659" s="4"/>
      <c r="B659" s="4"/>
      <c r="C659" s="4"/>
      <c r="D659" s="4"/>
      <c r="E659" s="29"/>
      <c r="F659" s="2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6"/>
    </row>
    <row r="660" customHeight="1" spans="1:26">
      <c r="A660" s="4"/>
      <c r="B660" s="4"/>
      <c r="C660" s="4"/>
      <c r="D660" s="4"/>
      <c r="E660" s="29"/>
      <c r="F660" s="2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6"/>
    </row>
    <row r="661" customHeight="1" spans="1:26">
      <c r="A661" s="4"/>
      <c r="B661" s="4"/>
      <c r="C661" s="4"/>
      <c r="D661" s="4"/>
      <c r="E661" s="29"/>
      <c r="F661" s="2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6"/>
    </row>
    <row r="662" customHeight="1" spans="1:26">
      <c r="A662" s="4"/>
      <c r="B662" s="4"/>
      <c r="C662" s="4"/>
      <c r="D662" s="4"/>
      <c r="E662" s="29"/>
      <c r="F662" s="2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6"/>
    </row>
    <row r="663" customHeight="1" spans="1:26">
      <c r="A663" s="4"/>
      <c r="B663" s="4"/>
      <c r="C663" s="4"/>
      <c r="D663" s="4"/>
      <c r="E663" s="29"/>
      <c r="F663" s="2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6"/>
    </row>
    <row r="664" customHeight="1" spans="1:26">
      <c r="A664" s="4"/>
      <c r="B664" s="4"/>
      <c r="C664" s="4"/>
      <c r="D664" s="4"/>
      <c r="E664" s="29"/>
      <c r="F664" s="2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6"/>
    </row>
    <row r="665" customHeight="1" spans="1:26">
      <c r="A665" s="4"/>
      <c r="B665" s="4"/>
      <c r="C665" s="4"/>
      <c r="D665" s="4"/>
      <c r="E665" s="29"/>
      <c r="F665" s="2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6"/>
    </row>
    <row r="666" customHeight="1" spans="1:26">
      <c r="A666" s="4"/>
      <c r="B666" s="4"/>
      <c r="C666" s="4"/>
      <c r="D666" s="4"/>
      <c r="E666" s="29"/>
      <c r="F666" s="2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6"/>
    </row>
    <row r="667" customHeight="1" spans="1:26">
      <c r="A667" s="4"/>
      <c r="B667" s="4"/>
      <c r="C667" s="4"/>
      <c r="D667" s="4"/>
      <c r="E667" s="29"/>
      <c r="F667" s="2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6"/>
    </row>
    <row r="668" customHeight="1" spans="1:26">
      <c r="A668" s="4"/>
      <c r="B668" s="4"/>
      <c r="C668" s="4"/>
      <c r="D668" s="4"/>
      <c r="E668" s="29"/>
      <c r="F668" s="2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6"/>
    </row>
    <row r="669" customHeight="1" spans="1:26">
      <c r="A669" s="4"/>
      <c r="B669" s="4"/>
      <c r="C669" s="4"/>
      <c r="D669" s="4"/>
      <c r="E669" s="29"/>
      <c r="F669" s="2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6"/>
    </row>
    <row r="670" customHeight="1" spans="1:26">
      <c r="A670" s="4"/>
      <c r="B670" s="4"/>
      <c r="C670" s="4"/>
      <c r="D670" s="4"/>
      <c r="E670" s="29"/>
      <c r="F670" s="2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6"/>
    </row>
    <row r="671" customHeight="1" spans="1:26">
      <c r="A671" s="4"/>
      <c r="B671" s="4"/>
      <c r="C671" s="4"/>
      <c r="D671" s="4"/>
      <c r="E671" s="29"/>
      <c r="F671" s="2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6"/>
    </row>
    <row r="672" customHeight="1" spans="1:26">
      <c r="A672" s="4"/>
      <c r="B672" s="4"/>
      <c r="C672" s="4"/>
      <c r="D672" s="4"/>
      <c r="E672" s="29"/>
      <c r="F672" s="2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6"/>
    </row>
    <row r="673" customHeight="1" spans="1:26">
      <c r="A673" s="4"/>
      <c r="B673" s="4"/>
      <c r="C673" s="4"/>
      <c r="D673" s="4"/>
      <c r="E673" s="29"/>
      <c r="F673" s="2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6"/>
    </row>
    <row r="674" customHeight="1" spans="1:26">
      <c r="A674" s="4"/>
      <c r="B674" s="4"/>
      <c r="C674" s="4"/>
      <c r="D674" s="4"/>
      <c r="E674" s="29"/>
      <c r="F674" s="2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6"/>
    </row>
    <row r="675" customHeight="1" spans="1:26">
      <c r="A675" s="4"/>
      <c r="B675" s="4"/>
      <c r="C675" s="4"/>
      <c r="D675" s="4"/>
      <c r="E675" s="29"/>
      <c r="F675" s="2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6"/>
    </row>
    <row r="676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6"/>
    </row>
    <row r="677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6"/>
    </row>
    <row r="678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6"/>
    </row>
    <row r="679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6"/>
    </row>
    <row r="680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6"/>
    </row>
    <row r="681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6"/>
    </row>
    <row r="682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6"/>
    </row>
    <row r="683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6"/>
    </row>
    <row r="684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6"/>
    </row>
    <row r="68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6"/>
    </row>
    <row r="686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6"/>
    </row>
    <row r="687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6"/>
    </row>
    <row r="688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6"/>
    </row>
    <row r="689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6"/>
    </row>
    <row r="690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6"/>
    </row>
    <row r="691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6"/>
    </row>
    <row r="692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6"/>
    </row>
    <row r="693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6"/>
    </row>
    <row r="694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6"/>
    </row>
    <row r="69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6"/>
    </row>
    <row r="696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6"/>
    </row>
    <row r="697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6"/>
    </row>
    <row r="698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6"/>
    </row>
    <row r="699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6"/>
    </row>
    <row r="700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6"/>
    </row>
    <row r="701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6"/>
    </row>
    <row r="702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6"/>
    </row>
    <row r="703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6"/>
    </row>
    <row r="704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6"/>
    </row>
    <row r="70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6"/>
    </row>
    <row r="706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6"/>
    </row>
    <row r="707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6"/>
    </row>
    <row r="708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6"/>
    </row>
    <row r="709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6"/>
    </row>
    <row r="710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6"/>
    </row>
    <row r="711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6"/>
    </row>
    <row r="712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6"/>
    </row>
    <row r="713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6"/>
    </row>
    <row r="714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6"/>
    </row>
    <row r="71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6"/>
    </row>
    <row r="716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6"/>
    </row>
    <row r="717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6"/>
    </row>
    <row r="718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6"/>
    </row>
    <row r="719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6"/>
    </row>
    <row r="720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6"/>
    </row>
    <row r="721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6"/>
    </row>
    <row r="722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6"/>
    </row>
    <row r="723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6"/>
    </row>
    <row r="724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6"/>
    </row>
    <row r="72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6"/>
    </row>
    <row r="726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6"/>
    </row>
    <row r="727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6"/>
    </row>
    <row r="728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6"/>
    </row>
    <row r="729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6"/>
    </row>
    <row r="730" customHeight="1" spans="1:26">
      <c r="A730" s="4"/>
      <c r="B730" s="4"/>
      <c r="C730" s="4"/>
      <c r="D730" s="4"/>
      <c r="E730" s="29"/>
      <c r="F730" s="2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6"/>
    </row>
    <row r="731" customHeight="1" spans="1:26">
      <c r="A731" s="4"/>
      <c r="B731" s="4"/>
      <c r="C731" s="4"/>
      <c r="D731" s="4"/>
      <c r="E731" s="29"/>
      <c r="F731" s="2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6"/>
    </row>
    <row r="732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6"/>
    </row>
    <row r="733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6"/>
    </row>
    <row r="734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6"/>
    </row>
    <row r="73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6"/>
    </row>
    <row r="736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6"/>
    </row>
    <row r="737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6"/>
    </row>
    <row r="738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6"/>
    </row>
    <row r="739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6"/>
    </row>
    <row r="740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6"/>
    </row>
    <row r="741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6"/>
    </row>
    <row r="742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6"/>
    </row>
    <row r="743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6"/>
    </row>
    <row r="744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6"/>
    </row>
    <row r="74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6"/>
    </row>
    <row r="746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6"/>
    </row>
    <row r="747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6"/>
    </row>
    <row r="748" customHeight="1" spans="1:26">
      <c r="A748" s="4"/>
      <c r="B748" s="4"/>
      <c r="C748" s="4"/>
      <c r="D748" s="4"/>
      <c r="E748" s="29"/>
      <c r="F748" s="2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6"/>
    </row>
    <row r="749" customHeight="1" spans="1:26">
      <c r="A749" s="4"/>
      <c r="B749" s="4"/>
      <c r="C749" s="4"/>
      <c r="D749" s="4"/>
      <c r="E749" s="29"/>
      <c r="F749" s="2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6"/>
    </row>
    <row r="750" customHeight="1" spans="1:26">
      <c r="A750" s="4"/>
      <c r="B750" s="4"/>
      <c r="C750" s="4"/>
      <c r="D750" s="4"/>
      <c r="E750" s="29"/>
      <c r="F750" s="2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6"/>
    </row>
    <row r="751" customHeight="1" spans="1:26">
      <c r="A751" s="4"/>
      <c r="B751" s="4"/>
      <c r="C751" s="4"/>
      <c r="D751" s="4"/>
      <c r="E751" s="29"/>
      <c r="F751" s="2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6"/>
    </row>
    <row r="752" customHeight="1" spans="1:26">
      <c r="A752" s="4"/>
      <c r="B752" s="4"/>
      <c r="C752" s="4"/>
      <c r="D752" s="4"/>
      <c r="E752" s="29"/>
      <c r="F752" s="2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6"/>
    </row>
    <row r="753" customHeight="1" spans="1:26">
      <c r="A753" s="4"/>
      <c r="B753" s="4"/>
      <c r="C753" s="4"/>
      <c r="D753" s="4"/>
      <c r="E753" s="29"/>
      <c r="F753" s="2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6"/>
    </row>
    <row r="754" customHeight="1" spans="1:26">
      <c r="A754" s="4"/>
      <c r="B754" s="4"/>
      <c r="C754" s="4"/>
      <c r="D754" s="4"/>
      <c r="E754" s="29"/>
      <c r="F754" s="2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6"/>
    </row>
    <row r="755" customHeight="1" spans="1:26">
      <c r="A755" s="4"/>
      <c r="B755" s="4"/>
      <c r="C755" s="4"/>
      <c r="D755" s="4"/>
      <c r="E755" s="29"/>
      <c r="F755" s="2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6"/>
    </row>
    <row r="756" customHeight="1" spans="1:26">
      <c r="A756" s="4"/>
      <c r="B756" s="4"/>
      <c r="C756" s="4"/>
      <c r="D756" s="4"/>
      <c r="E756" s="29"/>
      <c r="F756" s="2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6"/>
    </row>
    <row r="757" customHeight="1" spans="1:26">
      <c r="A757" s="4"/>
      <c r="B757" s="4"/>
      <c r="C757" s="4"/>
      <c r="D757" s="4"/>
      <c r="E757" s="29"/>
      <c r="F757" s="2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6"/>
    </row>
    <row r="758" customHeight="1" spans="1:26">
      <c r="A758" s="4"/>
      <c r="B758" s="4"/>
      <c r="C758" s="4"/>
      <c r="D758" s="4"/>
      <c r="E758" s="29"/>
      <c r="F758" s="2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6"/>
    </row>
    <row r="759" customHeight="1" spans="1:26">
      <c r="A759" s="4"/>
      <c r="B759" s="4"/>
      <c r="C759" s="4"/>
      <c r="D759" s="4"/>
      <c r="E759" s="29"/>
      <c r="F759" s="2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6"/>
    </row>
    <row r="760" customHeight="1" spans="1:26">
      <c r="A760" s="4"/>
      <c r="B760" s="4"/>
      <c r="C760" s="4"/>
      <c r="D760" s="4"/>
      <c r="E760" s="29"/>
      <c r="F760" s="2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6"/>
    </row>
    <row r="761" customHeight="1" spans="1:26">
      <c r="A761" s="4"/>
      <c r="B761" s="4"/>
      <c r="C761" s="4"/>
      <c r="D761" s="4"/>
      <c r="E761" s="29"/>
      <c r="F761" s="2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6"/>
    </row>
    <row r="762" customHeight="1" spans="1:26">
      <c r="A762" s="4"/>
      <c r="B762" s="4"/>
      <c r="C762" s="4"/>
      <c r="D762" s="4"/>
      <c r="E762" s="29"/>
      <c r="F762" s="2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6"/>
    </row>
    <row r="763" customHeight="1" spans="1:26">
      <c r="A763" s="4"/>
      <c r="B763" s="4"/>
      <c r="C763" s="4"/>
      <c r="D763" s="4"/>
      <c r="E763" s="29"/>
      <c r="F763" s="2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6"/>
    </row>
    <row r="764" customHeight="1" spans="1:26">
      <c r="A764" s="4"/>
      <c r="B764" s="4"/>
      <c r="C764" s="4"/>
      <c r="D764" s="4"/>
      <c r="E764" s="29"/>
      <c r="F764" s="2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6"/>
    </row>
    <row r="765" customHeight="1" spans="1:26">
      <c r="A765" s="4"/>
      <c r="B765" s="4"/>
      <c r="C765" s="4"/>
      <c r="D765" s="4"/>
      <c r="E765" s="29"/>
      <c r="F765" s="2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6"/>
    </row>
    <row r="766" customHeight="1" spans="1:26">
      <c r="A766" s="4"/>
      <c r="B766" s="4"/>
      <c r="C766" s="4"/>
      <c r="D766" s="4"/>
      <c r="E766" s="29"/>
      <c r="F766" s="2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6"/>
    </row>
    <row r="767" customHeight="1" spans="1:26">
      <c r="A767" s="4"/>
      <c r="B767" s="4"/>
      <c r="C767" s="4"/>
      <c r="D767" s="4"/>
      <c r="E767" s="29"/>
      <c r="F767" s="2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6"/>
    </row>
    <row r="768" customHeight="1" spans="1:26">
      <c r="A768" s="4"/>
      <c r="B768" s="4"/>
      <c r="C768" s="4"/>
      <c r="D768" s="4"/>
      <c r="E768" s="29"/>
      <c r="F768" s="2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6"/>
    </row>
    <row r="769" customHeight="1" spans="1:26">
      <c r="A769" s="4"/>
      <c r="B769" s="4"/>
      <c r="C769" s="4"/>
      <c r="D769" s="4"/>
      <c r="E769" s="29"/>
      <c r="F769" s="2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6"/>
    </row>
    <row r="770" customHeight="1" spans="1:26">
      <c r="A770" s="4"/>
      <c r="B770" s="4"/>
      <c r="C770" s="4"/>
      <c r="D770" s="4"/>
      <c r="E770" s="29"/>
      <c r="F770" s="2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6"/>
    </row>
    <row r="771" customHeight="1" spans="1:26">
      <c r="A771" s="4"/>
      <c r="B771" s="4"/>
      <c r="C771" s="4"/>
      <c r="D771" s="4"/>
      <c r="E771" s="29"/>
      <c r="F771" s="2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6"/>
    </row>
    <row r="772" customHeight="1" spans="1:26">
      <c r="A772" s="4"/>
      <c r="B772" s="4"/>
      <c r="C772" s="4"/>
      <c r="D772" s="4"/>
      <c r="E772" s="29"/>
      <c r="F772" s="2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6"/>
    </row>
    <row r="773" customHeight="1" spans="1:26">
      <c r="A773" s="4"/>
      <c r="B773" s="4"/>
      <c r="C773" s="4"/>
      <c r="D773" s="4"/>
      <c r="E773" s="29"/>
      <c r="F773" s="2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6"/>
    </row>
    <row r="774" customHeight="1" spans="1:26">
      <c r="A774" s="4"/>
      <c r="B774" s="4"/>
      <c r="C774" s="4"/>
      <c r="D774" s="4"/>
      <c r="E774" s="29"/>
      <c r="F774" s="2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6"/>
    </row>
    <row r="775" customHeight="1" spans="1:26">
      <c r="A775" s="4"/>
      <c r="B775" s="4"/>
      <c r="C775" s="4"/>
      <c r="D775" s="4"/>
      <c r="E775" s="29"/>
      <c r="F775" s="2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6"/>
    </row>
    <row r="776" customHeight="1" spans="1:26">
      <c r="A776" s="4"/>
      <c r="B776" s="4"/>
      <c r="C776" s="4"/>
      <c r="D776" s="4"/>
      <c r="E776" s="29"/>
      <c r="F776" s="2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6"/>
    </row>
    <row r="777" customHeight="1" spans="1:26">
      <c r="A777" s="4"/>
      <c r="B777" s="4"/>
      <c r="C777" s="4"/>
      <c r="D777" s="4"/>
      <c r="E777" s="29"/>
      <c r="F777" s="2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6"/>
    </row>
    <row r="778" customHeight="1" spans="1:26">
      <c r="A778" s="4"/>
      <c r="B778" s="4"/>
      <c r="C778" s="4"/>
      <c r="D778" s="4"/>
      <c r="E778" s="29"/>
      <c r="F778" s="2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6"/>
    </row>
    <row r="779" customHeight="1" spans="1:26">
      <c r="A779" s="4"/>
      <c r="B779" s="4"/>
      <c r="C779" s="4"/>
      <c r="D779" s="4"/>
      <c r="E779" s="29"/>
      <c r="F779" s="2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6"/>
    </row>
    <row r="780" customHeight="1" spans="1:26">
      <c r="A780" s="4"/>
      <c r="B780" s="4"/>
      <c r="C780" s="4"/>
      <c r="D780" s="4"/>
      <c r="E780" s="29"/>
      <c r="F780" s="2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6"/>
    </row>
    <row r="781" customHeight="1" spans="1:26">
      <c r="A781" s="4"/>
      <c r="B781" s="4"/>
      <c r="C781" s="4"/>
      <c r="D781" s="4"/>
      <c r="E781" s="29"/>
      <c r="F781" s="2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6"/>
    </row>
    <row r="782" customHeight="1" spans="1:26">
      <c r="A782" s="4"/>
      <c r="B782" s="4"/>
      <c r="C782" s="4"/>
      <c r="D782" s="4"/>
      <c r="E782" s="29"/>
      <c r="F782" s="2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6"/>
    </row>
    <row r="783" customHeight="1" spans="1:26">
      <c r="A783" s="4"/>
      <c r="B783" s="4"/>
      <c r="C783" s="4"/>
      <c r="D783" s="4"/>
      <c r="E783" s="29"/>
      <c r="F783" s="2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6"/>
    </row>
    <row r="784" customHeight="1" spans="1:26">
      <c r="A784" s="4"/>
      <c r="B784" s="4"/>
      <c r="C784" s="4"/>
      <c r="D784" s="4"/>
      <c r="E784" s="29"/>
      <c r="F784" s="2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6"/>
    </row>
    <row r="785" customHeight="1" spans="1:26">
      <c r="A785" s="4"/>
      <c r="B785" s="4"/>
      <c r="C785" s="4"/>
      <c r="D785" s="4"/>
      <c r="E785" s="29"/>
      <c r="F785" s="2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6"/>
    </row>
    <row r="786" customHeight="1" spans="1:26">
      <c r="A786" s="4"/>
      <c r="B786" s="4"/>
      <c r="C786" s="4"/>
      <c r="D786" s="4"/>
      <c r="E786" s="29"/>
      <c r="F786" s="2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6"/>
    </row>
    <row r="787" customHeight="1" spans="1:26">
      <c r="A787" s="4"/>
      <c r="B787" s="4"/>
      <c r="C787" s="4"/>
      <c r="D787" s="4"/>
      <c r="E787" s="29"/>
      <c r="F787" s="2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6"/>
    </row>
    <row r="788" customHeight="1" spans="1:26">
      <c r="A788" s="4"/>
      <c r="B788" s="4"/>
      <c r="C788" s="4"/>
      <c r="D788" s="4"/>
      <c r="E788" s="29"/>
      <c r="F788" s="2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6"/>
    </row>
    <row r="789" customHeight="1" spans="1:26">
      <c r="A789" s="4"/>
      <c r="B789" s="4"/>
      <c r="C789" s="4"/>
      <c r="D789" s="4"/>
      <c r="E789" s="29"/>
      <c r="F789" s="2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6"/>
    </row>
    <row r="790" customHeight="1" spans="1:26">
      <c r="A790" s="4"/>
      <c r="B790" s="4"/>
      <c r="C790" s="4"/>
      <c r="D790" s="4"/>
      <c r="E790" s="29"/>
      <c r="F790" s="2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6"/>
    </row>
    <row r="791" customHeight="1" spans="1:26">
      <c r="A791" s="4"/>
      <c r="B791" s="4"/>
      <c r="C791" s="4"/>
      <c r="D791" s="4"/>
      <c r="E791" s="29"/>
      <c r="F791" s="2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6"/>
    </row>
    <row r="792" customHeight="1" spans="1:26">
      <c r="A792" s="4"/>
      <c r="B792" s="4"/>
      <c r="C792" s="4"/>
      <c r="D792" s="4"/>
      <c r="E792" s="29"/>
      <c r="F792" s="2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6"/>
    </row>
    <row r="793" customHeight="1" spans="1:26">
      <c r="A793" s="4"/>
      <c r="B793" s="4"/>
      <c r="C793" s="4"/>
      <c r="D793" s="4"/>
      <c r="E793" s="29"/>
      <c r="F793" s="2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6"/>
    </row>
    <row r="794" customHeight="1" spans="1:26">
      <c r="A794" s="4"/>
      <c r="B794" s="4"/>
      <c r="C794" s="4"/>
      <c r="D794" s="4"/>
      <c r="E794" s="29"/>
      <c r="F794" s="2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6"/>
    </row>
    <row r="795" customHeight="1" spans="1:26">
      <c r="A795" s="4"/>
      <c r="B795" s="4"/>
      <c r="C795" s="4"/>
      <c r="D795" s="4"/>
      <c r="E795" s="29"/>
      <c r="F795" s="2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6"/>
    </row>
    <row r="796" customHeight="1" spans="1:26">
      <c r="A796" s="4"/>
      <c r="B796" s="4"/>
      <c r="C796" s="4"/>
      <c r="D796" s="4"/>
      <c r="E796" s="29"/>
      <c r="F796" s="2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6"/>
    </row>
    <row r="797" customHeight="1" spans="1:26">
      <c r="A797" s="4"/>
      <c r="B797" s="4"/>
      <c r="C797" s="4"/>
      <c r="D797" s="4"/>
      <c r="E797" s="29"/>
      <c r="F797" s="2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6"/>
    </row>
    <row r="798" customHeight="1" spans="1:26">
      <c r="A798" s="4"/>
      <c r="B798" s="4"/>
      <c r="C798" s="4"/>
      <c r="D798" s="4"/>
      <c r="E798" s="29"/>
      <c r="F798" s="2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6"/>
    </row>
    <row r="799" customHeight="1" spans="1:26">
      <c r="A799" s="4"/>
      <c r="B799" s="4"/>
      <c r="C799" s="4"/>
      <c r="D799" s="4"/>
      <c r="E799" s="29"/>
      <c r="F799" s="2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6"/>
    </row>
    <row r="800" customHeight="1" spans="1:26">
      <c r="A800" s="4"/>
      <c r="B800" s="4"/>
      <c r="C800" s="4"/>
      <c r="D800" s="4"/>
      <c r="E800" s="29"/>
      <c r="F800" s="2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6"/>
    </row>
    <row r="801" customHeight="1" spans="1:26">
      <c r="A801" s="4"/>
      <c r="B801" s="4"/>
      <c r="C801" s="4"/>
      <c r="D801" s="4"/>
      <c r="E801" s="29"/>
      <c r="F801" s="2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6"/>
    </row>
    <row r="802" customHeight="1" spans="1:26">
      <c r="A802" s="4"/>
      <c r="B802" s="4"/>
      <c r="C802" s="4"/>
      <c r="D802" s="4"/>
      <c r="E802" s="29"/>
      <c r="F802" s="2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6"/>
    </row>
    <row r="803" customHeight="1" spans="1:26">
      <c r="A803" s="4"/>
      <c r="B803" s="4"/>
      <c r="C803" s="4"/>
      <c r="D803" s="4"/>
      <c r="E803" s="29"/>
      <c r="F803" s="2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6"/>
    </row>
    <row r="804" customHeight="1" spans="1:26">
      <c r="A804" s="4"/>
      <c r="B804" s="4"/>
      <c r="C804" s="4"/>
      <c r="D804" s="4"/>
      <c r="E804" s="29"/>
      <c r="F804" s="2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6"/>
    </row>
    <row r="805" customHeight="1" spans="1:26">
      <c r="A805" s="4"/>
      <c r="B805" s="4"/>
      <c r="C805" s="4"/>
      <c r="D805" s="4"/>
      <c r="E805" s="29"/>
      <c r="F805" s="2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6"/>
    </row>
    <row r="806" customHeight="1" spans="1:26">
      <c r="A806" s="4"/>
      <c r="B806" s="4"/>
      <c r="C806" s="4"/>
      <c r="D806" s="4"/>
      <c r="E806" s="29"/>
      <c r="F806" s="2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6"/>
    </row>
    <row r="807" customHeight="1" spans="1:26">
      <c r="A807" s="4"/>
      <c r="B807" s="4"/>
      <c r="C807" s="4"/>
      <c r="D807" s="4"/>
      <c r="E807" s="29"/>
      <c r="F807" s="2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6"/>
    </row>
    <row r="808" customHeight="1" spans="1:26">
      <c r="A808" s="4"/>
      <c r="B808" s="4"/>
      <c r="C808" s="4"/>
      <c r="D808" s="4"/>
      <c r="E808" s="29"/>
      <c r="F808" s="2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6"/>
    </row>
    <row r="809" customHeight="1" spans="1:26">
      <c r="A809" s="4"/>
      <c r="B809" s="4"/>
      <c r="C809" s="4"/>
      <c r="D809" s="4"/>
      <c r="E809" s="29"/>
      <c r="F809" s="2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6"/>
    </row>
    <row r="810" customHeight="1" spans="1:26">
      <c r="A810" s="4"/>
      <c r="B810" s="4"/>
      <c r="C810" s="4"/>
      <c r="D810" s="4"/>
      <c r="E810" s="29"/>
      <c r="F810" s="2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6"/>
    </row>
    <row r="811" customHeight="1" spans="1:26">
      <c r="A811" s="4"/>
      <c r="B811" s="4"/>
      <c r="C811" s="4"/>
      <c r="D811" s="4"/>
      <c r="E811" s="29"/>
      <c r="F811" s="2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6"/>
    </row>
    <row r="812" customHeight="1" spans="1:26">
      <c r="A812" s="4"/>
      <c r="B812" s="4"/>
      <c r="C812" s="4"/>
      <c r="D812" s="4"/>
      <c r="E812" s="29"/>
      <c r="F812" s="2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6"/>
    </row>
    <row r="813" customHeight="1" spans="1:26">
      <c r="A813" s="4"/>
      <c r="B813" s="4"/>
      <c r="C813" s="4"/>
      <c r="D813" s="4"/>
      <c r="E813" s="29"/>
      <c r="F813" s="2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6"/>
    </row>
    <row r="814" customHeight="1" spans="1:26">
      <c r="A814" s="4"/>
      <c r="B814" s="4"/>
      <c r="C814" s="4"/>
      <c r="D814" s="4"/>
      <c r="E814" s="29"/>
      <c r="F814" s="2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6"/>
    </row>
    <row r="815" customHeight="1" spans="1:26">
      <c r="A815" s="4"/>
      <c r="B815" s="4"/>
      <c r="C815" s="4"/>
      <c r="D815" s="4"/>
      <c r="E815" s="29"/>
      <c r="F815" s="2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6"/>
    </row>
    <row r="816" customHeight="1" spans="1:26">
      <c r="A816" s="4"/>
      <c r="B816" s="4"/>
      <c r="C816" s="4"/>
      <c r="D816" s="4"/>
      <c r="E816" s="29"/>
      <c r="F816" s="2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6"/>
    </row>
    <row r="817" customHeight="1" spans="1:26">
      <c r="A817" s="4"/>
      <c r="B817" s="4"/>
      <c r="C817" s="4"/>
      <c r="D817" s="4"/>
      <c r="E817" s="29"/>
      <c r="F817" s="2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6"/>
    </row>
    <row r="818" customHeight="1" spans="1:26">
      <c r="A818" s="4"/>
      <c r="B818" s="4"/>
      <c r="C818" s="4"/>
      <c r="D818" s="4"/>
      <c r="E818" s="29"/>
      <c r="F818" s="2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6"/>
    </row>
    <row r="819" customHeight="1" spans="1:26">
      <c r="A819" s="4"/>
      <c r="B819" s="4"/>
      <c r="C819" s="4"/>
      <c r="D819" s="4"/>
      <c r="E819" s="29"/>
      <c r="F819" s="2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6"/>
    </row>
    <row r="820" customHeight="1" spans="1:26">
      <c r="A820" s="4"/>
      <c r="B820" s="4"/>
      <c r="C820" s="4"/>
      <c r="D820" s="4"/>
      <c r="E820" s="29"/>
      <c r="F820" s="2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6"/>
    </row>
    <row r="821" customHeight="1" spans="1:26">
      <c r="A821" s="4"/>
      <c r="B821" s="4"/>
      <c r="C821" s="4"/>
      <c r="D821" s="4"/>
      <c r="E821" s="29"/>
      <c r="F821" s="2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6"/>
    </row>
    <row r="822" customHeight="1" spans="1:26">
      <c r="A822" s="4"/>
      <c r="B822" s="4"/>
      <c r="C822" s="4"/>
      <c r="D822" s="4"/>
      <c r="E822" s="29"/>
      <c r="F822" s="2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6"/>
    </row>
    <row r="823" customHeight="1" spans="1:26">
      <c r="A823" s="4"/>
      <c r="B823" s="4"/>
      <c r="C823" s="4"/>
      <c r="D823" s="4"/>
      <c r="E823" s="29"/>
      <c r="F823" s="2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6"/>
    </row>
    <row r="824" customHeight="1" spans="1:26">
      <c r="A824" s="4"/>
      <c r="B824" s="4"/>
      <c r="C824" s="4"/>
      <c r="D824" s="4"/>
      <c r="E824" s="29"/>
      <c r="F824" s="2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6"/>
    </row>
    <row r="825" customHeight="1" spans="1:26">
      <c r="A825" s="4"/>
      <c r="B825" s="4"/>
      <c r="C825" s="4"/>
      <c r="D825" s="4"/>
      <c r="E825" s="29"/>
      <c r="F825" s="2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6"/>
    </row>
    <row r="826" customHeight="1" spans="1:26">
      <c r="A826" s="4"/>
      <c r="B826" s="4"/>
      <c r="C826" s="4"/>
      <c r="D826" s="4"/>
      <c r="E826" s="29"/>
      <c r="F826" s="2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6"/>
    </row>
    <row r="827" customHeight="1" spans="1:26">
      <c r="A827" s="4"/>
      <c r="B827" s="4"/>
      <c r="C827" s="4"/>
      <c r="D827" s="4"/>
      <c r="E827" s="29"/>
      <c r="F827" s="2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6"/>
    </row>
    <row r="828" customHeight="1" spans="1:26">
      <c r="A828" s="4"/>
      <c r="B828" s="4"/>
      <c r="C828" s="4"/>
      <c r="D828" s="4"/>
      <c r="E828" s="29"/>
      <c r="F828" s="2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6"/>
    </row>
    <row r="829" customHeight="1" spans="1:26">
      <c r="A829" s="4"/>
      <c r="B829" s="4"/>
      <c r="C829" s="4"/>
      <c r="D829" s="4"/>
      <c r="E829" s="29"/>
      <c r="F829" s="2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6"/>
    </row>
    <row r="830" customHeight="1" spans="1:26">
      <c r="A830" s="4"/>
      <c r="B830" s="4"/>
      <c r="C830" s="4"/>
      <c r="D830" s="4"/>
      <c r="E830" s="29"/>
      <c r="F830" s="2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6"/>
    </row>
    <row r="831" customHeight="1" spans="1:26">
      <c r="A831" s="4"/>
      <c r="B831" s="4"/>
      <c r="C831" s="4"/>
      <c r="D831" s="4"/>
      <c r="E831" s="29"/>
      <c r="F831" s="2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6"/>
    </row>
    <row r="832" customHeight="1" spans="1:26">
      <c r="A832" s="4"/>
      <c r="B832" s="4"/>
      <c r="C832" s="4"/>
      <c r="D832" s="4"/>
      <c r="E832" s="29"/>
      <c r="F832" s="2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6"/>
    </row>
    <row r="833" customHeight="1" spans="1:26">
      <c r="A833" s="4"/>
      <c r="B833" s="4"/>
      <c r="C833" s="4"/>
      <c r="D833" s="4"/>
      <c r="E833" s="29"/>
      <c r="F833" s="2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6"/>
    </row>
    <row r="834" customHeight="1" spans="1:26">
      <c r="A834" s="4"/>
      <c r="B834" s="4"/>
      <c r="C834" s="4"/>
      <c r="D834" s="4"/>
      <c r="E834" s="29"/>
      <c r="F834" s="2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6"/>
    </row>
    <row r="835" customHeight="1" spans="1:26">
      <c r="A835" s="6"/>
      <c r="B835" s="6"/>
      <c r="C835" s="6"/>
      <c r="D835" s="6"/>
      <c r="E835" s="6"/>
      <c r="F835" s="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6"/>
    </row>
    <row r="836" customHeight="1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Height="1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Height="1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Height="1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Height="1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Height="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Height="1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Height="1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Height="1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Height="1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Height="1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Height="1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Height="1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Height="1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Height="1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Height="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Height="1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Height="1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Height="1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Height="1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Height="1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Height="1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Height="1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Height="1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Height="1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Height="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Height="1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Height="1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Height="1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Height="1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Height="1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Height="1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Height="1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Height="1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Height="1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Height="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Height="1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Height="1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Height="1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Height="1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Height="1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Height="1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Height="1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Height="1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Height="1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Height="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Height="1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Height="1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Height="1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Height="1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Height="1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Height="1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Height="1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Height="1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Height="1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Height="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Height="1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Height="1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Height="1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Height="1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Height="1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Height="1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Height="1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Height="1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Height="1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Height="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Height="1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Height="1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Height="1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Height="1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Height="1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Height="1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Height="1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Height="1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Height="1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Height="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Height="1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Height="1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Height="1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Height="1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Height="1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Height="1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Height="1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Height="1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Height="1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Height="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Height="1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Height="1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Height="1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Height="1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Height="1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Height="1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Height="1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Height="1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Height="1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Height="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Height="1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Height="1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Height="1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Height="1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Height="1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Height="1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Height="1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Height="1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Height="1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Height="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Height="1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Height="1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Height="1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Height="1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Height="1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Height="1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Height="1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Height="1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Height="1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Height="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Height="1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Height="1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Height="1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Height="1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Height="1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Height="1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Height="1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Height="1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Height="1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Height="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Height="1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Height="1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Height="1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Height="1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Height="1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Height="1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Height="1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Height="1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Height="1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Height="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Height="1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Height="1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Height="1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Height="1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Height="1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Height="1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Height="1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Height="1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Height="1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Height="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Height="1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Height="1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Height="1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Height="1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Height="1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Height="1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Height="1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Height="1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Height="1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Height="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Height="1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Height="1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Height="1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Height="1" spans="1:2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Height="1" spans="1:2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Height="1" spans="1:2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Height="1" spans="1:2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Height="1" spans="1:2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Height="1" spans="1:2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customHeight="1" spans="1:26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customHeight="1" spans="1:26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customHeight="1" spans="1:26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customHeight="1" spans="1:26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customHeight="1" spans="1:26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customHeight="1" spans="1:2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customHeight="1" spans="1:26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</sheetData>
  <mergeCells count="6">
    <mergeCell ref="A1:F1"/>
    <mergeCell ref="E5:F5"/>
    <mergeCell ref="A5:A6"/>
    <mergeCell ref="B5:B6"/>
    <mergeCell ref="C5:C6"/>
    <mergeCell ref="D5:D6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FÓRMULAS</vt:lpstr>
      <vt:lpstr>ITENS</vt:lpstr>
      <vt:lpstr>MOVIMENTO</vt:lpstr>
      <vt:lpstr>SALDO QTD</vt:lpstr>
      <vt:lpstr>CONTAGEM</vt:lpstr>
      <vt:lpstr>RELATÓRIO</vt:lpstr>
      <vt:lpstr>RELATÓRIO VENDAS</vt:lpstr>
      <vt:lpstr>07.2025</vt:lpstr>
      <vt:lpstr>08.2025</vt:lpstr>
      <vt:lpstr>09.2025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amanda.silveira</cp:lastModifiedBy>
  <dcterms:created xsi:type="dcterms:W3CDTF">2025-12-17T12:29:58Z</dcterms:created>
  <dcterms:modified xsi:type="dcterms:W3CDTF">2025-12-17T12:30:27Z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FEF37CE07FE3423392833DF1AD08E885_12</vt:lpwstr>
  </property>
  <property fmtid="{D5CDD505-2E9C-101B-9397-08002B2CF9AE}" pid="3" name="KSOProductBuildVer">
    <vt:lpwstr>1046-12.2.0.23155</vt:lpwstr>
  </property>
</Properties>
</file>