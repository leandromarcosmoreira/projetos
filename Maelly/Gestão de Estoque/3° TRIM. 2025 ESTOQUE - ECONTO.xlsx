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2"/>
  </bookViews>
  <sheets>
    <sheet name="FÓRMULAS" sheetId="1" state="hidden" r:id="rId3"/>
    <sheet name="ITENS" sheetId="2" state="visible" r:id="rId4"/>
    <sheet name="MOVIMENTO" sheetId="3" state="visible" r:id="rId5"/>
    <sheet name="SALDO QTD" sheetId="4" state="visible" r:id="rId6"/>
    <sheet name="CONTAGEM" sheetId="5" state="visible" r:id="rId7"/>
    <sheet name="RELATÓRIO" sheetId="6" state="visible" r:id="rId8"/>
    <sheet name="RELATÓRIO VENDAS" sheetId="7" state="visible" r:id="rId9"/>
    <sheet name="07.2025" sheetId="8" state="visible" r:id="rId10"/>
    <sheet name="08.2025" sheetId="9" state="visible" r:id="rId11"/>
    <sheet name="09.2025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<sst xmlns="http://schemas.openxmlformats.org/spreadsheetml/2006/main" count="3086" uniqueCount="269">
  <si>
    <t xml:space="preserve">VENDA</t>
  </si>
  <si>
    <t xml:space="preserve">SAÍDA</t>
  </si>
  <si>
    <t xml:space="preserve">DOAÇÃO</t>
  </si>
  <si>
    <t xml:space="preserve">ENTRADA</t>
  </si>
  <si>
    <t xml:space="preserve">DEVOLUÇÃO</t>
  </si>
  <si>
    <t xml:space="preserve">PIX</t>
  </si>
  <si>
    <t xml:space="preserve">-</t>
  </si>
  <si>
    <t xml:space="preserve">DÉBITO</t>
  </si>
  <si>
    <t xml:space="preserve">*1,90%</t>
  </si>
  <si>
    <t xml:space="preserve">CRÉDITO</t>
  </si>
  <si>
    <t xml:space="preserve">CRÉDITO 2X</t>
  </si>
  <si>
    <t xml:space="preserve">PRODUTOS PARA VENDA</t>
  </si>
  <si>
    <t xml:space="preserve">CÓDIGO</t>
  </si>
  <si>
    <t xml:space="preserve">DESCRIÇÃO</t>
  </si>
  <si>
    <t xml:space="preserve">VLR ÚLTIMA COMPRA</t>
  </si>
  <si>
    <t xml:space="preserve">OBS</t>
  </si>
  <si>
    <t xml:space="preserve">CAMISA CHAMPIONS</t>
  </si>
  <si>
    <t xml:space="preserve">BONE LUXO</t>
  </si>
  <si>
    <t xml:space="preserve">BONÉ BRIM</t>
  </si>
  <si>
    <t xml:space="preserve">ETQ. LETRA PRINT FIX</t>
  </si>
  <si>
    <t xml:space="preserve">ETQ. NÚMERO PRINT FIX</t>
  </si>
  <si>
    <t xml:space="preserve">MASCOTE PORTO VITÓRIA</t>
  </si>
  <si>
    <t xml:space="preserve">COPO TÉRMICO TULIP 500ML</t>
  </si>
  <si>
    <t xml:space="preserve">GARRAFA TÉRMICA 660 ML</t>
  </si>
  <si>
    <t xml:space="preserve">CANECA PORTO</t>
  </si>
  <si>
    <t xml:space="preserve">REGATA BASQUETE</t>
  </si>
  <si>
    <t xml:space="preserve">Considerando R$10,00 de aplicação de detalhes</t>
  </si>
  <si>
    <t xml:space="preserve">CAMISA POLO</t>
  </si>
  <si>
    <t xml:space="preserve">CAMISA OFICIAL</t>
  </si>
  <si>
    <t xml:space="preserve">BERMUDA</t>
  </si>
  <si>
    <t xml:space="preserve">JAQUETA TORCEDOR</t>
  </si>
  <si>
    <t xml:space="preserve">CAMISA ESPECIAL RETRÔ</t>
  </si>
  <si>
    <t xml:space="preserve">- Portal de Vendas</t>
  </si>
  <si>
    <t xml:space="preserve">Alíquota SN</t>
  </si>
  <si>
    <t xml:space="preserve">CÓD. PRODUTO</t>
  </si>
  <si>
    <t xml:space="preserve">DESCRIÇÃO PRODUTO</t>
  </si>
  <si>
    <t xml:space="preserve">DESCRIÇÃO TOP</t>
  </si>
  <si>
    <t xml:space="preserve">QTD</t>
  </si>
  <si>
    <t xml:space="preserve">MOVIMENTO</t>
  </si>
  <si>
    <t xml:space="preserve">DT NEGOCIAÇÃO</t>
  </si>
  <si>
    <t xml:space="preserve">DIA DA SEMANA</t>
  </si>
  <si>
    <t xml:space="preserve">CÓD. PARCEIRO / DESCRIÇÃO</t>
  </si>
  <si>
    <t xml:space="preserve">NF </t>
  </si>
  <si>
    <t xml:space="preserve">VLR BRUTO</t>
  </si>
  <si>
    <t xml:space="preserve">DESCONTOS</t>
  </si>
  <si>
    <t xml:space="preserve">TOTAL</t>
  </si>
  <si>
    <t xml:space="preserve">TRIBUTOS</t>
  </si>
  <si>
    <t xml:space="preserve">TX CARTÃO </t>
  </si>
  <si>
    <t xml:space="preserve">MODALIDADE</t>
  </si>
  <si>
    <t xml:space="preserve">BANDEIRA</t>
  </si>
  <si>
    <t xml:space="preserve">VLR LÍQUIDO</t>
  </si>
  <si>
    <t xml:space="preserve">VLR UN. LÍQUIDO</t>
  </si>
  <si>
    <t xml:space="preserve">ENTRADA EXTRATO</t>
  </si>
  <si>
    <t xml:space="preserve">VLR EXTRATO</t>
  </si>
  <si>
    <t xml:space="preserve">3433 - CONSUMIDOR FINAL</t>
  </si>
  <si>
    <t xml:space="preserve">VISA</t>
  </si>
  <si>
    <t xml:space="preserve">JULHO</t>
  </si>
  <si>
    <t xml:space="preserve">Venda ocorreu dia 05/07/25</t>
  </si>
  <si>
    <t xml:space="preserve">BONÉ LUXO</t>
  </si>
  <si>
    <t xml:space="preserve">JUNHO</t>
  </si>
  <si>
    <t xml:space="preserve">Venda ocorreu dia 09/06/25</t>
  </si>
  <si>
    <t xml:space="preserve">Venda ocorreu dia 14/06 pelo Lindeyr</t>
  </si>
  <si>
    <t xml:space="preserve">MASTERCARD</t>
  </si>
  <si>
    <t xml:space="preserve">Venda ocorreu em junho </t>
  </si>
  <si>
    <t xml:space="preserve">TERÇA</t>
  </si>
  <si>
    <t xml:space="preserve">USADA PARA UM RECEBIMENTO DO DIA 13/06 QUE NÃO FOI EMITIDO NF</t>
  </si>
  <si>
    <t xml:space="preserve">AGOSTO</t>
  </si>
  <si>
    <t xml:space="preserve">Plataforma Stone</t>
  </si>
  <si>
    <t xml:space="preserve">QUARTA</t>
  </si>
  <si>
    <t xml:space="preserve">CRÉDITO 4X</t>
  </si>
  <si>
    <t xml:space="preserve">SETEMBRO</t>
  </si>
  <si>
    <t xml:space="preserve">OUTUBRO</t>
  </si>
  <si>
    <t xml:space="preserve">NOVEMBRO</t>
  </si>
  <si>
    <t xml:space="preserve">QUINTA</t>
  </si>
  <si>
    <t xml:space="preserve">2908 - MARCELO BRANDÃO</t>
  </si>
  <si>
    <t xml:space="preserve">SEXTA</t>
  </si>
  <si>
    <t xml:space="preserve">SÁBADO</t>
  </si>
  <si>
    <t xml:space="preserve">SEGUNDA</t>
  </si>
  <si>
    <t xml:space="preserve">PLATAFORMA  STONE</t>
  </si>
  <si>
    <t xml:space="preserve">ELO</t>
  </si>
  <si>
    <t xml:space="preserve">Venda dia 22/06</t>
  </si>
  <si>
    <t xml:space="preserve">Pix dia 23/06</t>
  </si>
  <si>
    <t xml:space="preserve">Pix dia 20/06</t>
  </si>
  <si>
    <t xml:space="preserve">Plataforma Stone / Venda externa</t>
  </si>
  <si>
    <t xml:space="preserve">6361 - ANA CAROLINA</t>
  </si>
  <si>
    <t xml:space="preserve">Venda feita dia 27/06</t>
  </si>
  <si>
    <t xml:space="preserve">Venda feita dia 30/06</t>
  </si>
  <si>
    <t xml:space="preserve">CRÉDITO 3X</t>
  </si>
  <si>
    <t xml:space="preserve">Venda feita dia 02/06</t>
  </si>
  <si>
    <t xml:space="preserve">Venda feita dia 01/07</t>
  </si>
  <si>
    <t xml:space="preserve">Venda feita dia 02/07</t>
  </si>
  <si>
    <t xml:space="preserve">MASCOTE PORTO</t>
  </si>
  <si>
    <t xml:space="preserve">DOMINGO</t>
  </si>
  <si>
    <t xml:space="preserve">Venda do dia 02/07</t>
  </si>
  <si>
    <t xml:space="preserve">Venda dia 10/07</t>
  </si>
  <si>
    <t xml:space="preserve">Venda dia 11/07</t>
  </si>
  <si>
    <t xml:space="preserve">Venda dia 14/06</t>
  </si>
  <si>
    <t xml:space="preserve">Venda dia 14/06 - PASSARAM PRIMEIRO 18,00 EM 2X E DEPOIS 62,00 EM 2X</t>
  </si>
  <si>
    <t xml:space="preserve">Venda dia 26/06</t>
  </si>
  <si>
    <t xml:space="preserve">CAMISA RETRÔ</t>
  </si>
  <si>
    <t xml:space="preserve">COMPRA</t>
  </si>
  <si>
    <t xml:space="preserve">1117 - ÍCONE</t>
  </si>
  <si>
    <t xml:space="preserve">6795 - GUILHERME CUNHA</t>
  </si>
  <si>
    <t xml:space="preserve">NF EMITIDA ERRADA - AO INVÉS DE DAR O DESCONTO, FOI ALTERADO O VLR UNITÁRIO DOS ITENS - VENDA EXTERNA</t>
  </si>
  <si>
    <t xml:space="preserve">PLATAFORMA STONE - VENDA EXTERNA 29/07</t>
  </si>
  <si>
    <t xml:space="preserve">NF EMITIDA ERRADA - AO INVÉS DE DAR O DESCONTO, FOI ALTERADO O VLR UNITÁRIO DOS ITENS - VENDA EXTERNA - DEV. NFE 124</t>
  </si>
  <si>
    <t xml:space="preserve">6798 - ERICK SALLES</t>
  </si>
  <si>
    <t xml:space="preserve">NF EMITIDA ERRADA - AO INVÉS DE DAR O DESCONTO, FOI ALTERADO O VLR UNITÁRIO DOS ITENS - VENDA EXTERNA - DEV. NFE 123</t>
  </si>
  <si>
    <t xml:space="preserve">6822 - MATHEUS GABRIEL</t>
  </si>
  <si>
    <t xml:space="preserve">NF EMITIDA ERRADA - AO INVÉS DE DAR O DESCONTO, FOI ALTERADO O VLR UNITÁRIO DOS ITENS - VENDA EXTERNA - DEV. NFE 127</t>
  </si>
  <si>
    <t xml:space="preserve">ACORDO ENTRE LEONARDO E JÚNIOR</t>
  </si>
  <si>
    <t xml:space="preserve">ACORDO ENTRE LEONARDO E HELBER</t>
  </si>
  <si>
    <t xml:space="preserve">VENDA DO DIA 29/07 - PLATAFORMA STONE</t>
  </si>
  <si>
    <t xml:space="preserve">4269 - ATHIRSON KAUAN</t>
  </si>
  <si>
    <t xml:space="preserve">6828 - ESTEVÃO FERRARI</t>
  </si>
  <si>
    <t xml:space="preserve">997 - ELDER PEREIRA</t>
  </si>
  <si>
    <t xml:space="preserve">4449 - MARIA DE FÁTIMA</t>
  </si>
  <si>
    <t xml:space="preserve">6831 - ALISON RIBEIRO</t>
  </si>
  <si>
    <t xml:space="preserve">COPO TÉRMICO</t>
  </si>
  <si>
    <t xml:space="preserve">NF EMITIDA ERRADA - AO INVÉS DE DAR O DESCONTO, FOI ALTERADO O VLR UNITÁRIO DOS ITENS - DEV. NFE 126</t>
  </si>
  <si>
    <t xml:space="preserve">NF EMITIDA ERRADA - AO INVÉS DE DAR O DESCONTO, FOI ALTERADO O VLR UNITÁRIO DOS ITENS - DEV. NFE 128</t>
  </si>
  <si>
    <t xml:space="preserve">6832 - MATHEUS H.</t>
  </si>
  <si>
    <t xml:space="preserve">NF EMITIDA ERRADA - AO INVÉS DE DAR O DESCONTO, FOI ALTERADO O VLR UNITÁRIO DOS ITENS - DEV. NFE 129</t>
  </si>
  <si>
    <t xml:space="preserve">6025 - GABRIEL B.</t>
  </si>
  <si>
    <t xml:space="preserve">NF EMITIDA ERRADA - AO INVÉS DE DAR O DESCONTO, FOI ALTERADO O VLR UNITÁRIO DOS ITENS - DEV. NFE 125</t>
  </si>
  <si>
    <t xml:space="preserve">6838 - LUCAS CHAVIER</t>
  </si>
  <si>
    <t xml:space="preserve">4268 - ALISSON SOARES</t>
  </si>
  <si>
    <t xml:space="preserve">6844 - ERIC NETTO</t>
  </si>
  <si>
    <t xml:space="preserve">PLATAFORMA STONE - VENDA EXTERNA 03/08</t>
  </si>
  <si>
    <t xml:space="preserve">NÃO SEI O MOTIVO DO DESCONTO - CADA CAMISA SAIU POR 126,66 - VENDA EXTERNA 03/08 - PLATAFORMA STONE</t>
  </si>
  <si>
    <t xml:space="preserve">VENDA EXTERNA 03/08 - PLATAFORMA STONE</t>
  </si>
  <si>
    <t xml:space="preserve">AMEX</t>
  </si>
  <si>
    <t xml:space="preserve">2422 - MARCOS VINICIUS</t>
  </si>
  <si>
    <t xml:space="preserve">DEZEMBRO</t>
  </si>
  <si>
    <t xml:space="preserve">DINHEIRO</t>
  </si>
  <si>
    <t xml:space="preserve">VENDA EXTERNA 03/08</t>
  </si>
  <si>
    <t xml:space="preserve">VENDA EXTERNA 29/07</t>
  </si>
  <si>
    <t xml:space="preserve">4536 - AYDHAN JUNIO</t>
  </si>
  <si>
    <t xml:space="preserve">6864 - HENRIQUE MELO</t>
  </si>
  <si>
    <t xml:space="preserve">6865 - THALLYSON AUGUSTO</t>
  </si>
  <si>
    <t xml:space="preserve">6866 - GETULIO GONÇALVES</t>
  </si>
  <si>
    <t xml:space="preserve">6867 - ARTHUR HENRIQUE</t>
  </si>
  <si>
    <t xml:space="preserve">R$80,00 PG NO CRÉDITO E R$100,00 EM DINHEIRO</t>
  </si>
  <si>
    <t xml:space="preserve">6898 - GUSTAVO DO NASCIMENTO</t>
  </si>
  <si>
    <t xml:space="preserve">6906 - GRAZIELE RODRIGUES</t>
  </si>
  <si>
    <t xml:space="preserve">28,00 NO DÉBITO E 288,00 NO CRÉDITO 2X</t>
  </si>
  <si>
    <t xml:space="preserve">FOI DOAÇÃO, NÃO ERA PRA TER SIDO EMITIDO NFC-E - DEV. 130</t>
  </si>
  <si>
    <t xml:space="preserve">FOI DOAÇÃO, NÃO ERA PRA TER SIDO EMITIDO NFC-E - DEV. 131</t>
  </si>
  <si>
    <t xml:space="preserve">87 - VINICIUS DEMO</t>
  </si>
  <si>
    <t xml:space="preserve">ACORDO ENTRE LEONARDO E VINICIUS</t>
  </si>
  <si>
    <t xml:space="preserve">5175 - DIOGO SILVA</t>
  </si>
  <si>
    <t xml:space="preserve">CARTÃO</t>
  </si>
  <si>
    <t xml:space="preserve">VENDA DO FINAL DE JUNHO +/- DIA 29 - NÃO FOI EMITIDA NF</t>
  </si>
  <si>
    <t xml:space="preserve">VENDA DO COMEÇO DE JULHO +/- DIA 06 OU 07 - NÃO FOI EMITIDA NF</t>
  </si>
  <si>
    <t xml:space="preserve">VENDA DO DIA 29/07 QUE NÃO FOI EMITIDA NF</t>
  </si>
  <si>
    <t xml:space="preserve">EMITIDA PARA "TAPAR" UM RECEBIDO MAS FOI IDENTIFICADA A NF CORRESPONDENTE POR ISSO A NF FOI DEVOLVIDA</t>
  </si>
  <si>
    <t xml:space="preserve">NF EMITIDA ERRADA - AO INVÉS DE DAR O DESCONTO, FOI ALTERADO O VLR UNITÁRIO DOS ITENS - VENDA EXTERNA - NFCe 1104</t>
  </si>
  <si>
    <t xml:space="preserve">PARA SUBSTITUIR A NFCe 1104 - VENDA EXTERNA 29/07 - PLATAFORMA STONE</t>
  </si>
  <si>
    <t xml:space="preserve">NF EMITIDA ERRADA - AO INVÉS DE DAR O DESCONTO, FOI ALTERADO O VLR UNITÁRIO DOS ITENS - VENDA EXTERNA - NFCe 1100</t>
  </si>
  <si>
    <t xml:space="preserve">PARA SUBSTITUIR A NFCe 1100 - VENDA EXTERNA 29/07 - PLATAFORMA STONE</t>
  </si>
  <si>
    <t xml:space="preserve">6925 KAREN ALVES</t>
  </si>
  <si>
    <t xml:space="preserve">PULO DE SEQUÊNCIA - VENDA DO DIA 23/08</t>
  </si>
  <si>
    <t xml:space="preserve">20,00 EM DINHEIRO E 160,00 NO CRÉDITO 2X</t>
  </si>
  <si>
    <t xml:space="preserve">DEVOLUÇÃO REF. NFC-E 1130</t>
  </si>
  <si>
    <t xml:space="preserve">PARA SUBSTITUIR A NFCe 1130 - VENDA DO DIA 03/08</t>
  </si>
  <si>
    <t xml:space="preserve">DEVOLUÇÃO REF. NFC-E 1127</t>
  </si>
  <si>
    <t xml:space="preserve">PARA SUBSTITUIR A NFCe 1127 - VENDA DO DIA 03/08</t>
  </si>
  <si>
    <t xml:space="preserve">DEVOLUÇÃO REF. NFC-E 1106</t>
  </si>
  <si>
    <t xml:space="preserve">PARA SUBSTITUIR A NFCe 1106 - VENDA DO DIA 31/07</t>
  </si>
  <si>
    <t xml:space="preserve">DEVOLUÇÃO REF. NFC-E 1128</t>
  </si>
  <si>
    <t xml:space="preserve">PARA SUBSTITUIR A NFCe 1128 - VENDA DO DIA 03/08</t>
  </si>
  <si>
    <t xml:space="preserve">DEVOLUÇÃO REF. NFC-E 1129</t>
  </si>
  <si>
    <t xml:space="preserve">PARA SUBSTITUIR A NFCe 1129 - VENDA DO DIA 03/08</t>
  </si>
  <si>
    <t xml:space="preserve">DEVOLUÇÃO REF. NFC-E 1199</t>
  </si>
  <si>
    <t xml:space="preserve">DEVOLUÇÃO REF. NFC-E 1200</t>
  </si>
  <si>
    <t xml:space="preserve">FOI ALTERADO O VLR UN. AO INVÉS DE APLICAR O VLR DE DESCONTO - DEV. N° 137</t>
  </si>
  <si>
    <t xml:space="preserve">FOI ALTERADO O VLR UN. AO INVÉS DE APLICAR O VLR DE DESCONTO - DEV. N° 133</t>
  </si>
  <si>
    <t xml:space="preserve">6994 - FELIPE DA COSTA</t>
  </si>
  <si>
    <t xml:space="preserve">7004 - ILCIMAR DA ROCHA</t>
  </si>
  <si>
    <t xml:space="preserve">FOI ALTERADO O VLR UN. AO INVÉS DE APLICAR O VLR DE DESCONTO - DEV. N° 134</t>
  </si>
  <si>
    <t xml:space="preserve">PLATAFORMA STONE</t>
  </si>
  <si>
    <t xml:space="preserve">2299 - ANDERSON LUIZ</t>
  </si>
  <si>
    <t xml:space="preserve">ESTOQUE NO 2° TRIM.</t>
  </si>
  <si>
    <t xml:space="preserve">MÊS/PERÍODO</t>
  </si>
  <si>
    <t xml:space="preserve">ESTOQUE FINAL</t>
  </si>
  <si>
    <t xml:space="preserve">GARRAFA 660ML</t>
  </si>
  <si>
    <t xml:space="preserve">JAQUETA</t>
  </si>
  <si>
    <t xml:space="preserve">digitar SOMENTE a coluna "DT CONTAGEM FÍSICA" e "CONTAGEM FÍSICA"</t>
  </si>
  <si>
    <t xml:space="preserve">CÓD.</t>
  </si>
  <si>
    <t xml:space="preserve">SALDO MÊS</t>
  </si>
  <si>
    <t xml:space="preserve">DT CONTAGEM FÍSICA</t>
  </si>
  <si>
    <t xml:space="preserve">CONTAGEM FÍSICA</t>
  </si>
  <si>
    <t xml:space="preserve">DIFERENÇA</t>
  </si>
  <si>
    <t xml:space="preserve">DESVIO % </t>
  </si>
  <si>
    <t xml:space="preserve">ACURACIDADE % </t>
  </si>
  <si>
    <t xml:space="preserve">AJUSTES </t>
  </si>
  <si>
    <t xml:space="preserve">COPO 500 ML</t>
  </si>
  <si>
    <t xml:space="preserve">Não teve contagem ou contagem totalmente desproporcional</t>
  </si>
  <si>
    <t xml:space="preserve">Contagem de Estoque</t>
  </si>
  <si>
    <t xml:space="preserve">COMPETÊNCIA</t>
  </si>
  <si>
    <t xml:space="preserve">*Aumento de quantidade física sem ter nota fiscal de compra</t>
  </si>
  <si>
    <t xml:space="preserve">Ano de 2025</t>
  </si>
  <si>
    <t xml:space="preserve">CHAMPIONS</t>
  </si>
  <si>
    <t xml:space="preserve">CANECA </t>
  </si>
  <si>
    <t xml:space="preserve">COPO </t>
  </si>
  <si>
    <t xml:space="preserve">MASCOTE </t>
  </si>
  <si>
    <t xml:space="preserve">REGATA </t>
  </si>
  <si>
    <t xml:space="preserve">VLR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</si>
  <si>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</si>
  <si>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</si>
  <si>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</si>
  <si>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</si>
  <si>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</si>
  <si>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</si>
  <si>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</si>
  <si>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</si>
  <si>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</si>
  <si>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r>
      <rPr>
        <i val="true"/>
        <sz val="10"/>
        <color theme="1"/>
        <rFont val="Arial"/>
        <family val="0"/>
        <charset val="134"/>
      </rPr>
      <t xml:space="preserve">Saldo total </t>
    </r>
    <r>
      <rPr>
        <b val="true"/>
        <i val="true"/>
        <sz val="10"/>
        <color theme="1"/>
        <rFont val="Arial"/>
        <family val="0"/>
        <charset val="134"/>
      </rPr>
      <t xml:space="preserve">por produto</t>
    </r>
    <r>
      <rPr>
        <i val="true"/>
        <sz val="10"/>
        <color theme="1"/>
        <rFont val="Arial"/>
        <family val="0"/>
        <charset val="134"/>
      </rPr>
      <t xml:space="preserve"> até setembro/2025</t>
    </r>
  </si>
  <si>
    <r>
      <rPr>
        <i val="true"/>
        <sz val="10"/>
        <color theme="1"/>
        <rFont val="Arial"/>
        <family val="0"/>
        <charset val="134"/>
      </rPr>
      <t xml:space="preserve">Saldo total </t>
    </r>
    <r>
      <rPr>
        <b val="true"/>
        <sz val="10"/>
        <color theme="1"/>
        <rFont val="Arial"/>
        <family val="0"/>
        <charset val="134"/>
      </rPr>
      <t xml:space="preserve">por mês</t>
    </r>
    <r>
      <rPr>
        <i val="true"/>
        <sz val="10"/>
        <color theme="1"/>
        <rFont val="Arial"/>
        <family val="0"/>
        <charset val="134"/>
      </rPr>
      <t xml:space="preserve"> até setembro/2025</t>
    </r>
  </si>
  <si>
    <t xml:space="preserve">PRODUTO</t>
  </si>
  <si>
    <t xml:space="preserve">VALOR</t>
  </si>
  <si>
    <t xml:space="preserve">MÊS</t>
  </si>
  <si>
    <t xml:space="preserve">JANEIRO</t>
  </si>
  <si>
    <t xml:space="preserve">FEVEREIRO</t>
  </si>
  <si>
    <t xml:space="preserve">MARÇO</t>
  </si>
  <si>
    <t xml:space="preserve">CANECA</t>
  </si>
  <si>
    <t xml:space="preserve">ABRIL</t>
  </si>
  <si>
    <t xml:space="preserve">COPO</t>
  </si>
  <si>
    <t xml:space="preserve">MAIO</t>
  </si>
  <si>
    <t xml:space="preserve">MASCOTE</t>
  </si>
  <si>
    <t xml:space="preserve">REGATA</t>
  </si>
  <si>
    <t xml:space="preserve">TOTAL PRODUTOS VENDIDOS ATÉ SETEMBRO/2025</t>
  </si>
  <si>
    <t xml:space="preserve">TOTAL DOS VALROES ATÉ SETEMBRO/2025</t>
  </si>
  <si>
    <t xml:space="preserve">* Foi consideras as vendas a partir do dia 15/01 (abertura do quiosque) + vendas externas + vendas para a diretoria</t>
  </si>
  <si>
    <t xml:space="preserve">* Para os valores foram considerados vlr bruto - desconto</t>
  </si>
  <si>
    <t xml:space="preserve">* Dados não são 100% iguais a realidade pois existem notas fiscais que foram emitidas em atraso / devolvidas / emitidas de forma errônea... apesar dos ajustes realizados, é preciso considerar uma margem de erros para quantidades e valores acima.</t>
  </si>
  <si>
    <t xml:space="preserve">* Os valores de cada mês não siginfica que entraram no extrato naquele mesmo mês, pois, vendas por cartão de crédito caem 1 mês após a venda.</t>
  </si>
  <si>
    <t xml:space="preserve">ANO DE 2024</t>
  </si>
  <si>
    <r>
      <rPr>
        <i val="true"/>
        <sz val="10"/>
        <color theme="1"/>
        <rFont val="Arial"/>
        <family val="0"/>
        <charset val="134"/>
      </rPr>
      <t xml:space="preserve">Saldo Total </t>
    </r>
    <r>
      <rPr>
        <b val="true"/>
        <i val="true"/>
        <sz val="10"/>
        <color theme="1"/>
        <rFont val="Arial"/>
        <family val="0"/>
        <charset val="134"/>
      </rPr>
      <t xml:space="preserve">por produto</t>
    </r>
    <r>
      <rPr>
        <i val="true"/>
        <sz val="10"/>
        <color theme="1"/>
        <rFont val="Arial"/>
        <family val="0"/>
        <charset val="134"/>
      </rPr>
      <t xml:space="preserve"> até setembro/2024</t>
    </r>
  </si>
  <si>
    <r>
      <rPr>
        <i val="true"/>
        <sz val="10"/>
        <color theme="1"/>
        <rFont val="Arial"/>
        <family val="0"/>
        <charset val="134"/>
      </rPr>
      <t xml:space="preserve">Saldo total </t>
    </r>
    <r>
      <rPr>
        <b val="true"/>
        <sz val="10"/>
        <color theme="1"/>
        <rFont val="Arial"/>
        <family val="0"/>
        <charset val="134"/>
      </rPr>
      <t xml:space="preserve">por mês</t>
    </r>
    <r>
      <rPr>
        <i val="true"/>
        <sz val="10"/>
        <color theme="1"/>
        <rFont val="Arial"/>
        <family val="0"/>
        <charset val="134"/>
      </rPr>
      <t xml:space="preserve"> até setembro/2024</t>
    </r>
  </si>
  <si>
    <t xml:space="preserve">TOTAL PRODUTOS VENDIDOS ATÉ SETEMBRO/2024</t>
  </si>
  <si>
    <t xml:space="preserve">TOTAL DOS VALROES ATÉ SETEMBRO/2024</t>
  </si>
  <si>
    <t xml:space="preserve">* Foi considera as vendas na prórpria Porto vitória (neste ano ainda não tinha o quiosque) + vendas externas + vendas para a diretoria</t>
  </si>
  <si>
    <t xml:space="preserve">REGISTRO DE INVENTÁRIO</t>
  </si>
  <si>
    <t xml:space="preserve">FIRMA: CONTO DE FIDELIDADE DO BRASIL LTDA</t>
  </si>
  <si>
    <t xml:space="preserve">INSC. ESTADUAL: 084037180</t>
  </si>
  <si>
    <t xml:space="preserve">CNPJ: 35.515.223/0001-76</t>
  </si>
  <si>
    <t xml:space="preserve">FOLHA: 2</t>
  </si>
  <si>
    <t xml:space="preserve">ESTOQUE EXISTENTES EM: 31/07/2025</t>
  </si>
  <si>
    <t xml:space="preserve">CLASSIFICAÇÃO FISCAL</t>
  </si>
  <si>
    <t xml:space="preserve">DISCRIMINAÇÃO</t>
  </si>
  <si>
    <t xml:space="preserve">UNIDADE</t>
  </si>
  <si>
    <t xml:space="preserve">QUANTIDADE</t>
  </si>
  <si>
    <t xml:space="preserve">VALORES</t>
  </si>
  <si>
    <t xml:space="preserve">UNITÁRIO</t>
  </si>
  <si>
    <t xml:space="preserve">61.05.20.00</t>
  </si>
  <si>
    <t xml:space="preserve">UN.</t>
  </si>
  <si>
    <t xml:space="preserve">65.05.00.11</t>
  </si>
  <si>
    <t xml:space="preserve">49.08.90.00</t>
  </si>
  <si>
    <t xml:space="preserve">95.03.00.31</t>
  </si>
  <si>
    <t xml:space="preserve">96.17.00.10</t>
  </si>
  <si>
    <t xml:space="preserve">69.12.00.00</t>
  </si>
  <si>
    <t xml:space="preserve">CANECA PORTO VITÓRIA</t>
  </si>
  <si>
    <t xml:space="preserve">REGATA BASQUETE ESPECIAL TORCEDOR</t>
  </si>
  <si>
    <t xml:space="preserve">CAMISA POLO TORCEDOR</t>
  </si>
  <si>
    <t xml:space="preserve">CAMISA OFICIAL T-SHIRT TORCEDOR</t>
  </si>
  <si>
    <t xml:space="preserve">BERMUDA DOPTEX TORCEDOR</t>
  </si>
  <si>
    <t xml:space="preserve">ESTOQUE EXISTENTES EM: 31/08/2025</t>
  </si>
  <si>
    <t xml:space="preserve">ESTOQUE EXISTENTES EM: 30/09/2025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</si>
</sst>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R$ -416]#,##0.00"/>
    <numFmt numFmtId="166" formatCode="d/m/yyyy"/>
    <numFmt numFmtId="167" formatCode="0%"/>
    <numFmt numFmtId="168" formatCode="0"/>
    <numFmt numFmtId="169" formatCode="mmmm/yyyy"/>
    <numFmt numFmtId="170" formatCode="0.00%"/>
    <numFmt numFmtId="171" formatCode="#,##0.00"/>
  </numFmts>
  <fonts count="21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0"/>
      <color rgb="FFFF0000"/>
      <name val="Arial"/>
      <family val="0"/>
      <charset val="134"/>
    </font>
    <font>
      <b val="true"/>
      <sz val="10"/>
      <color rgb="FFFFFFFF"/>
      <name val="Arial"/>
      <family val="0"/>
      <charset val="134"/>
    </font>
    <font>
      <sz val="10"/>
      <color theme="1"/>
      <name val="Segoe UI"/>
      <family val="0"/>
      <charset val="134"/>
    </font>
    <font>
      <i val="true"/>
      <sz val="10"/>
      <color theme="1"/>
      <name val="Arial"/>
      <family val="0"/>
      <charset val="134"/>
    </font>
    <font>
      <b val="true"/>
      <i val="true"/>
      <sz val="10"/>
      <color theme="1"/>
      <name val="Arial"/>
      <family val="0"/>
      <charset val="134"/>
    </font>
    <font>
      <b val="true"/>
      <sz val="10"/>
      <color rgb="FFFF9900"/>
      <name val="Arial"/>
      <family val="0"/>
      <charset val="134"/>
    </font>
    <font>
      <b val="true"/>
      <i val="true"/>
      <sz val="10"/>
      <color rgb="FFFF9900"/>
      <name val="Arial"/>
      <family val="0"/>
      <charset val="134"/>
    </font>
    <font>
      <sz val="10"/>
      <color rgb="FFFF0000"/>
      <name val="Arial"/>
      <family val="0"/>
      <charset val="134"/>
    </font>
    <font>
      <b val="true"/>
      <i val="true"/>
      <sz val="10"/>
      <color rgb="FFFF0000"/>
      <name val="Arial"/>
      <family val="0"/>
      <charset val="134"/>
    </font>
    <font>
      <b val="true"/>
      <sz val="10"/>
      <color theme="1"/>
      <name val="Arial"/>
      <family val="0"/>
      <charset val="134"/>
    </font>
    <font>
      <b val="true"/>
      <i val="true"/>
      <sz val="14"/>
      <color theme="1"/>
      <name val="Arial"/>
      <family val="0"/>
      <charset val="134"/>
    </font>
    <font>
      <i val="true"/>
      <u val="single"/>
      <sz val="10"/>
      <color theme="1"/>
      <name val="Arial"/>
      <family val="0"/>
      <charset val="134"/>
    </font>
    <font>
      <sz val="11"/>
      <color theme="1"/>
      <name val="Arial"/>
      <family val="0"/>
      <charset val="134"/>
    </font>
    <font>
      <sz val="8"/>
      <color theme="1"/>
      <name val="Calibri"/>
      <family val="0"/>
      <charset val="134"/>
    </font>
    <font>
      <sz val="8"/>
      <color rgb="FF1F1F1F"/>
      <name val="Calibri"/>
      <family val="0"/>
      <charset val="134"/>
    </font>
    <font>
      <b val="true"/>
      <i val="true"/>
      <sz val="10"/>
      <color rgb="FFFF0000"/>
      <name val="Calibri"/>
      <family val="0"/>
      <charset val="134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EFEFEF"/>
      </patternFill>
    </fill>
    <fill>
      <patternFill patternType="solid">
        <fgColor rgb="FF70AD47"/>
        <bgColor rgb="FF339966"/>
      </patternFill>
    </fill>
    <fill>
      <patternFill patternType="solid">
        <fgColor rgb="FFB6D7A8"/>
        <bgColor rgb="FFA2C4C9"/>
      </patternFill>
    </fill>
    <fill>
      <patternFill patternType="solid">
        <fgColor rgb="FFD9D9D9"/>
        <bgColor rgb="FFD9EAD3"/>
      </patternFill>
    </fill>
    <fill>
      <patternFill patternType="solid">
        <fgColor rgb="FFD9EAD3"/>
        <bgColor rgb="FFD9D9D9"/>
      </patternFill>
    </fill>
    <fill>
      <patternFill patternType="solid">
        <fgColor rgb="FFEA9999"/>
        <bgColor rgb="FFFF8080"/>
      </patternFill>
    </fill>
    <fill>
      <patternFill patternType="solid">
        <fgColor rgb="FFF4CCCC"/>
        <bgColor rgb="FFD9D9D9"/>
      </patternFill>
    </fill>
    <fill>
      <patternFill patternType="solid">
        <fgColor rgb="FFEFEFEF"/>
        <bgColor rgb="FFFCE5CD"/>
      </patternFill>
    </fill>
    <fill>
      <patternFill patternType="solid">
        <fgColor rgb="FFFCE5CD"/>
        <bgColor rgb="FFEFEFEF"/>
      </patternFill>
    </fill>
    <fill>
      <patternFill patternType="solid">
        <fgColor rgb="FFA2C4C9"/>
        <bgColor rgb="FFB6D7A8"/>
      </patternFill>
    </fill>
  </fills>
  <borders count="3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19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2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1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8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3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2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5" fontId="13" fillId="2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7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5" fillId="11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1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4" fillId="2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2C4C9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B6D7A8"/>
      <rgbColor rgb="FFEA9999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2" customFormat="false" ht="15.75" hidden="false" customHeight="true" outlineLevel="0" collapsed="false">
      <c r="A2" s="1" t="s">
        <v>0</v>
      </c>
      <c r="B2" s="1" t="s">
        <v>1</v>
      </c>
    </row>
    <row r="3" customFormat="false" ht="15.75" hidden="false" customHeight="true" outlineLevel="0" collapsed="false">
      <c r="A3" s="1" t="s">
        <v>2</v>
      </c>
      <c r="B3" s="1" t="s">
        <v>1</v>
      </c>
    </row>
    <row r="4" customFormat="false" ht="15.75" hidden="false" customHeight="true" outlineLevel="0" collapsed="false">
      <c r="A4" s="1" t="s">
        <v>3</v>
      </c>
      <c r="B4" s="1" t="s">
        <v>3</v>
      </c>
    </row>
    <row r="5" customFormat="false" ht="15.75" hidden="false" customHeight="true" outlineLevel="0" collapsed="false">
      <c r="A5" s="1" t="s">
        <v>4</v>
      </c>
      <c r="B5" s="1" t="s">
        <v>3</v>
      </c>
    </row>
    <row r="6" customFormat="false" ht="15.75" hidden="false" customHeight="true" outlineLevel="0" collapsed="false">
      <c r="A6" s="1"/>
      <c r="B6" s="1"/>
    </row>
    <row r="7" customFormat="false" ht="15.75" hidden="false" customHeight="true" outlineLevel="0" collapsed="false">
      <c r="A7" s="1" t="s">
        <v>5</v>
      </c>
      <c r="B7" s="1" t="s">
        <v>6</v>
      </c>
    </row>
    <row r="8" customFormat="false" ht="15.75" hidden="false" customHeight="true" outlineLevel="0" collapsed="false">
      <c r="A8" s="1" t="s">
        <v>5</v>
      </c>
      <c r="B8" s="2" t="n">
        <v>0</v>
      </c>
    </row>
    <row r="9" customFormat="false" ht="15.75" hidden="false" customHeight="true" outlineLevel="0" collapsed="false">
      <c r="A9" s="1" t="s">
        <v>7</v>
      </c>
      <c r="B9" s="2" t="s">
        <v>8</v>
      </c>
    </row>
    <row r="10" customFormat="false" ht="15.75" hidden="false" customHeight="true" outlineLevel="0" collapsed="false">
      <c r="A10" s="1" t="s">
        <v>9</v>
      </c>
      <c r="B10" s="2"/>
    </row>
    <row r="11" customFormat="false" ht="15.75" hidden="false" customHeight="true" outlineLevel="0" collapsed="false">
      <c r="A11" s="1" t="s">
        <v>10</v>
      </c>
      <c r="B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.5"/>
    <col collapsed="false" customWidth="true" hidden="false" outlineLevel="0" max="3" min="3" style="0" width="24.88"/>
    <col collapsed="false" customWidth="true" hidden="false" outlineLevel="0" max="4" min="4" style="0" width="18.88"/>
    <col collapsed="false" customWidth="true" hidden="false" outlineLevel="0" max="5" min="5" style="0" width="40.5"/>
  </cols>
  <sheetData>
    <row r="1" customFormat="false" ht="16.5" hidden="false" customHeight="true" outlineLevel="0" collapsed="false">
      <c r="B1" s="3" t="s">
        <v>11</v>
      </c>
      <c r="C1" s="3"/>
      <c r="D1" s="4"/>
      <c r="E1" s="5"/>
      <c r="F1" s="6"/>
      <c r="G1" s="6"/>
      <c r="H1" s="6"/>
      <c r="I1" s="6"/>
      <c r="J1" s="6"/>
      <c r="K1" s="6"/>
      <c r="L1" s="6"/>
      <c r="M1" s="6"/>
    </row>
    <row r="2" customFormat="false" ht="23.85" hidden="false" customHeight="false" outlineLevel="0" collapsed="false">
      <c r="B2" s="7" t="s">
        <v>12</v>
      </c>
      <c r="C2" s="7" t="s">
        <v>13</v>
      </c>
      <c r="D2" s="7" t="s">
        <v>14</v>
      </c>
      <c r="E2" s="7" t="s">
        <v>15</v>
      </c>
      <c r="F2" s="8"/>
      <c r="G2" s="8"/>
      <c r="H2" s="8"/>
      <c r="I2" s="8"/>
      <c r="J2" s="8"/>
      <c r="K2" s="8"/>
      <c r="L2" s="8"/>
      <c r="M2" s="8"/>
    </row>
    <row r="3" customFormat="false" ht="15.75" hidden="false" customHeight="false" outlineLevel="0" collapsed="false">
      <c r="B3" s="9" t="n">
        <v>2470</v>
      </c>
      <c r="C3" s="10" t="s">
        <v>16</v>
      </c>
      <c r="D3" s="11" t="n">
        <v>109.9</v>
      </c>
      <c r="E3" s="12"/>
      <c r="F3" s="13"/>
      <c r="G3" s="14"/>
      <c r="H3" s="13"/>
      <c r="I3" s="15"/>
      <c r="J3" s="15"/>
      <c r="K3" s="13"/>
      <c r="L3" s="13"/>
      <c r="M3" s="15"/>
    </row>
    <row r="4" customFormat="false" ht="15.75" hidden="false" customHeight="false" outlineLevel="0" collapsed="false">
      <c r="B4" s="16" t="n">
        <v>2550</v>
      </c>
      <c r="C4" s="17" t="s">
        <v>17</v>
      </c>
      <c r="D4" s="18" t="n">
        <v>29</v>
      </c>
      <c r="E4" s="19"/>
      <c r="F4" s="13"/>
      <c r="G4" s="14"/>
      <c r="H4" s="13"/>
      <c r="I4" s="15"/>
      <c r="J4" s="13"/>
      <c r="K4" s="13"/>
      <c r="L4" s="13"/>
      <c r="M4" s="15"/>
    </row>
    <row r="5" customFormat="false" ht="15.75" hidden="false" customHeight="false" outlineLevel="0" collapsed="false">
      <c r="B5" s="9" t="n">
        <v>2731</v>
      </c>
      <c r="C5" s="10" t="s">
        <v>18</v>
      </c>
      <c r="D5" s="11" t="n">
        <v>29</v>
      </c>
      <c r="E5" s="12"/>
      <c r="F5" s="13"/>
      <c r="G5" s="14"/>
      <c r="H5" s="13"/>
      <c r="I5" s="15"/>
      <c r="J5" s="15"/>
      <c r="K5" s="13"/>
      <c r="L5" s="13"/>
      <c r="M5" s="15"/>
    </row>
    <row r="6" customFormat="false" ht="15.75" hidden="false" customHeight="false" outlineLevel="0" collapsed="false">
      <c r="B6" s="16" t="n">
        <v>2827</v>
      </c>
      <c r="C6" s="17" t="s">
        <v>19</v>
      </c>
      <c r="D6" s="18" t="n">
        <v>0.57</v>
      </c>
      <c r="E6" s="19"/>
      <c r="F6" s="13"/>
      <c r="G6" s="14"/>
      <c r="H6" s="13"/>
      <c r="I6" s="15"/>
      <c r="J6" s="13"/>
      <c r="K6" s="13"/>
      <c r="L6" s="13"/>
      <c r="M6" s="15"/>
    </row>
    <row r="7" customFormat="false" ht="15.75" hidden="false" customHeight="false" outlineLevel="0" collapsed="false">
      <c r="B7" s="9" t="n">
        <v>2828</v>
      </c>
      <c r="C7" s="10" t="s">
        <v>20</v>
      </c>
      <c r="D7" s="11" t="n">
        <v>4.28</v>
      </c>
      <c r="E7" s="12"/>
      <c r="F7" s="13"/>
      <c r="G7" s="14"/>
      <c r="H7" s="13"/>
      <c r="I7" s="15"/>
      <c r="J7" s="15"/>
      <c r="K7" s="13"/>
      <c r="L7" s="13"/>
      <c r="M7" s="15"/>
    </row>
    <row r="8" customFormat="false" ht="15.75" hidden="false" customHeight="false" outlineLevel="0" collapsed="false">
      <c r="B8" s="16" t="n">
        <v>2946</v>
      </c>
      <c r="C8" s="17" t="s">
        <v>21</v>
      </c>
      <c r="D8" s="18" t="n">
        <v>62.5</v>
      </c>
      <c r="E8" s="19"/>
      <c r="F8" s="13"/>
      <c r="G8" s="14"/>
      <c r="H8" s="13"/>
      <c r="I8" s="15"/>
      <c r="J8" s="13"/>
      <c r="K8" s="13"/>
      <c r="L8" s="13"/>
      <c r="M8" s="15"/>
    </row>
    <row r="9" customFormat="false" ht="23.85" hidden="false" customHeight="false" outlineLevel="0" collapsed="false">
      <c r="B9" s="9" t="n">
        <v>2953</v>
      </c>
      <c r="C9" s="10" t="s">
        <v>22</v>
      </c>
      <c r="D9" s="11" t="n">
        <v>150</v>
      </c>
      <c r="E9" s="12"/>
      <c r="F9" s="13"/>
      <c r="G9" s="14"/>
      <c r="H9" s="13"/>
      <c r="I9" s="15"/>
      <c r="J9" s="15"/>
      <c r="K9" s="13"/>
      <c r="L9" s="13"/>
      <c r="M9" s="15"/>
    </row>
    <row r="10" customFormat="false" ht="15.75" hidden="false" customHeight="false" outlineLevel="0" collapsed="false">
      <c r="B10" s="16" t="n">
        <v>2957</v>
      </c>
      <c r="C10" s="17" t="s">
        <v>23</v>
      </c>
      <c r="D10" s="18" t="n">
        <v>180</v>
      </c>
      <c r="E10" s="19"/>
      <c r="F10" s="13"/>
      <c r="G10" s="14"/>
      <c r="H10" s="13"/>
      <c r="I10" s="15"/>
      <c r="J10" s="13"/>
      <c r="K10" s="13"/>
      <c r="L10" s="13"/>
      <c r="M10" s="15"/>
    </row>
    <row r="11" customFormat="false" ht="15.75" hidden="false" customHeight="false" outlineLevel="0" collapsed="false">
      <c r="B11" s="9" t="n">
        <v>2959</v>
      </c>
      <c r="C11" s="10" t="s">
        <v>24</v>
      </c>
      <c r="D11" s="11" t="n">
        <v>15</v>
      </c>
      <c r="E11" s="12"/>
      <c r="F11" s="13"/>
      <c r="G11" s="14"/>
      <c r="H11" s="13"/>
      <c r="I11" s="15"/>
      <c r="J11" s="15"/>
      <c r="K11" s="13"/>
      <c r="L11" s="13"/>
      <c r="M11" s="15"/>
    </row>
    <row r="12" customFormat="false" ht="15.75" hidden="false" customHeight="false" outlineLevel="0" collapsed="false">
      <c r="B12" s="16" t="n">
        <v>3006</v>
      </c>
      <c r="C12" s="17" t="s">
        <v>25</v>
      </c>
      <c r="D12" s="18" t="n">
        <f aca="false">79.92+10</f>
        <v>89.92</v>
      </c>
      <c r="E12" s="19" t="s">
        <v>26</v>
      </c>
      <c r="F12" s="13"/>
      <c r="G12" s="14"/>
      <c r="H12" s="13"/>
      <c r="I12" s="15"/>
      <c r="J12" s="13"/>
      <c r="K12" s="13"/>
      <c r="L12" s="13"/>
      <c r="M12" s="15"/>
    </row>
    <row r="13" customFormat="false" ht="15.75" hidden="false" customHeight="false" outlineLevel="0" collapsed="false">
      <c r="B13" s="9" t="n">
        <v>3007</v>
      </c>
      <c r="C13" s="10" t="s">
        <v>27</v>
      </c>
      <c r="D13" s="11" t="n">
        <f aca="false">119.9+10</f>
        <v>129.9</v>
      </c>
      <c r="E13" s="12" t="s">
        <v>26</v>
      </c>
      <c r="F13" s="13"/>
      <c r="G13" s="14"/>
      <c r="H13" s="13"/>
      <c r="I13" s="15"/>
      <c r="J13" s="15"/>
      <c r="K13" s="13"/>
      <c r="L13" s="13"/>
      <c r="M13" s="15"/>
    </row>
    <row r="14" customFormat="false" ht="15.75" hidden="false" customHeight="false" outlineLevel="0" collapsed="false">
      <c r="B14" s="16" t="n">
        <v>3008</v>
      </c>
      <c r="C14" s="17" t="s">
        <v>28</v>
      </c>
      <c r="D14" s="18" t="n">
        <f aca="false">119.9+10</f>
        <v>129.9</v>
      </c>
      <c r="E14" s="19" t="s">
        <v>26</v>
      </c>
      <c r="F14" s="13"/>
      <c r="G14" s="14"/>
      <c r="H14" s="13"/>
      <c r="I14" s="15"/>
      <c r="J14" s="13"/>
      <c r="K14" s="13"/>
      <c r="L14" s="13"/>
      <c r="M14" s="15"/>
    </row>
    <row r="15" customFormat="false" ht="15.75" hidden="false" customHeight="false" outlineLevel="0" collapsed="false">
      <c r="B15" s="9" t="n">
        <v>3009</v>
      </c>
      <c r="C15" s="10" t="s">
        <v>29</v>
      </c>
      <c r="D15" s="11" t="n">
        <f aca="false">79.9</f>
        <v>79.9</v>
      </c>
      <c r="E15" s="12"/>
      <c r="F15" s="13"/>
      <c r="G15" s="14"/>
      <c r="H15" s="13"/>
      <c r="I15" s="15"/>
      <c r="J15" s="15"/>
      <c r="K15" s="13"/>
      <c r="L15" s="13"/>
      <c r="M15" s="15"/>
    </row>
    <row r="16" customFormat="false" ht="15.75" hidden="false" customHeight="false" outlineLevel="0" collapsed="false">
      <c r="B16" s="16" t="n">
        <v>3010</v>
      </c>
      <c r="C16" s="17" t="s">
        <v>30</v>
      </c>
      <c r="D16" s="18" t="n">
        <f aca="false">149.9+10</f>
        <v>159.9</v>
      </c>
      <c r="E16" s="19" t="s">
        <v>26</v>
      </c>
      <c r="F16" s="13"/>
      <c r="G16" s="14"/>
      <c r="H16" s="13"/>
      <c r="I16" s="15"/>
      <c r="J16" s="13"/>
      <c r="K16" s="13"/>
      <c r="L16" s="13"/>
      <c r="M16" s="15"/>
    </row>
    <row r="17" customFormat="false" ht="15.75" hidden="false" customHeight="false" outlineLevel="0" collapsed="false">
      <c r="B17" s="9" t="n">
        <v>3049</v>
      </c>
      <c r="C17" s="10" t="s">
        <v>31</v>
      </c>
      <c r="D17" s="11" t="n">
        <v>129.9</v>
      </c>
      <c r="E17" s="12"/>
      <c r="F17" s="13"/>
      <c r="G17" s="14"/>
      <c r="H17" s="13"/>
      <c r="I17" s="15"/>
      <c r="J17" s="15"/>
      <c r="K17" s="13"/>
      <c r="L17" s="13"/>
      <c r="M17" s="15"/>
    </row>
    <row r="18" customFormat="false" ht="15.75" hidden="false" customHeight="false" outlineLevel="0" collapsed="false">
      <c r="A18" s="6"/>
      <c r="B18" s="9"/>
      <c r="C18" s="10"/>
      <c r="D18" s="11"/>
      <c r="E18" s="6"/>
      <c r="F18" s="13"/>
      <c r="G18" s="14"/>
      <c r="H18" s="13"/>
      <c r="I18" s="15"/>
      <c r="J18" s="13"/>
      <c r="K18" s="13"/>
      <c r="L18" s="13"/>
      <c r="M18" s="15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3.2" hidden="false" customHeight="false" outlineLevel="0" collapsed="false">
      <c r="B19" s="1"/>
      <c r="C19" s="1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customFormat="false" ht="13.2" hidden="false" customHeight="false" outlineLevel="0" collapsed="false">
      <c r="D20" s="6"/>
      <c r="E20" s="6"/>
      <c r="F20" s="6"/>
      <c r="G20" s="6"/>
      <c r="H20" s="6"/>
      <c r="I20" s="6"/>
      <c r="J20" s="6"/>
      <c r="K20" s="6"/>
      <c r="L20" s="6"/>
      <c r="M20" s="6"/>
    </row>
    <row r="21" customFormat="false" ht="13.2" hidden="false" customHeight="false" outlineLevel="0" collapsed="false">
      <c r="D21" s="6"/>
      <c r="E21" s="6"/>
      <c r="F21" s="6"/>
      <c r="G21" s="6"/>
      <c r="H21" s="6"/>
      <c r="I21" s="6"/>
      <c r="J21" s="6"/>
      <c r="K21" s="6"/>
      <c r="L21" s="6"/>
      <c r="M21" s="6"/>
    </row>
    <row r="22" customFormat="false" ht="13.2" hidden="false" customHeight="false" outlineLevel="0" collapsed="false">
      <c r="D22" s="6"/>
      <c r="E22" s="6"/>
      <c r="F22" s="6"/>
      <c r="G22" s="6"/>
      <c r="H22" s="6"/>
      <c r="I22" s="6"/>
      <c r="J22" s="6"/>
      <c r="K22" s="6"/>
      <c r="L22" s="6"/>
      <c r="M22" s="6"/>
    </row>
    <row r="23" customFormat="false" ht="13.2" hidden="false" customHeight="false" outlineLevel="0" collapsed="false">
      <c r="D23" s="6"/>
      <c r="E23" s="6"/>
      <c r="F23" s="6"/>
      <c r="G23" s="6"/>
      <c r="H23" s="6"/>
      <c r="I23" s="6"/>
      <c r="J23" s="6"/>
      <c r="K23" s="6"/>
      <c r="L23" s="6"/>
      <c r="M23" s="6"/>
    </row>
    <row r="24" customFormat="false" ht="13.2" hidden="false" customHeight="false" outlineLevel="0" collapsed="false"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13.2" hidden="false" customHeight="false" outlineLevel="0" collapsed="false">
      <c r="D25" s="6"/>
      <c r="E25" s="6"/>
      <c r="F25" s="6"/>
      <c r="G25" s="6"/>
      <c r="H25" s="6"/>
      <c r="I25" s="6"/>
      <c r="J25" s="6"/>
      <c r="K25" s="6"/>
      <c r="L25" s="6"/>
      <c r="M25" s="6"/>
    </row>
    <row r="26" customFormat="false" ht="13.2" hidden="false" customHeight="false" outlineLevel="0" collapsed="false">
      <c r="D26" s="6"/>
      <c r="E26" s="6"/>
      <c r="F26" s="6"/>
      <c r="G26" s="6"/>
      <c r="H26" s="6"/>
      <c r="I26" s="6"/>
      <c r="J26" s="6"/>
      <c r="K26" s="6"/>
      <c r="L26" s="6"/>
      <c r="M26" s="6"/>
    </row>
    <row r="27" customFormat="false" ht="13.2" hidden="false" customHeight="false" outlineLevel="0" collapsed="false">
      <c r="D27" s="6"/>
      <c r="E27" s="6"/>
      <c r="F27" s="6"/>
      <c r="G27" s="6"/>
      <c r="H27" s="6"/>
      <c r="I27" s="6"/>
      <c r="J27" s="6"/>
      <c r="K27" s="6"/>
      <c r="L27" s="6"/>
      <c r="M27" s="6"/>
    </row>
    <row r="28" customFormat="false" ht="13.2" hidden="false" customHeight="false" outlineLevel="0" collapsed="false">
      <c r="D28" s="6"/>
      <c r="E28" s="6"/>
      <c r="F28" s="6"/>
      <c r="G28" s="6"/>
      <c r="H28" s="6"/>
      <c r="I28" s="6"/>
      <c r="J28" s="6"/>
      <c r="K28" s="6"/>
      <c r="L28" s="6"/>
      <c r="M28" s="6"/>
    </row>
    <row r="29" customFormat="false" ht="13.2" hidden="false" customHeight="false" outlineLevel="0" collapsed="false">
      <c r="D29" s="6"/>
      <c r="E29" s="6"/>
      <c r="F29" s="6"/>
      <c r="G29" s="6"/>
      <c r="H29" s="6"/>
      <c r="I29" s="6"/>
      <c r="J29" s="6"/>
      <c r="K29" s="6"/>
      <c r="L29" s="6"/>
      <c r="M29" s="6"/>
    </row>
    <row r="30" customFormat="false" ht="13.2" hidden="false" customHeight="false" outlineLevel="0" collapsed="false">
      <c r="D30" s="6"/>
      <c r="E30" s="6"/>
      <c r="F30" s="6"/>
      <c r="G30" s="6"/>
      <c r="H30" s="6"/>
      <c r="I30" s="6"/>
      <c r="J30" s="6"/>
      <c r="K30" s="6"/>
      <c r="L30" s="6"/>
      <c r="M30" s="6"/>
    </row>
    <row r="31" customFormat="false" ht="13.2" hidden="false" customHeight="false" outlineLevel="0" collapsed="false">
      <c r="D31" s="6"/>
      <c r="E31" s="6"/>
      <c r="F31" s="6"/>
      <c r="G31" s="6"/>
      <c r="H31" s="6"/>
      <c r="I31" s="6"/>
      <c r="J31" s="6"/>
      <c r="K31" s="6"/>
      <c r="L31" s="6"/>
      <c r="M31" s="6"/>
    </row>
    <row r="32" customFormat="false" ht="13.2" hidden="false" customHeight="false" outlineLevel="0" collapsed="false">
      <c r="D32" s="6"/>
      <c r="E32" s="6"/>
      <c r="F32" s="6"/>
      <c r="G32" s="6"/>
      <c r="H32" s="6"/>
      <c r="I32" s="6"/>
      <c r="J32" s="6"/>
      <c r="K32" s="6"/>
      <c r="L32" s="6"/>
      <c r="M32" s="6"/>
    </row>
    <row r="33" customFormat="false" ht="13.2" hidden="false" customHeight="false" outlineLevel="0" collapsed="false">
      <c r="D33" s="6"/>
      <c r="E33" s="6"/>
      <c r="F33" s="6"/>
      <c r="G33" s="6"/>
      <c r="H33" s="6"/>
      <c r="I33" s="6"/>
      <c r="J33" s="6"/>
      <c r="K33" s="6"/>
      <c r="L33" s="6"/>
      <c r="M33" s="6"/>
    </row>
    <row r="34" customFormat="false" ht="13.2" hidden="false" customHeight="false" outlineLevel="0" collapsed="false">
      <c r="D34" s="6"/>
      <c r="E34" s="6"/>
      <c r="F34" s="6"/>
      <c r="G34" s="6"/>
      <c r="H34" s="6"/>
      <c r="I34" s="6"/>
      <c r="J34" s="6"/>
      <c r="K34" s="6"/>
      <c r="L34" s="6"/>
      <c r="M34" s="6"/>
    </row>
    <row r="35" customFormat="false" ht="13.2" hidden="false" customHeight="false" outlineLevel="0" collapsed="false">
      <c r="D35" s="6"/>
      <c r="E35" s="6"/>
      <c r="F35" s="6"/>
      <c r="G35" s="6"/>
      <c r="H35" s="6"/>
      <c r="I35" s="6"/>
      <c r="J35" s="6"/>
      <c r="K35" s="6"/>
      <c r="L35" s="6"/>
      <c r="M35" s="6"/>
    </row>
    <row r="36" customFormat="false" ht="13.2" hidden="false" customHeight="false" outlineLevel="0" collapsed="false">
      <c r="D36" s="6"/>
      <c r="E36" s="6"/>
      <c r="F36" s="6"/>
      <c r="G36" s="6"/>
      <c r="H36" s="6"/>
      <c r="I36" s="6"/>
      <c r="J36" s="6"/>
      <c r="K36" s="6"/>
      <c r="L36" s="6"/>
      <c r="M36" s="6"/>
    </row>
    <row r="37" customFormat="false" ht="13.2" hidden="false" customHeight="false" outlineLevel="0" collapsed="false">
      <c r="D37" s="6"/>
      <c r="E37" s="6"/>
      <c r="F37" s="6"/>
      <c r="G37" s="6"/>
      <c r="H37" s="6"/>
      <c r="I37" s="6"/>
      <c r="J37" s="6"/>
      <c r="K37" s="6"/>
      <c r="L37" s="6"/>
      <c r="M37" s="6"/>
    </row>
    <row r="38" customFormat="false" ht="13.2" hidden="false" customHeight="false" outlineLevel="0" collapsed="false">
      <c r="D38" s="6"/>
      <c r="E38" s="6"/>
      <c r="F38" s="6"/>
      <c r="G38" s="6"/>
      <c r="H38" s="6"/>
      <c r="I38" s="6"/>
      <c r="J38" s="6"/>
      <c r="K38" s="6"/>
      <c r="L38" s="6"/>
      <c r="M38" s="6"/>
    </row>
    <row r="39" customFormat="false" ht="13.2" hidden="false" customHeight="false" outlineLevel="0" collapsed="false">
      <c r="D39" s="6"/>
      <c r="E39" s="6"/>
      <c r="F39" s="6"/>
      <c r="G39" s="6"/>
      <c r="H39" s="6"/>
      <c r="I39" s="6"/>
      <c r="J39" s="6"/>
      <c r="K39" s="6"/>
      <c r="L39" s="6"/>
      <c r="M39" s="6"/>
    </row>
    <row r="40" customFormat="false" ht="13.2" hidden="false" customHeight="false" outlineLevel="0" collapsed="false">
      <c r="D40" s="6"/>
      <c r="E40" s="6"/>
      <c r="F40" s="6"/>
      <c r="G40" s="6"/>
      <c r="H40" s="6"/>
      <c r="I40" s="6"/>
      <c r="J40" s="6"/>
      <c r="K40" s="6"/>
      <c r="L40" s="6"/>
      <c r="M40" s="6"/>
    </row>
    <row r="41" customFormat="false" ht="13.2" hidden="false" customHeight="false" outlineLevel="0" collapsed="false">
      <c r="D41" s="6"/>
      <c r="E41" s="6"/>
      <c r="F41" s="6"/>
      <c r="G41" s="6"/>
      <c r="H41" s="6"/>
      <c r="I41" s="6"/>
      <c r="J41" s="6"/>
      <c r="K41" s="6"/>
      <c r="L41" s="6"/>
      <c r="M41" s="6"/>
    </row>
    <row r="42" customFormat="false" ht="13.2" hidden="false" customHeight="false" outlineLevel="0" collapsed="false">
      <c r="D42" s="6"/>
      <c r="E42" s="6"/>
      <c r="F42" s="6"/>
      <c r="G42" s="6"/>
      <c r="H42" s="6"/>
      <c r="I42" s="6"/>
      <c r="J42" s="6"/>
      <c r="K42" s="6"/>
      <c r="L42" s="6"/>
      <c r="M42" s="6"/>
    </row>
    <row r="43" customFormat="false" ht="13.2" hidden="false" customHeight="false" outlineLevel="0" collapsed="false">
      <c r="D43" s="6"/>
      <c r="E43" s="6"/>
      <c r="F43" s="6"/>
      <c r="G43" s="6"/>
      <c r="H43" s="6"/>
      <c r="I43" s="6"/>
      <c r="J43" s="6"/>
      <c r="K43" s="6"/>
      <c r="L43" s="6"/>
      <c r="M43" s="6"/>
    </row>
    <row r="44" customFormat="false" ht="13.2" hidden="false" customHeight="false" outlineLevel="0" collapsed="false">
      <c r="D44" s="6"/>
      <c r="E44" s="6"/>
      <c r="F44" s="6"/>
      <c r="G44" s="6"/>
      <c r="H44" s="6"/>
      <c r="I44" s="6"/>
      <c r="J44" s="6"/>
      <c r="K44" s="6"/>
      <c r="L44" s="6"/>
      <c r="M44" s="6"/>
    </row>
    <row r="45" customFormat="false" ht="13.2" hidden="false" customHeight="false" outlineLevel="0" collapsed="false">
      <c r="D45" s="6"/>
      <c r="E45" s="6"/>
      <c r="F45" s="6"/>
      <c r="G45" s="6"/>
      <c r="H45" s="6"/>
      <c r="I45" s="6"/>
      <c r="J45" s="6"/>
      <c r="K45" s="6"/>
      <c r="L45" s="6"/>
      <c r="M45" s="6"/>
    </row>
    <row r="46" customFormat="false" ht="13.2" hidden="false" customHeight="false" outlineLevel="0" collapsed="false">
      <c r="D46" s="6"/>
      <c r="E46" s="6"/>
      <c r="F46" s="6"/>
      <c r="G46" s="6"/>
      <c r="H46" s="6"/>
      <c r="I46" s="6"/>
      <c r="J46" s="6"/>
      <c r="K46" s="6"/>
      <c r="L46" s="6"/>
      <c r="M46" s="6"/>
    </row>
    <row r="47" customFormat="false" ht="13.2" hidden="false" customHeight="false" outlineLevel="0" collapsed="false">
      <c r="D47" s="6"/>
      <c r="E47" s="6"/>
      <c r="F47" s="6"/>
      <c r="G47" s="6"/>
      <c r="H47" s="6"/>
      <c r="I47" s="6"/>
      <c r="J47" s="6"/>
      <c r="K47" s="6"/>
      <c r="L47" s="6"/>
      <c r="M47" s="6"/>
    </row>
    <row r="48" customFormat="false" ht="13.2" hidden="false" customHeight="false" outlineLevel="0" collapsed="false">
      <c r="D48" s="6"/>
      <c r="E48" s="6"/>
      <c r="F48" s="6"/>
      <c r="G48" s="6"/>
      <c r="H48" s="6"/>
      <c r="I48" s="6"/>
      <c r="J48" s="6"/>
      <c r="K48" s="6"/>
      <c r="L48" s="6"/>
      <c r="M48" s="6"/>
    </row>
    <row r="49" customFormat="false" ht="13.2" hidden="false" customHeight="false" outlineLevel="0" collapsed="false">
      <c r="D49" s="6"/>
      <c r="E49" s="6"/>
      <c r="F49" s="6"/>
      <c r="G49" s="6"/>
      <c r="H49" s="6"/>
      <c r="I49" s="6"/>
      <c r="J49" s="6"/>
      <c r="K49" s="6"/>
      <c r="L49" s="6"/>
      <c r="M49" s="6"/>
    </row>
    <row r="50" customFormat="false" ht="13.2" hidden="false" customHeight="false" outlineLevel="0" collapsed="false">
      <c r="D50" s="6"/>
      <c r="E50" s="6"/>
      <c r="F50" s="6"/>
      <c r="G50" s="6"/>
      <c r="H50" s="6"/>
      <c r="I50" s="6"/>
      <c r="J50" s="6"/>
      <c r="K50" s="6"/>
      <c r="L50" s="6"/>
      <c r="M50" s="6"/>
    </row>
    <row r="51" customFormat="false" ht="13.2" hidden="false" customHeight="false" outlineLevel="0" collapsed="false">
      <c r="D51" s="6"/>
      <c r="E51" s="6"/>
      <c r="F51" s="6"/>
      <c r="G51" s="6"/>
      <c r="H51" s="6"/>
      <c r="I51" s="6"/>
      <c r="J51" s="6"/>
      <c r="K51" s="6"/>
      <c r="L51" s="6"/>
      <c r="M51" s="6"/>
    </row>
    <row r="52" customFormat="false" ht="13.2" hidden="false" customHeight="false" outlineLevel="0" collapsed="false">
      <c r="D52" s="6"/>
      <c r="E52" s="6"/>
      <c r="F52" s="6"/>
      <c r="G52" s="6"/>
      <c r="H52" s="6"/>
      <c r="I52" s="6"/>
      <c r="J52" s="6"/>
      <c r="K52" s="6"/>
      <c r="L52" s="6"/>
      <c r="M52" s="6"/>
    </row>
    <row r="53" customFormat="false" ht="13.2" hidden="false" customHeight="false" outlineLevel="0" collapsed="false">
      <c r="D53" s="6"/>
      <c r="E53" s="6"/>
      <c r="F53" s="6"/>
      <c r="G53" s="6"/>
      <c r="H53" s="6"/>
      <c r="I53" s="6"/>
      <c r="J53" s="6"/>
      <c r="K53" s="6"/>
      <c r="L53" s="6"/>
      <c r="M53" s="6"/>
    </row>
    <row r="54" customFormat="false" ht="13.2" hidden="false" customHeight="false" outlineLevel="0" collapsed="false">
      <c r="D54" s="6"/>
      <c r="E54" s="6"/>
      <c r="F54" s="6"/>
      <c r="G54" s="6"/>
      <c r="H54" s="6"/>
      <c r="I54" s="6"/>
      <c r="J54" s="6"/>
      <c r="K54" s="6"/>
      <c r="L54" s="6"/>
      <c r="M54" s="6"/>
    </row>
    <row r="55" customFormat="false" ht="13.2" hidden="false" customHeight="false" outlineLevel="0" collapsed="false">
      <c r="D55" s="6"/>
      <c r="E55" s="6"/>
      <c r="F55" s="6"/>
      <c r="G55" s="6"/>
      <c r="H55" s="6"/>
      <c r="I55" s="6"/>
      <c r="J55" s="6"/>
      <c r="K55" s="6"/>
      <c r="L55" s="6"/>
      <c r="M55" s="6"/>
    </row>
    <row r="56" customFormat="false" ht="13.2" hidden="false" customHeight="false" outlineLevel="0" collapsed="false">
      <c r="D56" s="6"/>
      <c r="E56" s="6"/>
      <c r="F56" s="6"/>
      <c r="G56" s="6"/>
      <c r="H56" s="6"/>
      <c r="I56" s="6"/>
      <c r="J56" s="6"/>
      <c r="K56" s="6"/>
      <c r="L56" s="6"/>
      <c r="M56" s="6"/>
    </row>
    <row r="57" customFormat="false" ht="13.2" hidden="false" customHeight="false" outlineLevel="0" collapsed="false">
      <c r="D57" s="6"/>
      <c r="E57" s="6"/>
      <c r="F57" s="6"/>
      <c r="G57" s="6"/>
      <c r="H57" s="6"/>
      <c r="I57" s="6"/>
      <c r="J57" s="6"/>
      <c r="K57" s="6"/>
      <c r="L57" s="6"/>
      <c r="M57" s="6"/>
    </row>
    <row r="58" customFormat="false" ht="13.2" hidden="false" customHeight="false" outlineLevel="0" collapsed="false">
      <c r="D58" s="6"/>
      <c r="E58" s="6"/>
      <c r="F58" s="6"/>
      <c r="G58" s="6"/>
      <c r="H58" s="6"/>
      <c r="I58" s="6"/>
      <c r="J58" s="6"/>
      <c r="K58" s="6"/>
      <c r="L58" s="6"/>
      <c r="M58" s="6"/>
    </row>
    <row r="59" customFormat="false" ht="13.2" hidden="false" customHeight="false" outlineLevel="0" collapsed="false">
      <c r="D59" s="6"/>
      <c r="E59" s="6"/>
      <c r="F59" s="6"/>
      <c r="G59" s="6"/>
      <c r="H59" s="6"/>
      <c r="I59" s="6"/>
      <c r="J59" s="6"/>
      <c r="K59" s="6"/>
      <c r="L59" s="6"/>
      <c r="M59" s="6"/>
    </row>
    <row r="60" customFormat="false" ht="13.2" hidden="false" customHeight="false" outlineLevel="0" collapsed="false">
      <c r="D60" s="6"/>
      <c r="E60" s="6"/>
      <c r="F60" s="6"/>
      <c r="G60" s="6"/>
      <c r="H60" s="6"/>
      <c r="I60" s="6"/>
      <c r="J60" s="6"/>
      <c r="K60" s="6"/>
      <c r="L60" s="6"/>
      <c r="M60" s="6"/>
    </row>
    <row r="61" customFormat="false" ht="13.2" hidden="false" customHeight="false" outlineLevel="0" collapsed="false">
      <c r="D61" s="6"/>
      <c r="E61" s="6"/>
      <c r="F61" s="6"/>
      <c r="G61" s="6"/>
      <c r="H61" s="6"/>
      <c r="I61" s="6"/>
      <c r="J61" s="6"/>
      <c r="K61" s="6"/>
      <c r="L61" s="6"/>
      <c r="M61" s="6"/>
    </row>
    <row r="62" customFormat="false" ht="13.2" hidden="false" customHeight="false" outlineLevel="0" collapsed="false">
      <c r="D62" s="6"/>
      <c r="E62" s="6"/>
      <c r="F62" s="6"/>
      <c r="G62" s="6"/>
      <c r="H62" s="6"/>
      <c r="I62" s="6"/>
      <c r="J62" s="6"/>
      <c r="K62" s="6"/>
      <c r="L62" s="6"/>
      <c r="M62" s="6"/>
    </row>
    <row r="63" customFormat="false" ht="13.2" hidden="false" customHeight="false" outlineLevel="0" collapsed="false">
      <c r="D63" s="6"/>
      <c r="E63" s="6"/>
      <c r="F63" s="6"/>
      <c r="G63" s="6"/>
      <c r="H63" s="6"/>
      <c r="I63" s="6"/>
      <c r="J63" s="6"/>
      <c r="K63" s="6"/>
      <c r="L63" s="6"/>
      <c r="M63" s="6"/>
    </row>
    <row r="64" customFormat="false" ht="13.2" hidden="false" customHeight="false" outlineLevel="0" collapsed="false">
      <c r="D64" s="6"/>
      <c r="E64" s="6"/>
      <c r="F64" s="6"/>
      <c r="G64" s="6"/>
      <c r="H64" s="6"/>
      <c r="I64" s="6"/>
      <c r="J64" s="6"/>
      <c r="K64" s="6"/>
      <c r="L64" s="6"/>
      <c r="M64" s="6"/>
    </row>
    <row r="65" customFormat="false" ht="13.2" hidden="false" customHeight="false" outlineLevel="0" collapsed="false">
      <c r="D65" s="6"/>
      <c r="E65" s="6"/>
      <c r="F65" s="6"/>
      <c r="G65" s="6"/>
      <c r="H65" s="6"/>
      <c r="I65" s="6"/>
      <c r="J65" s="6"/>
      <c r="K65" s="6"/>
      <c r="L65" s="6"/>
      <c r="M65" s="6"/>
    </row>
    <row r="66" customFormat="false" ht="13.2" hidden="false" customHeight="false" outlineLevel="0" collapsed="false">
      <c r="D66" s="6"/>
      <c r="E66" s="6"/>
      <c r="F66" s="6"/>
      <c r="G66" s="6"/>
      <c r="H66" s="6"/>
      <c r="I66" s="6"/>
      <c r="J66" s="6"/>
      <c r="K66" s="6"/>
      <c r="L66" s="6"/>
      <c r="M66" s="6"/>
    </row>
    <row r="67" customFormat="false" ht="13.2" hidden="false" customHeight="false" outlineLevel="0" collapsed="false">
      <c r="D67" s="6"/>
      <c r="E67" s="6"/>
      <c r="F67" s="6"/>
      <c r="G67" s="6"/>
      <c r="H67" s="6"/>
      <c r="I67" s="6"/>
      <c r="J67" s="6"/>
      <c r="K67" s="6"/>
      <c r="L67" s="6"/>
      <c r="M67" s="6"/>
    </row>
    <row r="68" customFormat="false" ht="13.2" hidden="false" customHeight="false" outlineLevel="0" collapsed="false">
      <c r="D68" s="6"/>
      <c r="E68" s="6"/>
      <c r="F68" s="6"/>
      <c r="G68" s="6"/>
      <c r="H68" s="6"/>
      <c r="I68" s="6"/>
      <c r="J68" s="6"/>
      <c r="K68" s="6"/>
      <c r="L68" s="6"/>
      <c r="M68" s="6"/>
    </row>
    <row r="69" customFormat="false" ht="13.2" hidden="false" customHeight="false" outlineLevel="0" collapsed="false">
      <c r="D69" s="6"/>
      <c r="E69" s="6"/>
      <c r="F69" s="6"/>
      <c r="G69" s="6"/>
      <c r="H69" s="6"/>
      <c r="I69" s="6"/>
      <c r="J69" s="6"/>
      <c r="K69" s="6"/>
      <c r="L69" s="6"/>
      <c r="M69" s="6"/>
    </row>
    <row r="70" customFormat="false" ht="13.2" hidden="false" customHeight="false" outlineLevel="0" collapsed="false">
      <c r="D70" s="6"/>
      <c r="E70" s="6"/>
      <c r="F70" s="6"/>
      <c r="G70" s="6"/>
      <c r="H70" s="6"/>
      <c r="I70" s="6"/>
      <c r="J70" s="6"/>
      <c r="K70" s="6"/>
      <c r="L70" s="6"/>
      <c r="M70" s="6"/>
    </row>
    <row r="71" customFormat="false" ht="13.2" hidden="false" customHeight="false" outlineLevel="0" collapsed="false">
      <c r="D71" s="6"/>
      <c r="E71" s="6"/>
      <c r="F71" s="6"/>
      <c r="G71" s="6"/>
      <c r="H71" s="6"/>
      <c r="I71" s="6"/>
      <c r="J71" s="6"/>
      <c r="K71" s="6"/>
      <c r="L71" s="6"/>
      <c r="M71" s="6"/>
    </row>
    <row r="72" customFormat="false" ht="13.2" hidden="false" customHeight="false" outlineLevel="0" collapsed="false">
      <c r="D72" s="6"/>
      <c r="E72" s="6"/>
      <c r="F72" s="6"/>
      <c r="G72" s="6"/>
      <c r="H72" s="6"/>
      <c r="I72" s="6"/>
      <c r="J72" s="6"/>
      <c r="K72" s="6"/>
      <c r="L72" s="6"/>
      <c r="M72" s="6"/>
    </row>
    <row r="73" customFormat="false" ht="13.2" hidden="false" customHeight="false" outlineLevel="0" collapsed="false">
      <c r="D73" s="6"/>
      <c r="E73" s="6"/>
      <c r="F73" s="6"/>
      <c r="G73" s="6"/>
      <c r="H73" s="6"/>
      <c r="I73" s="6"/>
      <c r="J73" s="6"/>
      <c r="K73" s="6"/>
      <c r="L73" s="6"/>
      <c r="M73" s="6"/>
    </row>
    <row r="74" customFormat="false" ht="13.2" hidden="false" customHeight="false" outlineLevel="0" collapsed="false">
      <c r="D74" s="6"/>
      <c r="E74" s="6"/>
      <c r="F74" s="6"/>
      <c r="G74" s="6"/>
      <c r="H74" s="6"/>
      <c r="I74" s="6"/>
      <c r="J74" s="6"/>
      <c r="K74" s="6"/>
      <c r="L74" s="6"/>
      <c r="M74" s="6"/>
    </row>
    <row r="75" customFormat="false" ht="13.2" hidden="false" customHeight="false" outlineLevel="0" collapsed="false">
      <c r="D75" s="6"/>
      <c r="E75" s="6"/>
      <c r="F75" s="6"/>
      <c r="G75" s="6"/>
      <c r="H75" s="6"/>
      <c r="I75" s="6"/>
      <c r="J75" s="6"/>
      <c r="K75" s="6"/>
      <c r="L75" s="6"/>
      <c r="M75" s="6"/>
    </row>
    <row r="76" customFormat="false" ht="13.2" hidden="false" customHeight="false" outlineLevel="0" collapsed="false">
      <c r="D76" s="6"/>
      <c r="E76" s="6"/>
      <c r="F76" s="6"/>
      <c r="G76" s="6"/>
      <c r="H76" s="6"/>
      <c r="I76" s="6"/>
      <c r="J76" s="6"/>
      <c r="K76" s="6"/>
      <c r="L76" s="6"/>
      <c r="M76" s="6"/>
    </row>
    <row r="77" customFormat="false" ht="13.2" hidden="false" customHeight="false" outlineLevel="0" collapsed="false">
      <c r="D77" s="6"/>
      <c r="E77" s="6"/>
      <c r="F77" s="6"/>
      <c r="G77" s="6"/>
      <c r="H77" s="6"/>
      <c r="I77" s="6"/>
      <c r="J77" s="6"/>
      <c r="K77" s="6"/>
      <c r="L77" s="6"/>
      <c r="M77" s="6"/>
    </row>
    <row r="78" customFormat="false" ht="13.2" hidden="false" customHeight="false" outlineLevel="0" collapsed="false">
      <c r="D78" s="6"/>
      <c r="E78" s="6"/>
      <c r="F78" s="6"/>
      <c r="G78" s="6"/>
      <c r="H78" s="6"/>
      <c r="I78" s="6"/>
      <c r="J78" s="6"/>
      <c r="K78" s="6"/>
      <c r="L78" s="6"/>
      <c r="M78" s="6"/>
    </row>
    <row r="79" customFormat="false" ht="13.2" hidden="false" customHeight="false" outlineLevel="0" collapsed="false">
      <c r="D79" s="6"/>
      <c r="E79" s="6"/>
      <c r="F79" s="6"/>
      <c r="G79" s="6"/>
      <c r="H79" s="6"/>
      <c r="I79" s="6"/>
      <c r="J79" s="6"/>
      <c r="K79" s="6"/>
      <c r="L79" s="6"/>
      <c r="M79" s="6"/>
    </row>
    <row r="80" customFormat="false" ht="13.2" hidden="false" customHeight="false" outlineLevel="0" collapsed="false">
      <c r="D80" s="6"/>
      <c r="E80" s="6"/>
      <c r="F80" s="6"/>
      <c r="G80" s="6"/>
      <c r="H80" s="6"/>
      <c r="I80" s="6"/>
      <c r="J80" s="6"/>
      <c r="K80" s="6"/>
      <c r="L80" s="6"/>
      <c r="M80" s="6"/>
    </row>
    <row r="81" customFormat="false" ht="13.2" hidden="false" customHeight="false" outlineLevel="0" collapsed="false">
      <c r="D81" s="6"/>
      <c r="E81" s="6"/>
      <c r="F81" s="6"/>
      <c r="G81" s="6"/>
      <c r="H81" s="6"/>
      <c r="I81" s="6"/>
      <c r="J81" s="6"/>
      <c r="K81" s="6"/>
      <c r="L81" s="6"/>
      <c r="M81" s="6"/>
    </row>
    <row r="82" customFormat="false" ht="13.2" hidden="false" customHeight="false" outlineLevel="0" collapsed="false">
      <c r="D82" s="6"/>
      <c r="E82" s="6"/>
      <c r="F82" s="6"/>
      <c r="G82" s="6"/>
      <c r="H82" s="6"/>
      <c r="I82" s="6"/>
      <c r="J82" s="6"/>
      <c r="K82" s="6"/>
      <c r="L82" s="6"/>
      <c r="M82" s="6"/>
    </row>
    <row r="83" customFormat="false" ht="13.2" hidden="false" customHeight="false" outlineLevel="0" collapsed="false">
      <c r="D83" s="6"/>
      <c r="E83" s="6"/>
      <c r="F83" s="6"/>
      <c r="G83" s="6"/>
      <c r="H83" s="6"/>
      <c r="I83" s="6"/>
      <c r="J83" s="6"/>
      <c r="K83" s="6"/>
      <c r="L83" s="6"/>
      <c r="M83" s="6"/>
    </row>
    <row r="84" customFormat="false" ht="13.2" hidden="false" customHeight="false" outlineLevel="0" collapsed="false">
      <c r="D84" s="6"/>
      <c r="E84" s="6"/>
      <c r="F84" s="6"/>
      <c r="G84" s="6"/>
      <c r="H84" s="6"/>
      <c r="I84" s="6"/>
      <c r="J84" s="6"/>
      <c r="K84" s="6"/>
      <c r="L84" s="6"/>
      <c r="M84" s="6"/>
    </row>
    <row r="85" customFormat="false" ht="13.2" hidden="false" customHeight="false" outlineLevel="0" collapsed="false">
      <c r="D85" s="6"/>
      <c r="E85" s="6"/>
      <c r="F85" s="6"/>
      <c r="G85" s="6"/>
      <c r="H85" s="6"/>
      <c r="I85" s="6"/>
      <c r="J85" s="6"/>
      <c r="K85" s="6"/>
      <c r="L85" s="6"/>
      <c r="M85" s="6"/>
    </row>
    <row r="86" customFormat="false" ht="13.2" hidden="false" customHeight="false" outlineLevel="0" collapsed="false">
      <c r="D86" s="6"/>
      <c r="E86" s="6"/>
      <c r="F86" s="6"/>
      <c r="G86" s="6"/>
      <c r="H86" s="6"/>
      <c r="I86" s="6"/>
      <c r="J86" s="6"/>
      <c r="K86" s="6"/>
      <c r="L86" s="6"/>
      <c r="M86" s="6"/>
    </row>
    <row r="87" customFormat="false" ht="13.2" hidden="false" customHeight="false" outlineLevel="0" collapsed="false">
      <c r="D87" s="6"/>
      <c r="E87" s="6"/>
      <c r="F87" s="6"/>
      <c r="G87" s="6"/>
      <c r="H87" s="6"/>
      <c r="I87" s="6"/>
      <c r="J87" s="6"/>
      <c r="K87" s="6"/>
      <c r="L87" s="6"/>
      <c r="M87" s="6"/>
    </row>
    <row r="88" customFormat="false" ht="13.2" hidden="false" customHeight="false" outlineLevel="0" collapsed="false">
      <c r="D88" s="6"/>
      <c r="E88" s="6"/>
      <c r="F88" s="6"/>
      <c r="G88" s="6"/>
      <c r="H88" s="6"/>
      <c r="I88" s="6"/>
      <c r="J88" s="6"/>
      <c r="K88" s="6"/>
      <c r="L88" s="6"/>
      <c r="M88" s="6"/>
    </row>
    <row r="89" customFormat="false" ht="13.2" hidden="false" customHeight="false" outlineLevel="0" collapsed="false">
      <c r="D89" s="6"/>
      <c r="E89" s="6"/>
      <c r="F89" s="6"/>
      <c r="G89" s="6"/>
      <c r="H89" s="6"/>
      <c r="I89" s="6"/>
      <c r="J89" s="6"/>
      <c r="K89" s="6"/>
      <c r="L89" s="6"/>
      <c r="M89" s="6"/>
    </row>
    <row r="90" customFormat="false" ht="13.2" hidden="false" customHeight="false" outlineLevel="0" collapsed="false">
      <c r="D90" s="6"/>
      <c r="E90" s="6"/>
      <c r="F90" s="6"/>
      <c r="G90" s="6"/>
      <c r="H90" s="6"/>
      <c r="I90" s="6"/>
      <c r="J90" s="6"/>
      <c r="K90" s="6"/>
      <c r="L90" s="6"/>
      <c r="M90" s="6"/>
    </row>
    <row r="91" customFormat="false" ht="13.2" hidden="false" customHeight="false" outlineLevel="0" collapsed="false">
      <c r="D91" s="6"/>
      <c r="E91" s="6"/>
      <c r="F91" s="6"/>
      <c r="G91" s="6"/>
      <c r="H91" s="6"/>
      <c r="I91" s="6"/>
      <c r="J91" s="6"/>
      <c r="K91" s="6"/>
      <c r="L91" s="6"/>
      <c r="M91" s="6"/>
    </row>
    <row r="92" customFormat="false" ht="13.2" hidden="false" customHeight="false" outlineLevel="0" collapsed="false">
      <c r="D92" s="6"/>
      <c r="E92" s="6"/>
      <c r="F92" s="6"/>
      <c r="G92" s="6"/>
      <c r="H92" s="6"/>
      <c r="I92" s="6"/>
      <c r="J92" s="6"/>
      <c r="K92" s="6"/>
      <c r="L92" s="6"/>
      <c r="M92" s="6"/>
    </row>
    <row r="93" customFormat="false" ht="13.2" hidden="false" customHeight="false" outlineLevel="0" collapsed="false">
      <c r="D93" s="6"/>
      <c r="E93" s="6"/>
      <c r="F93" s="6"/>
      <c r="G93" s="6"/>
      <c r="H93" s="6"/>
      <c r="I93" s="6"/>
      <c r="J93" s="6"/>
      <c r="K93" s="6"/>
      <c r="L93" s="6"/>
      <c r="M93" s="6"/>
    </row>
    <row r="94" customFormat="false" ht="13.2" hidden="false" customHeight="false" outlineLevel="0" collapsed="false">
      <c r="D94" s="6"/>
      <c r="E94" s="6"/>
      <c r="F94" s="6"/>
      <c r="G94" s="6"/>
      <c r="H94" s="6"/>
      <c r="I94" s="6"/>
      <c r="J94" s="6"/>
      <c r="K94" s="6"/>
      <c r="L94" s="6"/>
      <c r="M94" s="6"/>
    </row>
    <row r="95" customFormat="false" ht="13.2" hidden="false" customHeight="false" outlineLevel="0" collapsed="false">
      <c r="D95" s="6"/>
      <c r="E95" s="6"/>
      <c r="F95" s="6"/>
      <c r="G95" s="6"/>
      <c r="H95" s="6"/>
      <c r="I95" s="6"/>
      <c r="J95" s="6"/>
      <c r="K95" s="6"/>
      <c r="L95" s="6"/>
      <c r="M95" s="6"/>
    </row>
    <row r="96" customFormat="false" ht="13.2" hidden="false" customHeight="false" outlineLevel="0" collapsed="false">
      <c r="D96" s="6"/>
      <c r="E96" s="6"/>
      <c r="F96" s="6"/>
      <c r="G96" s="6"/>
      <c r="H96" s="6"/>
      <c r="I96" s="6"/>
      <c r="J96" s="6"/>
      <c r="K96" s="6"/>
      <c r="L96" s="6"/>
      <c r="M96" s="6"/>
    </row>
    <row r="97" customFormat="false" ht="13.2" hidden="false" customHeight="false" outlineLevel="0" collapsed="false">
      <c r="D97" s="6"/>
      <c r="E97" s="6"/>
      <c r="F97" s="6"/>
      <c r="G97" s="6"/>
      <c r="H97" s="6"/>
      <c r="I97" s="6"/>
      <c r="J97" s="6"/>
      <c r="K97" s="6"/>
      <c r="L97" s="6"/>
      <c r="M97" s="6"/>
    </row>
    <row r="98" customFormat="false" ht="13.2" hidden="false" customHeight="false" outlineLevel="0" collapsed="false">
      <c r="D98" s="6"/>
      <c r="E98" s="6"/>
      <c r="F98" s="6"/>
      <c r="G98" s="6"/>
      <c r="H98" s="6"/>
      <c r="I98" s="6"/>
      <c r="J98" s="6"/>
      <c r="K98" s="6"/>
      <c r="L98" s="6"/>
      <c r="M98" s="6"/>
    </row>
    <row r="99" customFormat="false" ht="13.2" hidden="false" customHeight="false" outlineLevel="0" collapsed="false"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customFormat="false" ht="13.2" hidden="false" customHeight="false" outlineLevel="0" collapsed="false"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customFormat="false" ht="13.2" hidden="false" customHeight="false" outlineLevel="0" collapsed="false"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customFormat="false" ht="13.2" hidden="false" customHeight="false" outlineLevel="0" collapsed="false"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customFormat="false" ht="13.2" hidden="false" customHeight="false" outlineLevel="0" collapsed="false"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customFormat="false" ht="13.2" hidden="false" customHeight="false" outlineLevel="0" collapsed="false"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customFormat="false" ht="13.2" hidden="false" customHeight="false" outlineLevel="0" collapsed="false"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customFormat="false" ht="13.2" hidden="false" customHeight="false" outlineLevel="0" collapsed="false"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customFormat="false" ht="13.2" hidden="false" customHeight="false" outlineLevel="0" collapsed="false"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customFormat="false" ht="13.2" hidden="false" customHeight="false" outlineLevel="0" collapsed="false"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customFormat="false" ht="13.2" hidden="false" customHeight="false" outlineLevel="0" collapsed="false"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customFormat="false" ht="13.2" hidden="false" customHeight="false" outlineLevel="0" collapsed="false"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customFormat="false" ht="13.2" hidden="false" customHeight="false" outlineLevel="0" collapsed="false"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customFormat="false" ht="13.2" hidden="false" customHeight="false" outlineLevel="0" collapsed="false"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customFormat="false" ht="13.2" hidden="false" customHeight="false" outlineLevel="0" collapsed="false"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customFormat="false" ht="13.2" hidden="false" customHeight="false" outlineLevel="0" collapsed="false"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customFormat="false" ht="13.2" hidden="false" customHeight="false" outlineLevel="0" collapsed="false"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customFormat="false" ht="13.2" hidden="false" customHeight="false" outlineLevel="0" collapsed="false"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customFormat="false" ht="13.2" hidden="false" customHeight="false" outlineLevel="0" collapsed="false"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customFormat="false" ht="13.2" hidden="false" customHeight="false" outlineLevel="0" collapsed="false">
      <c r="D118" s="6"/>
      <c r="E118" s="6"/>
      <c r="F118" s="6"/>
      <c r="G118" s="6"/>
      <c r="H118" s="6"/>
      <c r="I118" s="6"/>
      <c r="J118" s="6"/>
      <c r="K118" s="6"/>
      <c r="L118" s="6"/>
      <c r="M118" s="6"/>
    </row>
    <row r="119" customFormat="false" ht="13.2" hidden="false" customHeight="false" outlineLevel="0" collapsed="false">
      <c r="D119" s="6"/>
      <c r="E119" s="6"/>
      <c r="F119" s="6"/>
      <c r="G119" s="6"/>
      <c r="H119" s="6"/>
      <c r="I119" s="6"/>
      <c r="J119" s="6"/>
      <c r="K119" s="6"/>
      <c r="L119" s="6"/>
      <c r="M119" s="6"/>
    </row>
    <row r="120" customFormat="false" ht="13.2" hidden="false" customHeight="false" outlineLevel="0" collapsed="false">
      <c r="D120" s="6"/>
      <c r="E120" s="6"/>
      <c r="F120" s="6"/>
      <c r="G120" s="6"/>
      <c r="H120" s="6"/>
      <c r="I120" s="6"/>
      <c r="J120" s="6"/>
      <c r="K120" s="6"/>
      <c r="L120" s="6"/>
      <c r="M120" s="6"/>
    </row>
    <row r="121" customFormat="false" ht="13.2" hidden="false" customHeight="false" outlineLevel="0" collapsed="false">
      <c r="D121" s="6"/>
      <c r="E121" s="6"/>
      <c r="F121" s="6"/>
      <c r="G121" s="6"/>
      <c r="H121" s="6"/>
      <c r="I121" s="6"/>
      <c r="J121" s="6"/>
      <c r="K121" s="6"/>
      <c r="L121" s="6"/>
      <c r="M121" s="6"/>
    </row>
    <row r="122" customFormat="false" ht="13.2" hidden="false" customHeight="false" outlineLevel="0" collapsed="false">
      <c r="D122" s="6"/>
      <c r="E122" s="6"/>
      <c r="F122" s="6"/>
      <c r="G122" s="6"/>
      <c r="H122" s="6"/>
      <c r="I122" s="6"/>
      <c r="J122" s="6"/>
      <c r="K122" s="6"/>
      <c r="L122" s="6"/>
      <c r="M122" s="6"/>
    </row>
    <row r="123" customFormat="false" ht="13.2" hidden="false" customHeight="false" outlineLevel="0" collapsed="false">
      <c r="D123" s="6"/>
      <c r="E123" s="6"/>
      <c r="F123" s="6"/>
      <c r="G123" s="6"/>
      <c r="H123" s="6"/>
      <c r="I123" s="6"/>
      <c r="J123" s="6"/>
      <c r="K123" s="6"/>
      <c r="L123" s="6"/>
      <c r="M123" s="6"/>
    </row>
    <row r="124" customFormat="false" ht="13.2" hidden="false" customHeight="false" outlineLevel="0" collapsed="false">
      <c r="D124" s="6"/>
      <c r="E124" s="6"/>
      <c r="F124" s="6"/>
      <c r="G124" s="6"/>
      <c r="H124" s="6"/>
      <c r="I124" s="6"/>
      <c r="J124" s="6"/>
      <c r="K124" s="6"/>
      <c r="L124" s="6"/>
      <c r="M124" s="6"/>
    </row>
    <row r="125" customFormat="false" ht="13.2" hidden="false" customHeight="false" outlineLevel="0" collapsed="false">
      <c r="D125" s="6"/>
      <c r="E125" s="6"/>
      <c r="F125" s="6"/>
      <c r="G125" s="6"/>
      <c r="H125" s="6"/>
      <c r="I125" s="6"/>
      <c r="J125" s="6"/>
      <c r="K125" s="6"/>
      <c r="L125" s="6"/>
      <c r="M125" s="6"/>
    </row>
    <row r="126" customFormat="false" ht="13.2" hidden="false" customHeight="false" outlineLevel="0" collapsed="false">
      <c r="D126" s="6"/>
      <c r="E126" s="6"/>
      <c r="F126" s="6"/>
      <c r="G126" s="6"/>
      <c r="H126" s="6"/>
      <c r="I126" s="6"/>
      <c r="J126" s="6"/>
      <c r="K126" s="6"/>
      <c r="L126" s="6"/>
      <c r="M126" s="6"/>
    </row>
    <row r="127" customFormat="false" ht="13.2" hidden="false" customHeight="false" outlineLevel="0" collapsed="false">
      <c r="D127" s="6"/>
      <c r="E127" s="6"/>
      <c r="F127" s="6"/>
      <c r="G127" s="6"/>
      <c r="H127" s="6"/>
      <c r="I127" s="6"/>
      <c r="J127" s="6"/>
      <c r="K127" s="6"/>
      <c r="L127" s="6"/>
      <c r="M127" s="6"/>
    </row>
    <row r="128" customFormat="false" ht="13.2" hidden="false" customHeight="false" outlineLevel="0" collapsed="false">
      <c r="D128" s="6"/>
      <c r="E128" s="6"/>
      <c r="F128" s="6"/>
      <c r="G128" s="6"/>
      <c r="H128" s="6"/>
      <c r="I128" s="6"/>
      <c r="J128" s="6"/>
      <c r="K128" s="6"/>
      <c r="L128" s="6"/>
      <c r="M128" s="6"/>
    </row>
    <row r="129" customFormat="false" ht="13.2" hidden="false" customHeight="false" outlineLevel="0" collapsed="false">
      <c r="D129" s="6"/>
      <c r="E129" s="6"/>
      <c r="F129" s="6"/>
      <c r="G129" s="6"/>
      <c r="H129" s="6"/>
      <c r="I129" s="6"/>
      <c r="J129" s="6"/>
      <c r="K129" s="6"/>
      <c r="L129" s="6"/>
      <c r="M129" s="6"/>
    </row>
    <row r="130" customFormat="false" ht="13.2" hidden="false" customHeight="false" outlineLevel="0" collapsed="false">
      <c r="D130" s="6"/>
      <c r="E130" s="6"/>
      <c r="F130" s="6"/>
      <c r="G130" s="6"/>
      <c r="H130" s="6"/>
      <c r="I130" s="6"/>
      <c r="J130" s="6"/>
      <c r="K130" s="6"/>
      <c r="L130" s="6"/>
      <c r="M130" s="6"/>
    </row>
    <row r="131" customFormat="false" ht="13.2" hidden="false" customHeight="false" outlineLevel="0" collapsed="false">
      <c r="D131" s="6"/>
      <c r="E131" s="6"/>
      <c r="F131" s="6"/>
      <c r="G131" s="6"/>
      <c r="H131" s="6"/>
      <c r="I131" s="6"/>
      <c r="J131" s="6"/>
      <c r="K131" s="6"/>
      <c r="L131" s="6"/>
      <c r="M131" s="6"/>
    </row>
    <row r="132" customFormat="false" ht="13.2" hidden="false" customHeight="false" outlineLevel="0" collapsed="false">
      <c r="D132" s="6"/>
      <c r="E132" s="6"/>
      <c r="F132" s="6"/>
      <c r="G132" s="6"/>
      <c r="H132" s="6"/>
      <c r="I132" s="6"/>
      <c r="J132" s="6"/>
      <c r="K132" s="6"/>
      <c r="L132" s="6"/>
      <c r="M132" s="6"/>
    </row>
    <row r="133" customFormat="false" ht="13.2" hidden="false" customHeight="false" outlineLevel="0" collapsed="false">
      <c r="D133" s="6"/>
      <c r="E133" s="6"/>
      <c r="F133" s="6"/>
      <c r="G133" s="6"/>
      <c r="H133" s="6"/>
      <c r="I133" s="6"/>
      <c r="J133" s="6"/>
      <c r="K133" s="6"/>
      <c r="L133" s="6"/>
      <c r="M133" s="6"/>
    </row>
    <row r="134" customFormat="false" ht="13.2" hidden="false" customHeight="false" outlineLevel="0" collapsed="false">
      <c r="D134" s="6"/>
      <c r="E134" s="6"/>
      <c r="F134" s="6"/>
      <c r="G134" s="6"/>
      <c r="H134" s="6"/>
      <c r="I134" s="6"/>
      <c r="J134" s="6"/>
      <c r="K134" s="6"/>
      <c r="L134" s="6"/>
      <c r="M134" s="6"/>
    </row>
    <row r="135" customFormat="false" ht="13.2" hidden="false" customHeight="false" outlineLevel="0" collapsed="false">
      <c r="D135" s="6"/>
      <c r="E135" s="6"/>
      <c r="F135" s="6"/>
      <c r="G135" s="6"/>
      <c r="H135" s="6"/>
      <c r="I135" s="6"/>
      <c r="J135" s="6"/>
      <c r="K135" s="6"/>
      <c r="L135" s="6"/>
      <c r="M135" s="6"/>
    </row>
    <row r="136" customFormat="false" ht="13.2" hidden="false" customHeight="false" outlineLevel="0" collapsed="false">
      <c r="D136" s="6"/>
      <c r="E136" s="6"/>
      <c r="F136" s="6"/>
      <c r="G136" s="6"/>
      <c r="H136" s="6"/>
      <c r="I136" s="6"/>
      <c r="J136" s="6"/>
      <c r="K136" s="6"/>
      <c r="L136" s="6"/>
      <c r="M136" s="6"/>
    </row>
    <row r="137" customFormat="false" ht="13.2" hidden="false" customHeight="false" outlineLevel="0" collapsed="false">
      <c r="D137" s="6"/>
      <c r="E137" s="6"/>
      <c r="F137" s="6"/>
      <c r="G137" s="6"/>
      <c r="H137" s="6"/>
      <c r="I137" s="6"/>
      <c r="J137" s="6"/>
      <c r="K137" s="6"/>
      <c r="L137" s="6"/>
      <c r="M137" s="6"/>
    </row>
    <row r="138" customFormat="false" ht="13.2" hidden="false" customHeight="false" outlineLevel="0" collapsed="false">
      <c r="D138" s="6"/>
      <c r="E138" s="6"/>
      <c r="F138" s="6"/>
      <c r="G138" s="6"/>
      <c r="H138" s="6"/>
      <c r="I138" s="6"/>
      <c r="J138" s="6"/>
      <c r="K138" s="6"/>
      <c r="L138" s="6"/>
      <c r="M138" s="6"/>
    </row>
    <row r="139" customFormat="false" ht="13.2" hidden="false" customHeight="false" outlineLevel="0" collapsed="false">
      <c r="D139" s="6"/>
      <c r="E139" s="6"/>
      <c r="F139" s="6"/>
      <c r="G139" s="6"/>
      <c r="H139" s="6"/>
      <c r="I139" s="6"/>
      <c r="J139" s="6"/>
      <c r="K139" s="6"/>
      <c r="L139" s="6"/>
      <c r="M139" s="6"/>
    </row>
    <row r="140" customFormat="false" ht="13.2" hidden="false" customHeight="false" outlineLevel="0" collapsed="false">
      <c r="D140" s="6"/>
      <c r="E140" s="6"/>
      <c r="F140" s="6"/>
      <c r="G140" s="6"/>
      <c r="H140" s="6"/>
      <c r="I140" s="6"/>
      <c r="J140" s="6"/>
      <c r="K140" s="6"/>
      <c r="L140" s="6"/>
      <c r="M140" s="6"/>
    </row>
    <row r="141" customFormat="false" ht="13.2" hidden="false" customHeight="false" outlineLevel="0" collapsed="false">
      <c r="D141" s="6"/>
      <c r="E141" s="6"/>
      <c r="F141" s="6"/>
      <c r="G141" s="6"/>
      <c r="H141" s="6"/>
      <c r="I141" s="6"/>
      <c r="J141" s="6"/>
      <c r="K141" s="6"/>
      <c r="L141" s="6"/>
      <c r="M141" s="6"/>
    </row>
    <row r="142" customFormat="false" ht="13.2" hidden="false" customHeight="false" outlineLevel="0" collapsed="false">
      <c r="D142" s="6"/>
      <c r="E142" s="6"/>
      <c r="F142" s="6"/>
      <c r="G142" s="6"/>
      <c r="H142" s="6"/>
      <c r="I142" s="6"/>
      <c r="J142" s="6"/>
      <c r="K142" s="6"/>
      <c r="L142" s="6"/>
      <c r="M142" s="6"/>
    </row>
    <row r="143" customFormat="false" ht="13.2" hidden="false" customHeight="false" outlineLevel="0" collapsed="false">
      <c r="D143" s="6"/>
      <c r="E143" s="6"/>
      <c r="F143" s="6"/>
      <c r="G143" s="6"/>
      <c r="H143" s="6"/>
      <c r="I143" s="6"/>
      <c r="J143" s="6"/>
      <c r="K143" s="6"/>
      <c r="L143" s="6"/>
      <c r="M143" s="6"/>
    </row>
    <row r="144" customFormat="false" ht="13.2" hidden="false" customHeight="false" outlineLevel="0" collapsed="false">
      <c r="D144" s="6"/>
      <c r="E144" s="6"/>
      <c r="F144" s="6"/>
      <c r="G144" s="6"/>
      <c r="H144" s="6"/>
      <c r="I144" s="6"/>
      <c r="J144" s="6"/>
      <c r="K144" s="6"/>
      <c r="L144" s="6"/>
      <c r="M144" s="6"/>
    </row>
    <row r="145" customFormat="false" ht="13.2" hidden="false" customHeight="false" outlineLevel="0" collapsed="false">
      <c r="D145" s="6"/>
      <c r="E145" s="6"/>
      <c r="F145" s="6"/>
      <c r="G145" s="6"/>
      <c r="H145" s="6"/>
      <c r="I145" s="6"/>
      <c r="J145" s="6"/>
      <c r="K145" s="6"/>
      <c r="L145" s="6"/>
      <c r="M145" s="6"/>
    </row>
    <row r="146" customFormat="false" ht="13.2" hidden="false" customHeight="false" outlineLevel="0" collapsed="false">
      <c r="D146" s="6"/>
      <c r="E146" s="6"/>
      <c r="F146" s="6"/>
      <c r="G146" s="6"/>
      <c r="H146" s="6"/>
      <c r="I146" s="6"/>
      <c r="J146" s="6"/>
      <c r="K146" s="6"/>
      <c r="L146" s="6"/>
      <c r="M146" s="6"/>
    </row>
    <row r="147" customFormat="false" ht="13.2" hidden="false" customHeight="false" outlineLevel="0" collapsed="false">
      <c r="D147" s="6"/>
      <c r="E147" s="6"/>
      <c r="F147" s="6"/>
      <c r="G147" s="6"/>
      <c r="H147" s="6"/>
      <c r="I147" s="6"/>
      <c r="J147" s="6"/>
      <c r="K147" s="6"/>
      <c r="L147" s="6"/>
      <c r="M147" s="6"/>
    </row>
    <row r="148" customFormat="false" ht="13.2" hidden="false" customHeight="false" outlineLevel="0" collapsed="false">
      <c r="D148" s="6"/>
      <c r="E148" s="6"/>
      <c r="F148" s="6"/>
      <c r="G148" s="6"/>
      <c r="H148" s="6"/>
      <c r="I148" s="6"/>
      <c r="J148" s="6"/>
      <c r="K148" s="6"/>
      <c r="L148" s="6"/>
      <c r="M148" s="6"/>
    </row>
    <row r="149" customFormat="false" ht="13.2" hidden="false" customHeight="false" outlineLevel="0" collapsed="false">
      <c r="D149" s="6"/>
      <c r="E149" s="6"/>
      <c r="F149" s="6"/>
      <c r="G149" s="6"/>
      <c r="H149" s="6"/>
      <c r="I149" s="6"/>
      <c r="J149" s="6"/>
      <c r="K149" s="6"/>
      <c r="L149" s="6"/>
      <c r="M149" s="6"/>
    </row>
    <row r="150" customFormat="false" ht="13.2" hidden="false" customHeight="false" outlineLevel="0" collapsed="false">
      <c r="D150" s="6"/>
      <c r="E150" s="6"/>
      <c r="F150" s="6"/>
      <c r="G150" s="6"/>
      <c r="H150" s="6"/>
      <c r="I150" s="6"/>
      <c r="J150" s="6"/>
      <c r="K150" s="6"/>
      <c r="L150" s="6"/>
      <c r="M150" s="6"/>
    </row>
    <row r="151" customFormat="false" ht="13.2" hidden="false" customHeight="false" outlineLevel="0" collapsed="false">
      <c r="D151" s="6"/>
      <c r="E151" s="6"/>
      <c r="F151" s="6"/>
      <c r="G151" s="6"/>
      <c r="H151" s="6"/>
      <c r="I151" s="6"/>
      <c r="J151" s="6"/>
      <c r="K151" s="6"/>
      <c r="L151" s="6"/>
      <c r="M151" s="6"/>
    </row>
    <row r="152" customFormat="false" ht="13.2" hidden="false" customHeight="false" outlineLevel="0" collapsed="false">
      <c r="D152" s="6"/>
      <c r="E152" s="6"/>
      <c r="F152" s="6"/>
      <c r="G152" s="6"/>
      <c r="H152" s="6"/>
      <c r="I152" s="6"/>
      <c r="J152" s="6"/>
      <c r="K152" s="6"/>
      <c r="L152" s="6"/>
      <c r="M152" s="6"/>
    </row>
    <row r="153" customFormat="false" ht="13.2" hidden="false" customHeight="false" outlineLevel="0" collapsed="false">
      <c r="D153" s="6"/>
      <c r="E153" s="6"/>
      <c r="F153" s="6"/>
      <c r="G153" s="6"/>
      <c r="H153" s="6"/>
      <c r="I153" s="6"/>
      <c r="J153" s="6"/>
      <c r="K153" s="6"/>
      <c r="L153" s="6"/>
      <c r="M153" s="6"/>
    </row>
    <row r="154" customFormat="false" ht="13.2" hidden="false" customHeight="false" outlineLevel="0" collapsed="false">
      <c r="D154" s="6"/>
      <c r="E154" s="6"/>
      <c r="F154" s="6"/>
      <c r="G154" s="6"/>
      <c r="H154" s="6"/>
      <c r="I154" s="6"/>
      <c r="J154" s="6"/>
      <c r="K154" s="6"/>
      <c r="L154" s="6"/>
      <c r="M154" s="6"/>
    </row>
    <row r="155" customFormat="false" ht="13.2" hidden="false" customHeight="false" outlineLevel="0" collapsed="false">
      <c r="D155" s="6"/>
      <c r="E155" s="6"/>
      <c r="F155" s="6"/>
      <c r="G155" s="6"/>
      <c r="H155" s="6"/>
      <c r="I155" s="6"/>
      <c r="J155" s="6"/>
      <c r="K155" s="6"/>
      <c r="L155" s="6"/>
      <c r="M155" s="6"/>
    </row>
    <row r="156" customFormat="false" ht="13.2" hidden="false" customHeight="false" outlineLevel="0" collapsed="false">
      <c r="D156" s="6"/>
      <c r="E156" s="6"/>
      <c r="F156" s="6"/>
      <c r="G156" s="6"/>
      <c r="H156" s="6"/>
      <c r="I156" s="6"/>
      <c r="J156" s="6"/>
      <c r="K156" s="6"/>
      <c r="L156" s="6"/>
      <c r="M156" s="6"/>
    </row>
    <row r="157" customFormat="false" ht="13.2" hidden="false" customHeight="false" outlineLevel="0" collapsed="false">
      <c r="D157" s="6"/>
      <c r="E157" s="6"/>
      <c r="F157" s="6"/>
      <c r="G157" s="6"/>
      <c r="H157" s="6"/>
      <c r="I157" s="6"/>
      <c r="J157" s="6"/>
      <c r="K157" s="6"/>
      <c r="L157" s="6"/>
      <c r="M157" s="6"/>
    </row>
    <row r="158" customFormat="false" ht="13.2" hidden="false" customHeight="false" outlineLevel="0" collapsed="false">
      <c r="D158" s="6"/>
      <c r="E158" s="6"/>
      <c r="F158" s="6"/>
      <c r="G158" s="6"/>
      <c r="H158" s="6"/>
      <c r="I158" s="6"/>
      <c r="J158" s="6"/>
      <c r="K158" s="6"/>
      <c r="L158" s="6"/>
      <c r="M158" s="6"/>
    </row>
    <row r="159" customFormat="false" ht="13.2" hidden="false" customHeight="false" outlineLevel="0" collapsed="false">
      <c r="D159" s="6"/>
      <c r="E159" s="6"/>
      <c r="F159" s="6"/>
      <c r="G159" s="6"/>
      <c r="H159" s="6"/>
      <c r="I159" s="6"/>
      <c r="J159" s="6"/>
      <c r="K159" s="6"/>
      <c r="L159" s="6"/>
      <c r="M159" s="6"/>
    </row>
    <row r="160" customFormat="false" ht="13.2" hidden="false" customHeight="false" outlineLevel="0" collapsed="false">
      <c r="D160" s="6"/>
      <c r="E160" s="6"/>
      <c r="F160" s="6"/>
      <c r="G160" s="6"/>
      <c r="H160" s="6"/>
      <c r="I160" s="6"/>
      <c r="J160" s="6"/>
      <c r="K160" s="6"/>
      <c r="L160" s="6"/>
      <c r="M160" s="6"/>
    </row>
    <row r="161" customFormat="false" ht="13.2" hidden="false" customHeight="false" outlineLevel="0" collapsed="false">
      <c r="D161" s="6"/>
      <c r="E161" s="6"/>
      <c r="F161" s="6"/>
      <c r="G161" s="6"/>
      <c r="H161" s="6"/>
      <c r="I161" s="6"/>
      <c r="J161" s="6"/>
      <c r="K161" s="6"/>
      <c r="L161" s="6"/>
      <c r="M161" s="6"/>
    </row>
    <row r="162" customFormat="false" ht="13.2" hidden="false" customHeight="false" outlineLevel="0" collapsed="false">
      <c r="D162" s="6"/>
      <c r="E162" s="6"/>
      <c r="F162" s="6"/>
      <c r="G162" s="6"/>
      <c r="H162" s="6"/>
      <c r="I162" s="6"/>
      <c r="J162" s="6"/>
      <c r="K162" s="6"/>
      <c r="L162" s="6"/>
      <c r="M162" s="6"/>
    </row>
    <row r="163" customFormat="false" ht="13.2" hidden="false" customHeight="false" outlineLevel="0" collapsed="false">
      <c r="D163" s="6"/>
      <c r="E163" s="6"/>
      <c r="F163" s="6"/>
      <c r="G163" s="6"/>
      <c r="H163" s="6"/>
      <c r="I163" s="6"/>
      <c r="J163" s="6"/>
      <c r="K163" s="6"/>
      <c r="L163" s="6"/>
      <c r="M163" s="6"/>
    </row>
    <row r="164" customFormat="false" ht="13.2" hidden="false" customHeight="false" outlineLevel="0" collapsed="false">
      <c r="D164" s="6"/>
      <c r="E164" s="6"/>
      <c r="F164" s="6"/>
      <c r="G164" s="6"/>
      <c r="H164" s="6"/>
      <c r="I164" s="6"/>
      <c r="J164" s="6"/>
      <c r="K164" s="6"/>
      <c r="L164" s="6"/>
      <c r="M164" s="6"/>
    </row>
    <row r="165" customFormat="false" ht="13.2" hidden="false" customHeight="false" outlineLevel="0" collapsed="false">
      <c r="D165" s="6"/>
      <c r="E165" s="6"/>
      <c r="F165" s="6"/>
      <c r="G165" s="6"/>
      <c r="H165" s="6"/>
      <c r="I165" s="6"/>
      <c r="J165" s="6"/>
      <c r="K165" s="6"/>
      <c r="L165" s="6"/>
      <c r="M165" s="6"/>
    </row>
    <row r="166" customFormat="false" ht="13.2" hidden="false" customHeight="false" outlineLevel="0" collapsed="false">
      <c r="D166" s="6"/>
      <c r="E166" s="6"/>
      <c r="F166" s="6"/>
      <c r="G166" s="6"/>
      <c r="H166" s="6"/>
      <c r="I166" s="6"/>
      <c r="J166" s="6"/>
      <c r="K166" s="6"/>
      <c r="L166" s="6"/>
      <c r="M166" s="6"/>
    </row>
    <row r="167" customFormat="false" ht="13.2" hidden="false" customHeight="false" outlineLevel="0" collapsed="false">
      <c r="D167" s="6"/>
      <c r="E167" s="6"/>
      <c r="F167" s="6"/>
      <c r="G167" s="6"/>
      <c r="H167" s="6"/>
      <c r="I167" s="6"/>
      <c r="J167" s="6"/>
      <c r="K167" s="6"/>
      <c r="L167" s="6"/>
      <c r="M167" s="6"/>
    </row>
    <row r="168" customFormat="false" ht="13.2" hidden="false" customHeight="false" outlineLevel="0" collapsed="false">
      <c r="D168" s="6"/>
      <c r="E168" s="6"/>
      <c r="F168" s="6"/>
      <c r="G168" s="6"/>
      <c r="H168" s="6"/>
      <c r="I168" s="6"/>
      <c r="J168" s="6"/>
      <c r="K168" s="6"/>
      <c r="L168" s="6"/>
      <c r="M168" s="6"/>
    </row>
    <row r="169" customFormat="false" ht="13.2" hidden="false" customHeight="false" outlineLevel="0" collapsed="false">
      <c r="D169" s="6"/>
      <c r="E169" s="6"/>
      <c r="F169" s="6"/>
      <c r="G169" s="6"/>
      <c r="H169" s="6"/>
      <c r="I169" s="6"/>
      <c r="J169" s="6"/>
      <c r="K169" s="6"/>
      <c r="L169" s="6"/>
      <c r="M169" s="6"/>
    </row>
    <row r="170" customFormat="false" ht="13.2" hidden="false" customHeight="false" outlineLevel="0" collapsed="false">
      <c r="D170" s="6"/>
      <c r="E170" s="6"/>
      <c r="F170" s="6"/>
      <c r="G170" s="6"/>
      <c r="H170" s="6"/>
      <c r="I170" s="6"/>
      <c r="J170" s="6"/>
      <c r="K170" s="6"/>
      <c r="L170" s="6"/>
      <c r="M170" s="6"/>
    </row>
    <row r="171" customFormat="false" ht="13.2" hidden="false" customHeight="false" outlineLevel="0" collapsed="false">
      <c r="D171" s="6"/>
      <c r="E171" s="6"/>
      <c r="F171" s="6"/>
      <c r="G171" s="6"/>
      <c r="H171" s="6"/>
      <c r="I171" s="6"/>
      <c r="J171" s="6"/>
      <c r="K171" s="6"/>
      <c r="L171" s="6"/>
      <c r="M171" s="6"/>
    </row>
    <row r="172" customFormat="false" ht="13.2" hidden="false" customHeight="false" outlineLevel="0" collapsed="false">
      <c r="D172" s="6"/>
      <c r="E172" s="6"/>
      <c r="F172" s="6"/>
      <c r="G172" s="6"/>
      <c r="H172" s="6"/>
      <c r="I172" s="6"/>
      <c r="J172" s="6"/>
      <c r="K172" s="6"/>
      <c r="L172" s="6"/>
      <c r="M172" s="6"/>
    </row>
    <row r="173" customFormat="false" ht="13.2" hidden="false" customHeight="false" outlineLevel="0" collapsed="false">
      <c r="D173" s="6"/>
      <c r="E173" s="6"/>
      <c r="F173" s="6"/>
      <c r="G173" s="6"/>
      <c r="H173" s="6"/>
      <c r="I173" s="6"/>
      <c r="J173" s="6"/>
      <c r="K173" s="6"/>
      <c r="L173" s="6"/>
      <c r="M173" s="6"/>
    </row>
    <row r="174" customFormat="false" ht="13.2" hidden="false" customHeight="false" outlineLevel="0" collapsed="false">
      <c r="D174" s="6"/>
      <c r="E174" s="6"/>
      <c r="F174" s="6"/>
      <c r="G174" s="6"/>
      <c r="H174" s="6"/>
      <c r="I174" s="6"/>
      <c r="J174" s="6"/>
      <c r="K174" s="6"/>
      <c r="L174" s="6"/>
      <c r="M174" s="6"/>
    </row>
    <row r="175" customFormat="false" ht="13.2" hidden="false" customHeight="false" outlineLevel="0" collapsed="false">
      <c r="D175" s="6"/>
      <c r="E175" s="6"/>
      <c r="F175" s="6"/>
      <c r="G175" s="6"/>
      <c r="H175" s="6"/>
      <c r="I175" s="6"/>
      <c r="J175" s="6"/>
      <c r="K175" s="6"/>
      <c r="L175" s="6"/>
      <c r="M175" s="6"/>
    </row>
    <row r="176" customFormat="false" ht="13.2" hidden="false" customHeight="false" outlineLevel="0" collapsed="false">
      <c r="D176" s="6"/>
      <c r="E176" s="6"/>
      <c r="F176" s="6"/>
      <c r="G176" s="6"/>
      <c r="H176" s="6"/>
      <c r="I176" s="6"/>
      <c r="J176" s="6"/>
      <c r="K176" s="6"/>
      <c r="L176" s="6"/>
      <c r="M176" s="6"/>
    </row>
    <row r="177" customFormat="false" ht="13.2" hidden="false" customHeight="false" outlineLevel="0" collapsed="false">
      <c r="D177" s="6"/>
      <c r="E177" s="6"/>
      <c r="F177" s="6"/>
      <c r="G177" s="6"/>
      <c r="H177" s="6"/>
      <c r="I177" s="6"/>
      <c r="J177" s="6"/>
      <c r="K177" s="6"/>
      <c r="L177" s="6"/>
      <c r="M177" s="6"/>
    </row>
    <row r="178" customFormat="false" ht="13.2" hidden="false" customHeight="false" outlineLevel="0" collapsed="false">
      <c r="D178" s="6"/>
      <c r="E178" s="6"/>
      <c r="F178" s="6"/>
      <c r="G178" s="6"/>
      <c r="H178" s="6"/>
      <c r="I178" s="6"/>
      <c r="J178" s="6"/>
      <c r="K178" s="6"/>
      <c r="L178" s="6"/>
      <c r="M178" s="6"/>
    </row>
    <row r="179" customFormat="false" ht="13.2" hidden="false" customHeight="false" outlineLevel="0" collapsed="false">
      <c r="D179" s="6"/>
      <c r="E179" s="6"/>
      <c r="F179" s="6"/>
      <c r="G179" s="6"/>
      <c r="H179" s="6"/>
      <c r="I179" s="6"/>
      <c r="J179" s="6"/>
      <c r="K179" s="6"/>
      <c r="L179" s="6"/>
      <c r="M179" s="6"/>
    </row>
    <row r="180" customFormat="false" ht="13.2" hidden="false" customHeight="false" outlineLevel="0" collapsed="false">
      <c r="D180" s="6"/>
      <c r="E180" s="6"/>
      <c r="F180" s="6"/>
      <c r="G180" s="6"/>
      <c r="H180" s="6"/>
      <c r="I180" s="6"/>
      <c r="J180" s="6"/>
      <c r="K180" s="6"/>
      <c r="L180" s="6"/>
      <c r="M180" s="6"/>
    </row>
    <row r="181" customFormat="false" ht="13.2" hidden="false" customHeight="false" outlineLevel="0" collapsed="false">
      <c r="D181" s="6"/>
      <c r="E181" s="6"/>
      <c r="F181" s="6"/>
      <c r="G181" s="6"/>
      <c r="H181" s="6"/>
      <c r="I181" s="6"/>
      <c r="J181" s="6"/>
      <c r="K181" s="6"/>
      <c r="L181" s="6"/>
      <c r="M181" s="6"/>
    </row>
    <row r="182" customFormat="false" ht="13.2" hidden="false" customHeight="false" outlineLevel="0" collapsed="false">
      <c r="D182" s="6"/>
      <c r="E182" s="6"/>
      <c r="F182" s="6"/>
      <c r="G182" s="6"/>
      <c r="H182" s="6"/>
      <c r="I182" s="6"/>
      <c r="J182" s="6"/>
      <c r="K182" s="6"/>
      <c r="L182" s="6"/>
      <c r="M182" s="6"/>
    </row>
    <row r="183" customFormat="false" ht="13.2" hidden="false" customHeight="false" outlineLevel="0" collapsed="false">
      <c r="D183" s="6"/>
      <c r="E183" s="6"/>
      <c r="F183" s="6"/>
      <c r="G183" s="6"/>
      <c r="H183" s="6"/>
      <c r="I183" s="6"/>
      <c r="J183" s="6"/>
      <c r="K183" s="6"/>
      <c r="L183" s="6"/>
      <c r="M183" s="6"/>
    </row>
    <row r="184" customFormat="false" ht="13.2" hidden="false" customHeight="false" outlineLevel="0" collapsed="false">
      <c r="D184" s="6"/>
      <c r="E184" s="6"/>
      <c r="F184" s="6"/>
      <c r="G184" s="6"/>
      <c r="H184" s="6"/>
      <c r="I184" s="6"/>
      <c r="J184" s="6"/>
      <c r="K184" s="6"/>
      <c r="L184" s="6"/>
      <c r="M184" s="6"/>
    </row>
    <row r="185" customFormat="false" ht="13.2" hidden="false" customHeight="false" outlineLevel="0" collapsed="false">
      <c r="D185" s="6"/>
      <c r="E185" s="6"/>
      <c r="F185" s="6"/>
      <c r="G185" s="6"/>
      <c r="H185" s="6"/>
      <c r="I185" s="6"/>
      <c r="J185" s="6"/>
      <c r="K185" s="6"/>
      <c r="L185" s="6"/>
      <c r="M185" s="6"/>
    </row>
    <row r="186" customFormat="false" ht="13.2" hidden="false" customHeight="false" outlineLevel="0" collapsed="false">
      <c r="D186" s="6"/>
      <c r="E186" s="6"/>
      <c r="F186" s="6"/>
      <c r="G186" s="6"/>
      <c r="H186" s="6"/>
      <c r="I186" s="6"/>
      <c r="J186" s="6"/>
      <c r="K186" s="6"/>
      <c r="L186" s="6"/>
      <c r="M186" s="6"/>
    </row>
    <row r="187" customFormat="false" ht="13.2" hidden="false" customHeight="false" outlineLevel="0" collapsed="false">
      <c r="D187" s="6"/>
      <c r="E187" s="6"/>
      <c r="F187" s="6"/>
      <c r="G187" s="6"/>
      <c r="H187" s="6"/>
      <c r="I187" s="6"/>
      <c r="J187" s="6"/>
      <c r="K187" s="6"/>
      <c r="L187" s="6"/>
      <c r="M187" s="6"/>
    </row>
    <row r="188" customFormat="false" ht="13.2" hidden="false" customHeight="false" outlineLevel="0" collapsed="false">
      <c r="D188" s="6"/>
      <c r="E188" s="6"/>
      <c r="F188" s="6"/>
      <c r="G188" s="6"/>
      <c r="H188" s="6"/>
      <c r="I188" s="6"/>
      <c r="J188" s="6"/>
      <c r="K188" s="6"/>
      <c r="L188" s="6"/>
      <c r="M188" s="6"/>
    </row>
    <row r="189" customFormat="false" ht="13.2" hidden="false" customHeight="false" outlineLevel="0" collapsed="false">
      <c r="D189" s="6"/>
      <c r="E189" s="6"/>
      <c r="F189" s="6"/>
      <c r="G189" s="6"/>
      <c r="H189" s="6"/>
      <c r="I189" s="6"/>
      <c r="J189" s="6"/>
      <c r="K189" s="6"/>
      <c r="L189" s="6"/>
      <c r="M189" s="6"/>
    </row>
    <row r="190" customFormat="false" ht="13.2" hidden="false" customHeight="false" outlineLevel="0" collapsed="false">
      <c r="D190" s="6"/>
      <c r="E190" s="6"/>
      <c r="F190" s="6"/>
      <c r="G190" s="6"/>
      <c r="H190" s="6"/>
      <c r="I190" s="6"/>
      <c r="J190" s="6"/>
      <c r="K190" s="6"/>
      <c r="L190" s="6"/>
      <c r="M190" s="6"/>
    </row>
    <row r="191" customFormat="false" ht="13.2" hidden="false" customHeight="false" outlineLevel="0" collapsed="false">
      <c r="D191" s="6"/>
      <c r="E191" s="6"/>
      <c r="F191" s="6"/>
      <c r="G191" s="6"/>
      <c r="H191" s="6"/>
      <c r="I191" s="6"/>
      <c r="J191" s="6"/>
      <c r="K191" s="6"/>
      <c r="L191" s="6"/>
      <c r="M191" s="6"/>
    </row>
    <row r="192" customFormat="false" ht="13.2" hidden="false" customHeight="false" outlineLevel="0" collapsed="false">
      <c r="D192" s="6"/>
      <c r="E192" s="6"/>
      <c r="F192" s="6"/>
      <c r="G192" s="6"/>
      <c r="H192" s="6"/>
      <c r="I192" s="6"/>
      <c r="J192" s="6"/>
      <c r="K192" s="6"/>
      <c r="L192" s="6"/>
      <c r="M192" s="6"/>
    </row>
    <row r="193" customFormat="false" ht="13.2" hidden="false" customHeight="false" outlineLevel="0" collapsed="false">
      <c r="D193" s="6"/>
      <c r="E193" s="6"/>
      <c r="F193" s="6"/>
      <c r="G193" s="6"/>
      <c r="H193" s="6"/>
      <c r="I193" s="6"/>
      <c r="J193" s="6"/>
      <c r="K193" s="6"/>
      <c r="L193" s="6"/>
      <c r="M193" s="6"/>
    </row>
    <row r="194" customFormat="false" ht="13.2" hidden="false" customHeight="false" outlineLevel="0" collapsed="false">
      <c r="D194" s="6"/>
      <c r="E194" s="6"/>
      <c r="F194" s="6"/>
      <c r="G194" s="6"/>
      <c r="H194" s="6"/>
      <c r="I194" s="6"/>
      <c r="J194" s="6"/>
      <c r="K194" s="6"/>
      <c r="L194" s="6"/>
      <c r="M194" s="6"/>
    </row>
    <row r="195" customFormat="false" ht="13.2" hidden="false" customHeight="false" outlineLevel="0" collapsed="false">
      <c r="D195" s="6"/>
      <c r="E195" s="6"/>
      <c r="F195" s="6"/>
      <c r="G195" s="6"/>
      <c r="H195" s="6"/>
      <c r="I195" s="6"/>
      <c r="J195" s="6"/>
      <c r="K195" s="6"/>
      <c r="L195" s="6"/>
      <c r="M195" s="6"/>
    </row>
    <row r="196" customFormat="false" ht="13.2" hidden="false" customHeight="false" outlineLevel="0" collapsed="false">
      <c r="D196" s="6"/>
      <c r="E196" s="6"/>
      <c r="F196" s="6"/>
      <c r="G196" s="6"/>
      <c r="H196" s="6"/>
      <c r="I196" s="6"/>
      <c r="J196" s="6"/>
      <c r="K196" s="6"/>
      <c r="L196" s="6"/>
      <c r="M196" s="6"/>
    </row>
    <row r="197" customFormat="false" ht="13.2" hidden="false" customHeight="false" outlineLevel="0" collapsed="false">
      <c r="D197" s="6"/>
      <c r="E197" s="6"/>
      <c r="F197" s="6"/>
      <c r="G197" s="6"/>
      <c r="H197" s="6"/>
      <c r="I197" s="6"/>
      <c r="J197" s="6"/>
      <c r="K197" s="6"/>
      <c r="L197" s="6"/>
      <c r="M197" s="6"/>
    </row>
    <row r="198" customFormat="false" ht="13.2" hidden="false" customHeight="false" outlineLevel="0" collapsed="false">
      <c r="D198" s="6"/>
      <c r="E198" s="6"/>
      <c r="F198" s="6"/>
      <c r="G198" s="6"/>
      <c r="H198" s="6"/>
      <c r="I198" s="6"/>
      <c r="J198" s="6"/>
      <c r="K198" s="6"/>
      <c r="L198" s="6"/>
      <c r="M198" s="6"/>
    </row>
    <row r="199" customFormat="false" ht="13.2" hidden="false" customHeight="false" outlineLevel="0" collapsed="false">
      <c r="D199" s="6"/>
      <c r="E199" s="6"/>
      <c r="F199" s="6"/>
      <c r="G199" s="6"/>
      <c r="H199" s="6"/>
      <c r="I199" s="6"/>
      <c r="J199" s="6"/>
      <c r="K199" s="6"/>
      <c r="L199" s="6"/>
      <c r="M199" s="6"/>
    </row>
    <row r="200" customFormat="false" ht="13.2" hidden="false" customHeight="false" outlineLevel="0" collapsed="false">
      <c r="D200" s="6"/>
      <c r="E200" s="6"/>
      <c r="F200" s="6"/>
      <c r="G200" s="6"/>
      <c r="H200" s="6"/>
      <c r="I200" s="6"/>
      <c r="J200" s="6"/>
      <c r="K200" s="6"/>
      <c r="L200" s="6"/>
      <c r="M200" s="6"/>
    </row>
    <row r="201" customFormat="false" ht="13.2" hidden="false" customHeight="false" outlineLevel="0" collapsed="false">
      <c r="D201" s="6"/>
      <c r="E201" s="6"/>
      <c r="F201" s="6"/>
      <c r="G201" s="6"/>
      <c r="H201" s="6"/>
      <c r="I201" s="6"/>
      <c r="J201" s="6"/>
      <c r="K201" s="6"/>
      <c r="L201" s="6"/>
      <c r="M201" s="6"/>
    </row>
    <row r="202" customFormat="false" ht="13.2" hidden="false" customHeight="false" outlineLevel="0" collapsed="false">
      <c r="D202" s="6"/>
      <c r="E202" s="6"/>
      <c r="F202" s="6"/>
      <c r="G202" s="6"/>
      <c r="H202" s="6"/>
      <c r="I202" s="6"/>
      <c r="J202" s="6"/>
      <c r="K202" s="6"/>
      <c r="L202" s="6"/>
      <c r="M202" s="6"/>
    </row>
    <row r="203" customFormat="false" ht="13.2" hidden="false" customHeight="false" outlineLevel="0" collapsed="false">
      <c r="D203" s="6"/>
      <c r="E203" s="6"/>
      <c r="F203" s="6"/>
      <c r="G203" s="6"/>
      <c r="H203" s="6"/>
      <c r="I203" s="6"/>
      <c r="J203" s="6"/>
      <c r="K203" s="6"/>
      <c r="L203" s="6"/>
      <c r="M203" s="6"/>
    </row>
    <row r="204" customFormat="false" ht="13.2" hidden="false" customHeight="false" outlineLevel="0" collapsed="false">
      <c r="D204" s="6"/>
      <c r="E204" s="6"/>
      <c r="F204" s="6"/>
      <c r="G204" s="6"/>
      <c r="H204" s="6"/>
      <c r="I204" s="6"/>
      <c r="J204" s="6"/>
      <c r="K204" s="6"/>
      <c r="L204" s="6"/>
      <c r="M204" s="6"/>
    </row>
    <row r="205" customFormat="false" ht="13.2" hidden="false" customHeight="false" outlineLevel="0" collapsed="false">
      <c r="D205" s="6"/>
      <c r="E205" s="6"/>
      <c r="F205" s="6"/>
      <c r="G205" s="6"/>
      <c r="H205" s="6"/>
      <c r="I205" s="6"/>
      <c r="J205" s="6"/>
      <c r="K205" s="6"/>
      <c r="L205" s="6"/>
      <c r="M205" s="6"/>
    </row>
    <row r="206" customFormat="false" ht="13.2" hidden="false" customHeight="false" outlineLevel="0" collapsed="false">
      <c r="D206" s="6"/>
      <c r="E206" s="6"/>
      <c r="F206" s="6"/>
      <c r="G206" s="6"/>
      <c r="H206" s="6"/>
      <c r="I206" s="6"/>
      <c r="J206" s="6"/>
      <c r="K206" s="6"/>
      <c r="L206" s="6"/>
      <c r="M206" s="6"/>
    </row>
    <row r="207" customFormat="false" ht="13.2" hidden="false" customHeight="false" outlineLevel="0" collapsed="false">
      <c r="D207" s="6"/>
      <c r="E207" s="6"/>
      <c r="F207" s="6"/>
      <c r="G207" s="6"/>
      <c r="H207" s="6"/>
      <c r="I207" s="6"/>
      <c r="J207" s="6"/>
      <c r="K207" s="6"/>
      <c r="L207" s="6"/>
      <c r="M207" s="6"/>
    </row>
    <row r="208" customFormat="false" ht="13.2" hidden="false" customHeight="false" outlineLevel="0" collapsed="false">
      <c r="D208" s="6"/>
      <c r="E208" s="6"/>
      <c r="F208" s="6"/>
      <c r="G208" s="6"/>
      <c r="H208" s="6"/>
      <c r="I208" s="6"/>
      <c r="J208" s="6"/>
      <c r="K208" s="6"/>
      <c r="L208" s="6"/>
      <c r="M208" s="6"/>
    </row>
    <row r="209" customFormat="false" ht="13.2" hidden="false" customHeight="false" outlineLevel="0" collapsed="false">
      <c r="D209" s="6"/>
      <c r="E209" s="6"/>
      <c r="F209" s="6"/>
      <c r="G209" s="6"/>
      <c r="H209" s="6"/>
      <c r="I209" s="6"/>
      <c r="J209" s="6"/>
      <c r="K209" s="6"/>
      <c r="L209" s="6"/>
      <c r="M209" s="6"/>
    </row>
    <row r="210" customFormat="false" ht="13.2" hidden="false" customHeight="false" outlineLevel="0" collapsed="false">
      <c r="D210" s="6"/>
      <c r="E210" s="6"/>
      <c r="F210" s="6"/>
      <c r="G210" s="6"/>
      <c r="H210" s="6"/>
      <c r="I210" s="6"/>
      <c r="J210" s="6"/>
      <c r="K210" s="6"/>
      <c r="L210" s="6"/>
      <c r="M210" s="6"/>
    </row>
    <row r="211" customFormat="false" ht="13.2" hidden="false" customHeight="false" outlineLevel="0" collapsed="false">
      <c r="D211" s="6"/>
      <c r="E211" s="6"/>
      <c r="F211" s="6"/>
      <c r="G211" s="6"/>
      <c r="H211" s="6"/>
      <c r="I211" s="6"/>
      <c r="J211" s="6"/>
      <c r="K211" s="6"/>
      <c r="L211" s="6"/>
      <c r="M211" s="6"/>
    </row>
    <row r="212" customFormat="false" ht="13.2" hidden="false" customHeight="false" outlineLevel="0" collapsed="false">
      <c r="D212" s="6"/>
      <c r="E212" s="6"/>
      <c r="F212" s="6"/>
      <c r="G212" s="6"/>
      <c r="H212" s="6"/>
      <c r="I212" s="6"/>
      <c r="J212" s="6"/>
      <c r="K212" s="6"/>
      <c r="L212" s="6"/>
      <c r="M212" s="6"/>
    </row>
    <row r="213" customFormat="false" ht="13.2" hidden="false" customHeight="false" outlineLevel="0" collapsed="false">
      <c r="D213" s="6"/>
      <c r="E213" s="6"/>
      <c r="F213" s="6"/>
      <c r="G213" s="6"/>
      <c r="H213" s="6"/>
      <c r="I213" s="6"/>
      <c r="J213" s="6"/>
      <c r="K213" s="6"/>
      <c r="L213" s="6"/>
      <c r="M213" s="6"/>
    </row>
    <row r="214" customFormat="false" ht="13.2" hidden="false" customHeight="false" outlineLevel="0" collapsed="false">
      <c r="D214" s="6"/>
      <c r="E214" s="6"/>
      <c r="F214" s="6"/>
      <c r="G214" s="6"/>
      <c r="H214" s="6"/>
      <c r="I214" s="6"/>
      <c r="J214" s="6"/>
      <c r="K214" s="6"/>
      <c r="L214" s="6"/>
      <c r="M214" s="6"/>
    </row>
    <row r="215" customFormat="false" ht="13.2" hidden="false" customHeight="false" outlineLevel="0" collapsed="false">
      <c r="D215" s="6"/>
      <c r="E215" s="6"/>
      <c r="F215" s="6"/>
      <c r="G215" s="6"/>
      <c r="H215" s="6"/>
      <c r="I215" s="6"/>
      <c r="J215" s="6"/>
      <c r="K215" s="6"/>
      <c r="L215" s="6"/>
      <c r="M215" s="6"/>
    </row>
    <row r="216" customFormat="false" ht="13.2" hidden="false" customHeight="false" outlineLevel="0" collapsed="false">
      <c r="D216" s="6"/>
      <c r="E216" s="6"/>
      <c r="F216" s="6"/>
      <c r="G216" s="6"/>
      <c r="H216" s="6"/>
      <c r="I216" s="6"/>
      <c r="J216" s="6"/>
      <c r="K216" s="6"/>
      <c r="L216" s="6"/>
      <c r="M216" s="6"/>
    </row>
    <row r="217" customFormat="false" ht="13.2" hidden="false" customHeight="false" outlineLevel="0" collapsed="false">
      <c r="D217" s="6"/>
      <c r="E217" s="6"/>
      <c r="F217" s="6"/>
      <c r="G217" s="6"/>
      <c r="H217" s="6"/>
      <c r="I217" s="6"/>
      <c r="J217" s="6"/>
      <c r="K217" s="6"/>
      <c r="L217" s="6"/>
      <c r="M217" s="6"/>
    </row>
    <row r="218" customFormat="false" ht="13.2" hidden="false" customHeight="false" outlineLevel="0" collapsed="false">
      <c r="D218" s="6"/>
      <c r="E218" s="6"/>
      <c r="F218" s="6"/>
      <c r="G218" s="6"/>
      <c r="H218" s="6"/>
      <c r="I218" s="6"/>
      <c r="J218" s="6"/>
      <c r="K218" s="6"/>
      <c r="L218" s="6"/>
      <c r="M218" s="6"/>
    </row>
    <row r="219" customFormat="false" ht="13.2" hidden="false" customHeight="false" outlineLevel="0" collapsed="false">
      <c r="D219" s="6"/>
      <c r="E219" s="6"/>
      <c r="F219" s="6"/>
      <c r="G219" s="6"/>
      <c r="H219" s="6"/>
      <c r="I219" s="6"/>
      <c r="J219" s="6"/>
      <c r="K219" s="6"/>
      <c r="L219" s="6"/>
      <c r="M219" s="6"/>
    </row>
    <row r="220" customFormat="false" ht="13.2" hidden="false" customHeight="false" outlineLevel="0" collapsed="false">
      <c r="D220" s="6"/>
      <c r="E220" s="6"/>
      <c r="F220" s="6"/>
      <c r="G220" s="6"/>
      <c r="H220" s="6"/>
      <c r="I220" s="6"/>
      <c r="J220" s="6"/>
      <c r="K220" s="6"/>
      <c r="L220" s="6"/>
      <c r="M220" s="6"/>
    </row>
    <row r="221" customFormat="false" ht="13.2" hidden="false" customHeight="false" outlineLevel="0" collapsed="false">
      <c r="D221" s="6"/>
      <c r="E221" s="6"/>
      <c r="F221" s="6"/>
      <c r="G221" s="6"/>
      <c r="H221" s="6"/>
      <c r="I221" s="6"/>
      <c r="J221" s="6"/>
      <c r="K221" s="6"/>
      <c r="L221" s="6"/>
      <c r="M221" s="6"/>
    </row>
    <row r="222" customFormat="false" ht="13.2" hidden="false" customHeight="false" outlineLevel="0" collapsed="false">
      <c r="D222" s="6"/>
      <c r="E222" s="6"/>
      <c r="F222" s="6"/>
      <c r="G222" s="6"/>
      <c r="H222" s="6"/>
      <c r="I222" s="6"/>
      <c r="J222" s="6"/>
      <c r="K222" s="6"/>
      <c r="L222" s="6"/>
      <c r="M222" s="6"/>
    </row>
    <row r="223" customFormat="false" ht="13.2" hidden="false" customHeight="false" outlineLevel="0" collapsed="false">
      <c r="D223" s="6"/>
      <c r="E223" s="6"/>
      <c r="F223" s="6"/>
      <c r="G223" s="6"/>
      <c r="H223" s="6"/>
      <c r="I223" s="6"/>
      <c r="J223" s="6"/>
      <c r="K223" s="6"/>
      <c r="L223" s="6"/>
      <c r="M223" s="6"/>
    </row>
    <row r="224" customFormat="false" ht="13.2" hidden="false" customHeight="false" outlineLevel="0" collapsed="false">
      <c r="D224" s="6"/>
      <c r="E224" s="6"/>
      <c r="F224" s="6"/>
      <c r="G224" s="6"/>
      <c r="H224" s="6"/>
      <c r="I224" s="6"/>
      <c r="J224" s="6"/>
      <c r="K224" s="6"/>
      <c r="L224" s="6"/>
      <c r="M224" s="6"/>
    </row>
    <row r="225" customFormat="false" ht="13.2" hidden="false" customHeight="false" outlineLevel="0" collapsed="false">
      <c r="D225" s="6"/>
      <c r="E225" s="6"/>
      <c r="F225" s="6"/>
      <c r="G225" s="6"/>
      <c r="H225" s="6"/>
      <c r="I225" s="6"/>
      <c r="J225" s="6"/>
      <c r="K225" s="6"/>
      <c r="L225" s="6"/>
      <c r="M225" s="6"/>
    </row>
    <row r="226" customFormat="false" ht="13.2" hidden="false" customHeight="false" outlineLevel="0" collapsed="false">
      <c r="D226" s="6"/>
      <c r="E226" s="6"/>
      <c r="F226" s="6"/>
      <c r="G226" s="6"/>
      <c r="H226" s="6"/>
      <c r="I226" s="6"/>
      <c r="J226" s="6"/>
      <c r="K226" s="6"/>
      <c r="L226" s="6"/>
      <c r="M226" s="6"/>
    </row>
    <row r="227" customFormat="false" ht="13.2" hidden="false" customHeight="false" outlineLevel="0" collapsed="false">
      <c r="D227" s="6"/>
      <c r="E227" s="6"/>
      <c r="F227" s="6"/>
      <c r="G227" s="6"/>
      <c r="H227" s="6"/>
      <c r="I227" s="6"/>
      <c r="J227" s="6"/>
      <c r="K227" s="6"/>
      <c r="L227" s="6"/>
      <c r="M227" s="6"/>
    </row>
    <row r="228" customFormat="false" ht="13.2" hidden="false" customHeight="false" outlineLevel="0" collapsed="false">
      <c r="D228" s="6"/>
      <c r="E228" s="6"/>
      <c r="F228" s="6"/>
      <c r="G228" s="6"/>
      <c r="H228" s="6"/>
      <c r="I228" s="6"/>
      <c r="J228" s="6"/>
      <c r="K228" s="6"/>
      <c r="L228" s="6"/>
      <c r="M228" s="6"/>
    </row>
    <row r="229" customFormat="false" ht="13.2" hidden="false" customHeight="false" outlineLevel="0" collapsed="false">
      <c r="D229" s="6"/>
      <c r="E229" s="6"/>
      <c r="F229" s="6"/>
      <c r="G229" s="6"/>
      <c r="H229" s="6"/>
      <c r="I229" s="6"/>
      <c r="J229" s="6"/>
      <c r="K229" s="6"/>
      <c r="L229" s="6"/>
      <c r="M229" s="6"/>
    </row>
    <row r="230" customFormat="false" ht="13.2" hidden="false" customHeight="false" outlineLevel="0" collapsed="false">
      <c r="D230" s="6"/>
      <c r="E230" s="6"/>
      <c r="F230" s="6"/>
      <c r="G230" s="6"/>
      <c r="H230" s="6"/>
      <c r="I230" s="6"/>
      <c r="J230" s="6"/>
      <c r="K230" s="6"/>
      <c r="L230" s="6"/>
      <c r="M230" s="6"/>
    </row>
    <row r="231" customFormat="false" ht="13.2" hidden="false" customHeight="false" outlineLevel="0" collapsed="false">
      <c r="D231" s="6"/>
      <c r="E231" s="6"/>
      <c r="F231" s="6"/>
      <c r="G231" s="6"/>
      <c r="H231" s="6"/>
      <c r="I231" s="6"/>
      <c r="J231" s="6"/>
      <c r="K231" s="6"/>
      <c r="L231" s="6"/>
      <c r="M231" s="6"/>
    </row>
    <row r="232" customFormat="false" ht="13.2" hidden="false" customHeight="false" outlineLevel="0" collapsed="false">
      <c r="D232" s="6"/>
      <c r="E232" s="6"/>
      <c r="F232" s="6"/>
      <c r="G232" s="6"/>
      <c r="H232" s="6"/>
      <c r="I232" s="6"/>
      <c r="J232" s="6"/>
      <c r="K232" s="6"/>
      <c r="L232" s="6"/>
      <c r="M232" s="6"/>
    </row>
    <row r="233" customFormat="false" ht="13.2" hidden="false" customHeight="false" outlineLevel="0" collapsed="false">
      <c r="D233" s="6"/>
      <c r="E233" s="6"/>
      <c r="F233" s="6"/>
      <c r="G233" s="6"/>
      <c r="H233" s="6"/>
      <c r="I233" s="6"/>
      <c r="J233" s="6"/>
      <c r="K233" s="6"/>
      <c r="L233" s="6"/>
      <c r="M233" s="6"/>
    </row>
    <row r="234" customFormat="false" ht="13.2" hidden="false" customHeight="false" outlineLevel="0" collapsed="false">
      <c r="D234" s="6"/>
      <c r="E234" s="6"/>
      <c r="F234" s="6"/>
      <c r="G234" s="6"/>
      <c r="H234" s="6"/>
      <c r="I234" s="6"/>
      <c r="J234" s="6"/>
      <c r="K234" s="6"/>
      <c r="L234" s="6"/>
      <c r="M234" s="6"/>
    </row>
    <row r="235" customFormat="false" ht="13.2" hidden="false" customHeight="false" outlineLevel="0" collapsed="false">
      <c r="D235" s="6"/>
      <c r="E235" s="6"/>
      <c r="F235" s="6"/>
      <c r="G235" s="6"/>
      <c r="H235" s="6"/>
      <c r="I235" s="6"/>
      <c r="J235" s="6"/>
      <c r="K235" s="6"/>
      <c r="L235" s="6"/>
      <c r="M235" s="6"/>
    </row>
    <row r="236" customFormat="false" ht="13.2" hidden="false" customHeight="false" outlineLevel="0" collapsed="false">
      <c r="D236" s="6"/>
      <c r="E236" s="6"/>
      <c r="F236" s="6"/>
      <c r="G236" s="6"/>
      <c r="H236" s="6"/>
      <c r="I236" s="6"/>
      <c r="J236" s="6"/>
      <c r="K236" s="6"/>
      <c r="L236" s="6"/>
      <c r="M236" s="6"/>
    </row>
    <row r="237" customFormat="false" ht="13.2" hidden="false" customHeight="false" outlineLevel="0" collapsed="false">
      <c r="D237" s="6"/>
      <c r="E237" s="6"/>
      <c r="F237" s="6"/>
      <c r="G237" s="6"/>
      <c r="H237" s="6"/>
      <c r="I237" s="6"/>
      <c r="J237" s="6"/>
      <c r="K237" s="6"/>
      <c r="L237" s="6"/>
      <c r="M237" s="6"/>
    </row>
    <row r="238" customFormat="false" ht="13.2" hidden="false" customHeight="false" outlineLevel="0" collapsed="false">
      <c r="D238" s="6"/>
      <c r="E238" s="6"/>
      <c r="F238" s="6"/>
      <c r="G238" s="6"/>
      <c r="H238" s="6"/>
      <c r="I238" s="6"/>
      <c r="J238" s="6"/>
      <c r="K238" s="6"/>
      <c r="L238" s="6"/>
      <c r="M238" s="6"/>
    </row>
    <row r="239" customFormat="false" ht="13.2" hidden="false" customHeight="false" outlineLevel="0" collapsed="false">
      <c r="D239" s="6"/>
      <c r="E239" s="6"/>
      <c r="F239" s="6"/>
      <c r="G239" s="6"/>
      <c r="H239" s="6"/>
      <c r="I239" s="6"/>
      <c r="J239" s="6"/>
      <c r="K239" s="6"/>
      <c r="L239" s="6"/>
      <c r="M239" s="6"/>
    </row>
    <row r="240" customFormat="false" ht="13.2" hidden="false" customHeight="false" outlineLevel="0" collapsed="false">
      <c r="D240" s="6"/>
      <c r="E240" s="6"/>
      <c r="F240" s="6"/>
      <c r="G240" s="6"/>
      <c r="H240" s="6"/>
      <c r="I240" s="6"/>
      <c r="J240" s="6"/>
      <c r="K240" s="6"/>
      <c r="L240" s="6"/>
      <c r="M240" s="6"/>
    </row>
    <row r="241" customFormat="false" ht="13.2" hidden="false" customHeight="false" outlineLevel="0" collapsed="false">
      <c r="D241" s="6"/>
      <c r="E241" s="6"/>
      <c r="F241" s="6"/>
      <c r="G241" s="6"/>
      <c r="H241" s="6"/>
      <c r="I241" s="6"/>
      <c r="J241" s="6"/>
      <c r="K241" s="6"/>
      <c r="L241" s="6"/>
      <c r="M241" s="6"/>
    </row>
    <row r="242" customFormat="false" ht="13.2" hidden="false" customHeight="false" outlineLevel="0" collapsed="false">
      <c r="D242" s="6"/>
      <c r="E242" s="6"/>
      <c r="F242" s="6"/>
      <c r="G242" s="6"/>
      <c r="H242" s="6"/>
      <c r="I242" s="6"/>
      <c r="J242" s="6"/>
      <c r="K242" s="6"/>
      <c r="L242" s="6"/>
      <c r="M242" s="6"/>
    </row>
    <row r="243" customFormat="false" ht="13.2" hidden="false" customHeight="false" outlineLevel="0" collapsed="false">
      <c r="D243" s="6"/>
      <c r="E243" s="6"/>
      <c r="F243" s="6"/>
      <c r="G243" s="6"/>
      <c r="H243" s="6"/>
      <c r="I243" s="6"/>
      <c r="J243" s="6"/>
      <c r="K243" s="6"/>
      <c r="L243" s="6"/>
      <c r="M243" s="6"/>
    </row>
    <row r="244" customFormat="false" ht="13.2" hidden="false" customHeight="false" outlineLevel="0" collapsed="false">
      <c r="D244" s="6"/>
      <c r="E244" s="6"/>
      <c r="F244" s="6"/>
      <c r="G244" s="6"/>
      <c r="H244" s="6"/>
      <c r="I244" s="6"/>
      <c r="J244" s="6"/>
      <c r="K244" s="6"/>
      <c r="L244" s="6"/>
      <c r="M244" s="6"/>
    </row>
    <row r="245" customFormat="false" ht="13.2" hidden="false" customHeight="false" outlineLevel="0" collapsed="false">
      <c r="D245" s="6"/>
      <c r="E245" s="6"/>
      <c r="F245" s="6"/>
      <c r="G245" s="6"/>
      <c r="H245" s="6"/>
      <c r="I245" s="6"/>
      <c r="J245" s="6"/>
      <c r="K245" s="6"/>
      <c r="L245" s="6"/>
      <c r="M245" s="6"/>
    </row>
    <row r="246" customFormat="false" ht="13.2" hidden="false" customHeight="false" outlineLevel="0" collapsed="false">
      <c r="D246" s="6"/>
      <c r="E246" s="6"/>
      <c r="F246" s="6"/>
      <c r="G246" s="6"/>
      <c r="H246" s="6"/>
      <c r="I246" s="6"/>
      <c r="J246" s="6"/>
      <c r="K246" s="6"/>
      <c r="L246" s="6"/>
      <c r="M246" s="6"/>
    </row>
    <row r="247" customFormat="false" ht="13.2" hidden="false" customHeight="false" outlineLevel="0" collapsed="false">
      <c r="D247" s="6"/>
      <c r="E247" s="6"/>
      <c r="F247" s="6"/>
      <c r="G247" s="6"/>
      <c r="H247" s="6"/>
      <c r="I247" s="6"/>
      <c r="J247" s="6"/>
      <c r="K247" s="6"/>
      <c r="L247" s="6"/>
      <c r="M247" s="6"/>
    </row>
    <row r="248" customFormat="false" ht="13.2" hidden="false" customHeight="false" outlineLevel="0" collapsed="false">
      <c r="D248" s="6"/>
      <c r="E248" s="6"/>
      <c r="F248" s="6"/>
      <c r="G248" s="6"/>
      <c r="H248" s="6"/>
      <c r="I248" s="6"/>
      <c r="J248" s="6"/>
      <c r="K248" s="6"/>
      <c r="L248" s="6"/>
      <c r="M248" s="6"/>
    </row>
    <row r="249" customFormat="false" ht="13.2" hidden="false" customHeight="false" outlineLevel="0" collapsed="false">
      <c r="D249" s="6"/>
      <c r="E249" s="6"/>
      <c r="F249" s="6"/>
      <c r="G249" s="6"/>
      <c r="H249" s="6"/>
      <c r="I249" s="6"/>
      <c r="J249" s="6"/>
      <c r="K249" s="6"/>
      <c r="L249" s="6"/>
      <c r="M249" s="6"/>
    </row>
    <row r="250" customFormat="false" ht="13.2" hidden="false" customHeight="false" outlineLevel="0" collapsed="false">
      <c r="D250" s="6"/>
      <c r="E250" s="6"/>
      <c r="F250" s="6"/>
      <c r="G250" s="6"/>
      <c r="H250" s="6"/>
      <c r="I250" s="6"/>
      <c r="J250" s="6"/>
      <c r="K250" s="6"/>
      <c r="L250" s="6"/>
      <c r="M250" s="6"/>
    </row>
    <row r="251" customFormat="false" ht="13.2" hidden="false" customHeight="false" outlineLevel="0" collapsed="false">
      <c r="D251" s="6"/>
      <c r="E251" s="6"/>
      <c r="F251" s="6"/>
      <c r="G251" s="6"/>
      <c r="H251" s="6"/>
      <c r="I251" s="6"/>
      <c r="J251" s="6"/>
      <c r="K251" s="6"/>
      <c r="L251" s="6"/>
      <c r="M251" s="6"/>
    </row>
    <row r="252" customFormat="false" ht="13.2" hidden="false" customHeight="false" outlineLevel="0" collapsed="false">
      <c r="D252" s="6"/>
      <c r="E252" s="6"/>
      <c r="F252" s="6"/>
      <c r="G252" s="6"/>
      <c r="H252" s="6"/>
      <c r="I252" s="6"/>
      <c r="J252" s="6"/>
      <c r="K252" s="6"/>
      <c r="L252" s="6"/>
      <c r="M252" s="6"/>
    </row>
    <row r="253" customFormat="false" ht="13.2" hidden="false" customHeight="false" outlineLevel="0" collapsed="false">
      <c r="D253" s="6"/>
      <c r="E253" s="6"/>
      <c r="F253" s="6"/>
      <c r="G253" s="6"/>
      <c r="H253" s="6"/>
      <c r="I253" s="6"/>
      <c r="J253" s="6"/>
      <c r="K253" s="6"/>
      <c r="L253" s="6"/>
      <c r="M253" s="6"/>
    </row>
    <row r="254" customFormat="false" ht="13.2" hidden="false" customHeight="false" outlineLevel="0" collapsed="false">
      <c r="D254" s="6"/>
      <c r="E254" s="6"/>
      <c r="F254" s="6"/>
      <c r="G254" s="6"/>
      <c r="H254" s="6"/>
      <c r="I254" s="6"/>
      <c r="J254" s="6"/>
      <c r="K254" s="6"/>
      <c r="L254" s="6"/>
      <c r="M254" s="6"/>
    </row>
    <row r="255" customFormat="false" ht="13.2" hidden="false" customHeight="false" outlineLevel="0" collapsed="false">
      <c r="D255" s="6"/>
      <c r="E255" s="6"/>
      <c r="F255" s="6"/>
      <c r="G255" s="6"/>
      <c r="H255" s="6"/>
      <c r="I255" s="6"/>
      <c r="J255" s="6"/>
      <c r="K255" s="6"/>
      <c r="L255" s="6"/>
      <c r="M255" s="6"/>
    </row>
    <row r="256" customFormat="false" ht="13.2" hidden="false" customHeight="false" outlineLevel="0" collapsed="false">
      <c r="D256" s="6"/>
      <c r="E256" s="6"/>
      <c r="F256" s="6"/>
      <c r="G256" s="6"/>
      <c r="H256" s="6"/>
      <c r="I256" s="6"/>
      <c r="J256" s="6"/>
      <c r="K256" s="6"/>
      <c r="L256" s="6"/>
      <c r="M256" s="6"/>
    </row>
    <row r="257" customFormat="false" ht="13.2" hidden="false" customHeight="false" outlineLevel="0" collapsed="false">
      <c r="D257" s="6"/>
      <c r="E257" s="6"/>
      <c r="F257" s="6"/>
      <c r="G257" s="6"/>
      <c r="H257" s="6"/>
      <c r="I257" s="6"/>
      <c r="J257" s="6"/>
      <c r="K257" s="6"/>
      <c r="L257" s="6"/>
      <c r="M257" s="6"/>
    </row>
    <row r="258" customFormat="false" ht="13.2" hidden="false" customHeight="false" outlineLevel="0" collapsed="false">
      <c r="D258" s="6"/>
      <c r="E258" s="6"/>
      <c r="F258" s="6"/>
      <c r="G258" s="6"/>
      <c r="H258" s="6"/>
      <c r="I258" s="6"/>
      <c r="J258" s="6"/>
      <c r="K258" s="6"/>
      <c r="L258" s="6"/>
      <c r="M258" s="6"/>
    </row>
    <row r="259" customFormat="false" ht="13.2" hidden="false" customHeight="false" outlineLevel="0" collapsed="false">
      <c r="D259" s="6"/>
      <c r="E259" s="6"/>
      <c r="F259" s="6"/>
      <c r="G259" s="6"/>
      <c r="H259" s="6"/>
      <c r="I259" s="6"/>
      <c r="J259" s="6"/>
      <c r="K259" s="6"/>
      <c r="L259" s="6"/>
      <c r="M259" s="6"/>
    </row>
    <row r="260" customFormat="false" ht="13.2" hidden="false" customHeight="false" outlineLevel="0" collapsed="false">
      <c r="D260" s="6"/>
      <c r="E260" s="6"/>
      <c r="F260" s="6"/>
      <c r="G260" s="6"/>
      <c r="H260" s="6"/>
      <c r="I260" s="6"/>
      <c r="J260" s="6"/>
      <c r="K260" s="6"/>
      <c r="L260" s="6"/>
      <c r="M260" s="6"/>
    </row>
    <row r="261" customFormat="false" ht="13.2" hidden="false" customHeight="false" outlineLevel="0" collapsed="false">
      <c r="D261" s="6"/>
      <c r="E261" s="6"/>
      <c r="F261" s="6"/>
      <c r="G261" s="6"/>
      <c r="H261" s="6"/>
      <c r="I261" s="6"/>
      <c r="J261" s="6"/>
      <c r="K261" s="6"/>
      <c r="L261" s="6"/>
      <c r="M261" s="6"/>
    </row>
    <row r="262" customFormat="false" ht="13.2" hidden="false" customHeight="false" outlineLevel="0" collapsed="false">
      <c r="D262" s="6"/>
      <c r="E262" s="6"/>
      <c r="F262" s="6"/>
      <c r="G262" s="6"/>
      <c r="H262" s="6"/>
      <c r="I262" s="6"/>
      <c r="J262" s="6"/>
      <c r="K262" s="6"/>
      <c r="L262" s="6"/>
      <c r="M262" s="6"/>
    </row>
    <row r="263" customFormat="false" ht="13.2" hidden="false" customHeight="false" outlineLevel="0" collapsed="false">
      <c r="D263" s="6"/>
      <c r="E263" s="6"/>
      <c r="F263" s="6"/>
      <c r="G263" s="6"/>
      <c r="H263" s="6"/>
      <c r="I263" s="6"/>
      <c r="J263" s="6"/>
      <c r="K263" s="6"/>
      <c r="L263" s="6"/>
      <c r="M263" s="6"/>
    </row>
    <row r="264" customFormat="false" ht="13.2" hidden="false" customHeight="false" outlineLevel="0" collapsed="false">
      <c r="D264" s="6"/>
      <c r="E264" s="6"/>
      <c r="F264" s="6"/>
      <c r="G264" s="6"/>
      <c r="H264" s="6"/>
      <c r="I264" s="6"/>
      <c r="J264" s="6"/>
      <c r="K264" s="6"/>
      <c r="L264" s="6"/>
      <c r="M264" s="6"/>
    </row>
    <row r="265" customFormat="false" ht="13.2" hidden="false" customHeight="false" outlineLevel="0" collapsed="false">
      <c r="D265" s="6"/>
      <c r="E265" s="6"/>
      <c r="F265" s="6"/>
      <c r="G265" s="6"/>
      <c r="H265" s="6"/>
      <c r="I265" s="6"/>
      <c r="J265" s="6"/>
      <c r="K265" s="6"/>
      <c r="L265" s="6"/>
      <c r="M265" s="6"/>
    </row>
    <row r="266" customFormat="false" ht="13.2" hidden="false" customHeight="false" outlineLevel="0" collapsed="false">
      <c r="D266" s="6"/>
      <c r="E266" s="6"/>
      <c r="F266" s="6"/>
      <c r="G266" s="6"/>
      <c r="H266" s="6"/>
      <c r="I266" s="6"/>
      <c r="J266" s="6"/>
      <c r="K266" s="6"/>
      <c r="L266" s="6"/>
      <c r="M266" s="6"/>
    </row>
    <row r="267" customFormat="false" ht="13.2" hidden="false" customHeight="false" outlineLevel="0" collapsed="false">
      <c r="D267" s="6"/>
      <c r="E267" s="6"/>
      <c r="F267" s="6"/>
      <c r="G267" s="6"/>
      <c r="H267" s="6"/>
      <c r="I267" s="6"/>
      <c r="J267" s="6"/>
      <c r="K267" s="6"/>
      <c r="L267" s="6"/>
      <c r="M267" s="6"/>
    </row>
    <row r="268" customFormat="false" ht="13.2" hidden="false" customHeight="false" outlineLevel="0" collapsed="false">
      <c r="D268" s="6"/>
      <c r="E268" s="6"/>
      <c r="F268" s="6"/>
      <c r="G268" s="6"/>
      <c r="H268" s="6"/>
      <c r="I268" s="6"/>
      <c r="J268" s="6"/>
      <c r="K268" s="6"/>
      <c r="L268" s="6"/>
      <c r="M268" s="6"/>
    </row>
    <row r="269" customFormat="false" ht="13.2" hidden="false" customHeight="false" outlineLevel="0" collapsed="false">
      <c r="D269" s="6"/>
      <c r="E269" s="6"/>
      <c r="F269" s="6"/>
      <c r="G269" s="6"/>
      <c r="H269" s="6"/>
      <c r="I269" s="6"/>
      <c r="J269" s="6"/>
      <c r="K269" s="6"/>
      <c r="L269" s="6"/>
      <c r="M269" s="6"/>
    </row>
    <row r="270" customFormat="false" ht="13.2" hidden="false" customHeight="false" outlineLevel="0" collapsed="false">
      <c r="D270" s="6"/>
      <c r="E270" s="6"/>
      <c r="F270" s="6"/>
      <c r="G270" s="6"/>
      <c r="H270" s="6"/>
      <c r="I270" s="6"/>
      <c r="J270" s="6"/>
      <c r="K270" s="6"/>
      <c r="L270" s="6"/>
      <c r="M270" s="6"/>
    </row>
    <row r="271" customFormat="false" ht="13.2" hidden="false" customHeight="false" outlineLevel="0" collapsed="false">
      <c r="D271" s="6"/>
      <c r="E271" s="6"/>
      <c r="F271" s="6"/>
      <c r="G271" s="6"/>
      <c r="H271" s="6"/>
      <c r="I271" s="6"/>
      <c r="J271" s="6"/>
      <c r="K271" s="6"/>
      <c r="L271" s="6"/>
      <c r="M271" s="6"/>
    </row>
    <row r="272" customFormat="false" ht="13.2" hidden="false" customHeight="false" outlineLevel="0" collapsed="false">
      <c r="D272" s="6"/>
      <c r="E272" s="6"/>
      <c r="F272" s="6"/>
      <c r="G272" s="6"/>
      <c r="H272" s="6"/>
      <c r="I272" s="6"/>
      <c r="J272" s="6"/>
      <c r="K272" s="6"/>
      <c r="L272" s="6"/>
      <c r="M272" s="6"/>
    </row>
    <row r="273" customFormat="false" ht="13.2" hidden="false" customHeight="false" outlineLevel="0" collapsed="false">
      <c r="D273" s="6"/>
      <c r="E273" s="6"/>
      <c r="F273" s="6"/>
      <c r="G273" s="6"/>
      <c r="H273" s="6"/>
      <c r="I273" s="6"/>
      <c r="J273" s="6"/>
      <c r="K273" s="6"/>
      <c r="L273" s="6"/>
      <c r="M273" s="6"/>
    </row>
    <row r="274" customFormat="false" ht="13.2" hidden="false" customHeight="false" outlineLevel="0" collapsed="false">
      <c r="D274" s="6"/>
      <c r="E274" s="6"/>
      <c r="F274" s="6"/>
      <c r="G274" s="6"/>
      <c r="H274" s="6"/>
      <c r="I274" s="6"/>
      <c r="J274" s="6"/>
      <c r="K274" s="6"/>
      <c r="L274" s="6"/>
      <c r="M274" s="6"/>
    </row>
    <row r="275" customFormat="false" ht="13.2" hidden="false" customHeight="false" outlineLevel="0" collapsed="false">
      <c r="D275" s="6"/>
      <c r="E275" s="6"/>
      <c r="F275" s="6"/>
      <c r="G275" s="6"/>
      <c r="H275" s="6"/>
      <c r="I275" s="6"/>
      <c r="J275" s="6"/>
      <c r="K275" s="6"/>
      <c r="L275" s="6"/>
      <c r="M275" s="6"/>
    </row>
    <row r="276" customFormat="false" ht="13.2" hidden="false" customHeight="false" outlineLevel="0" collapsed="false">
      <c r="D276" s="6"/>
      <c r="E276" s="6"/>
      <c r="F276" s="6"/>
      <c r="G276" s="6"/>
      <c r="H276" s="6"/>
      <c r="I276" s="6"/>
      <c r="J276" s="6"/>
      <c r="K276" s="6"/>
      <c r="L276" s="6"/>
      <c r="M276" s="6"/>
    </row>
    <row r="277" customFormat="false" ht="13.2" hidden="false" customHeight="false" outlineLevel="0" collapsed="false">
      <c r="D277" s="6"/>
      <c r="E277" s="6"/>
      <c r="F277" s="6"/>
      <c r="G277" s="6"/>
      <c r="H277" s="6"/>
      <c r="I277" s="6"/>
      <c r="J277" s="6"/>
      <c r="K277" s="6"/>
      <c r="L277" s="6"/>
      <c r="M277" s="6"/>
    </row>
    <row r="278" customFormat="false" ht="13.2" hidden="false" customHeight="false" outlineLevel="0" collapsed="false">
      <c r="D278" s="6"/>
      <c r="E278" s="6"/>
      <c r="F278" s="6"/>
      <c r="G278" s="6"/>
      <c r="H278" s="6"/>
      <c r="I278" s="6"/>
      <c r="J278" s="6"/>
      <c r="K278" s="6"/>
      <c r="L278" s="6"/>
      <c r="M278" s="6"/>
    </row>
    <row r="279" customFormat="false" ht="13.2" hidden="false" customHeight="false" outlineLevel="0" collapsed="false">
      <c r="D279" s="6"/>
      <c r="E279" s="6"/>
      <c r="F279" s="6"/>
      <c r="G279" s="6"/>
      <c r="H279" s="6"/>
      <c r="I279" s="6"/>
      <c r="J279" s="6"/>
      <c r="K279" s="6"/>
      <c r="L279" s="6"/>
      <c r="M279" s="6"/>
    </row>
    <row r="280" customFormat="false" ht="13.2" hidden="false" customHeight="false" outlineLevel="0" collapsed="false">
      <c r="D280" s="6"/>
      <c r="E280" s="6"/>
      <c r="F280" s="6"/>
      <c r="G280" s="6"/>
      <c r="H280" s="6"/>
      <c r="I280" s="6"/>
      <c r="J280" s="6"/>
      <c r="K280" s="6"/>
      <c r="L280" s="6"/>
      <c r="M280" s="6"/>
    </row>
    <row r="281" customFormat="false" ht="13.2" hidden="false" customHeight="false" outlineLevel="0" collapsed="false">
      <c r="D281" s="6"/>
      <c r="E281" s="6"/>
      <c r="F281" s="6"/>
      <c r="G281" s="6"/>
      <c r="H281" s="6"/>
      <c r="I281" s="6"/>
      <c r="J281" s="6"/>
      <c r="K281" s="6"/>
      <c r="L281" s="6"/>
      <c r="M281" s="6"/>
    </row>
    <row r="282" customFormat="false" ht="13.2" hidden="false" customHeight="false" outlineLevel="0" collapsed="false">
      <c r="D282" s="6"/>
      <c r="E282" s="6"/>
      <c r="F282" s="6"/>
      <c r="G282" s="6"/>
      <c r="H282" s="6"/>
      <c r="I282" s="6"/>
      <c r="J282" s="6"/>
      <c r="K282" s="6"/>
      <c r="L282" s="6"/>
      <c r="M282" s="6"/>
    </row>
    <row r="283" customFormat="false" ht="13.2" hidden="false" customHeight="false" outlineLevel="0" collapsed="false">
      <c r="D283" s="6"/>
      <c r="E283" s="6"/>
      <c r="F283" s="6"/>
      <c r="G283" s="6"/>
      <c r="H283" s="6"/>
      <c r="I283" s="6"/>
      <c r="J283" s="6"/>
      <c r="K283" s="6"/>
      <c r="L283" s="6"/>
      <c r="M283" s="6"/>
    </row>
    <row r="284" customFormat="false" ht="13.2" hidden="false" customHeight="false" outlineLevel="0" collapsed="false">
      <c r="D284" s="6"/>
      <c r="E284" s="6"/>
      <c r="F284" s="6"/>
      <c r="G284" s="6"/>
      <c r="H284" s="6"/>
      <c r="I284" s="6"/>
      <c r="J284" s="6"/>
      <c r="K284" s="6"/>
      <c r="L284" s="6"/>
      <c r="M284" s="6"/>
    </row>
    <row r="285" customFormat="false" ht="13.2" hidden="false" customHeight="false" outlineLevel="0" collapsed="false">
      <c r="D285" s="6"/>
      <c r="E285" s="6"/>
      <c r="F285" s="6"/>
      <c r="G285" s="6"/>
      <c r="H285" s="6"/>
      <c r="I285" s="6"/>
      <c r="J285" s="6"/>
      <c r="K285" s="6"/>
      <c r="L285" s="6"/>
      <c r="M285" s="6"/>
    </row>
    <row r="286" customFormat="false" ht="13.2" hidden="false" customHeight="false" outlineLevel="0" collapsed="false">
      <c r="D286" s="6"/>
      <c r="E286" s="6"/>
      <c r="F286" s="6"/>
      <c r="G286" s="6"/>
      <c r="H286" s="6"/>
      <c r="I286" s="6"/>
      <c r="J286" s="6"/>
      <c r="K286" s="6"/>
      <c r="L286" s="6"/>
      <c r="M286" s="6"/>
    </row>
    <row r="287" customFormat="false" ht="13.2" hidden="false" customHeight="false" outlineLevel="0" collapsed="false">
      <c r="D287" s="6"/>
      <c r="E287" s="6"/>
      <c r="F287" s="6"/>
      <c r="G287" s="6"/>
      <c r="H287" s="6"/>
      <c r="I287" s="6"/>
      <c r="J287" s="6"/>
      <c r="K287" s="6"/>
      <c r="L287" s="6"/>
      <c r="M287" s="6"/>
    </row>
    <row r="288" customFormat="false" ht="13.2" hidden="false" customHeight="false" outlineLevel="0" collapsed="false">
      <c r="D288" s="6"/>
      <c r="E288" s="6"/>
      <c r="F288" s="6"/>
      <c r="G288" s="6"/>
      <c r="H288" s="6"/>
      <c r="I288" s="6"/>
      <c r="J288" s="6"/>
      <c r="K288" s="6"/>
      <c r="L288" s="6"/>
      <c r="M288" s="6"/>
    </row>
    <row r="289" customFormat="false" ht="13.2" hidden="false" customHeight="false" outlineLevel="0" collapsed="false">
      <c r="D289" s="6"/>
      <c r="E289" s="6"/>
      <c r="F289" s="6"/>
      <c r="G289" s="6"/>
      <c r="H289" s="6"/>
      <c r="I289" s="6"/>
      <c r="J289" s="6"/>
      <c r="K289" s="6"/>
      <c r="L289" s="6"/>
      <c r="M289" s="6"/>
    </row>
    <row r="290" customFormat="false" ht="13.2" hidden="false" customHeight="false" outlineLevel="0" collapsed="false">
      <c r="D290" s="6"/>
      <c r="E290" s="6"/>
      <c r="F290" s="6"/>
      <c r="G290" s="6"/>
      <c r="H290" s="6"/>
      <c r="I290" s="6"/>
      <c r="J290" s="6"/>
      <c r="K290" s="6"/>
      <c r="L290" s="6"/>
      <c r="M290" s="6"/>
    </row>
    <row r="291" customFormat="false" ht="13.2" hidden="false" customHeight="false" outlineLevel="0" collapsed="false">
      <c r="D291" s="6"/>
      <c r="E291" s="6"/>
      <c r="F291" s="6"/>
      <c r="G291" s="6"/>
      <c r="H291" s="6"/>
      <c r="I291" s="6"/>
      <c r="J291" s="6"/>
      <c r="K291" s="6"/>
      <c r="L291" s="6"/>
      <c r="M291" s="6"/>
    </row>
    <row r="292" customFormat="false" ht="13.2" hidden="false" customHeight="false" outlineLevel="0" collapsed="false">
      <c r="D292" s="6"/>
      <c r="E292" s="6"/>
      <c r="F292" s="6"/>
      <c r="G292" s="6"/>
      <c r="H292" s="6"/>
      <c r="I292" s="6"/>
      <c r="J292" s="6"/>
      <c r="K292" s="6"/>
      <c r="L292" s="6"/>
      <c r="M292" s="6"/>
    </row>
    <row r="293" customFormat="false" ht="13.2" hidden="false" customHeight="false" outlineLevel="0" collapsed="false">
      <c r="D293" s="6"/>
      <c r="E293" s="6"/>
      <c r="F293" s="6"/>
      <c r="G293" s="6"/>
      <c r="H293" s="6"/>
      <c r="I293" s="6"/>
      <c r="J293" s="6"/>
      <c r="K293" s="6"/>
      <c r="L293" s="6"/>
      <c r="M293" s="6"/>
    </row>
    <row r="294" customFormat="false" ht="13.2" hidden="false" customHeight="false" outlineLevel="0" collapsed="false">
      <c r="D294" s="6"/>
      <c r="E294" s="6"/>
      <c r="F294" s="6"/>
      <c r="G294" s="6"/>
      <c r="H294" s="6"/>
      <c r="I294" s="6"/>
      <c r="J294" s="6"/>
      <c r="K294" s="6"/>
      <c r="L294" s="6"/>
      <c r="M294" s="6"/>
    </row>
    <row r="295" customFormat="false" ht="13.2" hidden="false" customHeight="false" outlineLevel="0" collapsed="false">
      <c r="D295" s="6"/>
      <c r="E295" s="6"/>
      <c r="F295" s="6"/>
      <c r="G295" s="6"/>
      <c r="H295" s="6"/>
      <c r="I295" s="6"/>
      <c r="J295" s="6"/>
      <c r="K295" s="6"/>
      <c r="L295" s="6"/>
      <c r="M295" s="6"/>
    </row>
    <row r="296" customFormat="false" ht="13.2" hidden="false" customHeight="false" outlineLevel="0" collapsed="false">
      <c r="D296" s="6"/>
      <c r="E296" s="6"/>
      <c r="F296" s="6"/>
      <c r="G296" s="6"/>
      <c r="H296" s="6"/>
      <c r="I296" s="6"/>
      <c r="J296" s="6"/>
      <c r="K296" s="6"/>
      <c r="L296" s="6"/>
      <c r="M296" s="6"/>
    </row>
    <row r="297" customFormat="false" ht="13.2" hidden="false" customHeight="false" outlineLevel="0" collapsed="false">
      <c r="D297" s="6"/>
      <c r="E297" s="6"/>
      <c r="F297" s="6"/>
      <c r="G297" s="6"/>
      <c r="H297" s="6"/>
      <c r="I297" s="6"/>
      <c r="J297" s="6"/>
      <c r="K297" s="6"/>
      <c r="L297" s="6"/>
      <c r="M297" s="6"/>
    </row>
    <row r="298" customFormat="false" ht="13.2" hidden="false" customHeight="false" outlineLevel="0" collapsed="false">
      <c r="D298" s="6"/>
      <c r="E298" s="6"/>
      <c r="F298" s="6"/>
      <c r="G298" s="6"/>
      <c r="H298" s="6"/>
      <c r="I298" s="6"/>
      <c r="J298" s="6"/>
      <c r="K298" s="6"/>
      <c r="L298" s="6"/>
      <c r="M298" s="6"/>
    </row>
    <row r="299" customFormat="false" ht="13.2" hidden="false" customHeight="false" outlineLevel="0" collapsed="false">
      <c r="D299" s="6"/>
      <c r="E299" s="6"/>
      <c r="F299" s="6"/>
      <c r="G299" s="6"/>
      <c r="H299" s="6"/>
      <c r="I299" s="6"/>
      <c r="J299" s="6"/>
      <c r="K299" s="6"/>
      <c r="L299" s="6"/>
      <c r="M299" s="6"/>
    </row>
    <row r="300" customFormat="false" ht="13.2" hidden="false" customHeight="false" outlineLevel="0" collapsed="false">
      <c r="D300" s="6"/>
      <c r="E300" s="6"/>
      <c r="F300" s="6"/>
      <c r="G300" s="6"/>
      <c r="H300" s="6"/>
      <c r="I300" s="6"/>
      <c r="J300" s="6"/>
      <c r="K300" s="6"/>
      <c r="L300" s="6"/>
      <c r="M300" s="6"/>
    </row>
    <row r="301" customFormat="false" ht="13.2" hidden="false" customHeight="false" outlineLevel="0" collapsed="false">
      <c r="D301" s="6"/>
      <c r="E301" s="6"/>
      <c r="F301" s="6"/>
      <c r="G301" s="6"/>
      <c r="H301" s="6"/>
      <c r="I301" s="6"/>
      <c r="J301" s="6"/>
      <c r="K301" s="6"/>
      <c r="L301" s="6"/>
      <c r="M301" s="6"/>
    </row>
    <row r="302" customFormat="false" ht="13.2" hidden="false" customHeight="false" outlineLevel="0" collapsed="false">
      <c r="D302" s="6"/>
      <c r="E302" s="6"/>
      <c r="F302" s="6"/>
      <c r="G302" s="6"/>
      <c r="H302" s="6"/>
      <c r="I302" s="6"/>
      <c r="J302" s="6"/>
      <c r="K302" s="6"/>
      <c r="L302" s="6"/>
      <c r="M302" s="6"/>
    </row>
    <row r="303" customFormat="false" ht="13.2" hidden="false" customHeight="false" outlineLevel="0" collapsed="false">
      <c r="D303" s="6"/>
      <c r="E303" s="6"/>
      <c r="F303" s="6"/>
      <c r="G303" s="6"/>
      <c r="H303" s="6"/>
      <c r="I303" s="6"/>
      <c r="J303" s="6"/>
      <c r="K303" s="6"/>
      <c r="L303" s="6"/>
      <c r="M303" s="6"/>
    </row>
    <row r="304" customFormat="false" ht="13.2" hidden="false" customHeight="false" outlineLevel="0" collapsed="false">
      <c r="D304" s="6"/>
      <c r="E304" s="6"/>
      <c r="F304" s="6"/>
      <c r="G304" s="6"/>
      <c r="H304" s="6"/>
      <c r="I304" s="6"/>
      <c r="J304" s="6"/>
      <c r="K304" s="6"/>
      <c r="L304" s="6"/>
      <c r="M304" s="6"/>
    </row>
    <row r="305" customFormat="false" ht="13.2" hidden="false" customHeight="false" outlineLevel="0" collapsed="false">
      <c r="D305" s="6"/>
      <c r="E305" s="6"/>
      <c r="F305" s="6"/>
      <c r="G305" s="6"/>
      <c r="H305" s="6"/>
      <c r="I305" s="6"/>
      <c r="J305" s="6"/>
      <c r="K305" s="6"/>
      <c r="L305" s="6"/>
      <c r="M305" s="6"/>
    </row>
    <row r="306" customFormat="false" ht="13.2" hidden="false" customHeight="false" outlineLevel="0" collapsed="false">
      <c r="D306" s="6"/>
      <c r="E306" s="6"/>
      <c r="F306" s="6"/>
      <c r="G306" s="6"/>
      <c r="H306" s="6"/>
      <c r="I306" s="6"/>
      <c r="J306" s="6"/>
      <c r="K306" s="6"/>
      <c r="L306" s="6"/>
      <c r="M306" s="6"/>
    </row>
    <row r="307" customFormat="false" ht="13.2" hidden="false" customHeight="false" outlineLevel="0" collapsed="false">
      <c r="D307" s="6"/>
      <c r="E307" s="6"/>
      <c r="F307" s="6"/>
      <c r="G307" s="6"/>
      <c r="H307" s="6"/>
      <c r="I307" s="6"/>
      <c r="J307" s="6"/>
      <c r="K307" s="6"/>
      <c r="L307" s="6"/>
      <c r="M307" s="6"/>
    </row>
    <row r="308" customFormat="false" ht="13.2" hidden="false" customHeight="false" outlineLevel="0" collapsed="false"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customFormat="false" ht="13.2" hidden="false" customHeight="false" outlineLevel="0" collapsed="false"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customFormat="false" ht="13.2" hidden="false" customHeight="false" outlineLevel="0" collapsed="false">
      <c r="D310" s="6"/>
      <c r="E310" s="6"/>
      <c r="F310" s="6"/>
      <c r="G310" s="6"/>
      <c r="H310" s="6"/>
      <c r="I310" s="6"/>
      <c r="J310" s="6"/>
      <c r="K310" s="6"/>
      <c r="L310" s="6"/>
      <c r="M310" s="6"/>
    </row>
    <row r="311" customFormat="false" ht="13.2" hidden="false" customHeight="false" outlineLevel="0" collapsed="false">
      <c r="D311" s="6"/>
      <c r="E311" s="6"/>
      <c r="F311" s="6"/>
      <c r="G311" s="6"/>
      <c r="H311" s="6"/>
      <c r="I311" s="6"/>
      <c r="J311" s="6"/>
      <c r="K311" s="6"/>
      <c r="L311" s="6"/>
      <c r="M311" s="6"/>
    </row>
    <row r="312" customFormat="false" ht="13.2" hidden="false" customHeight="false" outlineLevel="0" collapsed="false"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customFormat="false" ht="13.2" hidden="false" customHeight="false" outlineLevel="0" collapsed="false">
      <c r="D313" s="6"/>
      <c r="E313" s="6"/>
      <c r="F313" s="6"/>
      <c r="G313" s="6"/>
      <c r="H313" s="6"/>
      <c r="I313" s="6"/>
      <c r="J313" s="6"/>
      <c r="K313" s="6"/>
      <c r="L313" s="6"/>
      <c r="M313" s="6"/>
    </row>
    <row r="314" customFormat="false" ht="13.2" hidden="false" customHeight="false" outlineLevel="0" collapsed="false"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customFormat="false" ht="13.2" hidden="false" customHeight="false" outlineLevel="0" collapsed="false">
      <c r="D315" s="6"/>
      <c r="E315" s="6"/>
      <c r="F315" s="6"/>
      <c r="G315" s="6"/>
      <c r="H315" s="6"/>
      <c r="I315" s="6"/>
      <c r="J315" s="6"/>
      <c r="K315" s="6"/>
      <c r="L315" s="6"/>
      <c r="M315" s="6"/>
    </row>
    <row r="316" customFormat="false" ht="13.2" hidden="false" customHeight="false" outlineLevel="0" collapsed="false">
      <c r="D316" s="6"/>
      <c r="E316" s="6"/>
      <c r="F316" s="6"/>
      <c r="G316" s="6"/>
      <c r="H316" s="6"/>
      <c r="I316" s="6"/>
      <c r="J316" s="6"/>
      <c r="K316" s="6"/>
      <c r="L316" s="6"/>
      <c r="M316" s="6"/>
    </row>
    <row r="317" customFormat="false" ht="13.2" hidden="false" customHeight="false" outlineLevel="0" collapsed="false">
      <c r="D317" s="6"/>
      <c r="E317" s="6"/>
      <c r="F317" s="6"/>
      <c r="G317" s="6"/>
      <c r="H317" s="6"/>
      <c r="I317" s="6"/>
      <c r="J317" s="6"/>
      <c r="K317" s="6"/>
      <c r="L317" s="6"/>
      <c r="M317" s="6"/>
    </row>
    <row r="318" customFormat="false" ht="13.2" hidden="false" customHeight="false" outlineLevel="0" collapsed="false">
      <c r="D318" s="6"/>
      <c r="E318" s="6"/>
      <c r="F318" s="6"/>
      <c r="G318" s="6"/>
      <c r="H318" s="6"/>
      <c r="I318" s="6"/>
      <c r="J318" s="6"/>
      <c r="K318" s="6"/>
      <c r="L318" s="6"/>
      <c r="M318" s="6"/>
    </row>
    <row r="319" customFormat="false" ht="13.2" hidden="false" customHeight="false" outlineLevel="0" collapsed="false">
      <c r="D319" s="6"/>
      <c r="E319" s="6"/>
      <c r="F319" s="6"/>
      <c r="G319" s="6"/>
      <c r="H319" s="6"/>
      <c r="I319" s="6"/>
      <c r="J319" s="6"/>
      <c r="K319" s="6"/>
      <c r="L319" s="6"/>
      <c r="M319" s="6"/>
    </row>
    <row r="320" customFormat="false" ht="13.2" hidden="false" customHeight="false" outlineLevel="0" collapsed="false">
      <c r="D320" s="6"/>
      <c r="E320" s="6"/>
      <c r="F320" s="6"/>
      <c r="G320" s="6"/>
      <c r="H320" s="6"/>
      <c r="I320" s="6"/>
      <c r="J320" s="6"/>
      <c r="K320" s="6"/>
      <c r="L320" s="6"/>
      <c r="M320" s="6"/>
    </row>
    <row r="321" customFormat="false" ht="13.2" hidden="false" customHeight="false" outlineLevel="0" collapsed="false">
      <c r="D321" s="6"/>
      <c r="E321" s="6"/>
      <c r="F321" s="6"/>
      <c r="G321" s="6"/>
      <c r="H321" s="6"/>
      <c r="I321" s="6"/>
      <c r="J321" s="6"/>
      <c r="K321" s="6"/>
      <c r="L321" s="6"/>
      <c r="M321" s="6"/>
    </row>
    <row r="322" customFormat="false" ht="13.2" hidden="false" customHeight="false" outlineLevel="0" collapsed="false">
      <c r="D322" s="6"/>
      <c r="E322" s="6"/>
      <c r="F322" s="6"/>
      <c r="G322" s="6"/>
      <c r="H322" s="6"/>
      <c r="I322" s="6"/>
      <c r="J322" s="6"/>
      <c r="K322" s="6"/>
      <c r="L322" s="6"/>
      <c r="M322" s="6"/>
    </row>
    <row r="323" customFormat="false" ht="13.2" hidden="false" customHeight="false" outlineLevel="0" collapsed="false">
      <c r="D323" s="6"/>
      <c r="E323" s="6"/>
      <c r="F323" s="6"/>
      <c r="G323" s="6"/>
      <c r="H323" s="6"/>
      <c r="I323" s="6"/>
      <c r="J323" s="6"/>
      <c r="K323" s="6"/>
      <c r="L323" s="6"/>
      <c r="M323" s="6"/>
    </row>
    <row r="324" customFormat="false" ht="13.2" hidden="false" customHeight="false" outlineLevel="0" collapsed="false">
      <c r="D324" s="6"/>
      <c r="E324" s="6"/>
      <c r="F324" s="6"/>
      <c r="G324" s="6"/>
      <c r="H324" s="6"/>
      <c r="I324" s="6"/>
      <c r="J324" s="6"/>
      <c r="K324" s="6"/>
      <c r="L324" s="6"/>
      <c r="M324" s="6"/>
    </row>
    <row r="325" customFormat="false" ht="13.2" hidden="false" customHeight="false" outlineLevel="0" collapsed="false">
      <c r="D325" s="6"/>
      <c r="E325" s="6"/>
      <c r="F325" s="6"/>
      <c r="G325" s="6"/>
      <c r="H325" s="6"/>
      <c r="I325" s="6"/>
      <c r="J325" s="6"/>
      <c r="K325" s="6"/>
      <c r="L325" s="6"/>
      <c r="M325" s="6"/>
    </row>
    <row r="326" customFormat="false" ht="13.2" hidden="false" customHeight="false" outlineLevel="0" collapsed="false">
      <c r="D326" s="6"/>
      <c r="E326" s="6"/>
      <c r="F326" s="6"/>
      <c r="G326" s="6"/>
      <c r="H326" s="6"/>
      <c r="I326" s="6"/>
      <c r="J326" s="6"/>
      <c r="K326" s="6"/>
      <c r="L326" s="6"/>
      <c r="M326" s="6"/>
    </row>
    <row r="327" customFormat="false" ht="13.2" hidden="false" customHeight="false" outlineLevel="0" collapsed="false">
      <c r="D327" s="6"/>
      <c r="E327" s="6"/>
      <c r="F327" s="6"/>
      <c r="G327" s="6"/>
      <c r="H327" s="6"/>
      <c r="I327" s="6"/>
      <c r="J327" s="6"/>
      <c r="K327" s="6"/>
      <c r="L327" s="6"/>
      <c r="M327" s="6"/>
    </row>
    <row r="328" customFormat="false" ht="13.2" hidden="false" customHeight="false" outlineLevel="0" collapsed="false">
      <c r="D328" s="6"/>
      <c r="E328" s="6"/>
      <c r="F328" s="6"/>
      <c r="G328" s="6"/>
      <c r="H328" s="6"/>
      <c r="I328" s="6"/>
      <c r="J328" s="6"/>
      <c r="K328" s="6"/>
      <c r="L328" s="6"/>
      <c r="M328" s="6"/>
    </row>
    <row r="329" customFormat="false" ht="13.2" hidden="false" customHeight="false" outlineLevel="0" collapsed="false">
      <c r="D329" s="6"/>
      <c r="E329" s="6"/>
      <c r="F329" s="6"/>
      <c r="G329" s="6"/>
      <c r="H329" s="6"/>
      <c r="I329" s="6"/>
      <c r="J329" s="6"/>
      <c r="K329" s="6"/>
      <c r="L329" s="6"/>
      <c r="M329" s="6"/>
    </row>
    <row r="330" customFormat="false" ht="13.2" hidden="false" customHeight="false" outlineLevel="0" collapsed="false">
      <c r="D330" s="6"/>
      <c r="E330" s="6"/>
      <c r="F330" s="6"/>
      <c r="G330" s="6"/>
      <c r="H330" s="6"/>
      <c r="I330" s="6"/>
      <c r="J330" s="6"/>
      <c r="K330" s="6"/>
      <c r="L330" s="6"/>
      <c r="M330" s="6"/>
    </row>
    <row r="331" customFormat="false" ht="13.2" hidden="false" customHeight="false" outlineLevel="0" collapsed="false">
      <c r="D331" s="6"/>
      <c r="E331" s="6"/>
      <c r="F331" s="6"/>
      <c r="G331" s="6"/>
      <c r="H331" s="6"/>
      <c r="I331" s="6"/>
      <c r="J331" s="6"/>
      <c r="K331" s="6"/>
      <c r="L331" s="6"/>
      <c r="M331" s="6"/>
    </row>
    <row r="332" customFormat="false" ht="13.2" hidden="false" customHeight="false" outlineLevel="0" collapsed="false">
      <c r="D332" s="6"/>
      <c r="E332" s="6"/>
      <c r="F332" s="6"/>
      <c r="G332" s="6"/>
      <c r="H332" s="6"/>
      <c r="I332" s="6"/>
      <c r="J332" s="6"/>
      <c r="K332" s="6"/>
      <c r="L332" s="6"/>
      <c r="M332" s="6"/>
    </row>
    <row r="333" customFormat="false" ht="13.2" hidden="false" customHeight="false" outlineLevel="0" collapsed="false">
      <c r="D333" s="6"/>
      <c r="E333" s="6"/>
      <c r="F333" s="6"/>
      <c r="G333" s="6"/>
      <c r="H333" s="6"/>
      <c r="I333" s="6"/>
      <c r="J333" s="6"/>
      <c r="K333" s="6"/>
      <c r="L333" s="6"/>
      <c r="M333" s="6"/>
    </row>
    <row r="334" customFormat="false" ht="13.2" hidden="false" customHeight="false" outlineLevel="0" collapsed="false">
      <c r="D334" s="6"/>
      <c r="E334" s="6"/>
      <c r="F334" s="6"/>
      <c r="G334" s="6"/>
      <c r="H334" s="6"/>
      <c r="I334" s="6"/>
      <c r="J334" s="6"/>
      <c r="K334" s="6"/>
      <c r="L334" s="6"/>
      <c r="M334" s="6"/>
    </row>
    <row r="335" customFormat="false" ht="13.2" hidden="false" customHeight="false" outlineLevel="0" collapsed="false">
      <c r="D335" s="6"/>
      <c r="E335" s="6"/>
      <c r="F335" s="6"/>
      <c r="G335" s="6"/>
      <c r="H335" s="6"/>
      <c r="I335" s="6"/>
      <c r="J335" s="6"/>
      <c r="K335" s="6"/>
      <c r="L335" s="6"/>
      <c r="M335" s="6"/>
    </row>
    <row r="336" customFormat="false" ht="13.2" hidden="false" customHeight="false" outlineLevel="0" collapsed="false">
      <c r="D336" s="6"/>
      <c r="E336" s="6"/>
      <c r="F336" s="6"/>
      <c r="G336" s="6"/>
      <c r="H336" s="6"/>
      <c r="I336" s="6"/>
      <c r="J336" s="6"/>
      <c r="K336" s="6"/>
      <c r="L336" s="6"/>
      <c r="M336" s="6"/>
    </row>
    <row r="337" customFormat="false" ht="13.2" hidden="false" customHeight="false" outlineLevel="0" collapsed="false">
      <c r="D337" s="6"/>
      <c r="E337" s="6"/>
      <c r="F337" s="6"/>
      <c r="G337" s="6"/>
      <c r="H337" s="6"/>
      <c r="I337" s="6"/>
      <c r="J337" s="6"/>
      <c r="K337" s="6"/>
      <c r="L337" s="6"/>
      <c r="M337" s="6"/>
    </row>
    <row r="338" customFormat="false" ht="13.2" hidden="false" customHeight="false" outlineLevel="0" collapsed="false">
      <c r="D338" s="6"/>
      <c r="E338" s="6"/>
      <c r="F338" s="6"/>
      <c r="G338" s="6"/>
      <c r="H338" s="6"/>
      <c r="I338" s="6"/>
      <c r="J338" s="6"/>
      <c r="K338" s="6"/>
      <c r="L338" s="6"/>
      <c r="M338" s="6"/>
    </row>
    <row r="339" customFormat="false" ht="13.2" hidden="false" customHeight="false" outlineLevel="0" collapsed="false">
      <c r="D339" s="6"/>
      <c r="E339" s="6"/>
      <c r="F339" s="6"/>
      <c r="G339" s="6"/>
      <c r="H339" s="6"/>
      <c r="I339" s="6"/>
      <c r="J339" s="6"/>
      <c r="K339" s="6"/>
      <c r="L339" s="6"/>
      <c r="M339" s="6"/>
    </row>
    <row r="340" customFormat="false" ht="13.2" hidden="false" customHeight="false" outlineLevel="0" collapsed="false">
      <c r="D340" s="6"/>
      <c r="E340" s="6"/>
      <c r="F340" s="6"/>
      <c r="G340" s="6"/>
      <c r="H340" s="6"/>
      <c r="I340" s="6"/>
      <c r="J340" s="6"/>
      <c r="K340" s="6"/>
      <c r="L340" s="6"/>
      <c r="M340" s="6"/>
    </row>
    <row r="341" customFormat="false" ht="13.2" hidden="false" customHeight="false" outlineLevel="0" collapsed="false">
      <c r="D341" s="6"/>
      <c r="E341" s="6"/>
      <c r="F341" s="6"/>
      <c r="G341" s="6"/>
      <c r="H341" s="6"/>
      <c r="I341" s="6"/>
      <c r="J341" s="6"/>
      <c r="K341" s="6"/>
      <c r="L341" s="6"/>
      <c r="M341" s="6"/>
    </row>
    <row r="342" customFormat="false" ht="13.2" hidden="false" customHeight="false" outlineLevel="0" collapsed="false">
      <c r="D342" s="6"/>
      <c r="E342" s="6"/>
      <c r="F342" s="6"/>
      <c r="G342" s="6"/>
      <c r="H342" s="6"/>
      <c r="I342" s="6"/>
      <c r="J342" s="6"/>
      <c r="K342" s="6"/>
      <c r="L342" s="6"/>
      <c r="M342" s="6"/>
    </row>
    <row r="343" customFormat="false" ht="13.2" hidden="false" customHeight="false" outlineLevel="0" collapsed="false">
      <c r="D343" s="6"/>
      <c r="E343" s="6"/>
      <c r="F343" s="6"/>
      <c r="G343" s="6"/>
      <c r="H343" s="6"/>
      <c r="I343" s="6"/>
      <c r="J343" s="6"/>
      <c r="K343" s="6"/>
      <c r="L343" s="6"/>
      <c r="M343" s="6"/>
    </row>
    <row r="344" customFormat="false" ht="13.2" hidden="false" customHeight="false" outlineLevel="0" collapsed="false">
      <c r="D344" s="6"/>
      <c r="E344" s="6"/>
      <c r="F344" s="6"/>
      <c r="G344" s="6"/>
      <c r="H344" s="6"/>
      <c r="I344" s="6"/>
      <c r="J344" s="6"/>
      <c r="K344" s="6"/>
      <c r="L344" s="6"/>
      <c r="M344" s="6"/>
    </row>
    <row r="345" customFormat="false" ht="13.2" hidden="false" customHeight="false" outlineLevel="0" collapsed="false">
      <c r="D345" s="6"/>
      <c r="E345" s="6"/>
      <c r="F345" s="6"/>
      <c r="G345" s="6"/>
      <c r="H345" s="6"/>
      <c r="I345" s="6"/>
      <c r="J345" s="6"/>
      <c r="K345" s="6"/>
      <c r="L345" s="6"/>
      <c r="M345" s="6"/>
    </row>
    <row r="346" customFormat="false" ht="13.2" hidden="false" customHeight="false" outlineLevel="0" collapsed="false">
      <c r="D346" s="6"/>
      <c r="E346" s="6"/>
      <c r="F346" s="6"/>
      <c r="G346" s="6"/>
      <c r="H346" s="6"/>
      <c r="I346" s="6"/>
      <c r="J346" s="6"/>
      <c r="K346" s="6"/>
      <c r="L346" s="6"/>
      <c r="M346" s="6"/>
    </row>
    <row r="347" customFormat="false" ht="13.2" hidden="false" customHeight="false" outlineLevel="0" collapsed="false">
      <c r="D347" s="6"/>
      <c r="E347" s="6"/>
      <c r="F347" s="6"/>
      <c r="G347" s="6"/>
      <c r="H347" s="6"/>
      <c r="I347" s="6"/>
      <c r="J347" s="6"/>
      <c r="K347" s="6"/>
      <c r="L347" s="6"/>
      <c r="M347" s="6"/>
    </row>
    <row r="348" customFormat="false" ht="13.2" hidden="false" customHeight="false" outlineLevel="0" collapsed="false">
      <c r="D348" s="6"/>
      <c r="E348" s="6"/>
      <c r="F348" s="6"/>
      <c r="G348" s="6"/>
      <c r="H348" s="6"/>
      <c r="I348" s="6"/>
      <c r="J348" s="6"/>
      <c r="K348" s="6"/>
      <c r="L348" s="6"/>
      <c r="M348" s="6"/>
    </row>
    <row r="349" customFormat="false" ht="13.2" hidden="false" customHeight="false" outlineLevel="0" collapsed="false">
      <c r="D349" s="6"/>
      <c r="E349" s="6"/>
      <c r="F349" s="6"/>
      <c r="G349" s="6"/>
      <c r="H349" s="6"/>
      <c r="I349" s="6"/>
      <c r="J349" s="6"/>
      <c r="K349" s="6"/>
      <c r="L349" s="6"/>
      <c r="M349" s="6"/>
    </row>
    <row r="350" customFormat="false" ht="13.2" hidden="false" customHeight="false" outlineLevel="0" collapsed="false">
      <c r="D350" s="6"/>
      <c r="E350" s="6"/>
      <c r="F350" s="6"/>
      <c r="G350" s="6"/>
      <c r="H350" s="6"/>
      <c r="I350" s="6"/>
      <c r="J350" s="6"/>
      <c r="K350" s="6"/>
      <c r="L350" s="6"/>
      <c r="M350" s="6"/>
    </row>
    <row r="351" customFormat="false" ht="13.2" hidden="false" customHeight="false" outlineLevel="0" collapsed="false">
      <c r="D351" s="6"/>
      <c r="E351" s="6"/>
      <c r="F351" s="6"/>
      <c r="G351" s="6"/>
      <c r="H351" s="6"/>
      <c r="I351" s="6"/>
      <c r="J351" s="6"/>
      <c r="K351" s="6"/>
      <c r="L351" s="6"/>
      <c r="M351" s="6"/>
    </row>
    <row r="352" customFormat="false" ht="13.2" hidden="false" customHeight="false" outlineLevel="0" collapsed="false">
      <c r="D352" s="6"/>
      <c r="E352" s="6"/>
      <c r="F352" s="6"/>
      <c r="G352" s="6"/>
      <c r="H352" s="6"/>
      <c r="I352" s="6"/>
      <c r="J352" s="6"/>
      <c r="K352" s="6"/>
      <c r="L352" s="6"/>
      <c r="M352" s="6"/>
    </row>
    <row r="353" customFormat="false" ht="13.2" hidden="false" customHeight="false" outlineLevel="0" collapsed="false">
      <c r="D353" s="6"/>
      <c r="E353" s="6"/>
      <c r="F353" s="6"/>
      <c r="G353" s="6"/>
      <c r="H353" s="6"/>
      <c r="I353" s="6"/>
      <c r="J353" s="6"/>
      <c r="K353" s="6"/>
      <c r="L353" s="6"/>
      <c r="M353" s="6"/>
    </row>
    <row r="354" customFormat="false" ht="13.2" hidden="false" customHeight="false" outlineLevel="0" collapsed="false">
      <c r="D354" s="6"/>
      <c r="E354" s="6"/>
      <c r="F354" s="6"/>
      <c r="G354" s="6"/>
      <c r="H354" s="6"/>
      <c r="I354" s="6"/>
      <c r="J354" s="6"/>
      <c r="K354" s="6"/>
      <c r="L354" s="6"/>
      <c r="M354" s="6"/>
    </row>
    <row r="355" customFormat="false" ht="13.2" hidden="false" customHeight="false" outlineLevel="0" collapsed="false">
      <c r="D355" s="6"/>
      <c r="E355" s="6"/>
      <c r="F355" s="6"/>
      <c r="G355" s="6"/>
      <c r="H355" s="6"/>
      <c r="I355" s="6"/>
      <c r="J355" s="6"/>
      <c r="K355" s="6"/>
      <c r="L355" s="6"/>
      <c r="M355" s="6"/>
    </row>
    <row r="356" customFormat="false" ht="13.2" hidden="false" customHeight="false" outlineLevel="0" collapsed="false">
      <c r="D356" s="6"/>
      <c r="E356" s="6"/>
      <c r="F356" s="6"/>
      <c r="G356" s="6"/>
      <c r="H356" s="6"/>
      <c r="I356" s="6"/>
      <c r="J356" s="6"/>
      <c r="K356" s="6"/>
      <c r="L356" s="6"/>
      <c r="M356" s="6"/>
    </row>
    <row r="357" customFormat="false" ht="13.2" hidden="false" customHeight="false" outlineLevel="0" collapsed="false">
      <c r="D357" s="6"/>
      <c r="E357" s="6"/>
      <c r="F357" s="6"/>
      <c r="G357" s="6"/>
      <c r="H357" s="6"/>
      <c r="I357" s="6"/>
      <c r="J357" s="6"/>
      <c r="K357" s="6"/>
      <c r="L357" s="6"/>
      <c r="M357" s="6"/>
    </row>
    <row r="358" customFormat="false" ht="13.2" hidden="false" customHeight="false" outlineLevel="0" collapsed="false">
      <c r="D358" s="6"/>
      <c r="E358" s="6"/>
      <c r="F358" s="6"/>
      <c r="G358" s="6"/>
      <c r="H358" s="6"/>
      <c r="I358" s="6"/>
      <c r="J358" s="6"/>
      <c r="K358" s="6"/>
      <c r="L358" s="6"/>
      <c r="M358" s="6"/>
    </row>
    <row r="359" customFormat="false" ht="13.2" hidden="false" customHeight="false" outlineLevel="0" collapsed="false">
      <c r="D359" s="6"/>
      <c r="E359" s="6"/>
      <c r="F359" s="6"/>
      <c r="G359" s="6"/>
      <c r="H359" s="6"/>
      <c r="I359" s="6"/>
      <c r="J359" s="6"/>
      <c r="K359" s="6"/>
      <c r="L359" s="6"/>
      <c r="M359" s="6"/>
    </row>
    <row r="360" customFormat="false" ht="13.2" hidden="false" customHeight="false" outlineLevel="0" collapsed="false">
      <c r="D360" s="6"/>
      <c r="E360" s="6"/>
      <c r="F360" s="6"/>
      <c r="G360" s="6"/>
      <c r="H360" s="6"/>
      <c r="I360" s="6"/>
      <c r="J360" s="6"/>
      <c r="K360" s="6"/>
      <c r="L360" s="6"/>
      <c r="M360" s="6"/>
    </row>
    <row r="361" customFormat="false" ht="13.2" hidden="false" customHeight="false" outlineLevel="0" collapsed="false">
      <c r="D361" s="6"/>
      <c r="E361" s="6"/>
      <c r="F361" s="6"/>
      <c r="G361" s="6"/>
      <c r="H361" s="6"/>
      <c r="I361" s="6"/>
      <c r="J361" s="6"/>
      <c r="K361" s="6"/>
      <c r="L361" s="6"/>
      <c r="M361" s="6"/>
    </row>
    <row r="362" customFormat="false" ht="13.2" hidden="false" customHeight="false" outlineLevel="0" collapsed="false">
      <c r="D362" s="6"/>
      <c r="E362" s="6"/>
      <c r="F362" s="6"/>
      <c r="G362" s="6"/>
      <c r="H362" s="6"/>
      <c r="I362" s="6"/>
      <c r="J362" s="6"/>
      <c r="K362" s="6"/>
      <c r="L362" s="6"/>
      <c r="M362" s="6"/>
    </row>
    <row r="363" customFormat="false" ht="13.2" hidden="false" customHeight="false" outlineLevel="0" collapsed="false">
      <c r="D363" s="6"/>
      <c r="E363" s="6"/>
      <c r="F363" s="6"/>
      <c r="G363" s="6"/>
      <c r="H363" s="6"/>
      <c r="I363" s="6"/>
      <c r="J363" s="6"/>
      <c r="K363" s="6"/>
      <c r="L363" s="6"/>
      <c r="M363" s="6"/>
    </row>
    <row r="364" customFormat="false" ht="13.2" hidden="false" customHeight="false" outlineLevel="0" collapsed="false">
      <c r="D364" s="6"/>
      <c r="E364" s="6"/>
      <c r="F364" s="6"/>
      <c r="G364" s="6"/>
      <c r="H364" s="6"/>
      <c r="I364" s="6"/>
      <c r="J364" s="6"/>
      <c r="K364" s="6"/>
      <c r="L364" s="6"/>
      <c r="M364" s="6"/>
    </row>
    <row r="365" customFormat="false" ht="13.2" hidden="false" customHeight="false" outlineLevel="0" collapsed="false">
      <c r="D365" s="6"/>
      <c r="E365" s="6"/>
      <c r="F365" s="6"/>
      <c r="G365" s="6"/>
      <c r="H365" s="6"/>
      <c r="I365" s="6"/>
      <c r="J365" s="6"/>
      <c r="K365" s="6"/>
      <c r="L365" s="6"/>
      <c r="M365" s="6"/>
    </row>
    <row r="366" customFormat="false" ht="13.2" hidden="false" customHeight="false" outlineLevel="0" collapsed="false">
      <c r="D366" s="6"/>
      <c r="E366" s="6"/>
      <c r="F366" s="6"/>
      <c r="G366" s="6"/>
      <c r="H366" s="6"/>
      <c r="I366" s="6"/>
      <c r="J366" s="6"/>
      <c r="K366" s="6"/>
      <c r="L366" s="6"/>
      <c r="M366" s="6"/>
    </row>
    <row r="367" customFormat="false" ht="13.2" hidden="false" customHeight="false" outlineLevel="0" collapsed="false">
      <c r="D367" s="6"/>
      <c r="E367" s="6"/>
      <c r="F367" s="6"/>
      <c r="G367" s="6"/>
      <c r="H367" s="6"/>
      <c r="I367" s="6"/>
      <c r="J367" s="6"/>
      <c r="K367" s="6"/>
      <c r="L367" s="6"/>
      <c r="M367" s="6"/>
    </row>
    <row r="368" customFormat="false" ht="13.2" hidden="false" customHeight="false" outlineLevel="0" collapsed="false">
      <c r="D368" s="6"/>
      <c r="E368" s="6"/>
      <c r="F368" s="6"/>
      <c r="G368" s="6"/>
      <c r="H368" s="6"/>
      <c r="I368" s="6"/>
      <c r="J368" s="6"/>
      <c r="K368" s="6"/>
      <c r="L368" s="6"/>
      <c r="M368" s="6"/>
    </row>
    <row r="369" customFormat="false" ht="13.2" hidden="false" customHeight="false" outlineLevel="0" collapsed="false">
      <c r="D369" s="6"/>
      <c r="E369" s="6"/>
      <c r="F369" s="6"/>
      <c r="G369" s="6"/>
      <c r="H369" s="6"/>
      <c r="I369" s="6"/>
      <c r="J369" s="6"/>
      <c r="K369" s="6"/>
      <c r="L369" s="6"/>
      <c r="M369" s="6"/>
    </row>
    <row r="370" customFormat="false" ht="13.2" hidden="false" customHeight="false" outlineLevel="0" collapsed="false">
      <c r="D370" s="6"/>
      <c r="E370" s="6"/>
      <c r="F370" s="6"/>
      <c r="G370" s="6"/>
      <c r="H370" s="6"/>
      <c r="I370" s="6"/>
      <c r="J370" s="6"/>
      <c r="K370" s="6"/>
      <c r="L370" s="6"/>
      <c r="M370" s="6"/>
    </row>
    <row r="371" customFormat="false" ht="13.2" hidden="false" customHeight="false" outlineLevel="0" collapsed="false">
      <c r="D371" s="6"/>
      <c r="E371" s="6"/>
      <c r="F371" s="6"/>
      <c r="G371" s="6"/>
      <c r="H371" s="6"/>
      <c r="I371" s="6"/>
      <c r="J371" s="6"/>
      <c r="K371" s="6"/>
      <c r="L371" s="6"/>
      <c r="M371" s="6"/>
    </row>
    <row r="372" customFormat="false" ht="13.2" hidden="false" customHeight="false" outlineLevel="0" collapsed="false">
      <c r="D372" s="6"/>
      <c r="E372" s="6"/>
      <c r="F372" s="6"/>
      <c r="G372" s="6"/>
      <c r="H372" s="6"/>
      <c r="I372" s="6"/>
      <c r="J372" s="6"/>
      <c r="K372" s="6"/>
      <c r="L372" s="6"/>
      <c r="M372" s="6"/>
    </row>
    <row r="373" customFormat="false" ht="13.2" hidden="false" customHeight="false" outlineLevel="0" collapsed="false">
      <c r="D373" s="6"/>
      <c r="E373" s="6"/>
      <c r="F373" s="6"/>
      <c r="G373" s="6"/>
      <c r="H373" s="6"/>
      <c r="I373" s="6"/>
      <c r="J373" s="6"/>
      <c r="K373" s="6"/>
      <c r="L373" s="6"/>
      <c r="M373" s="6"/>
    </row>
    <row r="374" customFormat="false" ht="13.2" hidden="false" customHeight="false" outlineLevel="0" collapsed="false">
      <c r="D374" s="6"/>
      <c r="E374" s="6"/>
      <c r="F374" s="6"/>
      <c r="G374" s="6"/>
      <c r="H374" s="6"/>
      <c r="I374" s="6"/>
      <c r="J374" s="6"/>
      <c r="K374" s="6"/>
      <c r="L374" s="6"/>
      <c r="M374" s="6"/>
    </row>
    <row r="375" customFormat="false" ht="13.2" hidden="false" customHeight="false" outlineLevel="0" collapsed="false">
      <c r="D375" s="6"/>
      <c r="E375" s="6"/>
      <c r="F375" s="6"/>
      <c r="G375" s="6"/>
      <c r="H375" s="6"/>
      <c r="I375" s="6"/>
      <c r="J375" s="6"/>
      <c r="K375" s="6"/>
      <c r="L375" s="6"/>
      <c r="M375" s="6"/>
    </row>
    <row r="376" customFormat="false" ht="13.2" hidden="false" customHeight="false" outlineLevel="0" collapsed="false">
      <c r="D376" s="6"/>
      <c r="E376" s="6"/>
      <c r="F376" s="6"/>
      <c r="G376" s="6"/>
      <c r="H376" s="6"/>
      <c r="I376" s="6"/>
      <c r="J376" s="6"/>
      <c r="K376" s="6"/>
      <c r="L376" s="6"/>
      <c r="M376" s="6"/>
    </row>
    <row r="377" customFormat="false" ht="13.2" hidden="false" customHeight="false" outlineLevel="0" collapsed="false">
      <c r="D377" s="6"/>
      <c r="E377" s="6"/>
      <c r="F377" s="6"/>
      <c r="G377" s="6"/>
      <c r="H377" s="6"/>
      <c r="I377" s="6"/>
      <c r="J377" s="6"/>
      <c r="K377" s="6"/>
      <c r="L377" s="6"/>
      <c r="M377" s="6"/>
    </row>
    <row r="378" customFormat="false" ht="13.2" hidden="false" customHeight="false" outlineLevel="0" collapsed="false">
      <c r="D378" s="6"/>
      <c r="E378" s="6"/>
      <c r="F378" s="6"/>
      <c r="G378" s="6"/>
      <c r="H378" s="6"/>
      <c r="I378" s="6"/>
      <c r="J378" s="6"/>
      <c r="K378" s="6"/>
      <c r="L378" s="6"/>
      <c r="M378" s="6"/>
    </row>
    <row r="379" customFormat="false" ht="13.2" hidden="false" customHeight="false" outlineLevel="0" collapsed="false">
      <c r="D379" s="6"/>
      <c r="E379" s="6"/>
      <c r="F379" s="6"/>
      <c r="G379" s="6"/>
      <c r="H379" s="6"/>
      <c r="I379" s="6"/>
      <c r="J379" s="6"/>
      <c r="K379" s="6"/>
      <c r="L379" s="6"/>
      <c r="M379" s="6"/>
    </row>
    <row r="380" customFormat="false" ht="13.2" hidden="false" customHeight="false" outlineLevel="0" collapsed="false">
      <c r="D380" s="6"/>
      <c r="E380" s="6"/>
      <c r="F380" s="6"/>
      <c r="G380" s="6"/>
      <c r="H380" s="6"/>
      <c r="I380" s="6"/>
      <c r="J380" s="6"/>
      <c r="K380" s="6"/>
      <c r="L380" s="6"/>
      <c r="M380" s="6"/>
    </row>
    <row r="381" customFormat="false" ht="13.2" hidden="false" customHeight="false" outlineLevel="0" collapsed="false">
      <c r="D381" s="6"/>
      <c r="E381" s="6"/>
      <c r="F381" s="6"/>
      <c r="G381" s="6"/>
      <c r="H381" s="6"/>
      <c r="I381" s="6"/>
      <c r="J381" s="6"/>
      <c r="K381" s="6"/>
      <c r="L381" s="6"/>
      <c r="M381" s="6"/>
    </row>
    <row r="382" customFormat="false" ht="13.2" hidden="false" customHeight="false" outlineLevel="0" collapsed="false">
      <c r="D382" s="6"/>
      <c r="E382" s="6"/>
      <c r="F382" s="6"/>
      <c r="G382" s="6"/>
      <c r="H382" s="6"/>
      <c r="I382" s="6"/>
      <c r="J382" s="6"/>
      <c r="K382" s="6"/>
      <c r="L382" s="6"/>
      <c r="M382" s="6"/>
    </row>
    <row r="383" customFormat="false" ht="13.2" hidden="false" customHeight="false" outlineLevel="0" collapsed="false">
      <c r="D383" s="6"/>
      <c r="E383" s="6"/>
      <c r="F383" s="6"/>
      <c r="G383" s="6"/>
      <c r="H383" s="6"/>
      <c r="I383" s="6"/>
      <c r="J383" s="6"/>
      <c r="K383" s="6"/>
      <c r="L383" s="6"/>
      <c r="M383" s="6"/>
    </row>
    <row r="384" customFormat="false" ht="13.2" hidden="false" customHeight="false" outlineLevel="0" collapsed="false">
      <c r="D384" s="6"/>
      <c r="E384" s="6"/>
      <c r="F384" s="6"/>
      <c r="G384" s="6"/>
      <c r="H384" s="6"/>
      <c r="I384" s="6"/>
      <c r="J384" s="6"/>
      <c r="K384" s="6"/>
      <c r="L384" s="6"/>
      <c r="M384" s="6"/>
    </row>
    <row r="385" customFormat="false" ht="13.2" hidden="false" customHeight="false" outlineLevel="0" collapsed="false">
      <c r="D385" s="6"/>
      <c r="E385" s="6"/>
      <c r="F385" s="6"/>
      <c r="G385" s="6"/>
      <c r="H385" s="6"/>
      <c r="I385" s="6"/>
      <c r="J385" s="6"/>
      <c r="K385" s="6"/>
      <c r="L385" s="6"/>
      <c r="M385" s="6"/>
    </row>
    <row r="386" customFormat="false" ht="13.2" hidden="false" customHeight="false" outlineLevel="0" collapsed="false">
      <c r="D386" s="6"/>
      <c r="E386" s="6"/>
      <c r="F386" s="6"/>
      <c r="G386" s="6"/>
      <c r="H386" s="6"/>
      <c r="I386" s="6"/>
      <c r="J386" s="6"/>
      <c r="K386" s="6"/>
      <c r="L386" s="6"/>
      <c r="M386" s="6"/>
    </row>
    <row r="387" customFormat="false" ht="13.2" hidden="false" customHeight="false" outlineLevel="0" collapsed="false">
      <c r="D387" s="6"/>
      <c r="E387" s="6"/>
      <c r="F387" s="6"/>
      <c r="G387" s="6"/>
      <c r="H387" s="6"/>
      <c r="I387" s="6"/>
      <c r="J387" s="6"/>
      <c r="K387" s="6"/>
      <c r="L387" s="6"/>
      <c r="M387" s="6"/>
    </row>
    <row r="388" customFormat="false" ht="13.2" hidden="false" customHeight="false" outlineLevel="0" collapsed="false">
      <c r="D388" s="6"/>
      <c r="E388" s="6"/>
      <c r="F388" s="6"/>
      <c r="G388" s="6"/>
      <c r="H388" s="6"/>
      <c r="I388" s="6"/>
      <c r="J388" s="6"/>
      <c r="K388" s="6"/>
      <c r="L388" s="6"/>
      <c r="M388" s="6"/>
    </row>
    <row r="389" customFormat="false" ht="13.2" hidden="false" customHeight="false" outlineLevel="0" collapsed="false">
      <c r="D389" s="6"/>
      <c r="E389" s="6"/>
      <c r="F389" s="6"/>
      <c r="G389" s="6"/>
      <c r="H389" s="6"/>
      <c r="I389" s="6"/>
      <c r="J389" s="6"/>
      <c r="K389" s="6"/>
      <c r="L389" s="6"/>
      <c r="M389" s="6"/>
    </row>
    <row r="390" customFormat="false" ht="13.2" hidden="false" customHeight="false" outlineLevel="0" collapsed="false">
      <c r="D390" s="6"/>
      <c r="E390" s="6"/>
      <c r="F390" s="6"/>
      <c r="G390" s="6"/>
      <c r="H390" s="6"/>
      <c r="I390" s="6"/>
      <c r="J390" s="6"/>
      <c r="K390" s="6"/>
      <c r="L390" s="6"/>
      <c r="M390" s="6"/>
    </row>
    <row r="391" customFormat="false" ht="13.2" hidden="false" customHeight="false" outlineLevel="0" collapsed="false">
      <c r="D391" s="6"/>
      <c r="E391" s="6"/>
      <c r="F391" s="6"/>
      <c r="G391" s="6"/>
      <c r="H391" s="6"/>
      <c r="I391" s="6"/>
      <c r="J391" s="6"/>
      <c r="K391" s="6"/>
      <c r="L391" s="6"/>
      <c r="M391" s="6"/>
    </row>
    <row r="392" customFormat="false" ht="13.2" hidden="false" customHeight="false" outlineLevel="0" collapsed="false">
      <c r="D392" s="6"/>
      <c r="E392" s="6"/>
      <c r="F392" s="6"/>
      <c r="G392" s="6"/>
      <c r="H392" s="6"/>
      <c r="I392" s="6"/>
      <c r="J392" s="6"/>
      <c r="K392" s="6"/>
      <c r="L392" s="6"/>
      <c r="M392" s="6"/>
    </row>
    <row r="393" customFormat="false" ht="13.2" hidden="false" customHeight="false" outlineLevel="0" collapsed="false">
      <c r="D393" s="6"/>
      <c r="E393" s="6"/>
      <c r="F393" s="6"/>
      <c r="G393" s="6"/>
      <c r="H393" s="6"/>
      <c r="I393" s="6"/>
      <c r="J393" s="6"/>
      <c r="K393" s="6"/>
      <c r="L393" s="6"/>
      <c r="M393" s="6"/>
    </row>
    <row r="394" customFormat="false" ht="13.2" hidden="false" customHeight="false" outlineLevel="0" collapsed="false">
      <c r="D394" s="6"/>
      <c r="E394" s="6"/>
      <c r="F394" s="6"/>
      <c r="G394" s="6"/>
      <c r="H394" s="6"/>
      <c r="I394" s="6"/>
      <c r="J394" s="6"/>
      <c r="K394" s="6"/>
      <c r="L394" s="6"/>
      <c r="M394" s="6"/>
    </row>
    <row r="395" customFormat="false" ht="13.2" hidden="false" customHeight="false" outlineLevel="0" collapsed="false"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customFormat="false" ht="13.2" hidden="false" customHeight="false" outlineLevel="0" collapsed="false">
      <c r="D396" s="6"/>
      <c r="E396" s="6"/>
      <c r="F396" s="6"/>
      <c r="G396" s="6"/>
      <c r="H396" s="6"/>
      <c r="I396" s="6"/>
      <c r="J396" s="6"/>
      <c r="K396" s="6"/>
      <c r="L396" s="6"/>
      <c r="M396" s="6"/>
    </row>
    <row r="397" customFormat="false" ht="13.2" hidden="false" customHeight="false" outlineLevel="0" collapsed="false">
      <c r="D397" s="6"/>
      <c r="E397" s="6"/>
      <c r="F397" s="6"/>
      <c r="G397" s="6"/>
      <c r="H397" s="6"/>
      <c r="I397" s="6"/>
      <c r="J397" s="6"/>
      <c r="K397" s="6"/>
      <c r="L397" s="6"/>
      <c r="M397" s="6"/>
    </row>
    <row r="398" customFormat="false" ht="13.2" hidden="false" customHeight="false" outlineLevel="0" collapsed="false">
      <c r="D398" s="6"/>
      <c r="E398" s="6"/>
      <c r="F398" s="6"/>
      <c r="G398" s="6"/>
      <c r="H398" s="6"/>
      <c r="I398" s="6"/>
      <c r="J398" s="6"/>
      <c r="K398" s="6"/>
      <c r="L398" s="6"/>
      <c r="M398" s="6"/>
    </row>
    <row r="399" customFormat="false" ht="13.2" hidden="false" customHeight="false" outlineLevel="0" collapsed="false">
      <c r="D399" s="6"/>
      <c r="E399" s="6"/>
      <c r="F399" s="6"/>
      <c r="G399" s="6"/>
      <c r="H399" s="6"/>
      <c r="I399" s="6"/>
      <c r="J399" s="6"/>
      <c r="K399" s="6"/>
      <c r="L399" s="6"/>
      <c r="M399" s="6"/>
    </row>
    <row r="400" customFormat="false" ht="13.2" hidden="false" customHeight="false" outlineLevel="0" collapsed="false">
      <c r="D400" s="6"/>
      <c r="E400" s="6"/>
      <c r="F400" s="6"/>
      <c r="G400" s="6"/>
      <c r="H400" s="6"/>
      <c r="I400" s="6"/>
      <c r="J400" s="6"/>
      <c r="K400" s="6"/>
      <c r="L400" s="6"/>
      <c r="M400" s="6"/>
    </row>
    <row r="401" customFormat="false" ht="13.2" hidden="false" customHeight="false" outlineLevel="0" collapsed="false">
      <c r="D401" s="6"/>
      <c r="E401" s="6"/>
      <c r="F401" s="6"/>
      <c r="G401" s="6"/>
      <c r="H401" s="6"/>
      <c r="I401" s="6"/>
      <c r="J401" s="6"/>
      <c r="K401" s="6"/>
      <c r="L401" s="6"/>
      <c r="M401" s="6"/>
    </row>
    <row r="402" customFormat="false" ht="13.2" hidden="false" customHeight="false" outlineLevel="0" collapsed="false">
      <c r="D402" s="6"/>
      <c r="E402" s="6"/>
      <c r="F402" s="6"/>
      <c r="G402" s="6"/>
      <c r="H402" s="6"/>
      <c r="I402" s="6"/>
      <c r="J402" s="6"/>
      <c r="K402" s="6"/>
      <c r="L402" s="6"/>
      <c r="M402" s="6"/>
    </row>
    <row r="403" customFormat="false" ht="13.2" hidden="false" customHeight="false" outlineLevel="0" collapsed="false">
      <c r="D403" s="6"/>
      <c r="E403" s="6"/>
      <c r="F403" s="6"/>
      <c r="G403" s="6"/>
      <c r="H403" s="6"/>
      <c r="I403" s="6"/>
      <c r="J403" s="6"/>
      <c r="K403" s="6"/>
      <c r="L403" s="6"/>
      <c r="M403" s="6"/>
    </row>
    <row r="404" customFormat="false" ht="13.2" hidden="false" customHeight="false" outlineLevel="0" collapsed="false">
      <c r="D404" s="6"/>
      <c r="E404" s="6"/>
      <c r="F404" s="6"/>
      <c r="G404" s="6"/>
      <c r="H404" s="6"/>
      <c r="I404" s="6"/>
      <c r="J404" s="6"/>
      <c r="K404" s="6"/>
      <c r="L404" s="6"/>
      <c r="M404" s="6"/>
    </row>
    <row r="405" customFormat="false" ht="13.2" hidden="false" customHeight="false" outlineLevel="0" collapsed="false">
      <c r="D405" s="6"/>
      <c r="E405" s="6"/>
      <c r="F405" s="6"/>
      <c r="G405" s="6"/>
      <c r="H405" s="6"/>
      <c r="I405" s="6"/>
      <c r="J405" s="6"/>
      <c r="K405" s="6"/>
      <c r="L405" s="6"/>
      <c r="M405" s="6"/>
    </row>
    <row r="406" customFormat="false" ht="13.2" hidden="false" customHeight="false" outlineLevel="0" collapsed="false">
      <c r="D406" s="6"/>
      <c r="E406" s="6"/>
      <c r="F406" s="6"/>
      <c r="G406" s="6"/>
      <c r="H406" s="6"/>
      <c r="I406" s="6"/>
      <c r="J406" s="6"/>
      <c r="K406" s="6"/>
      <c r="L406" s="6"/>
      <c r="M406" s="6"/>
    </row>
    <row r="407" customFormat="false" ht="13.2" hidden="false" customHeight="false" outlineLevel="0" collapsed="false">
      <c r="D407" s="6"/>
      <c r="E407" s="6"/>
      <c r="F407" s="6"/>
      <c r="G407" s="6"/>
      <c r="H407" s="6"/>
      <c r="I407" s="6"/>
      <c r="J407" s="6"/>
      <c r="K407" s="6"/>
      <c r="L407" s="6"/>
      <c r="M407" s="6"/>
    </row>
    <row r="408" customFormat="false" ht="13.2" hidden="false" customHeight="false" outlineLevel="0" collapsed="false">
      <c r="D408" s="6"/>
      <c r="E408" s="6"/>
      <c r="F408" s="6"/>
      <c r="G408" s="6"/>
      <c r="H408" s="6"/>
      <c r="I408" s="6"/>
      <c r="J408" s="6"/>
      <c r="K408" s="6"/>
      <c r="L408" s="6"/>
      <c r="M408" s="6"/>
    </row>
    <row r="409" customFormat="false" ht="13.2" hidden="false" customHeight="false" outlineLevel="0" collapsed="false">
      <c r="D409" s="6"/>
      <c r="E409" s="6"/>
      <c r="F409" s="6"/>
      <c r="G409" s="6"/>
      <c r="H409" s="6"/>
      <c r="I409" s="6"/>
      <c r="J409" s="6"/>
      <c r="K409" s="6"/>
      <c r="L409" s="6"/>
      <c r="M409" s="6"/>
    </row>
    <row r="410" customFormat="false" ht="13.2" hidden="false" customHeight="false" outlineLevel="0" collapsed="false">
      <c r="D410" s="6"/>
      <c r="E410" s="6"/>
      <c r="F410" s="6"/>
      <c r="G410" s="6"/>
      <c r="H410" s="6"/>
      <c r="I410" s="6"/>
      <c r="J410" s="6"/>
      <c r="K410" s="6"/>
      <c r="L410" s="6"/>
      <c r="M410" s="6"/>
    </row>
    <row r="411" customFormat="false" ht="13.2" hidden="false" customHeight="false" outlineLevel="0" collapsed="false">
      <c r="D411" s="6"/>
      <c r="E411" s="6"/>
      <c r="F411" s="6"/>
      <c r="G411" s="6"/>
      <c r="H411" s="6"/>
      <c r="I411" s="6"/>
      <c r="J411" s="6"/>
      <c r="K411" s="6"/>
      <c r="L411" s="6"/>
      <c r="M411" s="6"/>
    </row>
    <row r="412" customFormat="false" ht="13.2" hidden="false" customHeight="false" outlineLevel="0" collapsed="false">
      <c r="D412" s="6"/>
      <c r="E412" s="6"/>
      <c r="F412" s="6"/>
      <c r="G412" s="6"/>
      <c r="H412" s="6"/>
      <c r="I412" s="6"/>
      <c r="J412" s="6"/>
      <c r="K412" s="6"/>
      <c r="L412" s="6"/>
      <c r="M412" s="6"/>
    </row>
    <row r="413" customFormat="false" ht="13.2" hidden="false" customHeight="false" outlineLevel="0" collapsed="false"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customFormat="false" ht="13.2" hidden="false" customHeight="false" outlineLevel="0" collapsed="false">
      <c r="D414" s="6"/>
      <c r="E414" s="6"/>
      <c r="F414" s="6"/>
      <c r="G414" s="6"/>
      <c r="H414" s="6"/>
      <c r="I414" s="6"/>
      <c r="J414" s="6"/>
      <c r="K414" s="6"/>
      <c r="L414" s="6"/>
      <c r="M414" s="6"/>
    </row>
    <row r="415" customFormat="false" ht="13.2" hidden="false" customHeight="false" outlineLevel="0" collapsed="false">
      <c r="D415" s="6"/>
      <c r="E415" s="6"/>
      <c r="F415" s="6"/>
      <c r="G415" s="6"/>
      <c r="H415" s="6"/>
      <c r="I415" s="6"/>
      <c r="J415" s="6"/>
      <c r="K415" s="6"/>
      <c r="L415" s="6"/>
      <c r="M415" s="6"/>
    </row>
    <row r="416" customFormat="false" ht="13.2" hidden="false" customHeight="false" outlineLevel="0" collapsed="false">
      <c r="D416" s="6"/>
      <c r="E416" s="6"/>
      <c r="F416" s="6"/>
      <c r="G416" s="6"/>
      <c r="H416" s="6"/>
      <c r="I416" s="6"/>
      <c r="J416" s="6"/>
      <c r="K416" s="6"/>
      <c r="L416" s="6"/>
      <c r="M416" s="6"/>
    </row>
    <row r="417" customFormat="false" ht="13.2" hidden="false" customHeight="false" outlineLevel="0" collapsed="false">
      <c r="D417" s="6"/>
      <c r="E417" s="6"/>
      <c r="F417" s="6"/>
      <c r="G417" s="6"/>
      <c r="H417" s="6"/>
      <c r="I417" s="6"/>
      <c r="J417" s="6"/>
      <c r="K417" s="6"/>
      <c r="L417" s="6"/>
      <c r="M417" s="6"/>
    </row>
    <row r="418" customFormat="false" ht="13.2" hidden="false" customHeight="false" outlineLevel="0" collapsed="false">
      <c r="D418" s="6"/>
      <c r="E418" s="6"/>
      <c r="F418" s="6"/>
      <c r="G418" s="6"/>
      <c r="H418" s="6"/>
      <c r="I418" s="6"/>
      <c r="J418" s="6"/>
      <c r="K418" s="6"/>
      <c r="L418" s="6"/>
      <c r="M418" s="6"/>
    </row>
    <row r="419" customFormat="false" ht="13.2" hidden="false" customHeight="false" outlineLevel="0" collapsed="false">
      <c r="D419" s="6"/>
      <c r="E419" s="6"/>
      <c r="F419" s="6"/>
      <c r="G419" s="6"/>
      <c r="H419" s="6"/>
      <c r="I419" s="6"/>
      <c r="J419" s="6"/>
      <c r="K419" s="6"/>
      <c r="L419" s="6"/>
      <c r="M419" s="6"/>
    </row>
    <row r="420" customFormat="false" ht="13.2" hidden="false" customHeight="false" outlineLevel="0" collapsed="false">
      <c r="D420" s="6"/>
      <c r="E420" s="6"/>
      <c r="F420" s="6"/>
      <c r="G420" s="6"/>
      <c r="H420" s="6"/>
      <c r="I420" s="6"/>
      <c r="J420" s="6"/>
      <c r="K420" s="6"/>
      <c r="L420" s="6"/>
      <c r="M420" s="6"/>
    </row>
    <row r="421" customFormat="false" ht="13.2" hidden="false" customHeight="false" outlineLevel="0" collapsed="false">
      <c r="D421" s="6"/>
      <c r="E421" s="6"/>
      <c r="F421" s="6"/>
      <c r="G421" s="6"/>
      <c r="H421" s="6"/>
      <c r="I421" s="6"/>
      <c r="J421" s="6"/>
      <c r="K421" s="6"/>
      <c r="L421" s="6"/>
      <c r="M421" s="6"/>
    </row>
    <row r="422" customFormat="false" ht="13.2" hidden="false" customHeight="false" outlineLevel="0" collapsed="false">
      <c r="D422" s="6"/>
      <c r="E422" s="6"/>
      <c r="F422" s="6"/>
      <c r="G422" s="6"/>
      <c r="H422" s="6"/>
      <c r="I422" s="6"/>
      <c r="J422" s="6"/>
      <c r="K422" s="6"/>
      <c r="L422" s="6"/>
      <c r="M422" s="6"/>
    </row>
    <row r="423" customFormat="false" ht="13.2" hidden="false" customHeight="false" outlineLevel="0" collapsed="false">
      <c r="D423" s="6"/>
      <c r="E423" s="6"/>
      <c r="F423" s="6"/>
      <c r="G423" s="6"/>
      <c r="H423" s="6"/>
      <c r="I423" s="6"/>
      <c r="J423" s="6"/>
      <c r="K423" s="6"/>
      <c r="L423" s="6"/>
      <c r="M423" s="6"/>
    </row>
    <row r="424" customFormat="false" ht="13.2" hidden="false" customHeight="false" outlineLevel="0" collapsed="false">
      <c r="D424" s="6"/>
      <c r="E424" s="6"/>
      <c r="F424" s="6"/>
      <c r="G424" s="6"/>
      <c r="H424" s="6"/>
      <c r="I424" s="6"/>
      <c r="J424" s="6"/>
      <c r="K424" s="6"/>
      <c r="L424" s="6"/>
      <c r="M424" s="6"/>
    </row>
    <row r="425" customFormat="false" ht="13.2" hidden="false" customHeight="false" outlineLevel="0" collapsed="false">
      <c r="D425" s="6"/>
      <c r="E425" s="6"/>
      <c r="F425" s="6"/>
      <c r="G425" s="6"/>
      <c r="H425" s="6"/>
      <c r="I425" s="6"/>
      <c r="J425" s="6"/>
      <c r="K425" s="6"/>
      <c r="L425" s="6"/>
      <c r="M425" s="6"/>
    </row>
    <row r="426" customFormat="false" ht="13.2" hidden="false" customHeight="false" outlineLevel="0" collapsed="false">
      <c r="D426" s="6"/>
      <c r="E426" s="6"/>
      <c r="F426" s="6"/>
      <c r="G426" s="6"/>
      <c r="H426" s="6"/>
      <c r="I426" s="6"/>
      <c r="J426" s="6"/>
      <c r="K426" s="6"/>
      <c r="L426" s="6"/>
      <c r="M426" s="6"/>
    </row>
    <row r="427" customFormat="false" ht="13.2" hidden="false" customHeight="false" outlineLevel="0" collapsed="false">
      <c r="D427" s="6"/>
      <c r="E427" s="6"/>
      <c r="F427" s="6"/>
      <c r="G427" s="6"/>
      <c r="H427" s="6"/>
      <c r="I427" s="6"/>
      <c r="J427" s="6"/>
      <c r="K427" s="6"/>
      <c r="L427" s="6"/>
      <c r="M427" s="6"/>
    </row>
    <row r="428" customFormat="false" ht="13.2" hidden="false" customHeight="false" outlineLevel="0" collapsed="false">
      <c r="D428" s="6"/>
      <c r="E428" s="6"/>
      <c r="F428" s="6"/>
      <c r="G428" s="6"/>
      <c r="H428" s="6"/>
      <c r="I428" s="6"/>
      <c r="J428" s="6"/>
      <c r="K428" s="6"/>
      <c r="L428" s="6"/>
      <c r="M428" s="6"/>
    </row>
    <row r="429" customFormat="false" ht="13.2" hidden="false" customHeight="false" outlineLevel="0" collapsed="false">
      <c r="D429" s="6"/>
      <c r="E429" s="6"/>
      <c r="F429" s="6"/>
      <c r="G429" s="6"/>
      <c r="H429" s="6"/>
      <c r="I429" s="6"/>
      <c r="J429" s="6"/>
      <c r="K429" s="6"/>
      <c r="L429" s="6"/>
      <c r="M429" s="6"/>
    </row>
    <row r="430" customFormat="false" ht="13.2" hidden="false" customHeight="false" outlineLevel="0" collapsed="false">
      <c r="D430" s="6"/>
      <c r="E430" s="6"/>
      <c r="F430" s="6"/>
      <c r="G430" s="6"/>
      <c r="H430" s="6"/>
      <c r="I430" s="6"/>
      <c r="J430" s="6"/>
      <c r="K430" s="6"/>
      <c r="L430" s="6"/>
      <c r="M430" s="6"/>
    </row>
    <row r="431" customFormat="false" ht="13.2" hidden="false" customHeight="false" outlineLevel="0" collapsed="false">
      <c r="D431" s="6"/>
      <c r="E431" s="6"/>
      <c r="F431" s="6"/>
      <c r="G431" s="6"/>
      <c r="H431" s="6"/>
      <c r="I431" s="6"/>
      <c r="J431" s="6"/>
      <c r="K431" s="6"/>
      <c r="L431" s="6"/>
      <c r="M431" s="6"/>
    </row>
    <row r="432" customFormat="false" ht="13.2" hidden="false" customHeight="false" outlineLevel="0" collapsed="false">
      <c r="D432" s="6"/>
      <c r="E432" s="6"/>
      <c r="F432" s="6"/>
      <c r="G432" s="6"/>
      <c r="H432" s="6"/>
      <c r="I432" s="6"/>
      <c r="J432" s="6"/>
      <c r="K432" s="6"/>
      <c r="L432" s="6"/>
      <c r="M432" s="6"/>
    </row>
    <row r="433" customFormat="false" ht="13.2" hidden="false" customHeight="false" outlineLevel="0" collapsed="false">
      <c r="D433" s="6"/>
      <c r="E433" s="6"/>
      <c r="F433" s="6"/>
      <c r="G433" s="6"/>
      <c r="H433" s="6"/>
      <c r="I433" s="6"/>
      <c r="J433" s="6"/>
      <c r="K433" s="6"/>
      <c r="L433" s="6"/>
      <c r="M433" s="6"/>
    </row>
    <row r="434" customFormat="false" ht="13.2" hidden="false" customHeight="false" outlineLevel="0" collapsed="false">
      <c r="D434" s="6"/>
      <c r="E434" s="6"/>
      <c r="F434" s="6"/>
      <c r="G434" s="6"/>
      <c r="H434" s="6"/>
      <c r="I434" s="6"/>
      <c r="J434" s="6"/>
      <c r="K434" s="6"/>
      <c r="L434" s="6"/>
      <c r="M434" s="6"/>
    </row>
    <row r="435" customFormat="false" ht="13.2" hidden="false" customHeight="false" outlineLevel="0" collapsed="false">
      <c r="D435" s="6"/>
      <c r="E435" s="6"/>
      <c r="F435" s="6"/>
      <c r="G435" s="6"/>
      <c r="H435" s="6"/>
      <c r="I435" s="6"/>
      <c r="J435" s="6"/>
      <c r="K435" s="6"/>
      <c r="L435" s="6"/>
      <c r="M435" s="6"/>
    </row>
    <row r="436" customFormat="false" ht="13.2" hidden="false" customHeight="false" outlineLevel="0" collapsed="false">
      <c r="D436" s="6"/>
      <c r="E436" s="6"/>
      <c r="F436" s="6"/>
      <c r="G436" s="6"/>
      <c r="H436" s="6"/>
      <c r="I436" s="6"/>
      <c r="J436" s="6"/>
      <c r="K436" s="6"/>
      <c r="L436" s="6"/>
      <c r="M436" s="6"/>
    </row>
    <row r="437" customFormat="false" ht="13.2" hidden="false" customHeight="false" outlineLevel="0" collapsed="false">
      <c r="D437" s="6"/>
      <c r="E437" s="6"/>
      <c r="F437" s="6"/>
      <c r="G437" s="6"/>
      <c r="H437" s="6"/>
      <c r="I437" s="6"/>
      <c r="J437" s="6"/>
      <c r="K437" s="6"/>
      <c r="L437" s="6"/>
      <c r="M437" s="6"/>
    </row>
    <row r="438" customFormat="false" ht="13.2" hidden="false" customHeight="false" outlineLevel="0" collapsed="false">
      <c r="D438" s="6"/>
      <c r="E438" s="6"/>
      <c r="F438" s="6"/>
      <c r="G438" s="6"/>
      <c r="H438" s="6"/>
      <c r="I438" s="6"/>
      <c r="J438" s="6"/>
      <c r="K438" s="6"/>
      <c r="L438" s="6"/>
      <c r="M438" s="6"/>
    </row>
    <row r="439" customFormat="false" ht="13.2" hidden="false" customHeight="false" outlineLevel="0" collapsed="false">
      <c r="D439" s="6"/>
      <c r="E439" s="6"/>
      <c r="F439" s="6"/>
      <c r="G439" s="6"/>
      <c r="H439" s="6"/>
      <c r="I439" s="6"/>
      <c r="J439" s="6"/>
      <c r="K439" s="6"/>
      <c r="L439" s="6"/>
      <c r="M439" s="6"/>
    </row>
    <row r="440" customFormat="false" ht="13.2" hidden="false" customHeight="false" outlineLevel="0" collapsed="false">
      <c r="D440" s="6"/>
      <c r="E440" s="6"/>
      <c r="F440" s="6"/>
      <c r="G440" s="6"/>
      <c r="H440" s="6"/>
      <c r="I440" s="6"/>
      <c r="J440" s="6"/>
      <c r="K440" s="6"/>
      <c r="L440" s="6"/>
      <c r="M440" s="6"/>
    </row>
    <row r="441" customFormat="false" ht="13.2" hidden="false" customHeight="false" outlineLevel="0" collapsed="false">
      <c r="D441" s="6"/>
      <c r="E441" s="6"/>
      <c r="F441" s="6"/>
      <c r="G441" s="6"/>
      <c r="H441" s="6"/>
      <c r="I441" s="6"/>
      <c r="J441" s="6"/>
      <c r="K441" s="6"/>
      <c r="L441" s="6"/>
      <c r="M441" s="6"/>
    </row>
    <row r="442" customFormat="false" ht="13.2" hidden="false" customHeight="false" outlineLevel="0" collapsed="false">
      <c r="D442" s="6"/>
      <c r="E442" s="6"/>
      <c r="F442" s="6"/>
      <c r="G442" s="6"/>
      <c r="H442" s="6"/>
      <c r="I442" s="6"/>
      <c r="J442" s="6"/>
      <c r="K442" s="6"/>
      <c r="L442" s="6"/>
      <c r="M442" s="6"/>
    </row>
    <row r="443" customFormat="false" ht="13.2" hidden="false" customHeight="false" outlineLevel="0" collapsed="false">
      <c r="D443" s="6"/>
      <c r="E443" s="6"/>
      <c r="F443" s="6"/>
      <c r="G443" s="6"/>
      <c r="H443" s="6"/>
      <c r="I443" s="6"/>
      <c r="J443" s="6"/>
      <c r="K443" s="6"/>
      <c r="L443" s="6"/>
      <c r="M443" s="6"/>
    </row>
    <row r="444" customFormat="false" ht="13.2" hidden="false" customHeight="false" outlineLevel="0" collapsed="false">
      <c r="D444" s="6"/>
      <c r="E444" s="6"/>
      <c r="F444" s="6"/>
      <c r="G444" s="6"/>
      <c r="H444" s="6"/>
      <c r="I444" s="6"/>
      <c r="J444" s="6"/>
      <c r="K444" s="6"/>
      <c r="L444" s="6"/>
      <c r="M444" s="6"/>
    </row>
    <row r="445" customFormat="false" ht="13.2" hidden="false" customHeight="false" outlineLevel="0" collapsed="false">
      <c r="D445" s="6"/>
      <c r="E445" s="6"/>
      <c r="F445" s="6"/>
      <c r="G445" s="6"/>
      <c r="H445" s="6"/>
      <c r="I445" s="6"/>
      <c r="J445" s="6"/>
      <c r="K445" s="6"/>
      <c r="L445" s="6"/>
      <c r="M445" s="6"/>
    </row>
    <row r="446" customFormat="false" ht="13.2" hidden="false" customHeight="false" outlineLevel="0" collapsed="false">
      <c r="D446" s="6"/>
      <c r="E446" s="6"/>
      <c r="F446" s="6"/>
      <c r="G446" s="6"/>
      <c r="H446" s="6"/>
      <c r="I446" s="6"/>
      <c r="J446" s="6"/>
      <c r="K446" s="6"/>
      <c r="L446" s="6"/>
      <c r="M446" s="6"/>
    </row>
    <row r="447" customFormat="false" ht="13.2" hidden="false" customHeight="false" outlineLevel="0" collapsed="false">
      <c r="D447" s="6"/>
      <c r="E447" s="6"/>
      <c r="F447" s="6"/>
      <c r="G447" s="6"/>
      <c r="H447" s="6"/>
      <c r="I447" s="6"/>
      <c r="J447" s="6"/>
      <c r="K447" s="6"/>
      <c r="L447" s="6"/>
      <c r="M447" s="6"/>
    </row>
    <row r="448" customFormat="false" ht="13.2" hidden="false" customHeight="false" outlineLevel="0" collapsed="false">
      <c r="D448" s="6"/>
      <c r="E448" s="6"/>
      <c r="F448" s="6"/>
      <c r="G448" s="6"/>
      <c r="H448" s="6"/>
      <c r="I448" s="6"/>
      <c r="J448" s="6"/>
      <c r="K448" s="6"/>
      <c r="L448" s="6"/>
      <c r="M448" s="6"/>
    </row>
    <row r="449" customFormat="false" ht="13.2" hidden="false" customHeight="false" outlineLevel="0" collapsed="false">
      <c r="D449" s="6"/>
      <c r="E449" s="6"/>
      <c r="F449" s="6"/>
      <c r="G449" s="6"/>
      <c r="H449" s="6"/>
      <c r="I449" s="6"/>
      <c r="J449" s="6"/>
      <c r="K449" s="6"/>
      <c r="L449" s="6"/>
      <c r="M449" s="6"/>
    </row>
    <row r="450" customFormat="false" ht="13.2" hidden="false" customHeight="false" outlineLevel="0" collapsed="false">
      <c r="D450" s="6"/>
      <c r="E450" s="6"/>
      <c r="F450" s="6"/>
      <c r="G450" s="6"/>
      <c r="H450" s="6"/>
      <c r="I450" s="6"/>
      <c r="J450" s="6"/>
      <c r="K450" s="6"/>
      <c r="L450" s="6"/>
      <c r="M450" s="6"/>
    </row>
    <row r="451" customFormat="false" ht="13.2" hidden="false" customHeight="false" outlineLevel="0" collapsed="false">
      <c r="D451" s="6"/>
      <c r="E451" s="6"/>
      <c r="F451" s="6"/>
      <c r="G451" s="6"/>
      <c r="H451" s="6"/>
      <c r="I451" s="6"/>
      <c r="J451" s="6"/>
      <c r="K451" s="6"/>
      <c r="L451" s="6"/>
      <c r="M451" s="6"/>
    </row>
    <row r="452" customFormat="false" ht="13.2" hidden="false" customHeight="false" outlineLevel="0" collapsed="false">
      <c r="D452" s="6"/>
      <c r="E452" s="6"/>
      <c r="F452" s="6"/>
      <c r="G452" s="6"/>
      <c r="H452" s="6"/>
      <c r="I452" s="6"/>
      <c r="J452" s="6"/>
      <c r="K452" s="6"/>
      <c r="L452" s="6"/>
      <c r="M452" s="6"/>
    </row>
    <row r="453" customFormat="false" ht="13.2" hidden="false" customHeight="false" outlineLevel="0" collapsed="false">
      <c r="D453" s="6"/>
      <c r="E453" s="6"/>
      <c r="F453" s="6"/>
      <c r="G453" s="6"/>
      <c r="H453" s="6"/>
      <c r="I453" s="6"/>
      <c r="J453" s="6"/>
      <c r="K453" s="6"/>
      <c r="L453" s="6"/>
      <c r="M453" s="6"/>
    </row>
    <row r="454" customFormat="false" ht="13.2" hidden="false" customHeight="false" outlineLevel="0" collapsed="false">
      <c r="D454" s="6"/>
      <c r="E454" s="6"/>
      <c r="F454" s="6"/>
      <c r="G454" s="6"/>
      <c r="H454" s="6"/>
      <c r="I454" s="6"/>
      <c r="J454" s="6"/>
      <c r="K454" s="6"/>
      <c r="L454" s="6"/>
      <c r="M454" s="6"/>
    </row>
    <row r="455" customFormat="false" ht="13.2" hidden="false" customHeight="false" outlineLevel="0" collapsed="false">
      <c r="D455" s="6"/>
      <c r="E455" s="6"/>
      <c r="F455" s="6"/>
      <c r="G455" s="6"/>
      <c r="H455" s="6"/>
      <c r="I455" s="6"/>
      <c r="J455" s="6"/>
      <c r="K455" s="6"/>
      <c r="L455" s="6"/>
      <c r="M455" s="6"/>
    </row>
    <row r="456" customFormat="false" ht="13.2" hidden="false" customHeight="false" outlineLevel="0" collapsed="false">
      <c r="D456" s="6"/>
      <c r="E456" s="6"/>
      <c r="F456" s="6"/>
      <c r="G456" s="6"/>
      <c r="H456" s="6"/>
      <c r="I456" s="6"/>
      <c r="J456" s="6"/>
      <c r="K456" s="6"/>
      <c r="L456" s="6"/>
      <c r="M456" s="6"/>
    </row>
    <row r="457" customFormat="false" ht="13.2" hidden="false" customHeight="false" outlineLevel="0" collapsed="false">
      <c r="D457" s="6"/>
      <c r="E457" s="6"/>
      <c r="F457" s="6"/>
      <c r="G457" s="6"/>
      <c r="H457" s="6"/>
      <c r="I457" s="6"/>
      <c r="J457" s="6"/>
      <c r="K457" s="6"/>
      <c r="L457" s="6"/>
      <c r="M457" s="6"/>
    </row>
    <row r="458" customFormat="false" ht="13.2" hidden="false" customHeight="false" outlineLevel="0" collapsed="false">
      <c r="D458" s="6"/>
      <c r="E458" s="6"/>
      <c r="F458" s="6"/>
      <c r="G458" s="6"/>
      <c r="H458" s="6"/>
      <c r="I458" s="6"/>
      <c r="J458" s="6"/>
      <c r="K458" s="6"/>
      <c r="L458" s="6"/>
      <c r="M458" s="6"/>
    </row>
    <row r="459" customFormat="false" ht="13.2" hidden="false" customHeight="false" outlineLevel="0" collapsed="false">
      <c r="D459" s="6"/>
      <c r="E459" s="6"/>
      <c r="F459" s="6"/>
      <c r="G459" s="6"/>
      <c r="H459" s="6"/>
      <c r="I459" s="6"/>
      <c r="J459" s="6"/>
      <c r="K459" s="6"/>
      <c r="L459" s="6"/>
      <c r="M459" s="6"/>
    </row>
    <row r="460" customFormat="false" ht="13.2" hidden="false" customHeight="false" outlineLevel="0" collapsed="false">
      <c r="D460" s="6"/>
      <c r="E460" s="6"/>
      <c r="F460" s="6"/>
      <c r="G460" s="6"/>
      <c r="H460" s="6"/>
      <c r="I460" s="6"/>
      <c r="J460" s="6"/>
      <c r="K460" s="6"/>
      <c r="L460" s="6"/>
      <c r="M460" s="6"/>
    </row>
    <row r="461" customFormat="false" ht="13.2" hidden="false" customHeight="false" outlineLevel="0" collapsed="false">
      <c r="D461" s="6"/>
      <c r="E461" s="6"/>
      <c r="F461" s="6"/>
      <c r="G461" s="6"/>
      <c r="H461" s="6"/>
      <c r="I461" s="6"/>
      <c r="J461" s="6"/>
      <c r="K461" s="6"/>
      <c r="L461" s="6"/>
      <c r="M461" s="6"/>
    </row>
    <row r="462" customFormat="false" ht="13.2" hidden="false" customHeight="false" outlineLevel="0" collapsed="false">
      <c r="D462" s="6"/>
      <c r="E462" s="6"/>
      <c r="F462" s="6"/>
      <c r="G462" s="6"/>
      <c r="H462" s="6"/>
      <c r="I462" s="6"/>
      <c r="J462" s="6"/>
      <c r="K462" s="6"/>
      <c r="L462" s="6"/>
      <c r="M462" s="6"/>
    </row>
    <row r="463" customFormat="false" ht="13.2" hidden="false" customHeight="false" outlineLevel="0" collapsed="false">
      <c r="D463" s="6"/>
      <c r="E463" s="6"/>
      <c r="F463" s="6"/>
      <c r="G463" s="6"/>
      <c r="H463" s="6"/>
      <c r="I463" s="6"/>
      <c r="J463" s="6"/>
      <c r="K463" s="6"/>
      <c r="L463" s="6"/>
      <c r="M463" s="6"/>
    </row>
    <row r="464" customFormat="false" ht="13.2" hidden="false" customHeight="false" outlineLevel="0" collapsed="false">
      <c r="D464" s="6"/>
      <c r="E464" s="6"/>
      <c r="F464" s="6"/>
      <c r="G464" s="6"/>
      <c r="H464" s="6"/>
      <c r="I464" s="6"/>
      <c r="J464" s="6"/>
      <c r="K464" s="6"/>
      <c r="L464" s="6"/>
      <c r="M464" s="6"/>
    </row>
    <row r="465" customFormat="false" ht="13.2" hidden="false" customHeight="false" outlineLevel="0" collapsed="false">
      <c r="D465" s="6"/>
      <c r="E465" s="6"/>
      <c r="F465" s="6"/>
      <c r="G465" s="6"/>
      <c r="H465" s="6"/>
      <c r="I465" s="6"/>
      <c r="J465" s="6"/>
      <c r="K465" s="6"/>
      <c r="L465" s="6"/>
      <c r="M465" s="6"/>
    </row>
    <row r="466" customFormat="false" ht="13.2" hidden="false" customHeight="false" outlineLevel="0" collapsed="false"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customFormat="false" ht="13.2" hidden="false" customHeight="false" outlineLevel="0" collapsed="false">
      <c r="D467" s="6"/>
      <c r="E467" s="6"/>
      <c r="F467" s="6"/>
      <c r="G467" s="6"/>
      <c r="H467" s="6"/>
      <c r="I467" s="6"/>
      <c r="J467" s="6"/>
      <c r="K467" s="6"/>
      <c r="L467" s="6"/>
      <c r="M467" s="6"/>
    </row>
    <row r="468" customFormat="false" ht="13.2" hidden="false" customHeight="false" outlineLevel="0" collapsed="false">
      <c r="D468" s="6"/>
      <c r="E468" s="6"/>
      <c r="F468" s="6"/>
      <c r="G468" s="6"/>
      <c r="H468" s="6"/>
      <c r="I468" s="6"/>
      <c r="J468" s="6"/>
      <c r="K468" s="6"/>
      <c r="L468" s="6"/>
      <c r="M468" s="6"/>
    </row>
    <row r="469" customFormat="false" ht="13.2" hidden="false" customHeight="false" outlineLevel="0" collapsed="false">
      <c r="D469" s="6"/>
      <c r="E469" s="6"/>
      <c r="F469" s="6"/>
      <c r="G469" s="6"/>
      <c r="H469" s="6"/>
      <c r="I469" s="6"/>
      <c r="J469" s="6"/>
      <c r="K469" s="6"/>
      <c r="L469" s="6"/>
      <c r="M469" s="6"/>
    </row>
    <row r="470" customFormat="false" ht="13.2" hidden="false" customHeight="false" outlineLevel="0" collapsed="false">
      <c r="D470" s="6"/>
      <c r="E470" s="6"/>
      <c r="F470" s="6"/>
      <c r="G470" s="6"/>
      <c r="H470" s="6"/>
      <c r="I470" s="6"/>
      <c r="J470" s="6"/>
      <c r="K470" s="6"/>
      <c r="L470" s="6"/>
      <c r="M470" s="6"/>
    </row>
    <row r="471" customFormat="false" ht="13.2" hidden="false" customHeight="false" outlineLevel="0" collapsed="false">
      <c r="D471" s="6"/>
      <c r="E471" s="6"/>
      <c r="F471" s="6"/>
      <c r="G471" s="6"/>
      <c r="H471" s="6"/>
      <c r="I471" s="6"/>
      <c r="J471" s="6"/>
      <c r="K471" s="6"/>
      <c r="L471" s="6"/>
      <c r="M471" s="6"/>
    </row>
    <row r="472" customFormat="false" ht="13.2" hidden="false" customHeight="false" outlineLevel="0" collapsed="false">
      <c r="D472" s="6"/>
      <c r="E472" s="6"/>
      <c r="F472" s="6"/>
      <c r="G472" s="6"/>
      <c r="H472" s="6"/>
      <c r="I472" s="6"/>
      <c r="J472" s="6"/>
      <c r="K472" s="6"/>
      <c r="L472" s="6"/>
      <c r="M472" s="6"/>
    </row>
    <row r="473" customFormat="false" ht="13.2" hidden="false" customHeight="false" outlineLevel="0" collapsed="false">
      <c r="D473" s="6"/>
      <c r="E473" s="6"/>
      <c r="F473" s="6"/>
      <c r="G473" s="6"/>
      <c r="H473" s="6"/>
      <c r="I473" s="6"/>
      <c r="J473" s="6"/>
      <c r="K473" s="6"/>
      <c r="L473" s="6"/>
      <c r="M473" s="6"/>
    </row>
    <row r="474" customFormat="false" ht="13.2" hidden="false" customHeight="false" outlineLevel="0" collapsed="false">
      <c r="D474" s="6"/>
      <c r="E474" s="6"/>
      <c r="F474" s="6"/>
      <c r="G474" s="6"/>
      <c r="H474" s="6"/>
      <c r="I474" s="6"/>
      <c r="J474" s="6"/>
      <c r="K474" s="6"/>
      <c r="L474" s="6"/>
      <c r="M474" s="6"/>
    </row>
    <row r="475" customFormat="false" ht="13.2" hidden="false" customHeight="false" outlineLevel="0" collapsed="false">
      <c r="D475" s="6"/>
      <c r="E475" s="6"/>
      <c r="F475" s="6"/>
      <c r="G475" s="6"/>
      <c r="H475" s="6"/>
      <c r="I475" s="6"/>
      <c r="J475" s="6"/>
      <c r="K475" s="6"/>
      <c r="L475" s="6"/>
      <c r="M475" s="6"/>
    </row>
    <row r="476" customFormat="false" ht="13.2" hidden="false" customHeight="false" outlineLevel="0" collapsed="false">
      <c r="D476" s="6"/>
      <c r="E476" s="6"/>
      <c r="F476" s="6"/>
      <c r="G476" s="6"/>
      <c r="H476" s="6"/>
      <c r="I476" s="6"/>
      <c r="J476" s="6"/>
      <c r="K476" s="6"/>
      <c r="L476" s="6"/>
      <c r="M476" s="6"/>
    </row>
    <row r="477" customFormat="false" ht="13.2" hidden="false" customHeight="false" outlineLevel="0" collapsed="false">
      <c r="D477" s="6"/>
      <c r="E477" s="6"/>
      <c r="F477" s="6"/>
      <c r="G477" s="6"/>
      <c r="H477" s="6"/>
      <c r="I477" s="6"/>
      <c r="J477" s="6"/>
      <c r="K477" s="6"/>
      <c r="L477" s="6"/>
      <c r="M477" s="6"/>
    </row>
    <row r="478" customFormat="false" ht="13.2" hidden="false" customHeight="false" outlineLevel="0" collapsed="false">
      <c r="D478" s="6"/>
      <c r="E478" s="6"/>
      <c r="F478" s="6"/>
      <c r="G478" s="6"/>
      <c r="H478" s="6"/>
      <c r="I478" s="6"/>
      <c r="J478" s="6"/>
      <c r="K478" s="6"/>
      <c r="L478" s="6"/>
      <c r="M478" s="6"/>
    </row>
    <row r="479" customFormat="false" ht="13.2" hidden="false" customHeight="false" outlineLevel="0" collapsed="false">
      <c r="D479" s="6"/>
      <c r="E479" s="6"/>
      <c r="F479" s="6"/>
      <c r="G479" s="6"/>
      <c r="H479" s="6"/>
      <c r="I479" s="6"/>
      <c r="J479" s="6"/>
      <c r="K479" s="6"/>
      <c r="L479" s="6"/>
      <c r="M479" s="6"/>
    </row>
    <row r="480" customFormat="false" ht="13.2" hidden="false" customHeight="false" outlineLevel="0" collapsed="false">
      <c r="D480" s="6"/>
      <c r="E480" s="6"/>
      <c r="F480" s="6"/>
      <c r="G480" s="6"/>
      <c r="H480" s="6"/>
      <c r="I480" s="6"/>
      <c r="J480" s="6"/>
      <c r="K480" s="6"/>
      <c r="L480" s="6"/>
      <c r="M480" s="6"/>
    </row>
    <row r="481" customFormat="false" ht="13.2" hidden="false" customHeight="false" outlineLevel="0" collapsed="false">
      <c r="D481" s="6"/>
      <c r="E481" s="6"/>
      <c r="F481" s="6"/>
      <c r="G481" s="6"/>
      <c r="H481" s="6"/>
      <c r="I481" s="6"/>
      <c r="J481" s="6"/>
      <c r="K481" s="6"/>
      <c r="L481" s="6"/>
      <c r="M481" s="6"/>
    </row>
    <row r="482" customFormat="false" ht="13.2" hidden="false" customHeight="false" outlineLevel="0" collapsed="false">
      <c r="D482" s="6"/>
      <c r="E482" s="6"/>
      <c r="F482" s="6"/>
      <c r="G482" s="6"/>
      <c r="H482" s="6"/>
      <c r="I482" s="6"/>
      <c r="J482" s="6"/>
      <c r="K482" s="6"/>
      <c r="L482" s="6"/>
      <c r="M482" s="6"/>
    </row>
    <row r="483" customFormat="false" ht="13.2" hidden="false" customHeight="false" outlineLevel="0" collapsed="false">
      <c r="D483" s="6"/>
      <c r="E483" s="6"/>
      <c r="F483" s="6"/>
      <c r="G483" s="6"/>
      <c r="H483" s="6"/>
      <c r="I483" s="6"/>
      <c r="J483" s="6"/>
      <c r="K483" s="6"/>
      <c r="L483" s="6"/>
      <c r="M483" s="6"/>
    </row>
    <row r="484" customFormat="false" ht="13.2" hidden="false" customHeight="false" outlineLevel="0" collapsed="false">
      <c r="D484" s="6"/>
      <c r="E484" s="6"/>
      <c r="F484" s="6"/>
      <c r="G484" s="6"/>
      <c r="H484" s="6"/>
      <c r="I484" s="6"/>
      <c r="J484" s="6"/>
      <c r="K484" s="6"/>
      <c r="L484" s="6"/>
      <c r="M484" s="6"/>
    </row>
    <row r="485" customFormat="false" ht="13.2" hidden="false" customHeight="false" outlineLevel="0" collapsed="false">
      <c r="D485" s="6"/>
      <c r="E485" s="6"/>
      <c r="F485" s="6"/>
      <c r="G485" s="6"/>
      <c r="H485" s="6"/>
      <c r="I485" s="6"/>
      <c r="J485" s="6"/>
      <c r="K485" s="6"/>
      <c r="L485" s="6"/>
      <c r="M485" s="6"/>
    </row>
    <row r="486" customFormat="false" ht="13.2" hidden="false" customHeight="false" outlineLevel="0" collapsed="false">
      <c r="D486" s="6"/>
      <c r="E486" s="6"/>
      <c r="F486" s="6"/>
      <c r="G486" s="6"/>
      <c r="H486" s="6"/>
      <c r="I486" s="6"/>
      <c r="J486" s="6"/>
      <c r="K486" s="6"/>
      <c r="L486" s="6"/>
      <c r="M486" s="6"/>
    </row>
    <row r="487" customFormat="false" ht="13.2" hidden="false" customHeight="false" outlineLevel="0" collapsed="false">
      <c r="D487" s="6"/>
      <c r="E487" s="6"/>
      <c r="F487" s="6"/>
      <c r="G487" s="6"/>
      <c r="H487" s="6"/>
      <c r="I487" s="6"/>
      <c r="J487" s="6"/>
      <c r="K487" s="6"/>
      <c r="L487" s="6"/>
      <c r="M487" s="6"/>
    </row>
    <row r="488" customFormat="false" ht="13.2" hidden="false" customHeight="false" outlineLevel="0" collapsed="false">
      <c r="D488" s="6"/>
      <c r="E488" s="6"/>
      <c r="F488" s="6"/>
      <c r="G488" s="6"/>
      <c r="H488" s="6"/>
      <c r="I488" s="6"/>
      <c r="J488" s="6"/>
      <c r="K488" s="6"/>
      <c r="L488" s="6"/>
      <c r="M488" s="6"/>
    </row>
    <row r="489" customFormat="false" ht="13.2" hidden="false" customHeight="false" outlineLevel="0" collapsed="false">
      <c r="D489" s="6"/>
      <c r="E489" s="6"/>
      <c r="F489" s="6"/>
      <c r="G489" s="6"/>
      <c r="H489" s="6"/>
      <c r="I489" s="6"/>
      <c r="J489" s="6"/>
      <c r="K489" s="6"/>
      <c r="L489" s="6"/>
      <c r="M489" s="6"/>
    </row>
    <row r="490" customFormat="false" ht="13.2" hidden="false" customHeight="false" outlineLevel="0" collapsed="false">
      <c r="D490" s="6"/>
      <c r="E490" s="6"/>
      <c r="F490" s="6"/>
      <c r="G490" s="6"/>
      <c r="H490" s="6"/>
      <c r="I490" s="6"/>
      <c r="J490" s="6"/>
      <c r="K490" s="6"/>
      <c r="L490" s="6"/>
      <c r="M490" s="6"/>
    </row>
    <row r="491" customFormat="false" ht="13.2" hidden="false" customHeight="false" outlineLevel="0" collapsed="false">
      <c r="D491" s="6"/>
      <c r="E491" s="6"/>
      <c r="F491" s="6"/>
      <c r="G491" s="6"/>
      <c r="H491" s="6"/>
      <c r="I491" s="6"/>
      <c r="J491" s="6"/>
      <c r="K491" s="6"/>
      <c r="L491" s="6"/>
      <c r="M491" s="6"/>
    </row>
    <row r="492" customFormat="false" ht="13.2" hidden="false" customHeight="false" outlineLevel="0" collapsed="false">
      <c r="D492" s="6"/>
      <c r="E492" s="6"/>
      <c r="F492" s="6"/>
      <c r="G492" s="6"/>
      <c r="H492" s="6"/>
      <c r="I492" s="6"/>
      <c r="J492" s="6"/>
      <c r="K492" s="6"/>
      <c r="L492" s="6"/>
      <c r="M492" s="6"/>
    </row>
    <row r="493" customFormat="false" ht="13.2" hidden="false" customHeight="false" outlineLevel="0" collapsed="false">
      <c r="D493" s="6"/>
      <c r="E493" s="6"/>
      <c r="F493" s="6"/>
      <c r="G493" s="6"/>
      <c r="H493" s="6"/>
      <c r="I493" s="6"/>
      <c r="J493" s="6"/>
      <c r="K493" s="6"/>
      <c r="L493" s="6"/>
      <c r="M493" s="6"/>
    </row>
    <row r="494" customFormat="false" ht="13.2" hidden="false" customHeight="false" outlineLevel="0" collapsed="false">
      <c r="D494" s="6"/>
      <c r="E494" s="6"/>
      <c r="F494" s="6"/>
      <c r="G494" s="6"/>
      <c r="H494" s="6"/>
      <c r="I494" s="6"/>
      <c r="J494" s="6"/>
      <c r="K494" s="6"/>
      <c r="L494" s="6"/>
      <c r="M494" s="6"/>
    </row>
    <row r="495" customFormat="false" ht="13.2" hidden="false" customHeight="false" outlineLevel="0" collapsed="false">
      <c r="D495" s="6"/>
      <c r="E495" s="6"/>
      <c r="F495" s="6"/>
      <c r="G495" s="6"/>
      <c r="H495" s="6"/>
      <c r="I495" s="6"/>
      <c r="J495" s="6"/>
      <c r="K495" s="6"/>
      <c r="L495" s="6"/>
      <c r="M495" s="6"/>
    </row>
    <row r="496" customFormat="false" ht="13.2" hidden="false" customHeight="false" outlineLevel="0" collapsed="false">
      <c r="D496" s="6"/>
      <c r="E496" s="6"/>
      <c r="F496" s="6"/>
      <c r="G496" s="6"/>
      <c r="H496" s="6"/>
      <c r="I496" s="6"/>
      <c r="J496" s="6"/>
      <c r="K496" s="6"/>
      <c r="L496" s="6"/>
      <c r="M496" s="6"/>
    </row>
    <row r="497" customFormat="false" ht="13.2" hidden="false" customHeight="false" outlineLevel="0" collapsed="false">
      <c r="D497" s="6"/>
      <c r="E497" s="6"/>
      <c r="F497" s="6"/>
      <c r="G497" s="6"/>
      <c r="H497" s="6"/>
      <c r="I497" s="6"/>
      <c r="J497" s="6"/>
      <c r="K497" s="6"/>
      <c r="L497" s="6"/>
      <c r="M497" s="6"/>
    </row>
    <row r="498" customFormat="false" ht="13.2" hidden="false" customHeight="false" outlineLevel="0" collapsed="false">
      <c r="D498" s="6"/>
      <c r="E498" s="6"/>
      <c r="F498" s="6"/>
      <c r="G498" s="6"/>
      <c r="H498" s="6"/>
      <c r="I498" s="6"/>
      <c r="J498" s="6"/>
      <c r="K498" s="6"/>
      <c r="L498" s="6"/>
      <c r="M498" s="6"/>
    </row>
    <row r="499" customFormat="false" ht="13.2" hidden="false" customHeight="false" outlineLevel="0" collapsed="false">
      <c r="D499" s="6"/>
      <c r="E499" s="6"/>
      <c r="F499" s="6"/>
      <c r="G499" s="6"/>
      <c r="H499" s="6"/>
      <c r="I499" s="6"/>
      <c r="J499" s="6"/>
      <c r="K499" s="6"/>
      <c r="L499" s="6"/>
      <c r="M499" s="6"/>
    </row>
    <row r="500" customFormat="false" ht="13.2" hidden="false" customHeight="false" outlineLevel="0" collapsed="false">
      <c r="D500" s="6"/>
      <c r="E500" s="6"/>
      <c r="F500" s="6"/>
      <c r="G500" s="6"/>
      <c r="H500" s="6"/>
      <c r="I500" s="6"/>
      <c r="J500" s="6"/>
      <c r="K500" s="6"/>
      <c r="L500" s="6"/>
      <c r="M500" s="6"/>
    </row>
    <row r="501" customFormat="false" ht="13.2" hidden="false" customHeight="false" outlineLevel="0" collapsed="false">
      <c r="D501" s="6"/>
      <c r="E501" s="6"/>
      <c r="F501" s="6"/>
      <c r="G501" s="6"/>
      <c r="H501" s="6"/>
      <c r="I501" s="6"/>
      <c r="J501" s="6"/>
      <c r="K501" s="6"/>
      <c r="L501" s="6"/>
      <c r="M501" s="6"/>
    </row>
    <row r="502" customFormat="false" ht="13.2" hidden="false" customHeight="false" outlineLevel="0" collapsed="false">
      <c r="D502" s="6"/>
      <c r="E502" s="6"/>
      <c r="F502" s="6"/>
      <c r="G502" s="6"/>
      <c r="H502" s="6"/>
      <c r="I502" s="6"/>
      <c r="J502" s="6"/>
      <c r="K502" s="6"/>
      <c r="L502" s="6"/>
      <c r="M502" s="6"/>
    </row>
    <row r="503" customFormat="false" ht="13.2" hidden="false" customHeight="false" outlineLevel="0" collapsed="false">
      <c r="D503" s="6"/>
      <c r="E503" s="6"/>
      <c r="F503" s="6"/>
      <c r="G503" s="6"/>
      <c r="H503" s="6"/>
      <c r="I503" s="6"/>
      <c r="J503" s="6"/>
      <c r="K503" s="6"/>
      <c r="L503" s="6"/>
      <c r="M503" s="6"/>
    </row>
    <row r="504" customFormat="false" ht="13.2" hidden="false" customHeight="false" outlineLevel="0" collapsed="false">
      <c r="D504" s="6"/>
      <c r="E504" s="6"/>
      <c r="F504" s="6"/>
      <c r="G504" s="6"/>
      <c r="H504" s="6"/>
      <c r="I504" s="6"/>
      <c r="J504" s="6"/>
      <c r="K504" s="6"/>
      <c r="L504" s="6"/>
      <c r="M504" s="6"/>
    </row>
    <row r="505" customFormat="false" ht="13.2" hidden="false" customHeight="false" outlineLevel="0" collapsed="false">
      <c r="D505" s="6"/>
      <c r="E505" s="6"/>
      <c r="F505" s="6"/>
      <c r="G505" s="6"/>
      <c r="H505" s="6"/>
      <c r="I505" s="6"/>
      <c r="J505" s="6"/>
      <c r="K505" s="6"/>
      <c r="L505" s="6"/>
      <c r="M505" s="6"/>
    </row>
    <row r="506" customFormat="false" ht="13.2" hidden="false" customHeight="false" outlineLevel="0" collapsed="false">
      <c r="D506" s="6"/>
      <c r="E506" s="6"/>
      <c r="F506" s="6"/>
      <c r="G506" s="6"/>
      <c r="H506" s="6"/>
      <c r="I506" s="6"/>
      <c r="J506" s="6"/>
      <c r="K506" s="6"/>
      <c r="L506" s="6"/>
      <c r="M506" s="6"/>
    </row>
    <row r="507" customFormat="false" ht="13.2" hidden="false" customHeight="false" outlineLevel="0" collapsed="false">
      <c r="D507" s="6"/>
      <c r="E507" s="6"/>
      <c r="F507" s="6"/>
      <c r="G507" s="6"/>
      <c r="H507" s="6"/>
      <c r="I507" s="6"/>
      <c r="J507" s="6"/>
      <c r="K507" s="6"/>
      <c r="L507" s="6"/>
      <c r="M507" s="6"/>
    </row>
    <row r="508" customFormat="false" ht="13.2" hidden="false" customHeight="false" outlineLevel="0" collapsed="false">
      <c r="D508" s="6"/>
      <c r="E508" s="6"/>
      <c r="F508" s="6"/>
      <c r="G508" s="6"/>
      <c r="H508" s="6"/>
      <c r="I508" s="6"/>
      <c r="J508" s="6"/>
      <c r="K508" s="6"/>
      <c r="L508" s="6"/>
      <c r="M508" s="6"/>
    </row>
    <row r="509" customFormat="false" ht="13.2" hidden="false" customHeight="false" outlineLevel="0" collapsed="false">
      <c r="D509" s="6"/>
      <c r="E509" s="6"/>
      <c r="F509" s="6"/>
      <c r="G509" s="6"/>
      <c r="H509" s="6"/>
      <c r="I509" s="6"/>
      <c r="J509" s="6"/>
      <c r="K509" s="6"/>
      <c r="L509" s="6"/>
      <c r="M509" s="6"/>
    </row>
    <row r="510" customFormat="false" ht="13.2" hidden="false" customHeight="false" outlineLevel="0" collapsed="false">
      <c r="D510" s="6"/>
      <c r="E510" s="6"/>
      <c r="F510" s="6"/>
      <c r="G510" s="6"/>
      <c r="H510" s="6"/>
      <c r="I510" s="6"/>
      <c r="J510" s="6"/>
      <c r="K510" s="6"/>
      <c r="L510" s="6"/>
      <c r="M510" s="6"/>
    </row>
    <row r="511" customFormat="false" ht="13.2" hidden="false" customHeight="false" outlineLevel="0" collapsed="false">
      <c r="D511" s="6"/>
      <c r="E511" s="6"/>
      <c r="F511" s="6"/>
      <c r="G511" s="6"/>
      <c r="H511" s="6"/>
      <c r="I511" s="6"/>
      <c r="J511" s="6"/>
      <c r="K511" s="6"/>
      <c r="L511" s="6"/>
      <c r="M511" s="6"/>
    </row>
    <row r="512" customFormat="false" ht="13.2" hidden="false" customHeight="false" outlineLevel="0" collapsed="false">
      <c r="D512" s="6"/>
      <c r="E512" s="6"/>
      <c r="F512" s="6"/>
      <c r="G512" s="6"/>
      <c r="H512" s="6"/>
      <c r="I512" s="6"/>
      <c r="J512" s="6"/>
      <c r="K512" s="6"/>
      <c r="L512" s="6"/>
      <c r="M512" s="6"/>
    </row>
    <row r="513" customFormat="false" ht="13.2" hidden="false" customHeight="false" outlineLevel="0" collapsed="false">
      <c r="D513" s="6"/>
      <c r="E513" s="6"/>
      <c r="F513" s="6"/>
      <c r="G513" s="6"/>
      <c r="H513" s="6"/>
      <c r="I513" s="6"/>
      <c r="J513" s="6"/>
      <c r="K513" s="6"/>
      <c r="L513" s="6"/>
      <c r="M513" s="6"/>
    </row>
    <row r="514" customFormat="false" ht="13.2" hidden="false" customHeight="false" outlineLevel="0" collapsed="false">
      <c r="D514" s="6"/>
      <c r="E514" s="6"/>
      <c r="F514" s="6"/>
      <c r="G514" s="6"/>
      <c r="H514" s="6"/>
      <c r="I514" s="6"/>
      <c r="J514" s="6"/>
      <c r="K514" s="6"/>
      <c r="L514" s="6"/>
      <c r="M514" s="6"/>
    </row>
    <row r="515" customFormat="false" ht="13.2" hidden="false" customHeight="false" outlineLevel="0" collapsed="false">
      <c r="D515" s="6"/>
      <c r="E515" s="6"/>
      <c r="F515" s="6"/>
      <c r="G515" s="6"/>
      <c r="H515" s="6"/>
      <c r="I515" s="6"/>
      <c r="J515" s="6"/>
      <c r="K515" s="6"/>
      <c r="L515" s="6"/>
      <c r="M515" s="6"/>
    </row>
    <row r="516" customFormat="false" ht="13.2" hidden="false" customHeight="false" outlineLevel="0" collapsed="false">
      <c r="D516" s="6"/>
      <c r="E516" s="6"/>
      <c r="F516" s="6"/>
      <c r="G516" s="6"/>
      <c r="H516" s="6"/>
      <c r="I516" s="6"/>
      <c r="J516" s="6"/>
      <c r="K516" s="6"/>
      <c r="L516" s="6"/>
      <c r="M516" s="6"/>
    </row>
    <row r="517" customFormat="false" ht="13.2" hidden="false" customHeight="false" outlineLevel="0" collapsed="false">
      <c r="D517" s="6"/>
      <c r="E517" s="6"/>
      <c r="F517" s="6"/>
      <c r="G517" s="6"/>
      <c r="H517" s="6"/>
      <c r="I517" s="6"/>
      <c r="J517" s="6"/>
      <c r="K517" s="6"/>
      <c r="L517" s="6"/>
      <c r="M517" s="6"/>
    </row>
    <row r="518" customFormat="false" ht="13.2" hidden="false" customHeight="false" outlineLevel="0" collapsed="false">
      <c r="D518" s="6"/>
      <c r="E518" s="6"/>
      <c r="F518" s="6"/>
      <c r="G518" s="6"/>
      <c r="H518" s="6"/>
      <c r="I518" s="6"/>
      <c r="J518" s="6"/>
      <c r="K518" s="6"/>
      <c r="L518" s="6"/>
      <c r="M518" s="6"/>
    </row>
    <row r="519" customFormat="false" ht="13.2" hidden="false" customHeight="false" outlineLevel="0" collapsed="false">
      <c r="D519" s="6"/>
      <c r="E519" s="6"/>
      <c r="F519" s="6"/>
      <c r="G519" s="6"/>
      <c r="H519" s="6"/>
      <c r="I519" s="6"/>
      <c r="J519" s="6"/>
      <c r="K519" s="6"/>
      <c r="L519" s="6"/>
      <c r="M519" s="6"/>
    </row>
    <row r="520" customFormat="false" ht="13.2" hidden="false" customHeight="false" outlineLevel="0" collapsed="false">
      <c r="D520" s="6"/>
      <c r="E520" s="6"/>
      <c r="F520" s="6"/>
      <c r="G520" s="6"/>
      <c r="H520" s="6"/>
      <c r="I520" s="6"/>
      <c r="J520" s="6"/>
      <c r="K520" s="6"/>
      <c r="L520" s="6"/>
      <c r="M520" s="6"/>
    </row>
    <row r="521" customFormat="false" ht="13.2" hidden="false" customHeight="false" outlineLevel="0" collapsed="false">
      <c r="D521" s="6"/>
      <c r="E521" s="6"/>
      <c r="F521" s="6"/>
      <c r="G521" s="6"/>
      <c r="H521" s="6"/>
      <c r="I521" s="6"/>
      <c r="J521" s="6"/>
      <c r="K521" s="6"/>
      <c r="L521" s="6"/>
      <c r="M521" s="6"/>
    </row>
    <row r="522" customFormat="false" ht="13.2" hidden="false" customHeight="false" outlineLevel="0" collapsed="false">
      <c r="D522" s="6"/>
      <c r="E522" s="6"/>
      <c r="F522" s="6"/>
      <c r="G522" s="6"/>
      <c r="H522" s="6"/>
      <c r="I522" s="6"/>
      <c r="J522" s="6"/>
      <c r="K522" s="6"/>
      <c r="L522" s="6"/>
      <c r="M522" s="6"/>
    </row>
    <row r="523" customFormat="false" ht="13.2" hidden="false" customHeight="false" outlineLevel="0" collapsed="false">
      <c r="D523" s="6"/>
      <c r="E523" s="6"/>
      <c r="F523" s="6"/>
      <c r="G523" s="6"/>
      <c r="H523" s="6"/>
      <c r="I523" s="6"/>
      <c r="J523" s="6"/>
      <c r="K523" s="6"/>
      <c r="L523" s="6"/>
      <c r="M523" s="6"/>
    </row>
    <row r="524" customFormat="false" ht="13.2" hidden="false" customHeight="false" outlineLevel="0" collapsed="false">
      <c r="D524" s="6"/>
      <c r="E524" s="6"/>
      <c r="F524" s="6"/>
      <c r="G524" s="6"/>
      <c r="H524" s="6"/>
      <c r="I524" s="6"/>
      <c r="J524" s="6"/>
      <c r="K524" s="6"/>
      <c r="L524" s="6"/>
      <c r="M524" s="6"/>
    </row>
    <row r="525" customFormat="false" ht="13.2" hidden="false" customHeight="false" outlineLevel="0" collapsed="false">
      <c r="D525" s="6"/>
      <c r="E525" s="6"/>
      <c r="F525" s="6"/>
      <c r="G525" s="6"/>
      <c r="H525" s="6"/>
      <c r="I525" s="6"/>
      <c r="J525" s="6"/>
      <c r="K525" s="6"/>
      <c r="L525" s="6"/>
      <c r="M525" s="6"/>
    </row>
    <row r="526" customFormat="false" ht="13.2" hidden="false" customHeight="false" outlineLevel="0" collapsed="false">
      <c r="D526" s="6"/>
      <c r="E526" s="6"/>
      <c r="F526" s="6"/>
      <c r="G526" s="6"/>
      <c r="H526" s="6"/>
      <c r="I526" s="6"/>
      <c r="J526" s="6"/>
      <c r="K526" s="6"/>
      <c r="L526" s="6"/>
      <c r="M526" s="6"/>
    </row>
    <row r="527" customFormat="false" ht="13.2" hidden="false" customHeight="false" outlineLevel="0" collapsed="false">
      <c r="D527" s="6"/>
      <c r="E527" s="6"/>
      <c r="F527" s="6"/>
      <c r="G527" s="6"/>
      <c r="H527" s="6"/>
      <c r="I527" s="6"/>
      <c r="J527" s="6"/>
      <c r="K527" s="6"/>
      <c r="L527" s="6"/>
      <c r="M527" s="6"/>
    </row>
    <row r="528" customFormat="false" ht="13.2" hidden="false" customHeight="false" outlineLevel="0" collapsed="false">
      <c r="D528" s="6"/>
      <c r="E528" s="6"/>
      <c r="F528" s="6"/>
      <c r="G528" s="6"/>
      <c r="H528" s="6"/>
      <c r="I528" s="6"/>
      <c r="J528" s="6"/>
      <c r="K528" s="6"/>
      <c r="L528" s="6"/>
      <c r="M528" s="6"/>
    </row>
    <row r="529" customFormat="false" ht="13.2" hidden="false" customHeight="false" outlineLevel="0" collapsed="false">
      <c r="D529" s="6"/>
      <c r="E529" s="6"/>
      <c r="F529" s="6"/>
      <c r="G529" s="6"/>
      <c r="H529" s="6"/>
      <c r="I529" s="6"/>
      <c r="J529" s="6"/>
      <c r="K529" s="6"/>
      <c r="L529" s="6"/>
      <c r="M529" s="6"/>
    </row>
    <row r="530" customFormat="false" ht="13.2" hidden="false" customHeight="false" outlineLevel="0" collapsed="false">
      <c r="D530" s="6"/>
      <c r="E530" s="6"/>
      <c r="F530" s="6"/>
      <c r="G530" s="6"/>
      <c r="H530" s="6"/>
      <c r="I530" s="6"/>
      <c r="J530" s="6"/>
      <c r="K530" s="6"/>
      <c r="L530" s="6"/>
      <c r="M530" s="6"/>
    </row>
    <row r="531" customFormat="false" ht="13.2" hidden="false" customHeight="false" outlineLevel="0" collapsed="false">
      <c r="D531" s="6"/>
      <c r="E531" s="6"/>
      <c r="F531" s="6"/>
      <c r="G531" s="6"/>
      <c r="H531" s="6"/>
      <c r="I531" s="6"/>
      <c r="J531" s="6"/>
      <c r="K531" s="6"/>
      <c r="L531" s="6"/>
      <c r="M531" s="6"/>
    </row>
    <row r="532" customFormat="false" ht="13.2" hidden="false" customHeight="false" outlineLevel="0" collapsed="false">
      <c r="D532" s="6"/>
      <c r="E532" s="6"/>
      <c r="F532" s="6"/>
      <c r="G532" s="6"/>
      <c r="H532" s="6"/>
      <c r="I532" s="6"/>
      <c r="J532" s="6"/>
      <c r="K532" s="6"/>
      <c r="L532" s="6"/>
      <c r="M532" s="6"/>
    </row>
    <row r="533" customFormat="false" ht="13.2" hidden="false" customHeight="false" outlineLevel="0" collapsed="false">
      <c r="D533" s="6"/>
      <c r="E533" s="6"/>
      <c r="F533" s="6"/>
      <c r="G533" s="6"/>
      <c r="H533" s="6"/>
      <c r="I533" s="6"/>
      <c r="J533" s="6"/>
      <c r="K533" s="6"/>
      <c r="L533" s="6"/>
      <c r="M533" s="6"/>
    </row>
    <row r="534" customFormat="false" ht="13.2" hidden="false" customHeight="false" outlineLevel="0" collapsed="false">
      <c r="D534" s="6"/>
      <c r="E534" s="6"/>
      <c r="F534" s="6"/>
      <c r="G534" s="6"/>
      <c r="H534" s="6"/>
      <c r="I534" s="6"/>
      <c r="J534" s="6"/>
      <c r="K534" s="6"/>
      <c r="L534" s="6"/>
      <c r="M534" s="6"/>
    </row>
    <row r="535" customFormat="false" ht="13.2" hidden="false" customHeight="false" outlineLevel="0" collapsed="false">
      <c r="D535" s="6"/>
      <c r="E535" s="6"/>
      <c r="F535" s="6"/>
      <c r="G535" s="6"/>
      <c r="H535" s="6"/>
      <c r="I535" s="6"/>
      <c r="J535" s="6"/>
      <c r="K535" s="6"/>
      <c r="L535" s="6"/>
      <c r="M535" s="6"/>
    </row>
    <row r="536" customFormat="false" ht="13.2" hidden="false" customHeight="false" outlineLevel="0" collapsed="false">
      <c r="D536" s="6"/>
      <c r="E536" s="6"/>
      <c r="F536" s="6"/>
      <c r="G536" s="6"/>
      <c r="H536" s="6"/>
      <c r="I536" s="6"/>
      <c r="J536" s="6"/>
      <c r="K536" s="6"/>
      <c r="L536" s="6"/>
      <c r="M536" s="6"/>
    </row>
    <row r="537" customFormat="false" ht="13.2" hidden="false" customHeight="false" outlineLevel="0" collapsed="false">
      <c r="D537" s="6"/>
      <c r="E537" s="6"/>
      <c r="F537" s="6"/>
      <c r="G537" s="6"/>
      <c r="H537" s="6"/>
      <c r="I537" s="6"/>
      <c r="J537" s="6"/>
      <c r="K537" s="6"/>
      <c r="L537" s="6"/>
      <c r="M537" s="6"/>
    </row>
    <row r="538" customFormat="false" ht="13.2" hidden="false" customHeight="false" outlineLevel="0" collapsed="false">
      <c r="D538" s="6"/>
      <c r="E538" s="6"/>
      <c r="F538" s="6"/>
      <c r="G538" s="6"/>
      <c r="H538" s="6"/>
      <c r="I538" s="6"/>
      <c r="J538" s="6"/>
      <c r="K538" s="6"/>
      <c r="L538" s="6"/>
      <c r="M538" s="6"/>
    </row>
    <row r="539" customFormat="false" ht="13.2" hidden="false" customHeight="false" outlineLevel="0" collapsed="false">
      <c r="D539" s="6"/>
      <c r="E539" s="6"/>
      <c r="F539" s="6"/>
      <c r="G539" s="6"/>
      <c r="H539" s="6"/>
      <c r="I539" s="6"/>
      <c r="J539" s="6"/>
      <c r="K539" s="6"/>
      <c r="L539" s="6"/>
      <c r="M539" s="6"/>
    </row>
    <row r="540" customFormat="false" ht="13.2" hidden="false" customHeight="false" outlineLevel="0" collapsed="false">
      <c r="D540" s="6"/>
      <c r="E540" s="6"/>
      <c r="F540" s="6"/>
      <c r="G540" s="6"/>
      <c r="H540" s="6"/>
      <c r="I540" s="6"/>
      <c r="J540" s="6"/>
      <c r="K540" s="6"/>
      <c r="L540" s="6"/>
      <c r="M540" s="6"/>
    </row>
    <row r="541" customFormat="false" ht="13.2" hidden="false" customHeight="false" outlineLevel="0" collapsed="false">
      <c r="D541" s="6"/>
      <c r="E541" s="6"/>
      <c r="F541" s="6"/>
      <c r="G541" s="6"/>
      <c r="H541" s="6"/>
      <c r="I541" s="6"/>
      <c r="J541" s="6"/>
      <c r="K541" s="6"/>
      <c r="L541" s="6"/>
      <c r="M541" s="6"/>
    </row>
    <row r="542" customFormat="false" ht="13.2" hidden="false" customHeight="false" outlineLevel="0" collapsed="false">
      <c r="D542" s="6"/>
      <c r="E542" s="6"/>
      <c r="F542" s="6"/>
      <c r="G542" s="6"/>
      <c r="H542" s="6"/>
      <c r="I542" s="6"/>
      <c r="J542" s="6"/>
      <c r="K542" s="6"/>
      <c r="L542" s="6"/>
      <c r="M542" s="6"/>
    </row>
    <row r="543" customFormat="false" ht="13.2" hidden="false" customHeight="false" outlineLevel="0" collapsed="false">
      <c r="D543" s="6"/>
      <c r="E543" s="6"/>
      <c r="F543" s="6"/>
      <c r="G543" s="6"/>
      <c r="H543" s="6"/>
      <c r="I543" s="6"/>
      <c r="J543" s="6"/>
      <c r="K543" s="6"/>
      <c r="L543" s="6"/>
      <c r="M543" s="6"/>
    </row>
    <row r="544" customFormat="false" ht="13.2" hidden="false" customHeight="false" outlineLevel="0" collapsed="false">
      <c r="D544" s="6"/>
      <c r="E544" s="6"/>
      <c r="F544" s="6"/>
      <c r="G544" s="6"/>
      <c r="H544" s="6"/>
      <c r="I544" s="6"/>
      <c r="J544" s="6"/>
      <c r="K544" s="6"/>
      <c r="L544" s="6"/>
      <c r="M544" s="6"/>
    </row>
    <row r="545" customFormat="false" ht="13.2" hidden="false" customHeight="false" outlineLevel="0" collapsed="false">
      <c r="D545" s="6"/>
      <c r="E545" s="6"/>
      <c r="F545" s="6"/>
      <c r="G545" s="6"/>
      <c r="H545" s="6"/>
      <c r="I545" s="6"/>
      <c r="J545" s="6"/>
      <c r="K545" s="6"/>
      <c r="L545" s="6"/>
      <c r="M545" s="6"/>
    </row>
    <row r="546" customFormat="false" ht="13.2" hidden="false" customHeight="false" outlineLevel="0" collapsed="false">
      <c r="D546" s="6"/>
      <c r="E546" s="6"/>
      <c r="F546" s="6"/>
      <c r="G546" s="6"/>
      <c r="H546" s="6"/>
      <c r="I546" s="6"/>
      <c r="J546" s="6"/>
      <c r="K546" s="6"/>
      <c r="L546" s="6"/>
      <c r="M546" s="6"/>
    </row>
    <row r="547" customFormat="false" ht="13.2" hidden="false" customHeight="false" outlineLevel="0" collapsed="false">
      <c r="D547" s="6"/>
      <c r="E547" s="6"/>
      <c r="F547" s="6"/>
      <c r="G547" s="6"/>
      <c r="H547" s="6"/>
      <c r="I547" s="6"/>
      <c r="J547" s="6"/>
      <c r="K547" s="6"/>
      <c r="L547" s="6"/>
      <c r="M547" s="6"/>
    </row>
    <row r="548" customFormat="false" ht="13.2" hidden="false" customHeight="false" outlineLevel="0" collapsed="false">
      <c r="D548" s="6"/>
      <c r="E548" s="6"/>
      <c r="F548" s="6"/>
      <c r="G548" s="6"/>
      <c r="H548" s="6"/>
      <c r="I548" s="6"/>
      <c r="J548" s="6"/>
      <c r="K548" s="6"/>
      <c r="L548" s="6"/>
      <c r="M548" s="6"/>
    </row>
    <row r="549" customFormat="false" ht="13.2" hidden="false" customHeight="false" outlineLevel="0" collapsed="false">
      <c r="D549" s="6"/>
      <c r="E549" s="6"/>
      <c r="F549" s="6"/>
      <c r="G549" s="6"/>
      <c r="H549" s="6"/>
      <c r="I549" s="6"/>
      <c r="J549" s="6"/>
      <c r="K549" s="6"/>
      <c r="L549" s="6"/>
      <c r="M549" s="6"/>
    </row>
    <row r="550" customFormat="false" ht="13.2" hidden="false" customHeight="false" outlineLevel="0" collapsed="false">
      <c r="D550" s="6"/>
      <c r="E550" s="6"/>
      <c r="F550" s="6"/>
      <c r="G550" s="6"/>
      <c r="H550" s="6"/>
      <c r="I550" s="6"/>
      <c r="J550" s="6"/>
      <c r="K550" s="6"/>
      <c r="L550" s="6"/>
      <c r="M550" s="6"/>
    </row>
    <row r="551" customFormat="false" ht="13.2" hidden="false" customHeight="false" outlineLevel="0" collapsed="false">
      <c r="D551" s="6"/>
      <c r="E551" s="6"/>
      <c r="F551" s="6"/>
      <c r="G551" s="6"/>
      <c r="H551" s="6"/>
      <c r="I551" s="6"/>
      <c r="J551" s="6"/>
      <c r="K551" s="6"/>
      <c r="L551" s="6"/>
      <c r="M551" s="6"/>
    </row>
    <row r="552" customFormat="false" ht="13.2" hidden="false" customHeight="false" outlineLevel="0" collapsed="false"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customFormat="false" ht="13.2" hidden="false" customHeight="false" outlineLevel="0" collapsed="false">
      <c r="D553" s="6"/>
      <c r="E553" s="6"/>
      <c r="F553" s="6"/>
      <c r="G553" s="6"/>
      <c r="H553" s="6"/>
      <c r="I553" s="6"/>
      <c r="J553" s="6"/>
      <c r="K553" s="6"/>
      <c r="L553" s="6"/>
      <c r="M553" s="6"/>
    </row>
    <row r="554" customFormat="false" ht="13.2" hidden="false" customHeight="false" outlineLevel="0" collapsed="false">
      <c r="D554" s="6"/>
      <c r="E554" s="6"/>
      <c r="F554" s="6"/>
      <c r="G554" s="6"/>
      <c r="H554" s="6"/>
      <c r="I554" s="6"/>
      <c r="J554" s="6"/>
      <c r="K554" s="6"/>
      <c r="L554" s="6"/>
      <c r="M554" s="6"/>
    </row>
    <row r="555" customFormat="false" ht="13.2" hidden="false" customHeight="false" outlineLevel="0" collapsed="false">
      <c r="D555" s="6"/>
      <c r="E555" s="6"/>
      <c r="F555" s="6"/>
      <c r="G555" s="6"/>
      <c r="H555" s="6"/>
      <c r="I555" s="6"/>
      <c r="J555" s="6"/>
      <c r="K555" s="6"/>
      <c r="L555" s="6"/>
      <c r="M555" s="6"/>
    </row>
    <row r="556" customFormat="false" ht="13.2" hidden="false" customHeight="false" outlineLevel="0" collapsed="false">
      <c r="D556" s="6"/>
      <c r="E556" s="6"/>
      <c r="F556" s="6"/>
      <c r="G556" s="6"/>
      <c r="H556" s="6"/>
      <c r="I556" s="6"/>
      <c r="J556" s="6"/>
      <c r="K556" s="6"/>
      <c r="L556" s="6"/>
      <c r="M556" s="6"/>
    </row>
    <row r="557" customFormat="false" ht="13.2" hidden="false" customHeight="false" outlineLevel="0" collapsed="false">
      <c r="D557" s="6"/>
      <c r="E557" s="6"/>
      <c r="F557" s="6"/>
      <c r="G557" s="6"/>
      <c r="H557" s="6"/>
      <c r="I557" s="6"/>
      <c r="J557" s="6"/>
      <c r="K557" s="6"/>
      <c r="L557" s="6"/>
      <c r="M557" s="6"/>
    </row>
    <row r="558" customFormat="false" ht="13.2" hidden="false" customHeight="false" outlineLevel="0" collapsed="false">
      <c r="D558" s="6"/>
      <c r="E558" s="6"/>
      <c r="F558" s="6"/>
      <c r="G558" s="6"/>
      <c r="H558" s="6"/>
      <c r="I558" s="6"/>
      <c r="J558" s="6"/>
      <c r="K558" s="6"/>
      <c r="L558" s="6"/>
      <c r="M558" s="6"/>
    </row>
    <row r="559" customFormat="false" ht="13.2" hidden="false" customHeight="false" outlineLevel="0" collapsed="false">
      <c r="D559" s="6"/>
      <c r="E559" s="6"/>
      <c r="F559" s="6"/>
      <c r="G559" s="6"/>
      <c r="H559" s="6"/>
      <c r="I559" s="6"/>
      <c r="J559" s="6"/>
      <c r="K559" s="6"/>
      <c r="L559" s="6"/>
      <c r="M559" s="6"/>
    </row>
    <row r="560" customFormat="false" ht="13.2" hidden="false" customHeight="false" outlineLevel="0" collapsed="false">
      <c r="D560" s="6"/>
      <c r="E560" s="6"/>
      <c r="F560" s="6"/>
      <c r="G560" s="6"/>
      <c r="H560" s="6"/>
      <c r="I560" s="6"/>
      <c r="J560" s="6"/>
      <c r="K560" s="6"/>
      <c r="L560" s="6"/>
      <c r="M560" s="6"/>
    </row>
    <row r="561" customFormat="false" ht="13.2" hidden="false" customHeight="false" outlineLevel="0" collapsed="false">
      <c r="D561" s="6"/>
      <c r="E561" s="6"/>
      <c r="F561" s="6"/>
      <c r="G561" s="6"/>
      <c r="H561" s="6"/>
      <c r="I561" s="6"/>
      <c r="J561" s="6"/>
      <c r="K561" s="6"/>
      <c r="L561" s="6"/>
      <c r="M561" s="6"/>
    </row>
    <row r="562" customFormat="false" ht="13.2" hidden="false" customHeight="false" outlineLevel="0" collapsed="false">
      <c r="D562" s="6"/>
      <c r="E562" s="6"/>
      <c r="F562" s="6"/>
      <c r="G562" s="6"/>
      <c r="H562" s="6"/>
      <c r="I562" s="6"/>
      <c r="J562" s="6"/>
      <c r="K562" s="6"/>
      <c r="L562" s="6"/>
      <c r="M562" s="6"/>
    </row>
    <row r="563" customFormat="false" ht="13.2" hidden="false" customHeight="false" outlineLevel="0" collapsed="false">
      <c r="D563" s="6"/>
      <c r="E563" s="6"/>
      <c r="F563" s="6"/>
      <c r="G563" s="6"/>
      <c r="H563" s="6"/>
      <c r="I563" s="6"/>
      <c r="J563" s="6"/>
      <c r="K563" s="6"/>
      <c r="L563" s="6"/>
      <c r="M563" s="6"/>
    </row>
    <row r="564" customFormat="false" ht="13.2" hidden="false" customHeight="false" outlineLevel="0" collapsed="false">
      <c r="D564" s="6"/>
      <c r="E564" s="6"/>
      <c r="F564" s="6"/>
      <c r="G564" s="6"/>
      <c r="H564" s="6"/>
      <c r="I564" s="6"/>
      <c r="J564" s="6"/>
      <c r="K564" s="6"/>
      <c r="L564" s="6"/>
      <c r="M564" s="6"/>
    </row>
    <row r="565" customFormat="false" ht="13.2" hidden="false" customHeight="false" outlineLevel="0" collapsed="false">
      <c r="D565" s="6"/>
      <c r="E565" s="6"/>
      <c r="F565" s="6"/>
      <c r="G565" s="6"/>
      <c r="H565" s="6"/>
      <c r="I565" s="6"/>
      <c r="J565" s="6"/>
      <c r="K565" s="6"/>
      <c r="L565" s="6"/>
      <c r="M565" s="6"/>
    </row>
    <row r="566" customFormat="false" ht="13.2" hidden="false" customHeight="false" outlineLevel="0" collapsed="false">
      <c r="D566" s="6"/>
      <c r="E566" s="6"/>
      <c r="F566" s="6"/>
      <c r="G566" s="6"/>
      <c r="H566" s="6"/>
      <c r="I566" s="6"/>
      <c r="J566" s="6"/>
      <c r="K566" s="6"/>
      <c r="L566" s="6"/>
      <c r="M566" s="6"/>
    </row>
    <row r="567" customFormat="false" ht="13.2" hidden="false" customHeight="false" outlineLevel="0" collapsed="false">
      <c r="D567" s="6"/>
      <c r="E567" s="6"/>
      <c r="F567" s="6"/>
      <c r="G567" s="6"/>
      <c r="H567" s="6"/>
      <c r="I567" s="6"/>
      <c r="J567" s="6"/>
      <c r="K567" s="6"/>
      <c r="L567" s="6"/>
      <c r="M567" s="6"/>
    </row>
    <row r="568" customFormat="false" ht="13.2" hidden="false" customHeight="false" outlineLevel="0" collapsed="false">
      <c r="D568" s="6"/>
      <c r="E568" s="6"/>
      <c r="F568" s="6"/>
      <c r="G568" s="6"/>
      <c r="H568" s="6"/>
      <c r="I568" s="6"/>
      <c r="J568" s="6"/>
      <c r="K568" s="6"/>
      <c r="L568" s="6"/>
      <c r="M568" s="6"/>
    </row>
    <row r="569" customFormat="false" ht="13.2" hidden="false" customHeight="false" outlineLevel="0" collapsed="false">
      <c r="D569" s="6"/>
      <c r="E569" s="6"/>
      <c r="F569" s="6"/>
      <c r="G569" s="6"/>
      <c r="H569" s="6"/>
      <c r="I569" s="6"/>
      <c r="J569" s="6"/>
      <c r="K569" s="6"/>
      <c r="L569" s="6"/>
      <c r="M569" s="6"/>
    </row>
    <row r="570" customFormat="false" ht="13.2" hidden="false" customHeight="false" outlineLevel="0" collapsed="false">
      <c r="D570" s="6"/>
      <c r="E570" s="6"/>
      <c r="F570" s="6"/>
      <c r="G570" s="6"/>
      <c r="H570" s="6"/>
      <c r="I570" s="6"/>
      <c r="J570" s="6"/>
      <c r="K570" s="6"/>
      <c r="L570" s="6"/>
      <c r="M570" s="6"/>
    </row>
    <row r="571" customFormat="false" ht="13.2" hidden="false" customHeight="false" outlineLevel="0" collapsed="false"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customFormat="false" ht="13.2" hidden="false" customHeight="false" outlineLevel="0" collapsed="false">
      <c r="D572" s="6"/>
      <c r="E572" s="6"/>
      <c r="F572" s="6"/>
      <c r="G572" s="6"/>
      <c r="H572" s="6"/>
      <c r="I572" s="6"/>
      <c r="J572" s="6"/>
      <c r="K572" s="6"/>
      <c r="L572" s="6"/>
      <c r="M572" s="6"/>
    </row>
    <row r="573" customFormat="false" ht="13.2" hidden="false" customHeight="false" outlineLevel="0" collapsed="false">
      <c r="D573" s="6"/>
      <c r="E573" s="6"/>
      <c r="F573" s="6"/>
      <c r="G573" s="6"/>
      <c r="H573" s="6"/>
      <c r="I573" s="6"/>
      <c r="J573" s="6"/>
      <c r="K573" s="6"/>
      <c r="L573" s="6"/>
      <c r="M573" s="6"/>
    </row>
    <row r="574" customFormat="false" ht="13.2" hidden="false" customHeight="false" outlineLevel="0" collapsed="false">
      <c r="D574" s="6"/>
      <c r="E574" s="6"/>
      <c r="F574" s="6"/>
      <c r="G574" s="6"/>
      <c r="H574" s="6"/>
      <c r="I574" s="6"/>
      <c r="J574" s="6"/>
      <c r="K574" s="6"/>
      <c r="L574" s="6"/>
      <c r="M574" s="6"/>
    </row>
    <row r="575" customFormat="false" ht="13.2" hidden="false" customHeight="false" outlineLevel="0" collapsed="false">
      <c r="D575" s="6"/>
      <c r="E575" s="6"/>
      <c r="F575" s="6"/>
      <c r="G575" s="6"/>
      <c r="H575" s="6"/>
      <c r="I575" s="6"/>
      <c r="J575" s="6"/>
      <c r="K575" s="6"/>
      <c r="L575" s="6"/>
      <c r="M575" s="6"/>
    </row>
    <row r="576" customFormat="false" ht="13.2" hidden="false" customHeight="false" outlineLevel="0" collapsed="false">
      <c r="D576" s="6"/>
      <c r="E576" s="6"/>
      <c r="F576" s="6"/>
      <c r="G576" s="6"/>
      <c r="H576" s="6"/>
      <c r="I576" s="6"/>
      <c r="J576" s="6"/>
      <c r="K576" s="6"/>
      <c r="L576" s="6"/>
      <c r="M576" s="6"/>
    </row>
    <row r="577" customFormat="false" ht="13.2" hidden="false" customHeight="false" outlineLevel="0" collapsed="false">
      <c r="D577" s="6"/>
      <c r="E577" s="6"/>
      <c r="F577" s="6"/>
      <c r="G577" s="6"/>
      <c r="H577" s="6"/>
      <c r="I577" s="6"/>
      <c r="J577" s="6"/>
      <c r="K577" s="6"/>
      <c r="L577" s="6"/>
      <c r="M577" s="6"/>
    </row>
    <row r="578" customFormat="false" ht="13.2" hidden="false" customHeight="false" outlineLevel="0" collapsed="false">
      <c r="D578" s="6"/>
      <c r="E578" s="6"/>
      <c r="F578" s="6"/>
      <c r="G578" s="6"/>
      <c r="H578" s="6"/>
      <c r="I578" s="6"/>
      <c r="J578" s="6"/>
      <c r="K578" s="6"/>
      <c r="L578" s="6"/>
      <c r="M578" s="6"/>
    </row>
    <row r="579" customFormat="false" ht="13.2" hidden="false" customHeight="false" outlineLevel="0" collapsed="false">
      <c r="D579" s="6"/>
      <c r="E579" s="6"/>
      <c r="F579" s="6"/>
      <c r="G579" s="6"/>
      <c r="H579" s="6"/>
      <c r="I579" s="6"/>
      <c r="J579" s="6"/>
      <c r="K579" s="6"/>
      <c r="L579" s="6"/>
      <c r="M579" s="6"/>
    </row>
    <row r="580" customFormat="false" ht="13.2" hidden="false" customHeight="false" outlineLevel="0" collapsed="false">
      <c r="D580" s="6"/>
      <c r="E580" s="6"/>
      <c r="F580" s="6"/>
      <c r="G580" s="6"/>
      <c r="H580" s="6"/>
      <c r="I580" s="6"/>
      <c r="J580" s="6"/>
      <c r="K580" s="6"/>
      <c r="L580" s="6"/>
      <c r="M580" s="6"/>
    </row>
    <row r="581" customFormat="false" ht="13.2" hidden="false" customHeight="false" outlineLevel="0" collapsed="false">
      <c r="D581" s="6"/>
      <c r="E581" s="6"/>
      <c r="F581" s="6"/>
      <c r="G581" s="6"/>
      <c r="H581" s="6"/>
      <c r="I581" s="6"/>
      <c r="J581" s="6"/>
      <c r="K581" s="6"/>
      <c r="L581" s="6"/>
      <c r="M581" s="6"/>
    </row>
    <row r="582" customFormat="false" ht="13.2" hidden="false" customHeight="false" outlineLevel="0" collapsed="false"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customFormat="false" ht="13.2" hidden="false" customHeight="false" outlineLevel="0" collapsed="false">
      <c r="D583" s="6"/>
      <c r="E583" s="6"/>
      <c r="F583" s="6"/>
      <c r="G583" s="6"/>
      <c r="H583" s="6"/>
      <c r="I583" s="6"/>
      <c r="J583" s="6"/>
      <c r="K583" s="6"/>
      <c r="L583" s="6"/>
      <c r="M583" s="6"/>
    </row>
    <row r="584" customFormat="false" ht="13.2" hidden="false" customHeight="false" outlineLevel="0" collapsed="false">
      <c r="D584" s="6"/>
      <c r="E584" s="6"/>
      <c r="F584" s="6"/>
      <c r="G584" s="6"/>
      <c r="H584" s="6"/>
      <c r="I584" s="6"/>
      <c r="J584" s="6"/>
      <c r="K584" s="6"/>
      <c r="L584" s="6"/>
      <c r="M584" s="6"/>
    </row>
    <row r="585" customFormat="false" ht="13.2" hidden="false" customHeight="false" outlineLevel="0" collapsed="false">
      <c r="D585" s="6"/>
      <c r="E585" s="6"/>
      <c r="F585" s="6"/>
      <c r="G585" s="6"/>
      <c r="H585" s="6"/>
      <c r="I585" s="6"/>
      <c r="J585" s="6"/>
      <c r="K585" s="6"/>
      <c r="L585" s="6"/>
      <c r="M585" s="6"/>
    </row>
    <row r="586" customFormat="false" ht="13.2" hidden="false" customHeight="false" outlineLevel="0" collapsed="false">
      <c r="D586" s="6"/>
      <c r="E586" s="6"/>
      <c r="F586" s="6"/>
      <c r="G586" s="6"/>
      <c r="H586" s="6"/>
      <c r="I586" s="6"/>
      <c r="J586" s="6"/>
      <c r="K586" s="6"/>
      <c r="L586" s="6"/>
      <c r="M586" s="6"/>
    </row>
    <row r="587" customFormat="false" ht="13.2" hidden="false" customHeight="false" outlineLevel="0" collapsed="false">
      <c r="D587" s="6"/>
      <c r="E587" s="6"/>
      <c r="F587" s="6"/>
      <c r="G587" s="6"/>
      <c r="H587" s="6"/>
      <c r="I587" s="6"/>
      <c r="J587" s="6"/>
      <c r="K587" s="6"/>
      <c r="L587" s="6"/>
      <c r="M587" s="6"/>
    </row>
    <row r="588" customFormat="false" ht="13.2" hidden="false" customHeight="false" outlineLevel="0" collapsed="false">
      <c r="D588" s="6"/>
      <c r="E588" s="6"/>
      <c r="F588" s="6"/>
      <c r="G588" s="6"/>
      <c r="H588" s="6"/>
      <c r="I588" s="6"/>
      <c r="J588" s="6"/>
      <c r="K588" s="6"/>
      <c r="L588" s="6"/>
      <c r="M588" s="6"/>
    </row>
    <row r="589" customFormat="false" ht="13.2" hidden="false" customHeight="false" outlineLevel="0" collapsed="false">
      <c r="D589" s="6"/>
      <c r="E589" s="6"/>
      <c r="F589" s="6"/>
      <c r="G589" s="6"/>
      <c r="H589" s="6"/>
      <c r="I589" s="6"/>
      <c r="J589" s="6"/>
      <c r="K589" s="6"/>
      <c r="L589" s="6"/>
      <c r="M589" s="6"/>
    </row>
    <row r="590" customFormat="false" ht="13.2" hidden="false" customHeight="false" outlineLevel="0" collapsed="false">
      <c r="D590" s="6"/>
      <c r="E590" s="6"/>
      <c r="F590" s="6"/>
      <c r="G590" s="6"/>
      <c r="H590" s="6"/>
      <c r="I590" s="6"/>
      <c r="J590" s="6"/>
      <c r="K590" s="6"/>
      <c r="L590" s="6"/>
      <c r="M590" s="6"/>
    </row>
    <row r="591" customFormat="false" ht="13.2" hidden="false" customHeight="false" outlineLevel="0" collapsed="false">
      <c r="D591" s="6"/>
      <c r="E591" s="6"/>
      <c r="F591" s="6"/>
      <c r="G591" s="6"/>
      <c r="H591" s="6"/>
      <c r="I591" s="6"/>
      <c r="J591" s="6"/>
      <c r="K591" s="6"/>
      <c r="L591" s="6"/>
      <c r="M591" s="6"/>
    </row>
    <row r="592" customFormat="false" ht="13.2" hidden="false" customHeight="false" outlineLevel="0" collapsed="false">
      <c r="D592" s="6"/>
      <c r="E592" s="6"/>
      <c r="F592" s="6"/>
      <c r="G592" s="6"/>
      <c r="H592" s="6"/>
      <c r="I592" s="6"/>
      <c r="J592" s="6"/>
      <c r="K592" s="6"/>
      <c r="L592" s="6"/>
      <c r="M592" s="6"/>
    </row>
    <row r="593" customFormat="false" ht="13.2" hidden="false" customHeight="false" outlineLevel="0" collapsed="false">
      <c r="D593" s="6"/>
      <c r="E593" s="6"/>
      <c r="F593" s="6"/>
      <c r="G593" s="6"/>
      <c r="H593" s="6"/>
      <c r="I593" s="6"/>
      <c r="J593" s="6"/>
      <c r="K593" s="6"/>
      <c r="L593" s="6"/>
      <c r="M593" s="6"/>
    </row>
    <row r="594" customFormat="false" ht="13.2" hidden="false" customHeight="false" outlineLevel="0" collapsed="false">
      <c r="D594" s="6"/>
      <c r="E594" s="6"/>
      <c r="F594" s="6"/>
      <c r="G594" s="6"/>
      <c r="H594" s="6"/>
      <c r="I594" s="6"/>
      <c r="J594" s="6"/>
      <c r="K594" s="6"/>
      <c r="L594" s="6"/>
      <c r="M594" s="6"/>
    </row>
    <row r="595" customFormat="false" ht="13.2" hidden="false" customHeight="false" outlineLevel="0" collapsed="false">
      <c r="D595" s="6"/>
      <c r="E595" s="6"/>
      <c r="F595" s="6"/>
      <c r="G595" s="6"/>
      <c r="H595" s="6"/>
      <c r="I595" s="6"/>
      <c r="J595" s="6"/>
      <c r="K595" s="6"/>
      <c r="L595" s="6"/>
      <c r="M595" s="6"/>
    </row>
    <row r="596" customFormat="false" ht="13.2" hidden="false" customHeight="false" outlineLevel="0" collapsed="false"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customFormat="false" ht="13.2" hidden="false" customHeight="false" outlineLevel="0" collapsed="false">
      <c r="D597" s="6"/>
      <c r="E597" s="6"/>
      <c r="F597" s="6"/>
      <c r="G597" s="6"/>
      <c r="H597" s="6"/>
      <c r="I597" s="6"/>
      <c r="J597" s="6"/>
      <c r="K597" s="6"/>
      <c r="L597" s="6"/>
      <c r="M597" s="6"/>
    </row>
    <row r="598" customFormat="false" ht="13.2" hidden="false" customHeight="false" outlineLevel="0" collapsed="false">
      <c r="D598" s="6"/>
      <c r="E598" s="6"/>
      <c r="F598" s="6"/>
      <c r="G598" s="6"/>
      <c r="H598" s="6"/>
      <c r="I598" s="6"/>
      <c r="J598" s="6"/>
      <c r="K598" s="6"/>
      <c r="L598" s="6"/>
      <c r="M598" s="6"/>
    </row>
    <row r="599" customFormat="false" ht="13.2" hidden="false" customHeight="false" outlineLevel="0" collapsed="false">
      <c r="D599" s="6"/>
      <c r="E599" s="6"/>
      <c r="F599" s="6"/>
      <c r="G599" s="6"/>
      <c r="H599" s="6"/>
      <c r="I599" s="6"/>
      <c r="J599" s="6"/>
      <c r="K599" s="6"/>
      <c r="L599" s="6"/>
      <c r="M599" s="6"/>
    </row>
    <row r="600" customFormat="false" ht="13.2" hidden="false" customHeight="false" outlineLevel="0" collapsed="false">
      <c r="D600" s="6"/>
      <c r="E600" s="6"/>
      <c r="F600" s="6"/>
      <c r="G600" s="6"/>
      <c r="H600" s="6"/>
      <c r="I600" s="6"/>
      <c r="J600" s="6"/>
      <c r="K600" s="6"/>
      <c r="L600" s="6"/>
      <c r="M600" s="6"/>
    </row>
    <row r="601" customFormat="false" ht="13.2" hidden="false" customHeight="false" outlineLevel="0" collapsed="false">
      <c r="D601" s="6"/>
      <c r="E601" s="6"/>
      <c r="F601" s="6"/>
      <c r="G601" s="6"/>
      <c r="H601" s="6"/>
      <c r="I601" s="6"/>
      <c r="J601" s="6"/>
      <c r="K601" s="6"/>
      <c r="L601" s="6"/>
      <c r="M601" s="6"/>
    </row>
    <row r="602" customFormat="false" ht="13.2" hidden="false" customHeight="false" outlineLevel="0" collapsed="false">
      <c r="D602" s="6"/>
      <c r="E602" s="6"/>
      <c r="F602" s="6"/>
      <c r="G602" s="6"/>
      <c r="H602" s="6"/>
      <c r="I602" s="6"/>
      <c r="J602" s="6"/>
      <c r="K602" s="6"/>
      <c r="L602" s="6"/>
      <c r="M602" s="6"/>
    </row>
    <row r="603" customFormat="false" ht="13.2" hidden="false" customHeight="false" outlineLevel="0" collapsed="false">
      <c r="D603" s="6"/>
      <c r="E603" s="6"/>
      <c r="F603" s="6"/>
      <c r="G603" s="6"/>
      <c r="H603" s="6"/>
      <c r="I603" s="6"/>
      <c r="J603" s="6"/>
      <c r="K603" s="6"/>
      <c r="L603" s="6"/>
      <c r="M603" s="6"/>
    </row>
    <row r="604" customFormat="false" ht="13.2" hidden="false" customHeight="false" outlineLevel="0" collapsed="false">
      <c r="D604" s="6"/>
      <c r="E604" s="6"/>
      <c r="F604" s="6"/>
      <c r="G604" s="6"/>
      <c r="H604" s="6"/>
      <c r="I604" s="6"/>
      <c r="J604" s="6"/>
      <c r="K604" s="6"/>
      <c r="L604" s="6"/>
      <c r="M604" s="6"/>
    </row>
    <row r="605" customFormat="false" ht="13.2" hidden="false" customHeight="false" outlineLevel="0" collapsed="false">
      <c r="D605" s="6"/>
      <c r="E605" s="6"/>
      <c r="F605" s="6"/>
      <c r="G605" s="6"/>
      <c r="H605" s="6"/>
      <c r="I605" s="6"/>
      <c r="J605" s="6"/>
      <c r="K605" s="6"/>
      <c r="L605" s="6"/>
      <c r="M605" s="6"/>
    </row>
    <row r="606" customFormat="false" ht="13.2" hidden="false" customHeight="false" outlineLevel="0" collapsed="false">
      <c r="D606" s="6"/>
      <c r="E606" s="6"/>
      <c r="F606" s="6"/>
      <c r="G606" s="6"/>
      <c r="H606" s="6"/>
      <c r="I606" s="6"/>
      <c r="J606" s="6"/>
      <c r="K606" s="6"/>
      <c r="L606" s="6"/>
      <c r="M606" s="6"/>
    </row>
    <row r="607" customFormat="false" ht="13.2" hidden="false" customHeight="false" outlineLevel="0" collapsed="false"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customFormat="false" ht="13.2" hidden="false" customHeight="false" outlineLevel="0" collapsed="false">
      <c r="D608" s="6"/>
      <c r="E608" s="6"/>
      <c r="F608" s="6"/>
      <c r="G608" s="6"/>
      <c r="H608" s="6"/>
      <c r="I608" s="6"/>
      <c r="J608" s="6"/>
      <c r="K608" s="6"/>
      <c r="L608" s="6"/>
      <c r="M608" s="6"/>
    </row>
    <row r="609" customFormat="false" ht="13.2" hidden="false" customHeight="false" outlineLevel="0" collapsed="false">
      <c r="D609" s="6"/>
      <c r="E609" s="6"/>
      <c r="F609" s="6"/>
      <c r="G609" s="6"/>
      <c r="H609" s="6"/>
      <c r="I609" s="6"/>
      <c r="J609" s="6"/>
      <c r="K609" s="6"/>
      <c r="L609" s="6"/>
      <c r="M609" s="6"/>
    </row>
    <row r="610" customFormat="false" ht="13.2" hidden="false" customHeight="false" outlineLevel="0" collapsed="false">
      <c r="D610" s="6"/>
      <c r="E610" s="6"/>
      <c r="F610" s="6"/>
      <c r="G610" s="6"/>
      <c r="H610" s="6"/>
      <c r="I610" s="6"/>
      <c r="J610" s="6"/>
      <c r="K610" s="6"/>
      <c r="L610" s="6"/>
      <c r="M610" s="6"/>
    </row>
    <row r="611" customFormat="false" ht="13.2" hidden="false" customHeight="false" outlineLevel="0" collapsed="false">
      <c r="D611" s="6"/>
      <c r="E611" s="6"/>
      <c r="F611" s="6"/>
      <c r="G611" s="6"/>
      <c r="H611" s="6"/>
      <c r="I611" s="6"/>
      <c r="J611" s="6"/>
      <c r="K611" s="6"/>
      <c r="L611" s="6"/>
      <c r="M611" s="6"/>
    </row>
    <row r="612" customFormat="false" ht="13.2" hidden="false" customHeight="false" outlineLevel="0" collapsed="false">
      <c r="D612" s="6"/>
      <c r="E612" s="6"/>
      <c r="F612" s="6"/>
      <c r="G612" s="6"/>
      <c r="H612" s="6"/>
      <c r="I612" s="6"/>
      <c r="J612" s="6"/>
      <c r="K612" s="6"/>
      <c r="L612" s="6"/>
      <c r="M612" s="6"/>
    </row>
    <row r="613" customFormat="false" ht="13.2" hidden="false" customHeight="false" outlineLevel="0" collapsed="false">
      <c r="D613" s="6"/>
      <c r="E613" s="6"/>
      <c r="F613" s="6"/>
      <c r="G613" s="6"/>
      <c r="H613" s="6"/>
      <c r="I613" s="6"/>
      <c r="J613" s="6"/>
      <c r="K613" s="6"/>
      <c r="L613" s="6"/>
      <c r="M613" s="6"/>
    </row>
    <row r="614" customFormat="false" ht="13.2" hidden="false" customHeight="false" outlineLevel="0" collapsed="false">
      <c r="D614" s="6"/>
      <c r="E614" s="6"/>
      <c r="F614" s="6"/>
      <c r="G614" s="6"/>
      <c r="H614" s="6"/>
      <c r="I614" s="6"/>
      <c r="J614" s="6"/>
      <c r="K614" s="6"/>
      <c r="L614" s="6"/>
      <c r="M614" s="6"/>
    </row>
    <row r="615" customFormat="false" ht="13.2" hidden="false" customHeight="false" outlineLevel="0" collapsed="false">
      <c r="D615" s="6"/>
      <c r="E615" s="6"/>
      <c r="F615" s="6"/>
      <c r="G615" s="6"/>
      <c r="H615" s="6"/>
      <c r="I615" s="6"/>
      <c r="J615" s="6"/>
      <c r="K615" s="6"/>
      <c r="L615" s="6"/>
      <c r="M615" s="6"/>
    </row>
    <row r="616" customFormat="false" ht="13.2" hidden="false" customHeight="false" outlineLevel="0" collapsed="false">
      <c r="D616" s="6"/>
      <c r="E616" s="6"/>
      <c r="F616" s="6"/>
      <c r="G616" s="6"/>
      <c r="H616" s="6"/>
      <c r="I616" s="6"/>
      <c r="J616" s="6"/>
      <c r="K616" s="6"/>
      <c r="L616" s="6"/>
      <c r="M616" s="6"/>
    </row>
    <row r="617" customFormat="false" ht="13.2" hidden="false" customHeight="false" outlineLevel="0" collapsed="false">
      <c r="D617" s="6"/>
      <c r="E617" s="6"/>
      <c r="F617" s="6"/>
      <c r="G617" s="6"/>
      <c r="H617" s="6"/>
      <c r="I617" s="6"/>
      <c r="J617" s="6"/>
      <c r="K617" s="6"/>
      <c r="L617" s="6"/>
      <c r="M617" s="6"/>
    </row>
    <row r="618" customFormat="false" ht="13.2" hidden="false" customHeight="false" outlineLevel="0" collapsed="false"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customFormat="false" ht="13.2" hidden="false" customHeight="false" outlineLevel="0" collapsed="false">
      <c r="D619" s="6"/>
      <c r="E619" s="6"/>
      <c r="F619" s="6"/>
      <c r="G619" s="6"/>
      <c r="H619" s="6"/>
      <c r="I619" s="6"/>
      <c r="J619" s="6"/>
      <c r="K619" s="6"/>
      <c r="L619" s="6"/>
      <c r="M619" s="6"/>
    </row>
    <row r="620" customFormat="false" ht="13.2" hidden="false" customHeight="false" outlineLevel="0" collapsed="false">
      <c r="D620" s="6"/>
      <c r="E620" s="6"/>
      <c r="F620" s="6"/>
      <c r="G620" s="6"/>
      <c r="H620" s="6"/>
      <c r="I620" s="6"/>
      <c r="J620" s="6"/>
      <c r="K620" s="6"/>
      <c r="L620" s="6"/>
      <c r="M620" s="6"/>
    </row>
    <row r="621" customFormat="false" ht="13.2" hidden="false" customHeight="false" outlineLevel="0" collapsed="false">
      <c r="D621" s="6"/>
      <c r="E621" s="6"/>
      <c r="F621" s="6"/>
      <c r="G621" s="6"/>
      <c r="H621" s="6"/>
      <c r="I621" s="6"/>
      <c r="J621" s="6"/>
      <c r="K621" s="6"/>
      <c r="L621" s="6"/>
      <c r="M621" s="6"/>
    </row>
    <row r="622" customFormat="false" ht="13.2" hidden="false" customHeight="false" outlineLevel="0" collapsed="false">
      <c r="D622" s="6"/>
      <c r="E622" s="6"/>
      <c r="F622" s="6"/>
      <c r="G622" s="6"/>
      <c r="H622" s="6"/>
      <c r="I622" s="6"/>
      <c r="J622" s="6"/>
      <c r="K622" s="6"/>
      <c r="L622" s="6"/>
      <c r="M622" s="6"/>
    </row>
    <row r="623" customFormat="false" ht="13.2" hidden="false" customHeight="false" outlineLevel="0" collapsed="false">
      <c r="D623" s="6"/>
      <c r="E623" s="6"/>
      <c r="F623" s="6"/>
      <c r="G623" s="6"/>
      <c r="H623" s="6"/>
      <c r="I623" s="6"/>
      <c r="J623" s="6"/>
      <c r="K623" s="6"/>
      <c r="L623" s="6"/>
      <c r="M623" s="6"/>
    </row>
    <row r="624" customFormat="false" ht="13.2" hidden="false" customHeight="false" outlineLevel="0" collapsed="false">
      <c r="D624" s="6"/>
      <c r="E624" s="6"/>
      <c r="F624" s="6"/>
      <c r="G624" s="6"/>
      <c r="H624" s="6"/>
      <c r="I624" s="6"/>
      <c r="J624" s="6"/>
      <c r="K624" s="6"/>
      <c r="L624" s="6"/>
      <c r="M624" s="6"/>
    </row>
    <row r="625" customFormat="false" ht="13.2" hidden="false" customHeight="false" outlineLevel="0" collapsed="false">
      <c r="D625" s="6"/>
      <c r="E625" s="6"/>
      <c r="F625" s="6"/>
      <c r="G625" s="6"/>
      <c r="H625" s="6"/>
      <c r="I625" s="6"/>
      <c r="J625" s="6"/>
      <c r="K625" s="6"/>
      <c r="L625" s="6"/>
      <c r="M625" s="6"/>
    </row>
    <row r="626" customFormat="false" ht="13.2" hidden="false" customHeight="false" outlineLevel="0" collapsed="false">
      <c r="D626" s="6"/>
      <c r="E626" s="6"/>
      <c r="F626" s="6"/>
      <c r="G626" s="6"/>
      <c r="H626" s="6"/>
      <c r="I626" s="6"/>
      <c r="J626" s="6"/>
      <c r="K626" s="6"/>
      <c r="L626" s="6"/>
      <c r="M626" s="6"/>
    </row>
    <row r="627" customFormat="false" ht="13.2" hidden="false" customHeight="false" outlineLevel="0" collapsed="false">
      <c r="D627" s="6"/>
      <c r="E627" s="6"/>
      <c r="F627" s="6"/>
      <c r="G627" s="6"/>
      <c r="H627" s="6"/>
      <c r="I627" s="6"/>
      <c r="J627" s="6"/>
      <c r="K627" s="6"/>
      <c r="L627" s="6"/>
      <c r="M627" s="6"/>
    </row>
    <row r="628" customFormat="false" ht="13.2" hidden="false" customHeight="false" outlineLevel="0" collapsed="false">
      <c r="D628" s="6"/>
      <c r="E628" s="6"/>
      <c r="F628" s="6"/>
      <c r="G628" s="6"/>
      <c r="H628" s="6"/>
      <c r="I628" s="6"/>
      <c r="J628" s="6"/>
      <c r="K628" s="6"/>
      <c r="L628" s="6"/>
      <c r="M628" s="6"/>
    </row>
    <row r="629" customFormat="false" ht="13.2" hidden="false" customHeight="false" outlineLevel="0" collapsed="false">
      <c r="D629" s="6"/>
      <c r="E629" s="6"/>
      <c r="F629" s="6"/>
      <c r="G629" s="6"/>
      <c r="H629" s="6"/>
      <c r="I629" s="6"/>
      <c r="J629" s="6"/>
      <c r="K629" s="6"/>
      <c r="L629" s="6"/>
      <c r="M629" s="6"/>
    </row>
    <row r="630" customFormat="false" ht="13.2" hidden="false" customHeight="false" outlineLevel="0" collapsed="false">
      <c r="D630" s="6"/>
      <c r="E630" s="6"/>
      <c r="F630" s="6"/>
      <c r="G630" s="6"/>
      <c r="H630" s="6"/>
      <c r="I630" s="6"/>
      <c r="J630" s="6"/>
      <c r="K630" s="6"/>
      <c r="L630" s="6"/>
      <c r="M630" s="6"/>
    </row>
    <row r="631" customFormat="false" ht="13.2" hidden="false" customHeight="false" outlineLevel="0" collapsed="false">
      <c r="D631" s="6"/>
      <c r="E631" s="6"/>
      <c r="F631" s="6"/>
      <c r="G631" s="6"/>
      <c r="H631" s="6"/>
      <c r="I631" s="6"/>
      <c r="J631" s="6"/>
      <c r="K631" s="6"/>
      <c r="L631" s="6"/>
      <c r="M631" s="6"/>
    </row>
    <row r="632" customFormat="false" ht="13.2" hidden="false" customHeight="false" outlineLevel="0" collapsed="false">
      <c r="D632" s="6"/>
      <c r="E632" s="6"/>
      <c r="F632" s="6"/>
      <c r="G632" s="6"/>
      <c r="H632" s="6"/>
      <c r="I632" s="6"/>
      <c r="J632" s="6"/>
      <c r="K632" s="6"/>
      <c r="L632" s="6"/>
      <c r="M632" s="6"/>
    </row>
    <row r="633" customFormat="false" ht="13.2" hidden="false" customHeight="false" outlineLevel="0" collapsed="false">
      <c r="D633" s="6"/>
      <c r="E633" s="6"/>
      <c r="F633" s="6"/>
      <c r="G633" s="6"/>
      <c r="H633" s="6"/>
      <c r="I633" s="6"/>
      <c r="J633" s="6"/>
      <c r="K633" s="6"/>
      <c r="L633" s="6"/>
      <c r="M633" s="6"/>
    </row>
    <row r="634" customFormat="false" ht="13.2" hidden="false" customHeight="false" outlineLevel="0" collapsed="false">
      <c r="D634" s="6"/>
      <c r="E634" s="6"/>
      <c r="F634" s="6"/>
      <c r="G634" s="6"/>
      <c r="H634" s="6"/>
      <c r="I634" s="6"/>
      <c r="J634" s="6"/>
      <c r="K634" s="6"/>
      <c r="L634" s="6"/>
      <c r="M634" s="6"/>
    </row>
    <row r="635" customFormat="false" ht="13.2" hidden="false" customHeight="false" outlineLevel="0" collapsed="false">
      <c r="D635" s="6"/>
      <c r="E635" s="6"/>
      <c r="F635" s="6"/>
      <c r="G635" s="6"/>
      <c r="H635" s="6"/>
      <c r="I635" s="6"/>
      <c r="J635" s="6"/>
      <c r="K635" s="6"/>
      <c r="L635" s="6"/>
      <c r="M635" s="6"/>
    </row>
    <row r="636" customFormat="false" ht="13.2" hidden="false" customHeight="false" outlineLevel="0" collapsed="false">
      <c r="D636" s="6"/>
      <c r="E636" s="6"/>
      <c r="F636" s="6"/>
      <c r="G636" s="6"/>
      <c r="H636" s="6"/>
      <c r="I636" s="6"/>
      <c r="J636" s="6"/>
      <c r="K636" s="6"/>
      <c r="L636" s="6"/>
      <c r="M636" s="6"/>
    </row>
    <row r="637" customFormat="false" ht="13.2" hidden="false" customHeight="false" outlineLevel="0" collapsed="false">
      <c r="D637" s="6"/>
      <c r="E637" s="6"/>
      <c r="F637" s="6"/>
      <c r="G637" s="6"/>
      <c r="H637" s="6"/>
      <c r="I637" s="6"/>
      <c r="J637" s="6"/>
      <c r="K637" s="6"/>
      <c r="L637" s="6"/>
      <c r="M637" s="6"/>
    </row>
    <row r="638" customFormat="false" ht="13.2" hidden="false" customHeight="false" outlineLevel="0" collapsed="false">
      <c r="D638" s="6"/>
      <c r="E638" s="6"/>
      <c r="F638" s="6"/>
      <c r="G638" s="6"/>
      <c r="H638" s="6"/>
      <c r="I638" s="6"/>
      <c r="J638" s="6"/>
      <c r="K638" s="6"/>
      <c r="L638" s="6"/>
      <c r="M638" s="6"/>
    </row>
    <row r="639" customFormat="false" ht="13.2" hidden="false" customHeight="false" outlineLevel="0" collapsed="false">
      <c r="D639" s="6"/>
      <c r="E639" s="6"/>
      <c r="F639" s="6"/>
      <c r="G639" s="6"/>
      <c r="H639" s="6"/>
      <c r="I639" s="6"/>
      <c r="J639" s="6"/>
      <c r="K639" s="6"/>
      <c r="L639" s="6"/>
      <c r="M639" s="6"/>
    </row>
    <row r="640" customFormat="false" ht="13.2" hidden="false" customHeight="false" outlineLevel="0" collapsed="false">
      <c r="D640" s="6"/>
      <c r="E640" s="6"/>
      <c r="F640" s="6"/>
      <c r="G640" s="6"/>
      <c r="H640" s="6"/>
      <c r="I640" s="6"/>
      <c r="J640" s="6"/>
      <c r="K640" s="6"/>
      <c r="L640" s="6"/>
      <c r="M640" s="6"/>
    </row>
    <row r="641" customFormat="false" ht="13.2" hidden="false" customHeight="false" outlineLevel="0" collapsed="false">
      <c r="D641" s="6"/>
      <c r="E641" s="6"/>
      <c r="F641" s="6"/>
      <c r="G641" s="6"/>
      <c r="H641" s="6"/>
      <c r="I641" s="6"/>
      <c r="J641" s="6"/>
      <c r="K641" s="6"/>
      <c r="L641" s="6"/>
      <c r="M641" s="6"/>
    </row>
    <row r="642" customFormat="false" ht="13.2" hidden="false" customHeight="false" outlineLevel="0" collapsed="false">
      <c r="D642" s="6"/>
      <c r="E642" s="6"/>
      <c r="F642" s="6"/>
      <c r="G642" s="6"/>
      <c r="H642" s="6"/>
      <c r="I642" s="6"/>
      <c r="J642" s="6"/>
      <c r="K642" s="6"/>
      <c r="L642" s="6"/>
      <c r="M642" s="6"/>
    </row>
    <row r="643" customFormat="false" ht="13.2" hidden="false" customHeight="false" outlineLevel="0" collapsed="false">
      <c r="D643" s="6"/>
      <c r="E643" s="6"/>
      <c r="F643" s="6"/>
      <c r="G643" s="6"/>
      <c r="H643" s="6"/>
      <c r="I643" s="6"/>
      <c r="J643" s="6"/>
      <c r="K643" s="6"/>
      <c r="L643" s="6"/>
      <c r="M643" s="6"/>
    </row>
    <row r="644" customFormat="false" ht="13.2" hidden="false" customHeight="false" outlineLevel="0" collapsed="false">
      <c r="D644" s="6"/>
      <c r="E644" s="6"/>
      <c r="F644" s="6"/>
      <c r="G644" s="6"/>
      <c r="H644" s="6"/>
      <c r="I644" s="6"/>
      <c r="J644" s="6"/>
      <c r="K644" s="6"/>
      <c r="L644" s="6"/>
      <c r="M644" s="6"/>
    </row>
    <row r="645" customFormat="false" ht="13.2" hidden="false" customHeight="false" outlineLevel="0" collapsed="false">
      <c r="D645" s="6"/>
      <c r="E645" s="6"/>
      <c r="F645" s="6"/>
      <c r="G645" s="6"/>
      <c r="H645" s="6"/>
      <c r="I645" s="6"/>
      <c r="J645" s="6"/>
      <c r="K645" s="6"/>
      <c r="L645" s="6"/>
      <c r="M645" s="6"/>
    </row>
    <row r="646" customFormat="false" ht="13.2" hidden="false" customHeight="false" outlineLevel="0" collapsed="false">
      <c r="D646" s="6"/>
      <c r="E646" s="6"/>
      <c r="F646" s="6"/>
      <c r="G646" s="6"/>
      <c r="H646" s="6"/>
      <c r="I646" s="6"/>
      <c r="J646" s="6"/>
      <c r="K646" s="6"/>
      <c r="L646" s="6"/>
      <c r="M646" s="6"/>
    </row>
    <row r="647" customFormat="false" ht="13.2" hidden="false" customHeight="false" outlineLevel="0" collapsed="false">
      <c r="D647" s="6"/>
      <c r="E647" s="6"/>
      <c r="F647" s="6"/>
      <c r="G647" s="6"/>
      <c r="H647" s="6"/>
      <c r="I647" s="6"/>
      <c r="J647" s="6"/>
      <c r="K647" s="6"/>
      <c r="L647" s="6"/>
      <c r="M647" s="6"/>
    </row>
    <row r="648" customFormat="false" ht="13.2" hidden="false" customHeight="false" outlineLevel="0" collapsed="false">
      <c r="D648" s="6"/>
      <c r="E648" s="6"/>
      <c r="F648" s="6"/>
      <c r="G648" s="6"/>
      <c r="H648" s="6"/>
      <c r="I648" s="6"/>
      <c r="J648" s="6"/>
      <c r="K648" s="6"/>
      <c r="L648" s="6"/>
      <c r="M648" s="6"/>
    </row>
    <row r="649" customFormat="false" ht="13.2" hidden="false" customHeight="false" outlineLevel="0" collapsed="false">
      <c r="D649" s="6"/>
      <c r="E649" s="6"/>
      <c r="F649" s="6"/>
      <c r="G649" s="6"/>
      <c r="H649" s="6"/>
      <c r="I649" s="6"/>
      <c r="J649" s="6"/>
      <c r="K649" s="6"/>
      <c r="L649" s="6"/>
      <c r="M649" s="6"/>
    </row>
    <row r="650" customFormat="false" ht="13.2" hidden="false" customHeight="false" outlineLevel="0" collapsed="false">
      <c r="D650" s="6"/>
      <c r="E650" s="6"/>
      <c r="F650" s="6"/>
      <c r="G650" s="6"/>
      <c r="H650" s="6"/>
      <c r="I650" s="6"/>
      <c r="J650" s="6"/>
      <c r="K650" s="6"/>
      <c r="L650" s="6"/>
      <c r="M650" s="6"/>
    </row>
    <row r="651" customFormat="false" ht="13.2" hidden="false" customHeight="false" outlineLevel="0" collapsed="false">
      <c r="D651" s="6"/>
      <c r="E651" s="6"/>
      <c r="F651" s="6"/>
      <c r="G651" s="6"/>
      <c r="H651" s="6"/>
      <c r="I651" s="6"/>
      <c r="J651" s="6"/>
      <c r="K651" s="6"/>
      <c r="L651" s="6"/>
      <c r="M651" s="6"/>
    </row>
    <row r="652" customFormat="false" ht="13.2" hidden="false" customHeight="false" outlineLevel="0" collapsed="false">
      <c r="D652" s="6"/>
      <c r="E652" s="6"/>
      <c r="F652" s="6"/>
      <c r="G652" s="6"/>
      <c r="H652" s="6"/>
      <c r="I652" s="6"/>
      <c r="J652" s="6"/>
      <c r="K652" s="6"/>
      <c r="L652" s="6"/>
      <c r="M652" s="6"/>
    </row>
    <row r="653" customFormat="false" ht="13.2" hidden="false" customHeight="false" outlineLevel="0" collapsed="false">
      <c r="D653" s="6"/>
      <c r="E653" s="6"/>
      <c r="F653" s="6"/>
      <c r="G653" s="6"/>
      <c r="H653" s="6"/>
      <c r="I653" s="6"/>
      <c r="J653" s="6"/>
      <c r="K653" s="6"/>
      <c r="L653" s="6"/>
      <c r="M653" s="6"/>
    </row>
    <row r="654" customFormat="false" ht="13.2" hidden="false" customHeight="false" outlineLevel="0" collapsed="false">
      <c r="D654" s="6"/>
      <c r="E654" s="6"/>
      <c r="F654" s="6"/>
      <c r="G654" s="6"/>
      <c r="H654" s="6"/>
      <c r="I654" s="6"/>
      <c r="J654" s="6"/>
      <c r="K654" s="6"/>
      <c r="L654" s="6"/>
      <c r="M654" s="6"/>
    </row>
    <row r="655" customFormat="false" ht="13.2" hidden="false" customHeight="false" outlineLevel="0" collapsed="false">
      <c r="D655" s="6"/>
      <c r="E655" s="6"/>
      <c r="F655" s="6"/>
      <c r="G655" s="6"/>
      <c r="H655" s="6"/>
      <c r="I655" s="6"/>
      <c r="J655" s="6"/>
      <c r="K655" s="6"/>
      <c r="L655" s="6"/>
      <c r="M655" s="6"/>
    </row>
    <row r="656" customFormat="false" ht="13.2" hidden="false" customHeight="false" outlineLevel="0" collapsed="false">
      <c r="D656" s="6"/>
      <c r="E656" s="6"/>
      <c r="F656" s="6"/>
      <c r="G656" s="6"/>
      <c r="H656" s="6"/>
      <c r="I656" s="6"/>
      <c r="J656" s="6"/>
      <c r="K656" s="6"/>
      <c r="L656" s="6"/>
      <c r="M656" s="6"/>
    </row>
    <row r="657" customFormat="false" ht="13.2" hidden="false" customHeight="false" outlineLevel="0" collapsed="false">
      <c r="D657" s="6"/>
      <c r="E657" s="6"/>
      <c r="F657" s="6"/>
      <c r="G657" s="6"/>
      <c r="H657" s="6"/>
      <c r="I657" s="6"/>
      <c r="J657" s="6"/>
      <c r="K657" s="6"/>
      <c r="L657" s="6"/>
      <c r="M657" s="6"/>
    </row>
    <row r="658" customFormat="false" ht="13.2" hidden="false" customHeight="false" outlineLevel="0" collapsed="false">
      <c r="D658" s="6"/>
      <c r="E658" s="6"/>
      <c r="F658" s="6"/>
      <c r="G658" s="6"/>
      <c r="H658" s="6"/>
      <c r="I658" s="6"/>
      <c r="J658" s="6"/>
      <c r="K658" s="6"/>
      <c r="L658" s="6"/>
      <c r="M658" s="6"/>
    </row>
    <row r="659" customFormat="false" ht="13.2" hidden="false" customHeight="false" outlineLevel="0" collapsed="false">
      <c r="D659" s="6"/>
      <c r="E659" s="6"/>
      <c r="F659" s="6"/>
      <c r="G659" s="6"/>
      <c r="H659" s="6"/>
      <c r="I659" s="6"/>
      <c r="J659" s="6"/>
      <c r="K659" s="6"/>
      <c r="L659" s="6"/>
      <c r="M659" s="6"/>
    </row>
    <row r="660" customFormat="false" ht="13.2" hidden="false" customHeight="false" outlineLevel="0" collapsed="false">
      <c r="D660" s="6"/>
      <c r="E660" s="6"/>
      <c r="F660" s="6"/>
      <c r="G660" s="6"/>
      <c r="H660" s="6"/>
      <c r="I660" s="6"/>
      <c r="J660" s="6"/>
      <c r="K660" s="6"/>
      <c r="L660" s="6"/>
      <c r="M660" s="6"/>
    </row>
    <row r="661" customFormat="false" ht="13.2" hidden="false" customHeight="false" outlineLevel="0" collapsed="false">
      <c r="D661" s="6"/>
      <c r="E661" s="6"/>
      <c r="F661" s="6"/>
      <c r="G661" s="6"/>
      <c r="H661" s="6"/>
      <c r="I661" s="6"/>
      <c r="J661" s="6"/>
      <c r="K661" s="6"/>
      <c r="L661" s="6"/>
      <c r="M661" s="6"/>
    </row>
    <row r="662" customFormat="false" ht="13.2" hidden="false" customHeight="false" outlineLevel="0" collapsed="false">
      <c r="D662" s="6"/>
      <c r="E662" s="6"/>
      <c r="F662" s="6"/>
      <c r="G662" s="6"/>
      <c r="H662" s="6"/>
      <c r="I662" s="6"/>
      <c r="J662" s="6"/>
      <c r="K662" s="6"/>
      <c r="L662" s="6"/>
      <c r="M662" s="6"/>
    </row>
    <row r="663" customFormat="false" ht="13.2" hidden="false" customHeight="false" outlineLevel="0" collapsed="false">
      <c r="D663" s="6"/>
      <c r="E663" s="6"/>
      <c r="F663" s="6"/>
      <c r="G663" s="6"/>
      <c r="H663" s="6"/>
      <c r="I663" s="6"/>
      <c r="J663" s="6"/>
      <c r="K663" s="6"/>
      <c r="L663" s="6"/>
      <c r="M663" s="6"/>
    </row>
    <row r="664" customFormat="false" ht="13.2" hidden="false" customHeight="false" outlineLevel="0" collapsed="false">
      <c r="D664" s="6"/>
      <c r="E664" s="6"/>
      <c r="F664" s="6"/>
      <c r="G664" s="6"/>
      <c r="H664" s="6"/>
      <c r="I664" s="6"/>
      <c r="J664" s="6"/>
      <c r="K664" s="6"/>
      <c r="L664" s="6"/>
      <c r="M664" s="6"/>
    </row>
    <row r="665" customFormat="false" ht="13.2" hidden="false" customHeight="false" outlineLevel="0" collapsed="false">
      <c r="D665" s="6"/>
      <c r="E665" s="6"/>
      <c r="F665" s="6"/>
      <c r="G665" s="6"/>
      <c r="H665" s="6"/>
      <c r="I665" s="6"/>
      <c r="J665" s="6"/>
      <c r="K665" s="6"/>
      <c r="L665" s="6"/>
      <c r="M665" s="6"/>
    </row>
    <row r="666" customFormat="false" ht="13.2" hidden="false" customHeight="false" outlineLevel="0" collapsed="false">
      <c r="D666" s="6"/>
      <c r="E666" s="6"/>
      <c r="F666" s="6"/>
      <c r="G666" s="6"/>
      <c r="H666" s="6"/>
      <c r="I666" s="6"/>
      <c r="J666" s="6"/>
      <c r="K666" s="6"/>
      <c r="L666" s="6"/>
      <c r="M666" s="6"/>
    </row>
    <row r="667" customFormat="false" ht="13.2" hidden="false" customHeight="false" outlineLevel="0" collapsed="false">
      <c r="D667" s="6"/>
      <c r="E667" s="6"/>
      <c r="F667" s="6"/>
      <c r="G667" s="6"/>
      <c r="H667" s="6"/>
      <c r="I667" s="6"/>
      <c r="J667" s="6"/>
      <c r="K667" s="6"/>
      <c r="L667" s="6"/>
      <c r="M667" s="6"/>
    </row>
    <row r="668" customFormat="false" ht="13.2" hidden="false" customHeight="false" outlineLevel="0" collapsed="false">
      <c r="D668" s="6"/>
      <c r="E668" s="6"/>
      <c r="F668" s="6"/>
      <c r="G668" s="6"/>
      <c r="H668" s="6"/>
      <c r="I668" s="6"/>
      <c r="J668" s="6"/>
      <c r="K668" s="6"/>
      <c r="L668" s="6"/>
      <c r="M668" s="6"/>
    </row>
    <row r="669" customFormat="false" ht="13.2" hidden="false" customHeight="false" outlineLevel="0" collapsed="false">
      <c r="D669" s="6"/>
      <c r="E669" s="6"/>
      <c r="F669" s="6"/>
      <c r="G669" s="6"/>
      <c r="H669" s="6"/>
      <c r="I669" s="6"/>
      <c r="J669" s="6"/>
      <c r="K669" s="6"/>
      <c r="L669" s="6"/>
      <c r="M669" s="6"/>
    </row>
    <row r="670" customFormat="false" ht="13.2" hidden="false" customHeight="false" outlineLevel="0" collapsed="false">
      <c r="D670" s="6"/>
      <c r="E670" s="6"/>
      <c r="F670" s="6"/>
      <c r="G670" s="6"/>
      <c r="H670" s="6"/>
      <c r="I670" s="6"/>
      <c r="J670" s="6"/>
      <c r="K670" s="6"/>
      <c r="L670" s="6"/>
      <c r="M670" s="6"/>
    </row>
    <row r="671" customFormat="false" ht="13.2" hidden="false" customHeight="false" outlineLevel="0" collapsed="false">
      <c r="D671" s="6"/>
      <c r="E671" s="6"/>
      <c r="F671" s="6"/>
      <c r="G671" s="6"/>
      <c r="H671" s="6"/>
      <c r="I671" s="6"/>
      <c r="J671" s="6"/>
      <c r="K671" s="6"/>
      <c r="L671" s="6"/>
      <c r="M671" s="6"/>
    </row>
    <row r="672" customFormat="false" ht="13.2" hidden="false" customHeight="false" outlineLevel="0" collapsed="false">
      <c r="D672" s="6"/>
      <c r="E672" s="6"/>
      <c r="F672" s="6"/>
      <c r="G672" s="6"/>
      <c r="H672" s="6"/>
      <c r="I672" s="6"/>
      <c r="J672" s="6"/>
      <c r="K672" s="6"/>
      <c r="L672" s="6"/>
      <c r="M672" s="6"/>
    </row>
    <row r="673" customFormat="false" ht="13.2" hidden="false" customHeight="false" outlineLevel="0" collapsed="false">
      <c r="D673" s="6"/>
      <c r="E673" s="6"/>
      <c r="F673" s="6"/>
      <c r="G673" s="6"/>
      <c r="H673" s="6"/>
      <c r="I673" s="6"/>
      <c r="J673" s="6"/>
      <c r="K673" s="6"/>
      <c r="L673" s="6"/>
      <c r="M673" s="6"/>
    </row>
    <row r="674" customFormat="false" ht="13.2" hidden="false" customHeight="false" outlineLevel="0" collapsed="false">
      <c r="D674" s="6"/>
      <c r="E674" s="6"/>
      <c r="F674" s="6"/>
      <c r="G674" s="6"/>
      <c r="H674" s="6"/>
      <c r="I674" s="6"/>
      <c r="J674" s="6"/>
      <c r="K674" s="6"/>
      <c r="L674" s="6"/>
      <c r="M674" s="6"/>
    </row>
    <row r="675" customFormat="false" ht="13.2" hidden="false" customHeight="false" outlineLevel="0" collapsed="false">
      <c r="D675" s="6"/>
      <c r="E675" s="6"/>
      <c r="F675" s="6"/>
      <c r="G675" s="6"/>
      <c r="H675" s="6"/>
      <c r="I675" s="6"/>
      <c r="J675" s="6"/>
      <c r="K675" s="6"/>
      <c r="L675" s="6"/>
      <c r="M675" s="6"/>
    </row>
    <row r="676" customFormat="false" ht="13.2" hidden="false" customHeight="false" outlineLevel="0" collapsed="false">
      <c r="D676" s="6"/>
      <c r="E676" s="6"/>
      <c r="F676" s="6"/>
      <c r="G676" s="6"/>
      <c r="H676" s="6"/>
      <c r="I676" s="6"/>
      <c r="J676" s="6"/>
      <c r="K676" s="6"/>
      <c r="L676" s="6"/>
      <c r="M676" s="6"/>
    </row>
    <row r="677" customFormat="false" ht="13.2" hidden="false" customHeight="false" outlineLevel="0" collapsed="false">
      <c r="D677" s="6"/>
      <c r="E677" s="6"/>
      <c r="F677" s="6"/>
      <c r="G677" s="6"/>
      <c r="H677" s="6"/>
      <c r="I677" s="6"/>
      <c r="J677" s="6"/>
      <c r="K677" s="6"/>
      <c r="L677" s="6"/>
      <c r="M677" s="6"/>
    </row>
    <row r="678" customFormat="false" ht="13.2" hidden="false" customHeight="false" outlineLevel="0" collapsed="false">
      <c r="D678" s="6"/>
      <c r="E678" s="6"/>
      <c r="F678" s="6"/>
      <c r="G678" s="6"/>
      <c r="H678" s="6"/>
      <c r="I678" s="6"/>
      <c r="J678" s="6"/>
      <c r="K678" s="6"/>
      <c r="L678" s="6"/>
      <c r="M678" s="6"/>
    </row>
    <row r="679" customFormat="false" ht="13.2" hidden="false" customHeight="false" outlineLevel="0" collapsed="false">
      <c r="D679" s="6"/>
      <c r="E679" s="6"/>
      <c r="F679" s="6"/>
      <c r="G679" s="6"/>
      <c r="H679" s="6"/>
      <c r="I679" s="6"/>
      <c r="J679" s="6"/>
      <c r="K679" s="6"/>
      <c r="L679" s="6"/>
      <c r="M679" s="6"/>
    </row>
    <row r="680" customFormat="false" ht="13.2" hidden="false" customHeight="false" outlineLevel="0" collapsed="false">
      <c r="D680" s="6"/>
      <c r="E680" s="6"/>
      <c r="F680" s="6"/>
      <c r="G680" s="6"/>
      <c r="H680" s="6"/>
      <c r="I680" s="6"/>
      <c r="J680" s="6"/>
      <c r="K680" s="6"/>
      <c r="L680" s="6"/>
      <c r="M680" s="6"/>
    </row>
    <row r="681" customFormat="false" ht="13.2" hidden="false" customHeight="false" outlineLevel="0" collapsed="false">
      <c r="D681" s="6"/>
      <c r="E681" s="6"/>
      <c r="F681" s="6"/>
      <c r="G681" s="6"/>
      <c r="H681" s="6"/>
      <c r="I681" s="6"/>
      <c r="J681" s="6"/>
      <c r="K681" s="6"/>
      <c r="L681" s="6"/>
      <c r="M681" s="6"/>
    </row>
    <row r="682" customFormat="false" ht="13.2" hidden="false" customHeight="false" outlineLevel="0" collapsed="false">
      <c r="D682" s="6"/>
      <c r="E682" s="6"/>
      <c r="F682" s="6"/>
      <c r="G682" s="6"/>
      <c r="H682" s="6"/>
      <c r="I682" s="6"/>
      <c r="J682" s="6"/>
      <c r="K682" s="6"/>
      <c r="L682" s="6"/>
      <c r="M682" s="6"/>
    </row>
    <row r="683" customFormat="false" ht="13.2" hidden="false" customHeight="false" outlineLevel="0" collapsed="false">
      <c r="D683" s="6"/>
      <c r="E683" s="6"/>
      <c r="F683" s="6"/>
      <c r="G683" s="6"/>
      <c r="H683" s="6"/>
      <c r="I683" s="6"/>
      <c r="J683" s="6"/>
      <c r="K683" s="6"/>
      <c r="L683" s="6"/>
      <c r="M683" s="6"/>
    </row>
    <row r="684" customFormat="false" ht="13.2" hidden="false" customHeight="false" outlineLevel="0" collapsed="false">
      <c r="D684" s="6"/>
      <c r="E684" s="6"/>
      <c r="F684" s="6"/>
      <c r="G684" s="6"/>
      <c r="H684" s="6"/>
      <c r="I684" s="6"/>
      <c r="J684" s="6"/>
      <c r="K684" s="6"/>
      <c r="L684" s="6"/>
      <c r="M684" s="6"/>
    </row>
    <row r="685" customFormat="false" ht="13.2" hidden="false" customHeight="false" outlineLevel="0" collapsed="false">
      <c r="D685" s="6"/>
      <c r="E685" s="6"/>
      <c r="F685" s="6"/>
      <c r="G685" s="6"/>
      <c r="H685" s="6"/>
      <c r="I685" s="6"/>
      <c r="J685" s="6"/>
      <c r="K685" s="6"/>
      <c r="L685" s="6"/>
      <c r="M685" s="6"/>
    </row>
    <row r="686" customFormat="false" ht="13.2" hidden="false" customHeight="false" outlineLevel="0" collapsed="false">
      <c r="D686" s="6"/>
      <c r="E686" s="6"/>
      <c r="F686" s="6"/>
      <c r="G686" s="6"/>
      <c r="H686" s="6"/>
      <c r="I686" s="6"/>
      <c r="J686" s="6"/>
      <c r="K686" s="6"/>
      <c r="L686" s="6"/>
      <c r="M686" s="6"/>
    </row>
    <row r="687" customFormat="false" ht="13.2" hidden="false" customHeight="false" outlineLevel="0" collapsed="false">
      <c r="D687" s="6"/>
      <c r="E687" s="6"/>
      <c r="F687" s="6"/>
      <c r="G687" s="6"/>
      <c r="H687" s="6"/>
      <c r="I687" s="6"/>
      <c r="J687" s="6"/>
      <c r="K687" s="6"/>
      <c r="L687" s="6"/>
      <c r="M687" s="6"/>
    </row>
    <row r="688" customFormat="false" ht="13.2" hidden="false" customHeight="false" outlineLevel="0" collapsed="false">
      <c r="D688" s="6"/>
      <c r="E688" s="6"/>
      <c r="F688" s="6"/>
      <c r="G688" s="6"/>
      <c r="H688" s="6"/>
      <c r="I688" s="6"/>
      <c r="J688" s="6"/>
      <c r="K688" s="6"/>
      <c r="L688" s="6"/>
      <c r="M688" s="6"/>
    </row>
    <row r="689" customFormat="false" ht="13.2" hidden="false" customHeight="false" outlineLevel="0" collapsed="false">
      <c r="D689" s="6"/>
      <c r="E689" s="6"/>
      <c r="F689" s="6"/>
      <c r="G689" s="6"/>
      <c r="H689" s="6"/>
      <c r="I689" s="6"/>
      <c r="J689" s="6"/>
      <c r="K689" s="6"/>
      <c r="L689" s="6"/>
      <c r="M689" s="6"/>
    </row>
    <row r="690" customFormat="false" ht="13.2" hidden="false" customHeight="false" outlineLevel="0" collapsed="false">
      <c r="D690" s="6"/>
      <c r="E690" s="6"/>
      <c r="F690" s="6"/>
      <c r="G690" s="6"/>
      <c r="H690" s="6"/>
      <c r="I690" s="6"/>
      <c r="J690" s="6"/>
      <c r="K690" s="6"/>
      <c r="L690" s="6"/>
      <c r="M690" s="6"/>
    </row>
    <row r="691" customFormat="false" ht="13.2" hidden="false" customHeight="false" outlineLevel="0" collapsed="false">
      <c r="D691" s="6"/>
      <c r="E691" s="6"/>
      <c r="F691" s="6"/>
      <c r="G691" s="6"/>
      <c r="H691" s="6"/>
      <c r="I691" s="6"/>
      <c r="J691" s="6"/>
      <c r="K691" s="6"/>
      <c r="L691" s="6"/>
      <c r="M691" s="6"/>
    </row>
    <row r="692" customFormat="false" ht="13.2" hidden="false" customHeight="false" outlineLevel="0" collapsed="false">
      <c r="D692" s="6"/>
      <c r="E692" s="6"/>
      <c r="F692" s="6"/>
      <c r="G692" s="6"/>
      <c r="H692" s="6"/>
      <c r="I692" s="6"/>
      <c r="J692" s="6"/>
      <c r="K692" s="6"/>
      <c r="L692" s="6"/>
      <c r="M692" s="6"/>
    </row>
    <row r="693" customFormat="false" ht="13.2" hidden="false" customHeight="false" outlineLevel="0" collapsed="false">
      <c r="D693" s="6"/>
      <c r="E693" s="6"/>
      <c r="F693" s="6"/>
      <c r="G693" s="6"/>
      <c r="H693" s="6"/>
      <c r="I693" s="6"/>
      <c r="J693" s="6"/>
      <c r="K693" s="6"/>
      <c r="L693" s="6"/>
      <c r="M693" s="6"/>
    </row>
    <row r="694" customFormat="false" ht="13.2" hidden="false" customHeight="false" outlineLevel="0" collapsed="false">
      <c r="D694" s="6"/>
      <c r="E694" s="6"/>
      <c r="F694" s="6"/>
      <c r="G694" s="6"/>
      <c r="H694" s="6"/>
      <c r="I694" s="6"/>
      <c r="J694" s="6"/>
      <c r="K694" s="6"/>
      <c r="L694" s="6"/>
      <c r="M694" s="6"/>
    </row>
    <row r="695" customFormat="false" ht="13.2" hidden="false" customHeight="false" outlineLevel="0" collapsed="false">
      <c r="D695" s="6"/>
      <c r="E695" s="6"/>
      <c r="F695" s="6"/>
      <c r="G695" s="6"/>
      <c r="H695" s="6"/>
      <c r="I695" s="6"/>
      <c r="J695" s="6"/>
      <c r="K695" s="6"/>
      <c r="L695" s="6"/>
      <c r="M695" s="6"/>
    </row>
    <row r="696" customFormat="false" ht="13.2" hidden="false" customHeight="false" outlineLevel="0" collapsed="false">
      <c r="D696" s="6"/>
      <c r="E696" s="6"/>
      <c r="F696" s="6"/>
      <c r="G696" s="6"/>
      <c r="H696" s="6"/>
      <c r="I696" s="6"/>
      <c r="J696" s="6"/>
      <c r="K696" s="6"/>
      <c r="L696" s="6"/>
      <c r="M696" s="6"/>
    </row>
    <row r="697" customFormat="false" ht="13.2" hidden="false" customHeight="false" outlineLevel="0" collapsed="false">
      <c r="D697" s="6"/>
      <c r="E697" s="6"/>
      <c r="F697" s="6"/>
      <c r="G697" s="6"/>
      <c r="H697" s="6"/>
      <c r="I697" s="6"/>
      <c r="J697" s="6"/>
      <c r="K697" s="6"/>
      <c r="L697" s="6"/>
      <c r="M697" s="6"/>
    </row>
    <row r="698" customFormat="false" ht="13.2" hidden="false" customHeight="false" outlineLevel="0" collapsed="false">
      <c r="D698" s="6"/>
      <c r="E698" s="6"/>
      <c r="F698" s="6"/>
      <c r="G698" s="6"/>
      <c r="H698" s="6"/>
      <c r="I698" s="6"/>
      <c r="J698" s="6"/>
      <c r="K698" s="6"/>
      <c r="L698" s="6"/>
      <c r="M698" s="6"/>
    </row>
    <row r="699" customFormat="false" ht="13.2" hidden="false" customHeight="false" outlineLevel="0" collapsed="false">
      <c r="D699" s="6"/>
      <c r="E699" s="6"/>
      <c r="F699" s="6"/>
      <c r="G699" s="6"/>
      <c r="H699" s="6"/>
      <c r="I699" s="6"/>
      <c r="J699" s="6"/>
      <c r="K699" s="6"/>
      <c r="L699" s="6"/>
      <c r="M699" s="6"/>
    </row>
    <row r="700" customFormat="false" ht="13.2" hidden="false" customHeight="false" outlineLevel="0" collapsed="false">
      <c r="D700" s="6"/>
      <c r="E700" s="6"/>
      <c r="F700" s="6"/>
      <c r="G700" s="6"/>
      <c r="H700" s="6"/>
      <c r="I700" s="6"/>
      <c r="J700" s="6"/>
      <c r="K700" s="6"/>
      <c r="L700" s="6"/>
      <c r="M700" s="6"/>
    </row>
    <row r="701" customFormat="false" ht="13.2" hidden="false" customHeight="false" outlineLevel="0" collapsed="false">
      <c r="D701" s="6"/>
      <c r="E701" s="6"/>
      <c r="F701" s="6"/>
      <c r="G701" s="6"/>
      <c r="H701" s="6"/>
      <c r="I701" s="6"/>
      <c r="J701" s="6"/>
      <c r="K701" s="6"/>
      <c r="L701" s="6"/>
      <c r="M701" s="6"/>
    </row>
    <row r="702" customFormat="false" ht="13.2" hidden="false" customHeight="false" outlineLevel="0" collapsed="false">
      <c r="D702" s="6"/>
      <c r="E702" s="6"/>
      <c r="F702" s="6"/>
      <c r="G702" s="6"/>
      <c r="H702" s="6"/>
      <c r="I702" s="6"/>
      <c r="J702" s="6"/>
      <c r="K702" s="6"/>
      <c r="L702" s="6"/>
      <c r="M702" s="6"/>
    </row>
    <row r="703" customFormat="false" ht="13.2" hidden="false" customHeight="false" outlineLevel="0" collapsed="false">
      <c r="D703" s="6"/>
      <c r="E703" s="6"/>
      <c r="F703" s="6"/>
      <c r="G703" s="6"/>
      <c r="H703" s="6"/>
      <c r="I703" s="6"/>
      <c r="J703" s="6"/>
      <c r="K703" s="6"/>
      <c r="L703" s="6"/>
      <c r="M703" s="6"/>
    </row>
    <row r="704" customFormat="false" ht="13.2" hidden="false" customHeight="false" outlineLevel="0" collapsed="false">
      <c r="D704" s="6"/>
      <c r="E704" s="6"/>
      <c r="F704" s="6"/>
      <c r="G704" s="6"/>
      <c r="H704" s="6"/>
      <c r="I704" s="6"/>
      <c r="J704" s="6"/>
      <c r="K704" s="6"/>
      <c r="L704" s="6"/>
      <c r="M704" s="6"/>
    </row>
    <row r="705" customFormat="false" ht="13.2" hidden="false" customHeight="false" outlineLevel="0" collapsed="false">
      <c r="D705" s="6"/>
      <c r="E705" s="6"/>
      <c r="F705" s="6"/>
      <c r="G705" s="6"/>
      <c r="H705" s="6"/>
      <c r="I705" s="6"/>
      <c r="J705" s="6"/>
      <c r="K705" s="6"/>
      <c r="L705" s="6"/>
      <c r="M705" s="6"/>
    </row>
    <row r="706" customFormat="false" ht="13.2" hidden="false" customHeight="false" outlineLevel="0" collapsed="false">
      <c r="D706" s="6"/>
      <c r="E706" s="6"/>
      <c r="F706" s="6"/>
      <c r="G706" s="6"/>
      <c r="H706" s="6"/>
      <c r="I706" s="6"/>
      <c r="J706" s="6"/>
      <c r="K706" s="6"/>
      <c r="L706" s="6"/>
      <c r="M706" s="6"/>
    </row>
    <row r="707" customFormat="false" ht="13.2" hidden="false" customHeight="false" outlineLevel="0" collapsed="false">
      <c r="D707" s="6"/>
      <c r="E707" s="6"/>
      <c r="F707" s="6"/>
      <c r="G707" s="6"/>
      <c r="H707" s="6"/>
      <c r="I707" s="6"/>
      <c r="J707" s="6"/>
      <c r="K707" s="6"/>
      <c r="L707" s="6"/>
      <c r="M707" s="6"/>
    </row>
    <row r="708" customFormat="false" ht="13.2" hidden="false" customHeight="false" outlineLevel="0" collapsed="false">
      <c r="D708" s="6"/>
      <c r="E708" s="6"/>
      <c r="F708" s="6"/>
      <c r="G708" s="6"/>
      <c r="H708" s="6"/>
      <c r="I708" s="6"/>
      <c r="J708" s="6"/>
      <c r="K708" s="6"/>
      <c r="L708" s="6"/>
      <c r="M708" s="6"/>
    </row>
    <row r="709" customFormat="false" ht="13.2" hidden="false" customHeight="false" outlineLevel="0" collapsed="false">
      <c r="D709" s="6"/>
      <c r="E709" s="6"/>
      <c r="F709" s="6"/>
      <c r="G709" s="6"/>
      <c r="H709" s="6"/>
      <c r="I709" s="6"/>
      <c r="J709" s="6"/>
      <c r="K709" s="6"/>
      <c r="L709" s="6"/>
      <c r="M709" s="6"/>
    </row>
    <row r="710" customFormat="false" ht="13.2" hidden="false" customHeight="false" outlineLevel="0" collapsed="false">
      <c r="D710" s="6"/>
      <c r="E710" s="6"/>
      <c r="F710" s="6"/>
      <c r="G710" s="6"/>
      <c r="H710" s="6"/>
      <c r="I710" s="6"/>
      <c r="J710" s="6"/>
      <c r="K710" s="6"/>
      <c r="L710" s="6"/>
      <c r="M710" s="6"/>
    </row>
    <row r="711" customFormat="false" ht="13.2" hidden="false" customHeight="false" outlineLevel="0" collapsed="false">
      <c r="D711" s="6"/>
      <c r="E711" s="6"/>
      <c r="F711" s="6"/>
      <c r="G711" s="6"/>
      <c r="H711" s="6"/>
      <c r="I711" s="6"/>
      <c r="J711" s="6"/>
      <c r="K711" s="6"/>
      <c r="L711" s="6"/>
      <c r="M711" s="6"/>
    </row>
    <row r="712" customFormat="false" ht="13.2" hidden="false" customHeight="false" outlineLevel="0" collapsed="false">
      <c r="D712" s="6"/>
      <c r="E712" s="6"/>
      <c r="F712" s="6"/>
      <c r="G712" s="6"/>
      <c r="H712" s="6"/>
      <c r="I712" s="6"/>
      <c r="J712" s="6"/>
      <c r="K712" s="6"/>
      <c r="L712" s="6"/>
      <c r="M712" s="6"/>
    </row>
    <row r="713" customFormat="false" ht="13.2" hidden="false" customHeight="false" outlineLevel="0" collapsed="false">
      <c r="D713" s="6"/>
      <c r="E713" s="6"/>
      <c r="F713" s="6"/>
      <c r="G713" s="6"/>
      <c r="H713" s="6"/>
      <c r="I713" s="6"/>
      <c r="J713" s="6"/>
      <c r="K713" s="6"/>
      <c r="L713" s="6"/>
      <c r="M713" s="6"/>
    </row>
    <row r="714" customFormat="false" ht="13.2" hidden="false" customHeight="false" outlineLevel="0" collapsed="false">
      <c r="D714" s="6"/>
      <c r="E714" s="6"/>
      <c r="F714" s="6"/>
      <c r="G714" s="6"/>
      <c r="H714" s="6"/>
      <c r="I714" s="6"/>
      <c r="J714" s="6"/>
      <c r="K714" s="6"/>
      <c r="L714" s="6"/>
      <c r="M714" s="6"/>
    </row>
    <row r="715" customFormat="false" ht="13.2" hidden="false" customHeight="false" outlineLevel="0" collapsed="false">
      <c r="D715" s="6"/>
      <c r="E715" s="6"/>
      <c r="F715" s="6"/>
      <c r="G715" s="6"/>
      <c r="H715" s="6"/>
      <c r="I715" s="6"/>
      <c r="J715" s="6"/>
      <c r="K715" s="6"/>
      <c r="L715" s="6"/>
      <c r="M715" s="6"/>
    </row>
    <row r="716" customFormat="false" ht="13.2" hidden="false" customHeight="false" outlineLevel="0" collapsed="false">
      <c r="D716" s="6"/>
      <c r="E716" s="6"/>
      <c r="F716" s="6"/>
      <c r="G716" s="6"/>
      <c r="H716" s="6"/>
      <c r="I716" s="6"/>
      <c r="J716" s="6"/>
      <c r="K716" s="6"/>
      <c r="L716" s="6"/>
      <c r="M716" s="6"/>
    </row>
    <row r="717" customFormat="false" ht="13.2" hidden="false" customHeight="false" outlineLevel="0" collapsed="false">
      <c r="D717" s="6"/>
      <c r="E717" s="6"/>
      <c r="F717" s="6"/>
      <c r="G717" s="6"/>
      <c r="H717" s="6"/>
      <c r="I717" s="6"/>
      <c r="J717" s="6"/>
      <c r="K717" s="6"/>
      <c r="L717" s="6"/>
      <c r="M717" s="6"/>
    </row>
    <row r="718" customFormat="false" ht="13.2" hidden="false" customHeight="false" outlineLevel="0" collapsed="false">
      <c r="D718" s="6"/>
      <c r="E718" s="6"/>
      <c r="F718" s="6"/>
      <c r="G718" s="6"/>
      <c r="H718" s="6"/>
      <c r="I718" s="6"/>
      <c r="J718" s="6"/>
      <c r="K718" s="6"/>
      <c r="L718" s="6"/>
      <c r="M718" s="6"/>
    </row>
    <row r="719" customFormat="false" ht="13.2" hidden="false" customHeight="false" outlineLevel="0" collapsed="false">
      <c r="D719" s="6"/>
      <c r="E719" s="6"/>
      <c r="F719" s="6"/>
      <c r="G719" s="6"/>
      <c r="H719" s="6"/>
      <c r="I719" s="6"/>
      <c r="J719" s="6"/>
      <c r="K719" s="6"/>
      <c r="L719" s="6"/>
      <c r="M719" s="6"/>
    </row>
    <row r="720" customFormat="false" ht="13.2" hidden="false" customHeight="false" outlineLevel="0" collapsed="false">
      <c r="D720" s="6"/>
      <c r="E720" s="6"/>
      <c r="F720" s="6"/>
      <c r="G720" s="6"/>
      <c r="H720" s="6"/>
      <c r="I720" s="6"/>
      <c r="J720" s="6"/>
      <c r="K720" s="6"/>
      <c r="L720" s="6"/>
      <c r="M720" s="6"/>
    </row>
    <row r="721" customFormat="false" ht="13.2" hidden="false" customHeight="false" outlineLevel="0" collapsed="false">
      <c r="D721" s="6"/>
      <c r="E721" s="6"/>
      <c r="F721" s="6"/>
      <c r="G721" s="6"/>
      <c r="H721" s="6"/>
      <c r="I721" s="6"/>
      <c r="J721" s="6"/>
      <c r="K721" s="6"/>
      <c r="L721" s="6"/>
      <c r="M721" s="6"/>
    </row>
    <row r="722" customFormat="false" ht="13.2" hidden="false" customHeight="false" outlineLevel="0" collapsed="false">
      <c r="D722" s="6"/>
      <c r="E722" s="6"/>
      <c r="F722" s="6"/>
      <c r="G722" s="6"/>
      <c r="H722" s="6"/>
      <c r="I722" s="6"/>
      <c r="J722" s="6"/>
      <c r="K722" s="6"/>
      <c r="L722" s="6"/>
      <c r="M722" s="6"/>
    </row>
    <row r="723" customFormat="false" ht="13.2" hidden="false" customHeight="false" outlineLevel="0" collapsed="false">
      <c r="D723" s="6"/>
      <c r="E723" s="6"/>
      <c r="F723" s="6"/>
      <c r="G723" s="6"/>
      <c r="H723" s="6"/>
      <c r="I723" s="6"/>
      <c r="J723" s="6"/>
      <c r="K723" s="6"/>
      <c r="L723" s="6"/>
      <c r="M723" s="6"/>
    </row>
    <row r="724" customFormat="false" ht="13.2" hidden="false" customHeight="false" outlineLevel="0" collapsed="false">
      <c r="D724" s="6"/>
      <c r="E724" s="6"/>
      <c r="F724" s="6"/>
      <c r="G724" s="6"/>
      <c r="H724" s="6"/>
      <c r="I724" s="6"/>
      <c r="J724" s="6"/>
      <c r="K724" s="6"/>
      <c r="L724" s="6"/>
      <c r="M724" s="6"/>
    </row>
    <row r="725" customFormat="false" ht="13.2" hidden="false" customHeight="false" outlineLevel="0" collapsed="false">
      <c r="D725" s="6"/>
      <c r="E725" s="6"/>
      <c r="F725" s="6"/>
      <c r="G725" s="6"/>
      <c r="H725" s="6"/>
      <c r="I725" s="6"/>
      <c r="J725" s="6"/>
      <c r="K725" s="6"/>
      <c r="L725" s="6"/>
      <c r="M725" s="6"/>
    </row>
    <row r="726" customFormat="false" ht="13.2" hidden="false" customHeight="false" outlineLevel="0" collapsed="false">
      <c r="D726" s="6"/>
      <c r="E726" s="6"/>
      <c r="F726" s="6"/>
      <c r="G726" s="6"/>
      <c r="H726" s="6"/>
      <c r="I726" s="6"/>
      <c r="J726" s="6"/>
      <c r="K726" s="6"/>
      <c r="L726" s="6"/>
      <c r="M726" s="6"/>
    </row>
    <row r="727" customFormat="false" ht="13.2" hidden="false" customHeight="false" outlineLevel="0" collapsed="false">
      <c r="D727" s="6"/>
      <c r="E727" s="6"/>
      <c r="F727" s="6"/>
      <c r="G727" s="6"/>
      <c r="H727" s="6"/>
      <c r="I727" s="6"/>
      <c r="J727" s="6"/>
      <c r="K727" s="6"/>
      <c r="L727" s="6"/>
      <c r="M727" s="6"/>
    </row>
    <row r="728" customFormat="false" ht="13.2" hidden="false" customHeight="false" outlineLevel="0" collapsed="false"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customFormat="false" ht="13.2" hidden="false" customHeight="false" outlineLevel="0" collapsed="false">
      <c r="D729" s="6"/>
      <c r="E729" s="6"/>
      <c r="F729" s="6"/>
      <c r="G729" s="6"/>
      <c r="H729" s="6"/>
      <c r="I729" s="6"/>
      <c r="J729" s="6"/>
      <c r="K729" s="6"/>
      <c r="L729" s="6"/>
      <c r="M729" s="6"/>
    </row>
    <row r="730" customFormat="false" ht="13.2" hidden="false" customHeight="false" outlineLevel="0" collapsed="false">
      <c r="D730" s="6"/>
      <c r="E730" s="6"/>
      <c r="F730" s="6"/>
      <c r="G730" s="6"/>
      <c r="H730" s="6"/>
      <c r="I730" s="6"/>
      <c r="J730" s="6"/>
      <c r="K730" s="6"/>
      <c r="L730" s="6"/>
      <c r="M730" s="6"/>
    </row>
    <row r="731" customFormat="false" ht="13.2" hidden="false" customHeight="false" outlineLevel="0" collapsed="false">
      <c r="D731" s="6"/>
      <c r="E731" s="6"/>
      <c r="F731" s="6"/>
      <c r="G731" s="6"/>
      <c r="H731" s="6"/>
      <c r="I731" s="6"/>
      <c r="J731" s="6"/>
      <c r="K731" s="6"/>
      <c r="L731" s="6"/>
      <c r="M731" s="6"/>
    </row>
    <row r="732" customFormat="false" ht="13.2" hidden="false" customHeight="false" outlineLevel="0" collapsed="false">
      <c r="D732" s="6"/>
      <c r="E732" s="6"/>
      <c r="F732" s="6"/>
      <c r="G732" s="6"/>
      <c r="H732" s="6"/>
      <c r="I732" s="6"/>
      <c r="J732" s="6"/>
      <c r="K732" s="6"/>
      <c r="L732" s="6"/>
      <c r="M732" s="6"/>
    </row>
    <row r="733" customFormat="false" ht="13.2" hidden="false" customHeight="false" outlineLevel="0" collapsed="false">
      <c r="D733" s="6"/>
      <c r="E733" s="6"/>
      <c r="F733" s="6"/>
      <c r="G733" s="6"/>
      <c r="H733" s="6"/>
      <c r="I733" s="6"/>
      <c r="J733" s="6"/>
      <c r="K733" s="6"/>
      <c r="L733" s="6"/>
      <c r="M733" s="6"/>
    </row>
    <row r="734" customFormat="false" ht="13.2" hidden="false" customHeight="false" outlineLevel="0" collapsed="false">
      <c r="D734" s="6"/>
      <c r="E734" s="6"/>
      <c r="F734" s="6"/>
      <c r="G734" s="6"/>
      <c r="H734" s="6"/>
      <c r="I734" s="6"/>
      <c r="J734" s="6"/>
      <c r="K734" s="6"/>
      <c r="L734" s="6"/>
      <c r="M734" s="6"/>
    </row>
    <row r="735" customFormat="false" ht="13.2" hidden="false" customHeight="false" outlineLevel="0" collapsed="false">
      <c r="D735" s="6"/>
      <c r="E735" s="6"/>
      <c r="F735" s="6"/>
      <c r="G735" s="6"/>
      <c r="H735" s="6"/>
      <c r="I735" s="6"/>
      <c r="J735" s="6"/>
      <c r="K735" s="6"/>
      <c r="L735" s="6"/>
      <c r="M735" s="6"/>
    </row>
    <row r="736" customFormat="false" ht="13.2" hidden="false" customHeight="false" outlineLevel="0" collapsed="false">
      <c r="D736" s="6"/>
      <c r="E736" s="6"/>
      <c r="F736" s="6"/>
      <c r="G736" s="6"/>
      <c r="H736" s="6"/>
      <c r="I736" s="6"/>
      <c r="J736" s="6"/>
      <c r="K736" s="6"/>
      <c r="L736" s="6"/>
      <c r="M736" s="6"/>
    </row>
    <row r="737" customFormat="false" ht="13.2" hidden="false" customHeight="false" outlineLevel="0" collapsed="false">
      <c r="D737" s="6"/>
      <c r="E737" s="6"/>
      <c r="F737" s="6"/>
      <c r="G737" s="6"/>
      <c r="H737" s="6"/>
      <c r="I737" s="6"/>
      <c r="J737" s="6"/>
      <c r="K737" s="6"/>
      <c r="L737" s="6"/>
      <c r="M737" s="6"/>
    </row>
    <row r="738" customFormat="false" ht="13.2" hidden="false" customHeight="false" outlineLevel="0" collapsed="false">
      <c r="D738" s="6"/>
      <c r="E738" s="6"/>
      <c r="F738" s="6"/>
      <c r="G738" s="6"/>
      <c r="H738" s="6"/>
      <c r="I738" s="6"/>
      <c r="J738" s="6"/>
      <c r="K738" s="6"/>
      <c r="L738" s="6"/>
      <c r="M738" s="6"/>
    </row>
    <row r="739" customFormat="false" ht="13.2" hidden="false" customHeight="false" outlineLevel="0" collapsed="false">
      <c r="D739" s="6"/>
      <c r="E739" s="6"/>
      <c r="F739" s="6"/>
      <c r="G739" s="6"/>
      <c r="H739" s="6"/>
      <c r="I739" s="6"/>
      <c r="J739" s="6"/>
      <c r="K739" s="6"/>
      <c r="L739" s="6"/>
      <c r="M739" s="6"/>
    </row>
    <row r="740" customFormat="false" ht="13.2" hidden="false" customHeight="false" outlineLevel="0" collapsed="false">
      <c r="D740" s="6"/>
      <c r="E740" s="6"/>
      <c r="F740" s="6"/>
      <c r="G740" s="6"/>
      <c r="H740" s="6"/>
      <c r="I740" s="6"/>
      <c r="J740" s="6"/>
      <c r="K740" s="6"/>
      <c r="L740" s="6"/>
      <c r="M740" s="6"/>
    </row>
    <row r="741" customFormat="false" ht="13.2" hidden="false" customHeight="false" outlineLevel="0" collapsed="false">
      <c r="D741" s="6"/>
      <c r="E741" s="6"/>
      <c r="F741" s="6"/>
      <c r="G741" s="6"/>
      <c r="H741" s="6"/>
      <c r="I741" s="6"/>
      <c r="J741" s="6"/>
      <c r="K741" s="6"/>
      <c r="L741" s="6"/>
      <c r="M741" s="6"/>
    </row>
    <row r="742" customFormat="false" ht="13.2" hidden="false" customHeight="false" outlineLevel="0" collapsed="false">
      <c r="D742" s="6"/>
      <c r="E742" s="6"/>
      <c r="F742" s="6"/>
      <c r="G742" s="6"/>
      <c r="H742" s="6"/>
      <c r="I742" s="6"/>
      <c r="J742" s="6"/>
      <c r="K742" s="6"/>
      <c r="L742" s="6"/>
      <c r="M742" s="6"/>
    </row>
    <row r="743" customFormat="false" ht="13.2" hidden="false" customHeight="false" outlineLevel="0" collapsed="false">
      <c r="D743" s="6"/>
      <c r="E743" s="6"/>
      <c r="F743" s="6"/>
      <c r="G743" s="6"/>
      <c r="H743" s="6"/>
      <c r="I743" s="6"/>
      <c r="J743" s="6"/>
      <c r="K743" s="6"/>
      <c r="L743" s="6"/>
      <c r="M743" s="6"/>
    </row>
    <row r="744" customFormat="false" ht="13.2" hidden="false" customHeight="false" outlineLevel="0" collapsed="false">
      <c r="D744" s="6"/>
      <c r="E744" s="6"/>
      <c r="F744" s="6"/>
      <c r="G744" s="6"/>
      <c r="H744" s="6"/>
      <c r="I744" s="6"/>
      <c r="J744" s="6"/>
      <c r="K744" s="6"/>
      <c r="L744" s="6"/>
      <c r="M744" s="6"/>
    </row>
    <row r="745" customFormat="false" ht="13.2" hidden="false" customHeight="false" outlineLevel="0" collapsed="false">
      <c r="D745" s="6"/>
      <c r="E745" s="6"/>
      <c r="F745" s="6"/>
      <c r="G745" s="6"/>
      <c r="H745" s="6"/>
      <c r="I745" s="6"/>
      <c r="J745" s="6"/>
      <c r="K745" s="6"/>
      <c r="L745" s="6"/>
      <c r="M745" s="6"/>
    </row>
    <row r="746" customFormat="false" ht="13.2" hidden="false" customHeight="false" outlineLevel="0" collapsed="false">
      <c r="D746" s="6"/>
      <c r="E746" s="6"/>
      <c r="F746" s="6"/>
      <c r="G746" s="6"/>
      <c r="H746" s="6"/>
      <c r="I746" s="6"/>
      <c r="J746" s="6"/>
      <c r="K746" s="6"/>
      <c r="L746" s="6"/>
      <c r="M746" s="6"/>
    </row>
    <row r="747" customFormat="false" ht="13.2" hidden="false" customHeight="false" outlineLevel="0" collapsed="false">
      <c r="D747" s="6"/>
      <c r="E747" s="6"/>
      <c r="F747" s="6"/>
      <c r="G747" s="6"/>
      <c r="H747" s="6"/>
      <c r="I747" s="6"/>
      <c r="J747" s="6"/>
      <c r="K747" s="6"/>
      <c r="L747" s="6"/>
      <c r="M747" s="6"/>
    </row>
    <row r="748" customFormat="false" ht="13.2" hidden="false" customHeight="false" outlineLevel="0" collapsed="false">
      <c r="D748" s="6"/>
      <c r="E748" s="6"/>
      <c r="F748" s="6"/>
      <c r="G748" s="6"/>
      <c r="H748" s="6"/>
      <c r="I748" s="6"/>
      <c r="J748" s="6"/>
      <c r="K748" s="6"/>
      <c r="L748" s="6"/>
      <c r="M748" s="6"/>
    </row>
    <row r="749" customFormat="false" ht="13.2" hidden="false" customHeight="false" outlineLevel="0" collapsed="false">
      <c r="D749" s="6"/>
      <c r="E749" s="6"/>
      <c r="F749" s="6"/>
      <c r="G749" s="6"/>
      <c r="H749" s="6"/>
      <c r="I749" s="6"/>
      <c r="J749" s="6"/>
      <c r="K749" s="6"/>
      <c r="L749" s="6"/>
      <c r="M749" s="6"/>
    </row>
    <row r="750" customFormat="false" ht="13.2" hidden="false" customHeight="false" outlineLevel="0" collapsed="false">
      <c r="D750" s="6"/>
      <c r="E750" s="6"/>
      <c r="F750" s="6"/>
      <c r="G750" s="6"/>
      <c r="H750" s="6"/>
      <c r="I750" s="6"/>
      <c r="J750" s="6"/>
      <c r="K750" s="6"/>
      <c r="L750" s="6"/>
      <c r="M750" s="6"/>
    </row>
    <row r="751" customFormat="false" ht="13.2" hidden="false" customHeight="false" outlineLevel="0" collapsed="false">
      <c r="D751" s="6"/>
      <c r="E751" s="6"/>
      <c r="F751" s="6"/>
      <c r="G751" s="6"/>
      <c r="H751" s="6"/>
      <c r="I751" s="6"/>
      <c r="J751" s="6"/>
      <c r="K751" s="6"/>
      <c r="L751" s="6"/>
      <c r="M751" s="6"/>
    </row>
    <row r="752" customFormat="false" ht="13.2" hidden="false" customHeight="false" outlineLevel="0" collapsed="false">
      <c r="D752" s="6"/>
      <c r="E752" s="6"/>
      <c r="F752" s="6"/>
      <c r="G752" s="6"/>
      <c r="H752" s="6"/>
      <c r="I752" s="6"/>
      <c r="J752" s="6"/>
      <c r="K752" s="6"/>
      <c r="L752" s="6"/>
      <c r="M752" s="6"/>
    </row>
    <row r="753" customFormat="false" ht="13.2" hidden="false" customHeight="false" outlineLevel="0" collapsed="false">
      <c r="D753" s="6"/>
      <c r="E753" s="6"/>
      <c r="F753" s="6"/>
      <c r="G753" s="6"/>
      <c r="H753" s="6"/>
      <c r="I753" s="6"/>
      <c r="J753" s="6"/>
      <c r="K753" s="6"/>
      <c r="L753" s="6"/>
      <c r="M753" s="6"/>
    </row>
    <row r="754" customFormat="false" ht="13.2" hidden="false" customHeight="false" outlineLevel="0" collapsed="false">
      <c r="D754" s="6"/>
      <c r="E754" s="6"/>
      <c r="F754" s="6"/>
      <c r="G754" s="6"/>
      <c r="H754" s="6"/>
      <c r="I754" s="6"/>
      <c r="J754" s="6"/>
      <c r="K754" s="6"/>
      <c r="L754" s="6"/>
      <c r="M754" s="6"/>
    </row>
    <row r="755" customFormat="false" ht="13.2" hidden="false" customHeight="false" outlineLevel="0" collapsed="false">
      <c r="D755" s="6"/>
      <c r="E755" s="6"/>
      <c r="F755" s="6"/>
      <c r="G755" s="6"/>
      <c r="H755" s="6"/>
      <c r="I755" s="6"/>
      <c r="J755" s="6"/>
      <c r="K755" s="6"/>
      <c r="L755" s="6"/>
      <c r="M755" s="6"/>
    </row>
    <row r="756" customFormat="false" ht="13.2" hidden="false" customHeight="false" outlineLevel="0" collapsed="false">
      <c r="D756" s="6"/>
      <c r="E756" s="6"/>
      <c r="F756" s="6"/>
      <c r="G756" s="6"/>
      <c r="H756" s="6"/>
      <c r="I756" s="6"/>
      <c r="J756" s="6"/>
      <c r="K756" s="6"/>
      <c r="L756" s="6"/>
      <c r="M756" s="6"/>
    </row>
    <row r="757" customFormat="false" ht="13.2" hidden="false" customHeight="false" outlineLevel="0" collapsed="false">
      <c r="D757" s="6"/>
      <c r="E757" s="6"/>
      <c r="F757" s="6"/>
      <c r="G757" s="6"/>
      <c r="H757" s="6"/>
      <c r="I757" s="6"/>
      <c r="J757" s="6"/>
      <c r="K757" s="6"/>
      <c r="L757" s="6"/>
      <c r="M757" s="6"/>
    </row>
    <row r="758" customFormat="false" ht="13.2" hidden="false" customHeight="false" outlineLevel="0" collapsed="false">
      <c r="D758" s="6"/>
      <c r="E758" s="6"/>
      <c r="F758" s="6"/>
      <c r="G758" s="6"/>
      <c r="H758" s="6"/>
      <c r="I758" s="6"/>
      <c r="J758" s="6"/>
      <c r="K758" s="6"/>
      <c r="L758" s="6"/>
      <c r="M758" s="6"/>
    </row>
    <row r="759" customFormat="false" ht="13.2" hidden="false" customHeight="false" outlineLevel="0" collapsed="false">
      <c r="D759" s="6"/>
      <c r="E759" s="6"/>
      <c r="F759" s="6"/>
      <c r="G759" s="6"/>
      <c r="H759" s="6"/>
      <c r="I759" s="6"/>
      <c r="J759" s="6"/>
      <c r="K759" s="6"/>
      <c r="L759" s="6"/>
      <c r="M759" s="6"/>
    </row>
    <row r="760" customFormat="false" ht="13.2" hidden="false" customHeight="false" outlineLevel="0" collapsed="false">
      <c r="D760" s="6"/>
      <c r="E760" s="6"/>
      <c r="F760" s="6"/>
      <c r="G760" s="6"/>
      <c r="H760" s="6"/>
      <c r="I760" s="6"/>
      <c r="J760" s="6"/>
      <c r="K760" s="6"/>
      <c r="L760" s="6"/>
      <c r="M760" s="6"/>
    </row>
    <row r="761" customFormat="false" ht="13.2" hidden="false" customHeight="false" outlineLevel="0" collapsed="false">
      <c r="D761" s="6"/>
      <c r="E761" s="6"/>
      <c r="F761" s="6"/>
      <c r="G761" s="6"/>
      <c r="H761" s="6"/>
      <c r="I761" s="6"/>
      <c r="J761" s="6"/>
      <c r="K761" s="6"/>
      <c r="L761" s="6"/>
      <c r="M761" s="6"/>
    </row>
    <row r="762" customFormat="false" ht="13.2" hidden="false" customHeight="false" outlineLevel="0" collapsed="false">
      <c r="D762" s="6"/>
      <c r="E762" s="6"/>
      <c r="F762" s="6"/>
      <c r="G762" s="6"/>
      <c r="H762" s="6"/>
      <c r="I762" s="6"/>
      <c r="J762" s="6"/>
      <c r="K762" s="6"/>
      <c r="L762" s="6"/>
      <c r="M762" s="6"/>
    </row>
    <row r="763" customFormat="false" ht="13.2" hidden="false" customHeight="false" outlineLevel="0" collapsed="false">
      <c r="D763" s="6"/>
      <c r="E763" s="6"/>
      <c r="F763" s="6"/>
      <c r="G763" s="6"/>
      <c r="H763" s="6"/>
      <c r="I763" s="6"/>
      <c r="J763" s="6"/>
      <c r="K763" s="6"/>
      <c r="L763" s="6"/>
      <c r="M763" s="6"/>
    </row>
    <row r="764" customFormat="false" ht="13.2" hidden="false" customHeight="false" outlineLevel="0" collapsed="false">
      <c r="D764" s="6"/>
      <c r="E764" s="6"/>
      <c r="F764" s="6"/>
      <c r="G764" s="6"/>
      <c r="H764" s="6"/>
      <c r="I764" s="6"/>
      <c r="J764" s="6"/>
      <c r="K764" s="6"/>
      <c r="L764" s="6"/>
      <c r="M764" s="6"/>
    </row>
    <row r="765" customFormat="false" ht="13.2" hidden="false" customHeight="false" outlineLevel="0" collapsed="false">
      <c r="D765" s="6"/>
      <c r="E765" s="6"/>
      <c r="F765" s="6"/>
      <c r="G765" s="6"/>
      <c r="H765" s="6"/>
      <c r="I765" s="6"/>
      <c r="J765" s="6"/>
      <c r="K765" s="6"/>
      <c r="L765" s="6"/>
      <c r="M765" s="6"/>
    </row>
    <row r="766" customFormat="false" ht="13.2" hidden="false" customHeight="false" outlineLevel="0" collapsed="false">
      <c r="D766" s="6"/>
      <c r="E766" s="6"/>
      <c r="F766" s="6"/>
      <c r="G766" s="6"/>
      <c r="H766" s="6"/>
      <c r="I766" s="6"/>
      <c r="J766" s="6"/>
      <c r="K766" s="6"/>
      <c r="L766" s="6"/>
      <c r="M766" s="6"/>
    </row>
    <row r="767" customFormat="false" ht="13.2" hidden="false" customHeight="false" outlineLevel="0" collapsed="false">
      <c r="D767" s="6"/>
      <c r="E767" s="6"/>
      <c r="F767" s="6"/>
      <c r="G767" s="6"/>
      <c r="H767" s="6"/>
      <c r="I767" s="6"/>
      <c r="J767" s="6"/>
      <c r="K767" s="6"/>
      <c r="L767" s="6"/>
      <c r="M767" s="6"/>
    </row>
    <row r="768" customFormat="false" ht="13.2" hidden="false" customHeight="false" outlineLevel="0" collapsed="false">
      <c r="D768" s="6"/>
      <c r="E768" s="6"/>
      <c r="F768" s="6"/>
      <c r="G768" s="6"/>
      <c r="H768" s="6"/>
      <c r="I768" s="6"/>
      <c r="J768" s="6"/>
      <c r="K768" s="6"/>
      <c r="L768" s="6"/>
      <c r="M768" s="6"/>
    </row>
    <row r="769" customFormat="false" ht="13.2" hidden="false" customHeight="false" outlineLevel="0" collapsed="false">
      <c r="D769" s="6"/>
      <c r="E769" s="6"/>
      <c r="F769" s="6"/>
      <c r="G769" s="6"/>
      <c r="H769" s="6"/>
      <c r="I769" s="6"/>
      <c r="J769" s="6"/>
      <c r="K769" s="6"/>
      <c r="L769" s="6"/>
      <c r="M769" s="6"/>
    </row>
    <row r="770" customFormat="false" ht="13.2" hidden="false" customHeight="false" outlineLevel="0" collapsed="false">
      <c r="D770" s="6"/>
      <c r="E770" s="6"/>
      <c r="F770" s="6"/>
      <c r="G770" s="6"/>
      <c r="H770" s="6"/>
      <c r="I770" s="6"/>
      <c r="J770" s="6"/>
      <c r="K770" s="6"/>
      <c r="L770" s="6"/>
      <c r="M770" s="6"/>
    </row>
    <row r="771" customFormat="false" ht="13.2" hidden="false" customHeight="false" outlineLevel="0" collapsed="false">
      <c r="D771" s="6"/>
      <c r="E771" s="6"/>
      <c r="F771" s="6"/>
      <c r="G771" s="6"/>
      <c r="H771" s="6"/>
      <c r="I771" s="6"/>
      <c r="J771" s="6"/>
      <c r="K771" s="6"/>
      <c r="L771" s="6"/>
      <c r="M771" s="6"/>
    </row>
    <row r="772" customFormat="false" ht="13.2" hidden="false" customHeight="false" outlineLevel="0" collapsed="false">
      <c r="D772" s="6"/>
      <c r="E772" s="6"/>
      <c r="F772" s="6"/>
      <c r="G772" s="6"/>
      <c r="H772" s="6"/>
      <c r="I772" s="6"/>
      <c r="J772" s="6"/>
      <c r="K772" s="6"/>
      <c r="L772" s="6"/>
      <c r="M772" s="6"/>
    </row>
    <row r="773" customFormat="false" ht="13.2" hidden="false" customHeight="false" outlineLevel="0" collapsed="false">
      <c r="D773" s="6"/>
      <c r="E773" s="6"/>
      <c r="F773" s="6"/>
      <c r="G773" s="6"/>
      <c r="H773" s="6"/>
      <c r="I773" s="6"/>
      <c r="J773" s="6"/>
      <c r="K773" s="6"/>
      <c r="L773" s="6"/>
      <c r="M773" s="6"/>
    </row>
    <row r="774" customFormat="false" ht="13.2" hidden="false" customHeight="false" outlineLevel="0" collapsed="false">
      <c r="D774" s="6"/>
      <c r="E774" s="6"/>
      <c r="F774" s="6"/>
      <c r="G774" s="6"/>
      <c r="H774" s="6"/>
      <c r="I774" s="6"/>
      <c r="J774" s="6"/>
      <c r="K774" s="6"/>
      <c r="L774" s="6"/>
      <c r="M774" s="6"/>
    </row>
    <row r="775" customFormat="false" ht="13.2" hidden="false" customHeight="false" outlineLevel="0" collapsed="false">
      <c r="D775" s="6"/>
      <c r="E775" s="6"/>
      <c r="F775" s="6"/>
      <c r="G775" s="6"/>
      <c r="H775" s="6"/>
      <c r="I775" s="6"/>
      <c r="J775" s="6"/>
      <c r="K775" s="6"/>
      <c r="L775" s="6"/>
      <c r="M775" s="6"/>
    </row>
    <row r="776" customFormat="false" ht="13.2" hidden="false" customHeight="false" outlineLevel="0" collapsed="false">
      <c r="D776" s="6"/>
      <c r="E776" s="6"/>
      <c r="F776" s="6"/>
      <c r="G776" s="6"/>
      <c r="H776" s="6"/>
      <c r="I776" s="6"/>
      <c r="J776" s="6"/>
      <c r="K776" s="6"/>
      <c r="L776" s="6"/>
      <c r="M776" s="6"/>
    </row>
    <row r="777" customFormat="false" ht="13.2" hidden="false" customHeight="false" outlineLevel="0" collapsed="false">
      <c r="D777" s="6"/>
      <c r="E777" s="6"/>
      <c r="F777" s="6"/>
      <c r="G777" s="6"/>
      <c r="H777" s="6"/>
      <c r="I777" s="6"/>
      <c r="J777" s="6"/>
      <c r="K777" s="6"/>
      <c r="L777" s="6"/>
      <c r="M777" s="6"/>
    </row>
    <row r="778" customFormat="false" ht="13.2" hidden="false" customHeight="false" outlineLevel="0" collapsed="false">
      <c r="D778" s="6"/>
      <c r="E778" s="6"/>
      <c r="F778" s="6"/>
      <c r="G778" s="6"/>
      <c r="H778" s="6"/>
      <c r="I778" s="6"/>
      <c r="J778" s="6"/>
      <c r="K778" s="6"/>
      <c r="L778" s="6"/>
      <c r="M778" s="6"/>
    </row>
    <row r="779" customFormat="false" ht="13.2" hidden="false" customHeight="false" outlineLevel="0" collapsed="false">
      <c r="D779" s="6"/>
      <c r="E779" s="6"/>
      <c r="F779" s="6"/>
      <c r="G779" s="6"/>
      <c r="H779" s="6"/>
      <c r="I779" s="6"/>
      <c r="J779" s="6"/>
      <c r="K779" s="6"/>
      <c r="L779" s="6"/>
      <c r="M779" s="6"/>
    </row>
    <row r="780" customFormat="false" ht="13.2" hidden="false" customHeight="false" outlineLevel="0" collapsed="false">
      <c r="D780" s="6"/>
      <c r="E780" s="6"/>
      <c r="F780" s="6"/>
      <c r="G780" s="6"/>
      <c r="H780" s="6"/>
      <c r="I780" s="6"/>
      <c r="J780" s="6"/>
      <c r="K780" s="6"/>
      <c r="L780" s="6"/>
      <c r="M780" s="6"/>
    </row>
    <row r="781" customFormat="false" ht="13.2" hidden="false" customHeight="false" outlineLevel="0" collapsed="false">
      <c r="D781" s="6"/>
      <c r="E781" s="6"/>
      <c r="F781" s="6"/>
      <c r="G781" s="6"/>
      <c r="H781" s="6"/>
      <c r="I781" s="6"/>
      <c r="J781" s="6"/>
      <c r="K781" s="6"/>
      <c r="L781" s="6"/>
      <c r="M781" s="6"/>
    </row>
    <row r="782" customFormat="false" ht="13.2" hidden="false" customHeight="false" outlineLevel="0" collapsed="false">
      <c r="D782" s="6"/>
      <c r="E782" s="6"/>
      <c r="F782" s="6"/>
      <c r="G782" s="6"/>
      <c r="H782" s="6"/>
      <c r="I782" s="6"/>
      <c r="J782" s="6"/>
      <c r="K782" s="6"/>
      <c r="L782" s="6"/>
      <c r="M782" s="6"/>
    </row>
    <row r="783" customFormat="false" ht="13.2" hidden="false" customHeight="false" outlineLevel="0" collapsed="false">
      <c r="D783" s="6"/>
      <c r="E783" s="6"/>
      <c r="F783" s="6"/>
      <c r="G783" s="6"/>
      <c r="H783" s="6"/>
      <c r="I783" s="6"/>
      <c r="J783" s="6"/>
      <c r="K783" s="6"/>
      <c r="L783" s="6"/>
      <c r="M783" s="6"/>
    </row>
    <row r="784" customFormat="false" ht="13.2" hidden="false" customHeight="false" outlineLevel="0" collapsed="false">
      <c r="D784" s="6"/>
      <c r="E784" s="6"/>
      <c r="F784" s="6"/>
      <c r="G784" s="6"/>
      <c r="H784" s="6"/>
      <c r="I784" s="6"/>
      <c r="J784" s="6"/>
      <c r="K784" s="6"/>
      <c r="L784" s="6"/>
      <c r="M784" s="6"/>
    </row>
    <row r="785" customFormat="false" ht="13.2" hidden="false" customHeight="false" outlineLevel="0" collapsed="false">
      <c r="D785" s="6"/>
      <c r="E785" s="6"/>
      <c r="F785" s="6"/>
      <c r="G785" s="6"/>
      <c r="H785" s="6"/>
      <c r="I785" s="6"/>
      <c r="J785" s="6"/>
      <c r="K785" s="6"/>
      <c r="L785" s="6"/>
      <c r="M785" s="6"/>
    </row>
    <row r="786" customFormat="false" ht="13.2" hidden="false" customHeight="false" outlineLevel="0" collapsed="false">
      <c r="D786" s="6"/>
      <c r="E786" s="6"/>
      <c r="F786" s="6"/>
      <c r="G786" s="6"/>
      <c r="H786" s="6"/>
      <c r="I786" s="6"/>
      <c r="J786" s="6"/>
      <c r="K786" s="6"/>
      <c r="L786" s="6"/>
      <c r="M786" s="6"/>
    </row>
    <row r="787" customFormat="false" ht="13.2" hidden="false" customHeight="false" outlineLevel="0" collapsed="false">
      <c r="D787" s="6"/>
      <c r="E787" s="6"/>
      <c r="F787" s="6"/>
      <c r="G787" s="6"/>
      <c r="H787" s="6"/>
      <c r="I787" s="6"/>
      <c r="J787" s="6"/>
      <c r="K787" s="6"/>
      <c r="L787" s="6"/>
      <c r="M787" s="6"/>
    </row>
    <row r="788" customFormat="false" ht="13.2" hidden="false" customHeight="false" outlineLevel="0" collapsed="false">
      <c r="D788" s="6"/>
      <c r="E788" s="6"/>
      <c r="F788" s="6"/>
      <c r="G788" s="6"/>
      <c r="H788" s="6"/>
      <c r="I788" s="6"/>
      <c r="J788" s="6"/>
      <c r="K788" s="6"/>
      <c r="L788" s="6"/>
      <c r="M788" s="6"/>
    </row>
    <row r="789" customFormat="false" ht="13.2" hidden="false" customHeight="false" outlineLevel="0" collapsed="false">
      <c r="D789" s="6"/>
      <c r="E789" s="6"/>
      <c r="F789" s="6"/>
      <c r="G789" s="6"/>
      <c r="H789" s="6"/>
      <c r="I789" s="6"/>
      <c r="J789" s="6"/>
      <c r="K789" s="6"/>
      <c r="L789" s="6"/>
      <c r="M789" s="6"/>
    </row>
    <row r="790" customFormat="false" ht="13.2" hidden="false" customHeight="false" outlineLevel="0" collapsed="false">
      <c r="D790" s="6"/>
      <c r="E790" s="6"/>
      <c r="F790" s="6"/>
      <c r="G790" s="6"/>
      <c r="H790" s="6"/>
      <c r="I790" s="6"/>
      <c r="J790" s="6"/>
      <c r="K790" s="6"/>
      <c r="L790" s="6"/>
      <c r="M790" s="6"/>
    </row>
    <row r="791" customFormat="false" ht="13.2" hidden="false" customHeight="false" outlineLevel="0" collapsed="false">
      <c r="D791" s="6"/>
      <c r="E791" s="6"/>
      <c r="F791" s="6"/>
      <c r="G791" s="6"/>
      <c r="H791" s="6"/>
      <c r="I791" s="6"/>
      <c r="J791" s="6"/>
      <c r="K791" s="6"/>
      <c r="L791" s="6"/>
      <c r="M791" s="6"/>
    </row>
    <row r="792" customFormat="false" ht="13.2" hidden="false" customHeight="false" outlineLevel="0" collapsed="false">
      <c r="D792" s="6"/>
      <c r="E792" s="6"/>
      <c r="F792" s="6"/>
      <c r="G792" s="6"/>
      <c r="H792" s="6"/>
      <c r="I792" s="6"/>
      <c r="J792" s="6"/>
      <c r="K792" s="6"/>
      <c r="L792" s="6"/>
      <c r="M792" s="6"/>
    </row>
    <row r="793" customFormat="false" ht="13.2" hidden="false" customHeight="false" outlineLevel="0" collapsed="false">
      <c r="D793" s="6"/>
      <c r="E793" s="6"/>
      <c r="F793" s="6"/>
      <c r="G793" s="6"/>
      <c r="H793" s="6"/>
      <c r="I793" s="6"/>
      <c r="J793" s="6"/>
      <c r="K793" s="6"/>
      <c r="L793" s="6"/>
      <c r="M793" s="6"/>
    </row>
    <row r="794" customFormat="false" ht="13.2" hidden="false" customHeight="false" outlineLevel="0" collapsed="false">
      <c r="D794" s="6"/>
      <c r="E794" s="6"/>
      <c r="F794" s="6"/>
      <c r="G794" s="6"/>
      <c r="H794" s="6"/>
      <c r="I794" s="6"/>
      <c r="J794" s="6"/>
      <c r="K794" s="6"/>
      <c r="L794" s="6"/>
      <c r="M794" s="6"/>
    </row>
    <row r="795" customFormat="false" ht="13.2" hidden="false" customHeight="false" outlineLevel="0" collapsed="false">
      <c r="D795" s="6"/>
      <c r="E795" s="6"/>
      <c r="F795" s="6"/>
      <c r="G795" s="6"/>
      <c r="H795" s="6"/>
      <c r="I795" s="6"/>
      <c r="J795" s="6"/>
      <c r="K795" s="6"/>
      <c r="L795" s="6"/>
      <c r="M795" s="6"/>
    </row>
    <row r="796" customFormat="false" ht="13.2" hidden="false" customHeight="false" outlineLevel="0" collapsed="false">
      <c r="D796" s="6"/>
      <c r="E796" s="6"/>
      <c r="F796" s="6"/>
      <c r="G796" s="6"/>
      <c r="H796" s="6"/>
      <c r="I796" s="6"/>
      <c r="J796" s="6"/>
      <c r="K796" s="6"/>
      <c r="L796" s="6"/>
      <c r="M796" s="6"/>
    </row>
    <row r="797" customFormat="false" ht="13.2" hidden="false" customHeight="false" outlineLevel="0" collapsed="false">
      <c r="D797" s="6"/>
      <c r="E797" s="6"/>
      <c r="F797" s="6"/>
      <c r="G797" s="6"/>
      <c r="H797" s="6"/>
      <c r="I797" s="6"/>
      <c r="J797" s="6"/>
      <c r="K797" s="6"/>
      <c r="L797" s="6"/>
      <c r="M797" s="6"/>
    </row>
    <row r="798" customFormat="false" ht="13.2" hidden="false" customHeight="false" outlineLevel="0" collapsed="false">
      <c r="D798" s="6"/>
      <c r="E798" s="6"/>
      <c r="F798" s="6"/>
      <c r="G798" s="6"/>
      <c r="H798" s="6"/>
      <c r="I798" s="6"/>
      <c r="J798" s="6"/>
      <c r="K798" s="6"/>
      <c r="L798" s="6"/>
      <c r="M798" s="6"/>
    </row>
    <row r="799" customFormat="false" ht="13.2" hidden="false" customHeight="false" outlineLevel="0" collapsed="false">
      <c r="D799" s="6"/>
      <c r="E799" s="6"/>
      <c r="F799" s="6"/>
      <c r="G799" s="6"/>
      <c r="H799" s="6"/>
      <c r="I799" s="6"/>
      <c r="J799" s="6"/>
      <c r="K799" s="6"/>
      <c r="L799" s="6"/>
      <c r="M799" s="6"/>
    </row>
    <row r="800" customFormat="false" ht="13.2" hidden="false" customHeight="false" outlineLevel="0" collapsed="false">
      <c r="D800" s="6"/>
      <c r="E800" s="6"/>
      <c r="F800" s="6"/>
      <c r="G800" s="6"/>
      <c r="H800" s="6"/>
      <c r="I800" s="6"/>
      <c r="J800" s="6"/>
      <c r="K800" s="6"/>
      <c r="L800" s="6"/>
      <c r="M800" s="6"/>
    </row>
    <row r="801" customFormat="false" ht="13.2" hidden="false" customHeight="false" outlineLevel="0" collapsed="false">
      <c r="D801" s="6"/>
      <c r="E801" s="6"/>
      <c r="F801" s="6"/>
      <c r="G801" s="6"/>
      <c r="H801" s="6"/>
      <c r="I801" s="6"/>
      <c r="J801" s="6"/>
      <c r="K801" s="6"/>
      <c r="L801" s="6"/>
      <c r="M801" s="6"/>
    </row>
    <row r="802" customFormat="false" ht="13.2" hidden="false" customHeight="false" outlineLevel="0" collapsed="false">
      <c r="D802" s="6"/>
      <c r="E802" s="6"/>
      <c r="F802" s="6"/>
      <c r="G802" s="6"/>
      <c r="H802" s="6"/>
      <c r="I802" s="6"/>
      <c r="J802" s="6"/>
      <c r="K802" s="6"/>
      <c r="L802" s="6"/>
      <c r="M802" s="6"/>
    </row>
    <row r="803" customFormat="false" ht="13.2" hidden="false" customHeight="false" outlineLevel="0" collapsed="false">
      <c r="D803" s="6"/>
      <c r="E803" s="6"/>
      <c r="F803" s="6"/>
      <c r="G803" s="6"/>
      <c r="H803" s="6"/>
      <c r="I803" s="6"/>
      <c r="J803" s="6"/>
      <c r="K803" s="6"/>
      <c r="L803" s="6"/>
      <c r="M803" s="6"/>
    </row>
    <row r="804" customFormat="false" ht="13.2" hidden="false" customHeight="false" outlineLevel="0" collapsed="false">
      <c r="D804" s="6"/>
      <c r="E804" s="6"/>
      <c r="F804" s="6"/>
      <c r="G804" s="6"/>
      <c r="H804" s="6"/>
      <c r="I804" s="6"/>
      <c r="J804" s="6"/>
      <c r="K804" s="6"/>
      <c r="L804" s="6"/>
      <c r="M804" s="6"/>
    </row>
    <row r="805" customFormat="false" ht="13.2" hidden="false" customHeight="false" outlineLevel="0" collapsed="false">
      <c r="D805" s="6"/>
      <c r="E805" s="6"/>
      <c r="F805" s="6"/>
      <c r="G805" s="6"/>
      <c r="H805" s="6"/>
      <c r="I805" s="6"/>
      <c r="J805" s="6"/>
      <c r="K805" s="6"/>
      <c r="L805" s="6"/>
      <c r="M805" s="6"/>
    </row>
    <row r="806" customFormat="false" ht="13.2" hidden="false" customHeight="false" outlineLevel="0" collapsed="false">
      <c r="D806" s="6"/>
      <c r="E806" s="6"/>
      <c r="F806" s="6"/>
      <c r="G806" s="6"/>
      <c r="H806" s="6"/>
      <c r="I806" s="6"/>
      <c r="J806" s="6"/>
      <c r="K806" s="6"/>
      <c r="L806" s="6"/>
      <c r="M806" s="6"/>
    </row>
    <row r="807" customFormat="false" ht="13.2" hidden="false" customHeight="false" outlineLevel="0" collapsed="false">
      <c r="D807" s="6"/>
      <c r="E807" s="6"/>
      <c r="F807" s="6"/>
      <c r="G807" s="6"/>
      <c r="H807" s="6"/>
      <c r="I807" s="6"/>
      <c r="J807" s="6"/>
      <c r="K807" s="6"/>
      <c r="L807" s="6"/>
      <c r="M807" s="6"/>
    </row>
    <row r="808" customFormat="false" ht="13.2" hidden="false" customHeight="false" outlineLevel="0" collapsed="false">
      <c r="D808" s="6"/>
      <c r="E808" s="6"/>
      <c r="F808" s="6"/>
      <c r="G808" s="6"/>
      <c r="H808" s="6"/>
      <c r="I808" s="6"/>
      <c r="J808" s="6"/>
      <c r="K808" s="6"/>
      <c r="L808" s="6"/>
      <c r="M808" s="6"/>
    </row>
    <row r="809" customFormat="false" ht="13.2" hidden="false" customHeight="false" outlineLevel="0" collapsed="false">
      <c r="D809" s="6"/>
      <c r="E809" s="6"/>
      <c r="F809" s="6"/>
      <c r="G809" s="6"/>
      <c r="H809" s="6"/>
      <c r="I809" s="6"/>
      <c r="J809" s="6"/>
      <c r="K809" s="6"/>
      <c r="L809" s="6"/>
      <c r="M809" s="6"/>
    </row>
    <row r="810" customFormat="false" ht="13.2" hidden="false" customHeight="false" outlineLevel="0" collapsed="false">
      <c r="D810" s="6"/>
      <c r="E810" s="6"/>
      <c r="F810" s="6"/>
      <c r="G810" s="6"/>
      <c r="H810" s="6"/>
      <c r="I810" s="6"/>
      <c r="J810" s="6"/>
      <c r="K810" s="6"/>
      <c r="L810" s="6"/>
      <c r="M810" s="6"/>
    </row>
    <row r="811" customFormat="false" ht="13.2" hidden="false" customHeight="false" outlineLevel="0" collapsed="false">
      <c r="D811" s="6"/>
      <c r="E811" s="6"/>
      <c r="F811" s="6"/>
      <c r="G811" s="6"/>
      <c r="H811" s="6"/>
      <c r="I811" s="6"/>
      <c r="J811" s="6"/>
      <c r="K811" s="6"/>
      <c r="L811" s="6"/>
      <c r="M811" s="6"/>
    </row>
    <row r="812" customFormat="false" ht="13.2" hidden="false" customHeight="false" outlineLevel="0" collapsed="false">
      <c r="D812" s="6"/>
      <c r="E812" s="6"/>
      <c r="F812" s="6"/>
      <c r="G812" s="6"/>
      <c r="H812" s="6"/>
      <c r="I812" s="6"/>
      <c r="J812" s="6"/>
      <c r="K812" s="6"/>
      <c r="L812" s="6"/>
      <c r="M812" s="6"/>
    </row>
    <row r="813" customFormat="false" ht="13.2" hidden="false" customHeight="false" outlineLevel="0" collapsed="false">
      <c r="D813" s="6"/>
      <c r="E813" s="6"/>
      <c r="F813" s="6"/>
      <c r="G813" s="6"/>
      <c r="H813" s="6"/>
      <c r="I813" s="6"/>
      <c r="J813" s="6"/>
      <c r="K813" s="6"/>
      <c r="L813" s="6"/>
      <c r="M813" s="6"/>
    </row>
    <row r="814" customFormat="false" ht="13.2" hidden="false" customHeight="false" outlineLevel="0" collapsed="false">
      <c r="D814" s="6"/>
      <c r="E814" s="6"/>
      <c r="F814" s="6"/>
      <c r="G814" s="6"/>
      <c r="H814" s="6"/>
      <c r="I814" s="6"/>
      <c r="J814" s="6"/>
      <c r="K814" s="6"/>
      <c r="L814" s="6"/>
      <c r="M814" s="6"/>
    </row>
    <row r="815" customFormat="false" ht="13.2" hidden="false" customHeight="false" outlineLevel="0" collapsed="false">
      <c r="D815" s="6"/>
      <c r="E815" s="6"/>
      <c r="F815" s="6"/>
      <c r="G815" s="6"/>
      <c r="H815" s="6"/>
      <c r="I815" s="6"/>
      <c r="J815" s="6"/>
      <c r="K815" s="6"/>
      <c r="L815" s="6"/>
      <c r="M815" s="6"/>
    </row>
    <row r="816" customFormat="false" ht="13.2" hidden="false" customHeight="false" outlineLevel="0" collapsed="false">
      <c r="D816" s="6"/>
      <c r="E816" s="6"/>
      <c r="F816" s="6"/>
      <c r="G816" s="6"/>
      <c r="H816" s="6"/>
      <c r="I816" s="6"/>
      <c r="J816" s="6"/>
      <c r="K816" s="6"/>
      <c r="L816" s="6"/>
      <c r="M816" s="6"/>
    </row>
    <row r="817" customFormat="false" ht="13.2" hidden="false" customHeight="false" outlineLevel="0" collapsed="false">
      <c r="D817" s="6"/>
      <c r="E817" s="6"/>
      <c r="F817" s="6"/>
      <c r="G817" s="6"/>
      <c r="H817" s="6"/>
      <c r="I817" s="6"/>
      <c r="J817" s="6"/>
      <c r="K817" s="6"/>
      <c r="L817" s="6"/>
      <c r="M817" s="6"/>
    </row>
    <row r="818" customFormat="false" ht="13.2" hidden="false" customHeight="false" outlineLevel="0" collapsed="false">
      <c r="D818" s="6"/>
      <c r="E818" s="6"/>
      <c r="F818" s="6"/>
      <c r="G818" s="6"/>
      <c r="H818" s="6"/>
      <c r="I818" s="6"/>
      <c r="J818" s="6"/>
      <c r="K818" s="6"/>
      <c r="L818" s="6"/>
      <c r="M818" s="6"/>
    </row>
    <row r="819" customFormat="false" ht="13.2" hidden="false" customHeight="false" outlineLevel="0" collapsed="false">
      <c r="D819" s="6"/>
      <c r="E819" s="6"/>
      <c r="F819" s="6"/>
      <c r="G819" s="6"/>
      <c r="H819" s="6"/>
      <c r="I819" s="6"/>
      <c r="J819" s="6"/>
      <c r="K819" s="6"/>
      <c r="L819" s="6"/>
      <c r="M819" s="6"/>
    </row>
    <row r="820" customFormat="false" ht="13.2" hidden="false" customHeight="false" outlineLevel="0" collapsed="false"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customFormat="false" ht="13.2" hidden="false" customHeight="false" outlineLevel="0" collapsed="false">
      <c r="D821" s="6"/>
      <c r="E821" s="6"/>
      <c r="F821" s="6"/>
      <c r="G821" s="6"/>
      <c r="H821" s="6"/>
      <c r="I821" s="6"/>
      <c r="J821" s="6"/>
      <c r="K821" s="6"/>
      <c r="L821" s="6"/>
      <c r="M821" s="6"/>
    </row>
    <row r="822" customFormat="false" ht="13.2" hidden="false" customHeight="false" outlineLevel="0" collapsed="false"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customFormat="false" ht="13.2" hidden="false" customHeight="false" outlineLevel="0" collapsed="false">
      <c r="D823" s="6"/>
      <c r="E823" s="6"/>
      <c r="F823" s="6"/>
      <c r="G823" s="6"/>
      <c r="H823" s="6"/>
      <c r="I823" s="6"/>
      <c r="J823" s="6"/>
      <c r="K823" s="6"/>
      <c r="L823" s="6"/>
      <c r="M823" s="6"/>
    </row>
    <row r="824" customFormat="false" ht="13.2" hidden="false" customHeight="false" outlineLevel="0" collapsed="false">
      <c r="D824" s="6"/>
      <c r="E824" s="6"/>
      <c r="F824" s="6"/>
      <c r="G824" s="6"/>
      <c r="H824" s="6"/>
      <c r="I824" s="6"/>
      <c r="J824" s="6"/>
      <c r="K824" s="6"/>
      <c r="L824" s="6"/>
      <c r="M824" s="6"/>
    </row>
    <row r="825" customFormat="false" ht="13.2" hidden="false" customHeight="false" outlineLevel="0" collapsed="false">
      <c r="D825" s="6"/>
      <c r="E825" s="6"/>
      <c r="F825" s="6"/>
      <c r="G825" s="6"/>
      <c r="H825" s="6"/>
      <c r="I825" s="6"/>
      <c r="J825" s="6"/>
      <c r="K825" s="6"/>
      <c r="L825" s="6"/>
      <c r="M825" s="6"/>
    </row>
    <row r="826" customFormat="false" ht="13.2" hidden="false" customHeight="false" outlineLevel="0" collapsed="false">
      <c r="D826" s="6"/>
      <c r="E826" s="6"/>
      <c r="F826" s="6"/>
      <c r="G826" s="6"/>
      <c r="H826" s="6"/>
      <c r="I826" s="6"/>
      <c r="J826" s="6"/>
      <c r="K826" s="6"/>
      <c r="L826" s="6"/>
      <c r="M826" s="6"/>
    </row>
    <row r="827" customFormat="false" ht="13.2" hidden="false" customHeight="false" outlineLevel="0" collapsed="false">
      <c r="D827" s="6"/>
      <c r="E827" s="6"/>
      <c r="F827" s="6"/>
      <c r="G827" s="6"/>
      <c r="H827" s="6"/>
      <c r="I827" s="6"/>
      <c r="J827" s="6"/>
      <c r="K827" s="6"/>
      <c r="L827" s="6"/>
      <c r="M827" s="6"/>
    </row>
    <row r="828" customFormat="false" ht="13.2" hidden="false" customHeight="false" outlineLevel="0" collapsed="false">
      <c r="D828" s="6"/>
      <c r="E828" s="6"/>
      <c r="F828" s="6"/>
      <c r="G828" s="6"/>
      <c r="H828" s="6"/>
      <c r="I828" s="6"/>
      <c r="J828" s="6"/>
      <c r="K828" s="6"/>
      <c r="L828" s="6"/>
      <c r="M828" s="6"/>
    </row>
    <row r="829" customFormat="false" ht="13.2" hidden="false" customHeight="false" outlineLevel="0" collapsed="false">
      <c r="D829" s="6"/>
      <c r="E829" s="6"/>
      <c r="F829" s="6"/>
      <c r="G829" s="6"/>
      <c r="H829" s="6"/>
      <c r="I829" s="6"/>
      <c r="J829" s="6"/>
      <c r="K829" s="6"/>
      <c r="L829" s="6"/>
      <c r="M829" s="6"/>
    </row>
    <row r="830" customFormat="false" ht="13.2" hidden="false" customHeight="false" outlineLevel="0" collapsed="false">
      <c r="D830" s="6"/>
      <c r="E830" s="6"/>
      <c r="F830" s="6"/>
      <c r="G830" s="6"/>
      <c r="H830" s="6"/>
      <c r="I830" s="6"/>
      <c r="J830" s="6"/>
      <c r="K830" s="6"/>
      <c r="L830" s="6"/>
      <c r="M830" s="6"/>
    </row>
    <row r="831" customFormat="false" ht="13.2" hidden="false" customHeight="false" outlineLevel="0" collapsed="false">
      <c r="D831" s="6"/>
      <c r="E831" s="6"/>
      <c r="F831" s="6"/>
      <c r="G831" s="6"/>
      <c r="H831" s="6"/>
      <c r="I831" s="6"/>
      <c r="J831" s="6"/>
      <c r="K831" s="6"/>
      <c r="L831" s="6"/>
      <c r="M831" s="6"/>
    </row>
    <row r="832" customFormat="false" ht="13.2" hidden="false" customHeight="false" outlineLevel="0" collapsed="false">
      <c r="D832" s="6"/>
      <c r="E832" s="6"/>
      <c r="F832" s="6"/>
      <c r="G832" s="6"/>
      <c r="H832" s="6"/>
      <c r="I832" s="6"/>
      <c r="J832" s="6"/>
      <c r="K832" s="6"/>
      <c r="L832" s="6"/>
      <c r="M832" s="6"/>
    </row>
    <row r="833" customFormat="false" ht="13.2" hidden="false" customHeight="false" outlineLevel="0" collapsed="false"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customFormat="false" ht="13.2" hidden="false" customHeight="false" outlineLevel="0" collapsed="false">
      <c r="D834" s="6"/>
      <c r="E834" s="6"/>
      <c r="F834" s="6"/>
      <c r="G834" s="6"/>
      <c r="H834" s="6"/>
      <c r="I834" s="6"/>
      <c r="J834" s="6"/>
      <c r="K834" s="6"/>
      <c r="L834" s="6"/>
      <c r="M834" s="6"/>
    </row>
    <row r="835" customFormat="false" ht="13.2" hidden="false" customHeight="false" outlineLevel="0" collapsed="false"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customFormat="false" ht="13.2" hidden="false" customHeight="false" outlineLevel="0" collapsed="false">
      <c r="D836" s="6"/>
      <c r="E836" s="6"/>
      <c r="F836" s="6"/>
      <c r="G836" s="6"/>
      <c r="H836" s="6"/>
      <c r="I836" s="6"/>
      <c r="J836" s="6"/>
      <c r="K836" s="6"/>
      <c r="L836" s="6"/>
      <c r="M836" s="6"/>
    </row>
    <row r="837" customFormat="false" ht="13.2" hidden="false" customHeight="false" outlineLevel="0" collapsed="false"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customFormat="false" ht="13.2" hidden="false" customHeight="false" outlineLevel="0" collapsed="false">
      <c r="D838" s="6"/>
      <c r="E838" s="6"/>
      <c r="F838" s="6"/>
      <c r="G838" s="6"/>
      <c r="H838" s="6"/>
      <c r="I838" s="6"/>
      <c r="J838" s="6"/>
      <c r="K838" s="6"/>
      <c r="L838" s="6"/>
      <c r="M838" s="6"/>
    </row>
    <row r="839" customFormat="false" ht="13.2" hidden="false" customHeight="false" outlineLevel="0" collapsed="false">
      <c r="D839" s="6"/>
      <c r="E839" s="6"/>
      <c r="F839" s="6"/>
      <c r="G839" s="6"/>
      <c r="H839" s="6"/>
      <c r="I839" s="6"/>
      <c r="J839" s="6"/>
      <c r="K839" s="6"/>
      <c r="L839" s="6"/>
      <c r="M839" s="6"/>
    </row>
    <row r="840" customFormat="false" ht="13.2" hidden="false" customHeight="false" outlineLevel="0" collapsed="false">
      <c r="D840" s="6"/>
      <c r="E840" s="6"/>
      <c r="F840" s="6"/>
      <c r="G840" s="6"/>
      <c r="H840" s="6"/>
      <c r="I840" s="6"/>
      <c r="J840" s="6"/>
      <c r="K840" s="6"/>
      <c r="L840" s="6"/>
      <c r="M840" s="6"/>
    </row>
    <row r="841" customFormat="false" ht="13.2" hidden="false" customHeight="false" outlineLevel="0" collapsed="false">
      <c r="D841" s="6"/>
      <c r="E841" s="6"/>
      <c r="F841" s="6"/>
      <c r="G841" s="6"/>
      <c r="H841" s="6"/>
      <c r="I841" s="6"/>
      <c r="J841" s="6"/>
      <c r="K841" s="6"/>
      <c r="L841" s="6"/>
      <c r="M841" s="6"/>
    </row>
    <row r="842" customFormat="false" ht="13.2" hidden="false" customHeight="false" outlineLevel="0" collapsed="false"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customFormat="false" ht="13.2" hidden="false" customHeight="false" outlineLevel="0" collapsed="false">
      <c r="D843" s="6"/>
      <c r="E843" s="6"/>
      <c r="F843" s="6"/>
      <c r="G843" s="6"/>
      <c r="H843" s="6"/>
      <c r="I843" s="6"/>
      <c r="J843" s="6"/>
      <c r="K843" s="6"/>
      <c r="L843" s="6"/>
      <c r="M843" s="6"/>
    </row>
    <row r="844" customFormat="false" ht="13.2" hidden="false" customHeight="false" outlineLevel="0" collapsed="false">
      <c r="D844" s="6"/>
      <c r="E844" s="6"/>
      <c r="F844" s="6"/>
      <c r="G844" s="6"/>
      <c r="H844" s="6"/>
      <c r="I844" s="6"/>
      <c r="J844" s="6"/>
      <c r="K844" s="6"/>
      <c r="L844" s="6"/>
      <c r="M844" s="6"/>
    </row>
    <row r="845" customFormat="false" ht="13.2" hidden="false" customHeight="false" outlineLevel="0" collapsed="false"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customFormat="false" ht="13.2" hidden="false" customHeight="false" outlineLevel="0" collapsed="false">
      <c r="D846" s="6"/>
      <c r="E846" s="6"/>
      <c r="F846" s="6"/>
      <c r="G846" s="6"/>
      <c r="H846" s="6"/>
      <c r="I846" s="6"/>
      <c r="J846" s="6"/>
      <c r="K846" s="6"/>
      <c r="L846" s="6"/>
      <c r="M846" s="6"/>
    </row>
    <row r="847" customFormat="false" ht="13.2" hidden="false" customHeight="false" outlineLevel="0" collapsed="false">
      <c r="D847" s="6"/>
      <c r="E847" s="6"/>
      <c r="F847" s="6"/>
      <c r="G847" s="6"/>
      <c r="H847" s="6"/>
      <c r="I847" s="6"/>
      <c r="J847" s="6"/>
      <c r="K847" s="6"/>
      <c r="L847" s="6"/>
      <c r="M847" s="6"/>
    </row>
    <row r="848" customFormat="false" ht="13.2" hidden="false" customHeight="false" outlineLevel="0" collapsed="false"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customFormat="false" ht="13.2" hidden="false" customHeight="false" outlineLevel="0" collapsed="false">
      <c r="D849" s="6"/>
      <c r="E849" s="6"/>
      <c r="F849" s="6"/>
      <c r="G849" s="6"/>
      <c r="H849" s="6"/>
      <c r="I849" s="6"/>
      <c r="J849" s="6"/>
      <c r="K849" s="6"/>
      <c r="L849" s="6"/>
      <c r="M849" s="6"/>
    </row>
    <row r="850" customFormat="false" ht="13.2" hidden="false" customHeight="false" outlineLevel="0" collapsed="false"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customFormat="false" ht="13.2" hidden="false" customHeight="false" outlineLevel="0" collapsed="false">
      <c r="D851" s="6"/>
      <c r="E851" s="6"/>
      <c r="F851" s="6"/>
      <c r="G851" s="6"/>
      <c r="H851" s="6"/>
      <c r="I851" s="6"/>
      <c r="J851" s="6"/>
      <c r="K851" s="6"/>
      <c r="L851" s="6"/>
      <c r="M851" s="6"/>
    </row>
    <row r="852" customFormat="false" ht="13.2" hidden="false" customHeight="false" outlineLevel="0" collapsed="false"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customFormat="false" ht="13.2" hidden="false" customHeight="false" outlineLevel="0" collapsed="false">
      <c r="D853" s="6"/>
      <c r="E853" s="6"/>
      <c r="F853" s="6"/>
      <c r="G853" s="6"/>
      <c r="H853" s="6"/>
      <c r="I853" s="6"/>
      <c r="J853" s="6"/>
      <c r="K853" s="6"/>
      <c r="L853" s="6"/>
      <c r="M853" s="6"/>
    </row>
    <row r="854" customFormat="false" ht="13.2" hidden="false" customHeight="false" outlineLevel="0" collapsed="false"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customFormat="false" ht="13.2" hidden="false" customHeight="false" outlineLevel="0" collapsed="false">
      <c r="D855" s="6"/>
      <c r="E855" s="6"/>
      <c r="F855" s="6"/>
      <c r="G855" s="6"/>
      <c r="H855" s="6"/>
      <c r="I855" s="6"/>
      <c r="J855" s="6"/>
      <c r="K855" s="6"/>
      <c r="L855" s="6"/>
      <c r="M855" s="6"/>
    </row>
    <row r="856" customFormat="false" ht="13.2" hidden="false" customHeight="false" outlineLevel="0" collapsed="false"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customFormat="false" ht="13.2" hidden="false" customHeight="false" outlineLevel="0" collapsed="false">
      <c r="D857" s="6"/>
      <c r="E857" s="6"/>
      <c r="F857" s="6"/>
      <c r="G857" s="6"/>
      <c r="H857" s="6"/>
      <c r="I857" s="6"/>
      <c r="J857" s="6"/>
      <c r="K857" s="6"/>
      <c r="L857" s="6"/>
      <c r="M857" s="6"/>
    </row>
    <row r="858" customFormat="false" ht="13.2" hidden="false" customHeight="false" outlineLevel="0" collapsed="false"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customFormat="false" ht="13.2" hidden="false" customHeight="false" outlineLevel="0" collapsed="false">
      <c r="D859" s="6"/>
      <c r="E859" s="6"/>
      <c r="F859" s="6"/>
      <c r="G859" s="6"/>
      <c r="H859" s="6"/>
      <c r="I859" s="6"/>
      <c r="J859" s="6"/>
      <c r="K859" s="6"/>
      <c r="L859" s="6"/>
      <c r="M859" s="6"/>
    </row>
    <row r="860" customFormat="false" ht="13.2" hidden="false" customHeight="false" outlineLevel="0" collapsed="false"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customFormat="false" ht="13.2" hidden="false" customHeight="false" outlineLevel="0" collapsed="false">
      <c r="D861" s="6"/>
      <c r="E861" s="6"/>
      <c r="F861" s="6"/>
      <c r="G861" s="6"/>
      <c r="H861" s="6"/>
      <c r="I861" s="6"/>
      <c r="J861" s="6"/>
      <c r="K861" s="6"/>
      <c r="L861" s="6"/>
      <c r="M861" s="6"/>
    </row>
    <row r="862" customFormat="false" ht="13.2" hidden="false" customHeight="false" outlineLevel="0" collapsed="false"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customFormat="false" ht="13.2" hidden="false" customHeight="false" outlineLevel="0" collapsed="false">
      <c r="D863" s="6"/>
      <c r="E863" s="6"/>
      <c r="F863" s="6"/>
      <c r="G863" s="6"/>
      <c r="H863" s="6"/>
      <c r="I863" s="6"/>
      <c r="J863" s="6"/>
      <c r="K863" s="6"/>
      <c r="L863" s="6"/>
      <c r="M863" s="6"/>
    </row>
    <row r="864" customFormat="false" ht="13.2" hidden="false" customHeight="false" outlineLevel="0" collapsed="false"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customFormat="false" ht="13.2" hidden="false" customHeight="false" outlineLevel="0" collapsed="false">
      <c r="D865" s="6"/>
      <c r="E865" s="6"/>
      <c r="F865" s="6"/>
      <c r="G865" s="6"/>
      <c r="H865" s="6"/>
      <c r="I865" s="6"/>
      <c r="J865" s="6"/>
      <c r="K865" s="6"/>
      <c r="L865" s="6"/>
      <c r="M865" s="6"/>
    </row>
    <row r="866" customFormat="false" ht="13.2" hidden="false" customHeight="false" outlineLevel="0" collapsed="false"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customFormat="false" ht="13.2" hidden="false" customHeight="false" outlineLevel="0" collapsed="false">
      <c r="D867" s="6"/>
      <c r="E867" s="6"/>
      <c r="F867" s="6"/>
      <c r="G867" s="6"/>
      <c r="H867" s="6"/>
      <c r="I867" s="6"/>
      <c r="J867" s="6"/>
      <c r="K867" s="6"/>
      <c r="L867" s="6"/>
      <c r="M867" s="6"/>
    </row>
    <row r="868" customFormat="false" ht="13.2" hidden="false" customHeight="false" outlineLevel="0" collapsed="false"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customFormat="false" ht="13.2" hidden="false" customHeight="false" outlineLevel="0" collapsed="false">
      <c r="D869" s="6"/>
      <c r="E869" s="6"/>
      <c r="F869" s="6"/>
      <c r="G869" s="6"/>
      <c r="H869" s="6"/>
      <c r="I869" s="6"/>
      <c r="J869" s="6"/>
      <c r="K869" s="6"/>
      <c r="L869" s="6"/>
      <c r="M869" s="6"/>
    </row>
    <row r="870" customFormat="false" ht="13.2" hidden="false" customHeight="false" outlineLevel="0" collapsed="false">
      <c r="D870" s="6"/>
      <c r="E870" s="6"/>
      <c r="F870" s="6"/>
      <c r="G870" s="6"/>
      <c r="H870" s="6"/>
      <c r="I870" s="6"/>
      <c r="J870" s="6"/>
      <c r="K870" s="6"/>
      <c r="L870" s="6"/>
      <c r="M870" s="6"/>
    </row>
    <row r="871" customFormat="false" ht="13.2" hidden="false" customHeight="false" outlineLevel="0" collapsed="false"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customFormat="false" ht="13.2" hidden="false" customHeight="false" outlineLevel="0" collapsed="false">
      <c r="D872" s="6"/>
      <c r="E872" s="6"/>
      <c r="F872" s="6"/>
      <c r="G872" s="6"/>
      <c r="H872" s="6"/>
      <c r="I872" s="6"/>
      <c r="J872" s="6"/>
      <c r="K872" s="6"/>
      <c r="L872" s="6"/>
      <c r="M872" s="6"/>
    </row>
    <row r="873" customFormat="false" ht="13.2" hidden="false" customHeight="false" outlineLevel="0" collapsed="false">
      <c r="D873" s="6"/>
      <c r="E873" s="6"/>
      <c r="F873" s="6"/>
      <c r="G873" s="6"/>
      <c r="H873" s="6"/>
      <c r="I873" s="6"/>
      <c r="J873" s="6"/>
      <c r="K873" s="6"/>
      <c r="L873" s="6"/>
      <c r="M873" s="6"/>
    </row>
    <row r="874" customFormat="false" ht="13.2" hidden="false" customHeight="false" outlineLevel="0" collapsed="false">
      <c r="D874" s="6"/>
      <c r="E874" s="6"/>
      <c r="F874" s="6"/>
      <c r="G874" s="6"/>
      <c r="H874" s="6"/>
      <c r="I874" s="6"/>
      <c r="J874" s="6"/>
      <c r="K874" s="6"/>
      <c r="L874" s="6"/>
      <c r="M874" s="6"/>
    </row>
    <row r="875" customFormat="false" ht="13.2" hidden="false" customHeight="false" outlineLevel="0" collapsed="false">
      <c r="D875" s="6"/>
      <c r="E875" s="6"/>
      <c r="F875" s="6"/>
      <c r="G875" s="6"/>
      <c r="H875" s="6"/>
      <c r="I875" s="6"/>
      <c r="J875" s="6"/>
      <c r="K875" s="6"/>
      <c r="L875" s="6"/>
      <c r="M875" s="6"/>
    </row>
    <row r="876" customFormat="false" ht="13.2" hidden="false" customHeight="false" outlineLevel="0" collapsed="false">
      <c r="D876" s="6"/>
      <c r="E876" s="6"/>
      <c r="F876" s="6"/>
      <c r="G876" s="6"/>
      <c r="H876" s="6"/>
      <c r="I876" s="6"/>
      <c r="J876" s="6"/>
      <c r="K876" s="6"/>
      <c r="L876" s="6"/>
      <c r="M876" s="6"/>
    </row>
    <row r="877" customFormat="false" ht="13.2" hidden="false" customHeight="false" outlineLevel="0" collapsed="false">
      <c r="D877" s="6"/>
      <c r="E877" s="6"/>
      <c r="F877" s="6"/>
      <c r="G877" s="6"/>
      <c r="H877" s="6"/>
      <c r="I877" s="6"/>
      <c r="J877" s="6"/>
      <c r="K877" s="6"/>
      <c r="L877" s="6"/>
      <c r="M877" s="6"/>
    </row>
    <row r="878" customFormat="false" ht="13.2" hidden="false" customHeight="false" outlineLevel="0" collapsed="false">
      <c r="D878" s="6"/>
      <c r="E878" s="6"/>
      <c r="F878" s="6"/>
      <c r="G878" s="6"/>
      <c r="H878" s="6"/>
      <c r="I878" s="6"/>
      <c r="J878" s="6"/>
      <c r="K878" s="6"/>
      <c r="L878" s="6"/>
      <c r="M878" s="6"/>
    </row>
    <row r="879" customFormat="false" ht="13.2" hidden="false" customHeight="false" outlineLevel="0" collapsed="false">
      <c r="D879" s="6"/>
      <c r="E879" s="6"/>
      <c r="F879" s="6"/>
      <c r="G879" s="6"/>
      <c r="H879" s="6"/>
      <c r="I879" s="6"/>
      <c r="J879" s="6"/>
      <c r="K879" s="6"/>
      <c r="L879" s="6"/>
      <c r="M879" s="6"/>
    </row>
    <row r="880" customFormat="false" ht="13.2" hidden="false" customHeight="false" outlineLevel="0" collapsed="false">
      <c r="D880" s="6"/>
      <c r="E880" s="6"/>
      <c r="F880" s="6"/>
      <c r="G880" s="6"/>
      <c r="H880" s="6"/>
      <c r="I880" s="6"/>
      <c r="J880" s="6"/>
      <c r="K880" s="6"/>
      <c r="L880" s="6"/>
      <c r="M880" s="6"/>
    </row>
    <row r="881" customFormat="false" ht="13.2" hidden="false" customHeight="false" outlineLevel="0" collapsed="false">
      <c r="D881" s="6"/>
      <c r="E881" s="6"/>
      <c r="F881" s="6"/>
      <c r="G881" s="6"/>
      <c r="H881" s="6"/>
      <c r="I881" s="6"/>
      <c r="J881" s="6"/>
      <c r="K881" s="6"/>
      <c r="L881" s="6"/>
      <c r="M881" s="6"/>
    </row>
    <row r="882" customFormat="false" ht="13.2" hidden="false" customHeight="false" outlineLevel="0" collapsed="false">
      <c r="D882" s="6"/>
      <c r="E882" s="6"/>
      <c r="F882" s="6"/>
      <c r="G882" s="6"/>
      <c r="H882" s="6"/>
      <c r="I882" s="6"/>
      <c r="J882" s="6"/>
      <c r="K882" s="6"/>
      <c r="L882" s="6"/>
      <c r="M882" s="6"/>
    </row>
    <row r="883" customFormat="false" ht="13.2" hidden="false" customHeight="false" outlineLevel="0" collapsed="false"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customFormat="false" ht="13.2" hidden="false" customHeight="false" outlineLevel="0" collapsed="false">
      <c r="D884" s="6"/>
      <c r="E884" s="6"/>
      <c r="F884" s="6"/>
      <c r="G884" s="6"/>
      <c r="H884" s="6"/>
      <c r="I884" s="6"/>
      <c r="J884" s="6"/>
      <c r="K884" s="6"/>
      <c r="L884" s="6"/>
      <c r="M884" s="6"/>
    </row>
    <row r="885" customFormat="false" ht="13.2" hidden="false" customHeight="false" outlineLevel="0" collapsed="false">
      <c r="D885" s="6"/>
      <c r="E885" s="6"/>
      <c r="F885" s="6"/>
      <c r="G885" s="6"/>
      <c r="H885" s="6"/>
      <c r="I885" s="6"/>
      <c r="J885" s="6"/>
      <c r="K885" s="6"/>
      <c r="L885" s="6"/>
      <c r="M885" s="6"/>
    </row>
    <row r="886" customFormat="false" ht="13.2" hidden="false" customHeight="false" outlineLevel="0" collapsed="false">
      <c r="D886" s="6"/>
      <c r="E886" s="6"/>
      <c r="F886" s="6"/>
      <c r="G886" s="6"/>
      <c r="H886" s="6"/>
      <c r="I886" s="6"/>
      <c r="J886" s="6"/>
      <c r="K886" s="6"/>
      <c r="L886" s="6"/>
      <c r="M886" s="6"/>
    </row>
    <row r="887" customFormat="false" ht="13.2" hidden="false" customHeight="false" outlineLevel="0" collapsed="false">
      <c r="D887" s="6"/>
      <c r="E887" s="6"/>
      <c r="F887" s="6"/>
      <c r="G887" s="6"/>
      <c r="H887" s="6"/>
      <c r="I887" s="6"/>
      <c r="J887" s="6"/>
      <c r="K887" s="6"/>
      <c r="L887" s="6"/>
      <c r="M887" s="6"/>
    </row>
    <row r="888" customFormat="false" ht="13.2" hidden="false" customHeight="false" outlineLevel="0" collapsed="false">
      <c r="D888" s="6"/>
      <c r="E888" s="6"/>
      <c r="F888" s="6"/>
      <c r="G888" s="6"/>
      <c r="H888" s="6"/>
      <c r="I888" s="6"/>
      <c r="J888" s="6"/>
      <c r="K888" s="6"/>
      <c r="L888" s="6"/>
      <c r="M888" s="6"/>
    </row>
    <row r="889" customFormat="false" ht="13.2" hidden="false" customHeight="false" outlineLevel="0" collapsed="false">
      <c r="D889" s="6"/>
      <c r="E889" s="6"/>
      <c r="F889" s="6"/>
      <c r="G889" s="6"/>
      <c r="H889" s="6"/>
      <c r="I889" s="6"/>
      <c r="J889" s="6"/>
      <c r="K889" s="6"/>
      <c r="L889" s="6"/>
      <c r="M889" s="6"/>
    </row>
    <row r="890" customFormat="false" ht="13.2" hidden="false" customHeight="false" outlineLevel="0" collapsed="false">
      <c r="D890" s="6"/>
      <c r="E890" s="6"/>
      <c r="F890" s="6"/>
      <c r="G890" s="6"/>
      <c r="H890" s="6"/>
      <c r="I890" s="6"/>
      <c r="J890" s="6"/>
      <c r="K890" s="6"/>
      <c r="L890" s="6"/>
      <c r="M890" s="6"/>
    </row>
    <row r="891" customFormat="false" ht="13.2" hidden="false" customHeight="false" outlineLevel="0" collapsed="false">
      <c r="D891" s="6"/>
      <c r="E891" s="6"/>
      <c r="F891" s="6"/>
      <c r="G891" s="6"/>
      <c r="H891" s="6"/>
      <c r="I891" s="6"/>
      <c r="J891" s="6"/>
      <c r="K891" s="6"/>
      <c r="L891" s="6"/>
      <c r="M891" s="6"/>
    </row>
    <row r="892" customFormat="false" ht="13.2" hidden="false" customHeight="false" outlineLevel="0" collapsed="false">
      <c r="D892" s="6"/>
      <c r="E892" s="6"/>
      <c r="F892" s="6"/>
      <c r="G892" s="6"/>
      <c r="H892" s="6"/>
      <c r="I892" s="6"/>
      <c r="J892" s="6"/>
      <c r="K892" s="6"/>
      <c r="L892" s="6"/>
      <c r="M892" s="6"/>
    </row>
    <row r="893" customFormat="false" ht="13.2" hidden="false" customHeight="false" outlineLevel="0" collapsed="false">
      <c r="D893" s="6"/>
      <c r="E893" s="6"/>
      <c r="F893" s="6"/>
      <c r="G893" s="6"/>
      <c r="H893" s="6"/>
      <c r="I893" s="6"/>
      <c r="J893" s="6"/>
      <c r="K893" s="6"/>
      <c r="L893" s="6"/>
      <c r="M893" s="6"/>
    </row>
    <row r="894" customFormat="false" ht="13.2" hidden="false" customHeight="false" outlineLevel="0" collapsed="false">
      <c r="D894" s="6"/>
      <c r="E894" s="6"/>
      <c r="F894" s="6"/>
      <c r="G894" s="6"/>
      <c r="H894" s="6"/>
      <c r="I894" s="6"/>
      <c r="J894" s="6"/>
      <c r="K894" s="6"/>
      <c r="L894" s="6"/>
      <c r="M894" s="6"/>
    </row>
    <row r="895" customFormat="false" ht="13.2" hidden="false" customHeight="false" outlineLevel="0" collapsed="false">
      <c r="D895" s="6"/>
      <c r="E895" s="6"/>
      <c r="F895" s="6"/>
      <c r="G895" s="6"/>
      <c r="H895" s="6"/>
      <c r="I895" s="6"/>
      <c r="J895" s="6"/>
      <c r="K895" s="6"/>
      <c r="L895" s="6"/>
      <c r="M895" s="6"/>
    </row>
    <row r="896" customFormat="false" ht="13.2" hidden="false" customHeight="false" outlineLevel="0" collapsed="false">
      <c r="D896" s="6"/>
      <c r="E896" s="6"/>
      <c r="F896" s="6"/>
      <c r="G896" s="6"/>
      <c r="H896" s="6"/>
      <c r="I896" s="6"/>
      <c r="J896" s="6"/>
      <c r="K896" s="6"/>
      <c r="L896" s="6"/>
      <c r="M896" s="6"/>
    </row>
    <row r="897" customFormat="false" ht="13.2" hidden="false" customHeight="false" outlineLevel="0" collapsed="false">
      <c r="D897" s="6"/>
      <c r="E897" s="6"/>
      <c r="F897" s="6"/>
      <c r="G897" s="6"/>
      <c r="H897" s="6"/>
      <c r="I897" s="6"/>
      <c r="J897" s="6"/>
      <c r="K897" s="6"/>
      <c r="L897" s="6"/>
      <c r="M897" s="6"/>
    </row>
    <row r="898" customFormat="false" ht="13.2" hidden="false" customHeight="false" outlineLevel="0" collapsed="false">
      <c r="D898" s="6"/>
      <c r="E898" s="6"/>
      <c r="F898" s="6"/>
      <c r="G898" s="6"/>
      <c r="H898" s="6"/>
      <c r="I898" s="6"/>
      <c r="J898" s="6"/>
      <c r="K898" s="6"/>
      <c r="L898" s="6"/>
      <c r="M898" s="6"/>
    </row>
    <row r="899" customFormat="false" ht="13.2" hidden="false" customHeight="false" outlineLevel="0" collapsed="false">
      <c r="D899" s="6"/>
      <c r="E899" s="6"/>
      <c r="F899" s="6"/>
      <c r="G899" s="6"/>
      <c r="H899" s="6"/>
      <c r="I899" s="6"/>
      <c r="J899" s="6"/>
      <c r="K899" s="6"/>
      <c r="L899" s="6"/>
      <c r="M899" s="6"/>
    </row>
    <row r="900" customFormat="false" ht="13.2" hidden="false" customHeight="false" outlineLevel="0" collapsed="false">
      <c r="D900" s="6"/>
      <c r="E900" s="6"/>
      <c r="F900" s="6"/>
      <c r="G900" s="6"/>
      <c r="H900" s="6"/>
      <c r="I900" s="6"/>
      <c r="J900" s="6"/>
      <c r="K900" s="6"/>
      <c r="L900" s="6"/>
      <c r="M900" s="6"/>
    </row>
    <row r="901" customFormat="false" ht="13.2" hidden="false" customHeight="false" outlineLevel="0" collapsed="false">
      <c r="D901" s="6"/>
      <c r="E901" s="6"/>
      <c r="F901" s="6"/>
      <c r="G901" s="6"/>
      <c r="H901" s="6"/>
      <c r="I901" s="6"/>
      <c r="J901" s="6"/>
      <c r="K901" s="6"/>
      <c r="L901" s="6"/>
      <c r="M901" s="6"/>
    </row>
    <row r="902" customFormat="false" ht="13.2" hidden="false" customHeight="false" outlineLevel="0" collapsed="false">
      <c r="D902" s="6"/>
      <c r="E902" s="6"/>
      <c r="F902" s="6"/>
      <c r="G902" s="6"/>
      <c r="H902" s="6"/>
      <c r="I902" s="6"/>
      <c r="J902" s="6"/>
      <c r="K902" s="6"/>
      <c r="L902" s="6"/>
      <c r="M902" s="6"/>
    </row>
    <row r="903" customFormat="false" ht="13.2" hidden="false" customHeight="false" outlineLevel="0" collapsed="false">
      <c r="D903" s="6"/>
      <c r="E903" s="6"/>
      <c r="F903" s="6"/>
      <c r="G903" s="6"/>
      <c r="H903" s="6"/>
      <c r="I903" s="6"/>
      <c r="J903" s="6"/>
      <c r="K903" s="6"/>
      <c r="L903" s="6"/>
      <c r="M903" s="6"/>
    </row>
    <row r="904" customFormat="false" ht="13.2" hidden="false" customHeight="false" outlineLevel="0" collapsed="false">
      <c r="D904" s="6"/>
      <c r="E904" s="6"/>
      <c r="F904" s="6"/>
      <c r="G904" s="6"/>
      <c r="H904" s="6"/>
      <c r="I904" s="6"/>
      <c r="J904" s="6"/>
      <c r="K904" s="6"/>
      <c r="L904" s="6"/>
      <c r="M904" s="6"/>
    </row>
    <row r="905" customFormat="false" ht="13.2" hidden="false" customHeight="false" outlineLevel="0" collapsed="false">
      <c r="D905" s="6"/>
      <c r="E905" s="6"/>
      <c r="F905" s="6"/>
      <c r="G905" s="6"/>
      <c r="H905" s="6"/>
      <c r="I905" s="6"/>
      <c r="J905" s="6"/>
      <c r="K905" s="6"/>
      <c r="L905" s="6"/>
      <c r="M905" s="6"/>
    </row>
    <row r="906" customFormat="false" ht="13.2" hidden="false" customHeight="false" outlineLevel="0" collapsed="false">
      <c r="D906" s="6"/>
      <c r="E906" s="6"/>
      <c r="F906" s="6"/>
      <c r="G906" s="6"/>
      <c r="H906" s="6"/>
      <c r="I906" s="6"/>
      <c r="J906" s="6"/>
      <c r="K906" s="6"/>
      <c r="L906" s="6"/>
      <c r="M906" s="6"/>
    </row>
    <row r="907" customFormat="false" ht="13.2" hidden="false" customHeight="false" outlineLevel="0" collapsed="false">
      <c r="D907" s="6"/>
      <c r="E907" s="6"/>
      <c r="F907" s="6"/>
      <c r="G907" s="6"/>
      <c r="H907" s="6"/>
      <c r="I907" s="6"/>
      <c r="J907" s="6"/>
      <c r="K907" s="6"/>
      <c r="L907" s="6"/>
      <c r="M907" s="6"/>
    </row>
    <row r="908" customFormat="false" ht="13.2" hidden="false" customHeight="false" outlineLevel="0" collapsed="false">
      <c r="D908" s="6"/>
      <c r="E908" s="6"/>
      <c r="F908" s="6"/>
      <c r="G908" s="6"/>
      <c r="H908" s="6"/>
      <c r="I908" s="6"/>
      <c r="J908" s="6"/>
      <c r="K908" s="6"/>
      <c r="L908" s="6"/>
      <c r="M908" s="6"/>
    </row>
    <row r="909" customFormat="false" ht="13.2" hidden="false" customHeight="false" outlineLevel="0" collapsed="false">
      <c r="D909" s="6"/>
      <c r="E909" s="6"/>
      <c r="F909" s="6"/>
      <c r="G909" s="6"/>
      <c r="H909" s="6"/>
      <c r="I909" s="6"/>
      <c r="J909" s="6"/>
      <c r="K909" s="6"/>
      <c r="L909" s="6"/>
      <c r="M909" s="6"/>
    </row>
    <row r="910" customFormat="false" ht="13.2" hidden="false" customHeight="false" outlineLevel="0" collapsed="false">
      <c r="D910" s="6"/>
      <c r="E910" s="6"/>
      <c r="F910" s="6"/>
      <c r="G910" s="6"/>
      <c r="H910" s="6"/>
      <c r="I910" s="6"/>
      <c r="J910" s="6"/>
      <c r="K910" s="6"/>
      <c r="L910" s="6"/>
      <c r="M910" s="6"/>
    </row>
    <row r="911" customFormat="false" ht="13.2" hidden="false" customHeight="false" outlineLevel="0" collapsed="false">
      <c r="D911" s="6"/>
      <c r="E911" s="6"/>
      <c r="F911" s="6"/>
      <c r="G911" s="6"/>
      <c r="H911" s="6"/>
      <c r="I911" s="6"/>
      <c r="J911" s="6"/>
      <c r="K911" s="6"/>
      <c r="L911" s="6"/>
      <c r="M911" s="6"/>
    </row>
    <row r="912" customFormat="false" ht="13.2" hidden="false" customHeight="false" outlineLevel="0" collapsed="false">
      <c r="D912" s="6"/>
      <c r="E912" s="6"/>
      <c r="F912" s="6"/>
      <c r="G912" s="6"/>
      <c r="H912" s="6"/>
      <c r="I912" s="6"/>
      <c r="J912" s="6"/>
      <c r="K912" s="6"/>
      <c r="L912" s="6"/>
      <c r="M912" s="6"/>
    </row>
    <row r="913" customFormat="false" ht="13.2" hidden="false" customHeight="false" outlineLevel="0" collapsed="false">
      <c r="D913" s="6"/>
      <c r="E913" s="6"/>
      <c r="F913" s="6"/>
      <c r="G913" s="6"/>
      <c r="H913" s="6"/>
      <c r="I913" s="6"/>
      <c r="J913" s="6"/>
      <c r="K913" s="6"/>
      <c r="L913" s="6"/>
      <c r="M913" s="6"/>
    </row>
    <row r="914" customFormat="false" ht="13.2" hidden="false" customHeight="false" outlineLevel="0" collapsed="false">
      <c r="D914" s="6"/>
      <c r="E914" s="6"/>
      <c r="F914" s="6"/>
      <c r="G914" s="6"/>
      <c r="H914" s="6"/>
      <c r="I914" s="6"/>
      <c r="J914" s="6"/>
      <c r="K914" s="6"/>
      <c r="L914" s="6"/>
      <c r="M914" s="6"/>
    </row>
    <row r="915" customFormat="false" ht="13.2" hidden="false" customHeight="false" outlineLevel="0" collapsed="false">
      <c r="D915" s="6"/>
      <c r="E915" s="6"/>
      <c r="F915" s="6"/>
      <c r="G915" s="6"/>
      <c r="H915" s="6"/>
      <c r="I915" s="6"/>
      <c r="J915" s="6"/>
      <c r="K915" s="6"/>
      <c r="L915" s="6"/>
      <c r="M915" s="6"/>
    </row>
    <row r="916" customFormat="false" ht="13.2" hidden="false" customHeight="false" outlineLevel="0" collapsed="false">
      <c r="D916" s="6"/>
      <c r="E916" s="6"/>
      <c r="F916" s="6"/>
      <c r="G916" s="6"/>
      <c r="H916" s="6"/>
      <c r="I916" s="6"/>
      <c r="J916" s="6"/>
      <c r="K916" s="6"/>
      <c r="L916" s="6"/>
      <c r="M916" s="6"/>
    </row>
    <row r="917" customFormat="false" ht="13.2" hidden="false" customHeight="false" outlineLevel="0" collapsed="false">
      <c r="D917" s="6"/>
      <c r="E917" s="6"/>
      <c r="F917" s="6"/>
      <c r="G917" s="6"/>
      <c r="H917" s="6"/>
      <c r="I917" s="6"/>
      <c r="J917" s="6"/>
      <c r="K917" s="6"/>
      <c r="L917" s="6"/>
      <c r="M917" s="6"/>
    </row>
    <row r="918" customFormat="false" ht="13.2" hidden="false" customHeight="false" outlineLevel="0" collapsed="false">
      <c r="D918" s="6"/>
      <c r="E918" s="6"/>
      <c r="F918" s="6"/>
      <c r="G918" s="6"/>
      <c r="H918" s="6"/>
      <c r="I918" s="6"/>
      <c r="J918" s="6"/>
      <c r="K918" s="6"/>
      <c r="L918" s="6"/>
      <c r="M918" s="6"/>
    </row>
    <row r="919" customFormat="false" ht="13.2" hidden="false" customHeight="false" outlineLevel="0" collapsed="false">
      <c r="D919" s="6"/>
      <c r="E919" s="6"/>
      <c r="F919" s="6"/>
      <c r="G919" s="6"/>
      <c r="H919" s="6"/>
      <c r="I919" s="6"/>
      <c r="J919" s="6"/>
      <c r="K919" s="6"/>
      <c r="L919" s="6"/>
      <c r="M919" s="6"/>
    </row>
    <row r="920" customFormat="false" ht="13.2" hidden="false" customHeight="false" outlineLevel="0" collapsed="false">
      <c r="D920" s="6"/>
      <c r="E920" s="6"/>
      <c r="F920" s="6"/>
      <c r="G920" s="6"/>
      <c r="H920" s="6"/>
      <c r="I920" s="6"/>
      <c r="J920" s="6"/>
      <c r="K920" s="6"/>
      <c r="L920" s="6"/>
      <c r="M920" s="6"/>
    </row>
    <row r="921" customFormat="false" ht="13.2" hidden="false" customHeight="false" outlineLevel="0" collapsed="false">
      <c r="D921" s="6"/>
      <c r="E921" s="6"/>
      <c r="F921" s="6"/>
      <c r="G921" s="6"/>
      <c r="H921" s="6"/>
      <c r="I921" s="6"/>
      <c r="J921" s="6"/>
      <c r="K921" s="6"/>
      <c r="L921" s="6"/>
      <c r="M921" s="6"/>
    </row>
    <row r="922" customFormat="false" ht="13.2" hidden="false" customHeight="false" outlineLevel="0" collapsed="false">
      <c r="D922" s="6"/>
      <c r="E922" s="6"/>
      <c r="F922" s="6"/>
      <c r="G922" s="6"/>
      <c r="H922" s="6"/>
      <c r="I922" s="6"/>
      <c r="J922" s="6"/>
      <c r="K922" s="6"/>
      <c r="L922" s="6"/>
      <c r="M922" s="6"/>
    </row>
    <row r="923" customFormat="false" ht="13.2" hidden="false" customHeight="false" outlineLevel="0" collapsed="false">
      <c r="D923" s="6"/>
      <c r="E923" s="6"/>
      <c r="F923" s="6"/>
      <c r="G923" s="6"/>
      <c r="H923" s="6"/>
      <c r="I923" s="6"/>
      <c r="J923" s="6"/>
      <c r="K923" s="6"/>
      <c r="L923" s="6"/>
      <c r="M923" s="6"/>
    </row>
    <row r="924" customFormat="false" ht="13.2" hidden="false" customHeight="false" outlineLevel="0" collapsed="false">
      <c r="D924" s="6"/>
      <c r="E924" s="6"/>
      <c r="F924" s="6"/>
      <c r="G924" s="6"/>
      <c r="H924" s="6"/>
      <c r="I924" s="6"/>
      <c r="J924" s="6"/>
      <c r="K924" s="6"/>
      <c r="L924" s="6"/>
      <c r="M924" s="6"/>
    </row>
    <row r="925" customFormat="false" ht="13.2" hidden="false" customHeight="false" outlineLevel="0" collapsed="false">
      <c r="D925" s="6"/>
      <c r="E925" s="6"/>
      <c r="F925" s="6"/>
      <c r="G925" s="6"/>
      <c r="H925" s="6"/>
      <c r="I925" s="6"/>
      <c r="J925" s="6"/>
      <c r="K925" s="6"/>
      <c r="L925" s="6"/>
      <c r="M925" s="6"/>
    </row>
    <row r="926" customFormat="false" ht="13.2" hidden="false" customHeight="false" outlineLevel="0" collapsed="false">
      <c r="D926" s="6"/>
      <c r="E926" s="6"/>
      <c r="F926" s="6"/>
      <c r="G926" s="6"/>
      <c r="H926" s="6"/>
      <c r="I926" s="6"/>
      <c r="J926" s="6"/>
      <c r="K926" s="6"/>
      <c r="L926" s="6"/>
      <c r="M926" s="6"/>
    </row>
    <row r="927" customFormat="false" ht="13.2" hidden="false" customHeight="false" outlineLevel="0" collapsed="false">
      <c r="D927" s="6"/>
      <c r="E927" s="6"/>
      <c r="F927" s="6"/>
      <c r="G927" s="6"/>
      <c r="H927" s="6"/>
      <c r="I927" s="6"/>
      <c r="J927" s="6"/>
      <c r="K927" s="6"/>
      <c r="L927" s="6"/>
      <c r="M927" s="6"/>
    </row>
    <row r="928" customFormat="false" ht="13.2" hidden="false" customHeight="false" outlineLevel="0" collapsed="false">
      <c r="D928" s="6"/>
      <c r="E928" s="6"/>
      <c r="F928" s="6"/>
      <c r="G928" s="6"/>
      <c r="H928" s="6"/>
      <c r="I928" s="6"/>
      <c r="J928" s="6"/>
      <c r="K928" s="6"/>
      <c r="L928" s="6"/>
      <c r="M928" s="6"/>
    </row>
    <row r="929" customFormat="false" ht="13.2" hidden="false" customHeight="false" outlineLevel="0" collapsed="false">
      <c r="D929" s="6"/>
      <c r="E929" s="6"/>
      <c r="F929" s="6"/>
      <c r="G929" s="6"/>
      <c r="H929" s="6"/>
      <c r="I929" s="6"/>
      <c r="J929" s="6"/>
      <c r="K929" s="6"/>
      <c r="L929" s="6"/>
      <c r="M929" s="6"/>
    </row>
    <row r="930" customFormat="false" ht="13.2" hidden="false" customHeight="false" outlineLevel="0" collapsed="false">
      <c r="D930" s="6"/>
      <c r="E930" s="6"/>
      <c r="F930" s="6"/>
      <c r="G930" s="6"/>
      <c r="H930" s="6"/>
      <c r="I930" s="6"/>
      <c r="J930" s="6"/>
      <c r="K930" s="6"/>
      <c r="L930" s="6"/>
      <c r="M930" s="6"/>
    </row>
    <row r="931" customFormat="false" ht="13.2" hidden="false" customHeight="false" outlineLevel="0" collapsed="false">
      <c r="D931" s="6"/>
      <c r="E931" s="6"/>
      <c r="F931" s="6"/>
      <c r="G931" s="6"/>
      <c r="H931" s="6"/>
      <c r="I931" s="6"/>
      <c r="J931" s="6"/>
      <c r="K931" s="6"/>
      <c r="L931" s="6"/>
      <c r="M931" s="6"/>
    </row>
    <row r="932" customFormat="false" ht="13.2" hidden="false" customHeight="false" outlineLevel="0" collapsed="false">
      <c r="D932" s="6"/>
      <c r="E932" s="6"/>
      <c r="F932" s="6"/>
      <c r="G932" s="6"/>
      <c r="H932" s="6"/>
      <c r="I932" s="6"/>
      <c r="J932" s="6"/>
      <c r="K932" s="6"/>
      <c r="L932" s="6"/>
      <c r="M932" s="6"/>
    </row>
    <row r="933" customFormat="false" ht="13.2" hidden="false" customHeight="false" outlineLevel="0" collapsed="false">
      <c r="D933" s="6"/>
      <c r="E933" s="6"/>
      <c r="F933" s="6"/>
      <c r="G933" s="6"/>
      <c r="H933" s="6"/>
      <c r="I933" s="6"/>
      <c r="J933" s="6"/>
      <c r="K933" s="6"/>
      <c r="L933" s="6"/>
      <c r="M933" s="6"/>
    </row>
    <row r="934" customFormat="false" ht="13.2" hidden="false" customHeight="false" outlineLevel="0" collapsed="false">
      <c r="D934" s="6"/>
      <c r="E934" s="6"/>
      <c r="F934" s="6"/>
      <c r="G934" s="6"/>
      <c r="H934" s="6"/>
      <c r="I934" s="6"/>
      <c r="J934" s="6"/>
      <c r="K934" s="6"/>
      <c r="L934" s="6"/>
      <c r="M934" s="6"/>
    </row>
    <row r="935" customFormat="false" ht="13.2" hidden="false" customHeight="false" outlineLevel="0" collapsed="false">
      <c r="D935" s="6"/>
      <c r="E935" s="6"/>
      <c r="F935" s="6"/>
      <c r="G935" s="6"/>
      <c r="H935" s="6"/>
      <c r="I935" s="6"/>
      <c r="J935" s="6"/>
      <c r="K935" s="6"/>
      <c r="L935" s="6"/>
      <c r="M935" s="6"/>
    </row>
    <row r="936" customFormat="false" ht="13.2" hidden="false" customHeight="false" outlineLevel="0" collapsed="false">
      <c r="D936" s="6"/>
      <c r="E936" s="6"/>
      <c r="F936" s="6"/>
      <c r="G936" s="6"/>
      <c r="H936" s="6"/>
      <c r="I936" s="6"/>
      <c r="J936" s="6"/>
      <c r="K936" s="6"/>
      <c r="L936" s="6"/>
      <c r="M936" s="6"/>
    </row>
    <row r="937" customFormat="false" ht="13.2" hidden="false" customHeight="false" outlineLevel="0" collapsed="false">
      <c r="D937" s="6"/>
      <c r="E937" s="6"/>
      <c r="F937" s="6"/>
      <c r="G937" s="6"/>
      <c r="H937" s="6"/>
      <c r="I937" s="6"/>
      <c r="J937" s="6"/>
      <c r="K937" s="6"/>
      <c r="L937" s="6"/>
      <c r="M937" s="6"/>
    </row>
    <row r="938" customFormat="false" ht="13.2" hidden="false" customHeight="false" outlineLevel="0" collapsed="false">
      <c r="D938" s="6"/>
      <c r="E938" s="6"/>
      <c r="F938" s="6"/>
      <c r="G938" s="6"/>
      <c r="H938" s="6"/>
      <c r="I938" s="6"/>
      <c r="J938" s="6"/>
      <c r="K938" s="6"/>
      <c r="L938" s="6"/>
      <c r="M938" s="6"/>
    </row>
    <row r="939" customFormat="false" ht="13.2" hidden="false" customHeight="false" outlineLevel="0" collapsed="false">
      <c r="D939" s="6"/>
      <c r="E939" s="6"/>
      <c r="F939" s="6"/>
      <c r="G939" s="6"/>
      <c r="H939" s="6"/>
      <c r="I939" s="6"/>
      <c r="J939" s="6"/>
      <c r="K939" s="6"/>
      <c r="L939" s="6"/>
      <c r="M939" s="6"/>
    </row>
    <row r="940" customFormat="false" ht="13.2" hidden="false" customHeight="false" outlineLevel="0" collapsed="false">
      <c r="D940" s="6"/>
      <c r="E940" s="6"/>
      <c r="F940" s="6"/>
      <c r="G940" s="6"/>
      <c r="H940" s="6"/>
      <c r="I940" s="6"/>
      <c r="J940" s="6"/>
      <c r="K940" s="6"/>
      <c r="L940" s="6"/>
      <c r="M940" s="6"/>
    </row>
    <row r="941" customFormat="false" ht="13.2" hidden="false" customHeight="false" outlineLevel="0" collapsed="false">
      <c r="D941" s="6"/>
      <c r="E941" s="6"/>
      <c r="F941" s="6"/>
      <c r="G941" s="6"/>
      <c r="H941" s="6"/>
      <c r="I941" s="6"/>
      <c r="J941" s="6"/>
      <c r="K941" s="6"/>
      <c r="L941" s="6"/>
      <c r="M941" s="6"/>
    </row>
    <row r="942" customFormat="false" ht="13.2" hidden="false" customHeight="false" outlineLevel="0" collapsed="false">
      <c r="D942" s="6"/>
      <c r="E942" s="6"/>
      <c r="F942" s="6"/>
      <c r="G942" s="6"/>
      <c r="H942" s="6"/>
      <c r="I942" s="6"/>
      <c r="J942" s="6"/>
      <c r="K942" s="6"/>
      <c r="L942" s="6"/>
      <c r="M942" s="6"/>
    </row>
    <row r="943" customFormat="false" ht="13.2" hidden="false" customHeight="false" outlineLevel="0" collapsed="false">
      <c r="D943" s="6"/>
      <c r="E943" s="6"/>
      <c r="F943" s="6"/>
      <c r="G943" s="6"/>
      <c r="H943" s="6"/>
      <c r="I943" s="6"/>
      <c r="J943" s="6"/>
      <c r="K943" s="6"/>
      <c r="L943" s="6"/>
      <c r="M943" s="6"/>
    </row>
    <row r="944" customFormat="false" ht="13.2" hidden="false" customHeight="false" outlineLevel="0" collapsed="false">
      <c r="D944" s="6"/>
      <c r="E944" s="6"/>
      <c r="F944" s="6"/>
      <c r="G944" s="6"/>
      <c r="H944" s="6"/>
      <c r="I944" s="6"/>
      <c r="J944" s="6"/>
      <c r="K944" s="6"/>
      <c r="L944" s="6"/>
      <c r="M944" s="6"/>
    </row>
    <row r="945" customFormat="false" ht="13.2" hidden="false" customHeight="false" outlineLevel="0" collapsed="false">
      <c r="D945" s="6"/>
      <c r="E945" s="6"/>
      <c r="F945" s="6"/>
      <c r="G945" s="6"/>
      <c r="H945" s="6"/>
      <c r="I945" s="6"/>
      <c r="J945" s="6"/>
      <c r="K945" s="6"/>
      <c r="L945" s="6"/>
      <c r="M945" s="6"/>
    </row>
    <row r="946" customFormat="false" ht="13.2" hidden="false" customHeight="false" outlineLevel="0" collapsed="false">
      <c r="D946" s="6"/>
      <c r="E946" s="6"/>
      <c r="F946" s="6"/>
      <c r="G946" s="6"/>
      <c r="H946" s="6"/>
      <c r="I946" s="6"/>
      <c r="J946" s="6"/>
      <c r="K946" s="6"/>
      <c r="L946" s="6"/>
      <c r="M946" s="6"/>
    </row>
    <row r="947" customFormat="false" ht="13.2" hidden="false" customHeight="false" outlineLevel="0" collapsed="false">
      <c r="D947" s="6"/>
      <c r="E947" s="6"/>
      <c r="F947" s="6"/>
      <c r="G947" s="6"/>
      <c r="H947" s="6"/>
      <c r="I947" s="6"/>
      <c r="J947" s="6"/>
      <c r="K947" s="6"/>
      <c r="L947" s="6"/>
      <c r="M947" s="6"/>
    </row>
    <row r="948" customFormat="false" ht="13.2" hidden="false" customHeight="false" outlineLevel="0" collapsed="false">
      <c r="D948" s="6"/>
      <c r="E948" s="6"/>
      <c r="F948" s="6"/>
      <c r="G948" s="6"/>
      <c r="H948" s="6"/>
      <c r="I948" s="6"/>
      <c r="J948" s="6"/>
      <c r="K948" s="6"/>
      <c r="L948" s="6"/>
      <c r="M948" s="6"/>
    </row>
    <row r="949" customFormat="false" ht="13.2" hidden="false" customHeight="false" outlineLevel="0" collapsed="false">
      <c r="D949" s="6"/>
      <c r="E949" s="6"/>
      <c r="F949" s="6"/>
      <c r="G949" s="6"/>
      <c r="H949" s="6"/>
      <c r="I949" s="6"/>
      <c r="J949" s="6"/>
      <c r="K949" s="6"/>
      <c r="L949" s="6"/>
      <c r="M949" s="6"/>
    </row>
    <row r="950" customFormat="false" ht="13.2" hidden="false" customHeight="false" outlineLevel="0" collapsed="false">
      <c r="D950" s="6"/>
      <c r="E950" s="6"/>
      <c r="F950" s="6"/>
      <c r="G950" s="6"/>
      <c r="H950" s="6"/>
      <c r="I950" s="6"/>
      <c r="J950" s="6"/>
      <c r="K950" s="6"/>
      <c r="L950" s="6"/>
      <c r="M950" s="6"/>
    </row>
    <row r="951" customFormat="false" ht="13.2" hidden="false" customHeight="false" outlineLevel="0" collapsed="false">
      <c r="D951" s="6"/>
      <c r="E951" s="6"/>
      <c r="F951" s="6"/>
      <c r="G951" s="6"/>
      <c r="H951" s="6"/>
      <c r="I951" s="6"/>
      <c r="J951" s="6"/>
      <c r="K951" s="6"/>
      <c r="L951" s="6"/>
      <c r="M951" s="6"/>
    </row>
    <row r="952" customFormat="false" ht="13.2" hidden="false" customHeight="false" outlineLevel="0" collapsed="false">
      <c r="D952" s="6"/>
      <c r="E952" s="6"/>
      <c r="F952" s="6"/>
      <c r="G952" s="6"/>
      <c r="H952" s="6"/>
      <c r="I952" s="6"/>
      <c r="J952" s="6"/>
      <c r="K952" s="6"/>
      <c r="L952" s="6"/>
      <c r="M952" s="6"/>
    </row>
    <row r="953" customFormat="false" ht="13.2" hidden="false" customHeight="false" outlineLevel="0" collapsed="false">
      <c r="D953" s="6"/>
      <c r="E953" s="6"/>
      <c r="F953" s="6"/>
      <c r="G953" s="6"/>
      <c r="H953" s="6"/>
      <c r="I953" s="6"/>
      <c r="J953" s="6"/>
      <c r="K953" s="6"/>
      <c r="L953" s="6"/>
      <c r="M953" s="6"/>
    </row>
    <row r="954" customFormat="false" ht="13.2" hidden="false" customHeight="false" outlineLevel="0" collapsed="false">
      <c r="D954" s="6"/>
      <c r="E954" s="6"/>
      <c r="F954" s="6"/>
      <c r="G954" s="6"/>
      <c r="H954" s="6"/>
      <c r="I954" s="6"/>
      <c r="J954" s="6"/>
      <c r="K954" s="6"/>
      <c r="L954" s="6"/>
      <c r="M954" s="6"/>
    </row>
    <row r="955" customFormat="false" ht="13.2" hidden="false" customHeight="false" outlineLevel="0" collapsed="false">
      <c r="D955" s="6"/>
      <c r="E955" s="6"/>
      <c r="F955" s="6"/>
      <c r="G955" s="6"/>
      <c r="H955" s="6"/>
      <c r="I955" s="6"/>
      <c r="J955" s="6"/>
      <c r="K955" s="6"/>
      <c r="L955" s="6"/>
      <c r="M955" s="6"/>
    </row>
    <row r="956" customFormat="false" ht="13.2" hidden="false" customHeight="false" outlineLevel="0" collapsed="false">
      <c r="D956" s="6"/>
      <c r="E956" s="6"/>
      <c r="F956" s="6"/>
      <c r="G956" s="6"/>
      <c r="H956" s="6"/>
      <c r="I956" s="6"/>
      <c r="J956" s="6"/>
      <c r="K956" s="6"/>
      <c r="L956" s="6"/>
      <c r="M956" s="6"/>
    </row>
    <row r="957" customFormat="false" ht="13.2" hidden="false" customHeight="false" outlineLevel="0" collapsed="false">
      <c r="D957" s="6"/>
      <c r="E957" s="6"/>
      <c r="F957" s="6"/>
      <c r="G957" s="6"/>
      <c r="H957" s="6"/>
      <c r="I957" s="6"/>
      <c r="J957" s="6"/>
      <c r="K957" s="6"/>
      <c r="L957" s="6"/>
      <c r="M957" s="6"/>
    </row>
    <row r="958" customFormat="false" ht="13.2" hidden="false" customHeight="false" outlineLevel="0" collapsed="false">
      <c r="D958" s="6"/>
      <c r="E958" s="6"/>
      <c r="F958" s="6"/>
      <c r="G958" s="6"/>
      <c r="H958" s="6"/>
      <c r="I958" s="6"/>
      <c r="J958" s="6"/>
      <c r="K958" s="6"/>
      <c r="L958" s="6"/>
      <c r="M958" s="6"/>
    </row>
    <row r="959" customFormat="false" ht="13.2" hidden="false" customHeight="false" outlineLevel="0" collapsed="false">
      <c r="D959" s="6"/>
      <c r="E959" s="6"/>
      <c r="F959" s="6"/>
      <c r="G959" s="6"/>
      <c r="H959" s="6"/>
      <c r="I959" s="6"/>
      <c r="J959" s="6"/>
      <c r="K959" s="6"/>
      <c r="L959" s="6"/>
      <c r="M959" s="6"/>
    </row>
    <row r="960" customFormat="false" ht="13.2" hidden="false" customHeight="false" outlineLevel="0" collapsed="false">
      <c r="D960" s="6"/>
      <c r="E960" s="6"/>
      <c r="F960" s="6"/>
      <c r="G960" s="6"/>
      <c r="H960" s="6"/>
      <c r="I960" s="6"/>
      <c r="J960" s="6"/>
      <c r="K960" s="6"/>
      <c r="L960" s="6"/>
      <c r="M960" s="6"/>
    </row>
    <row r="961" customFormat="false" ht="13.2" hidden="false" customHeight="false" outlineLevel="0" collapsed="false">
      <c r="D961" s="6"/>
      <c r="E961" s="6"/>
      <c r="F961" s="6"/>
      <c r="G961" s="6"/>
      <c r="H961" s="6"/>
      <c r="I961" s="6"/>
      <c r="J961" s="6"/>
      <c r="K961" s="6"/>
      <c r="L961" s="6"/>
      <c r="M961" s="6"/>
    </row>
    <row r="962" customFormat="false" ht="13.2" hidden="false" customHeight="false" outlineLevel="0" collapsed="false">
      <c r="D962" s="6"/>
      <c r="E962" s="6"/>
      <c r="F962" s="6"/>
      <c r="G962" s="6"/>
      <c r="H962" s="6"/>
      <c r="I962" s="6"/>
      <c r="J962" s="6"/>
      <c r="K962" s="6"/>
      <c r="L962" s="6"/>
      <c r="M962" s="6"/>
    </row>
    <row r="963" customFormat="false" ht="13.2" hidden="false" customHeight="false" outlineLevel="0" collapsed="false"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customFormat="false" ht="13.2" hidden="false" customHeight="false" outlineLevel="0" collapsed="false">
      <c r="D964" s="6"/>
      <c r="E964" s="6"/>
      <c r="F964" s="6"/>
      <c r="G964" s="6"/>
      <c r="H964" s="6"/>
      <c r="I964" s="6"/>
      <c r="J964" s="6"/>
      <c r="K964" s="6"/>
      <c r="L964" s="6"/>
      <c r="M964" s="6"/>
    </row>
    <row r="965" customFormat="false" ht="13.2" hidden="false" customHeight="false" outlineLevel="0" collapsed="false">
      <c r="D965" s="6"/>
      <c r="E965" s="6"/>
      <c r="F965" s="6"/>
      <c r="G965" s="6"/>
      <c r="H965" s="6"/>
      <c r="I965" s="6"/>
      <c r="J965" s="6"/>
      <c r="K965" s="6"/>
      <c r="L965" s="6"/>
      <c r="M965" s="6"/>
    </row>
    <row r="966" customFormat="false" ht="13.2" hidden="false" customHeight="false" outlineLevel="0" collapsed="false">
      <c r="D966" s="6"/>
      <c r="E966" s="6"/>
      <c r="F966" s="6"/>
      <c r="G966" s="6"/>
      <c r="H966" s="6"/>
      <c r="I966" s="6"/>
      <c r="J966" s="6"/>
      <c r="K966" s="6"/>
      <c r="L966" s="6"/>
      <c r="M966" s="6"/>
    </row>
    <row r="967" customFormat="false" ht="13.2" hidden="false" customHeight="false" outlineLevel="0" collapsed="false">
      <c r="D967" s="6"/>
      <c r="E967" s="6"/>
      <c r="F967" s="6"/>
      <c r="G967" s="6"/>
      <c r="H967" s="6"/>
      <c r="I967" s="6"/>
      <c r="J967" s="6"/>
      <c r="K967" s="6"/>
      <c r="L967" s="6"/>
      <c r="M967" s="6"/>
    </row>
    <row r="968" customFormat="false" ht="13.2" hidden="false" customHeight="false" outlineLevel="0" collapsed="false">
      <c r="D968" s="6"/>
      <c r="E968" s="6"/>
      <c r="F968" s="6"/>
      <c r="G968" s="6"/>
      <c r="H968" s="6"/>
      <c r="I968" s="6"/>
      <c r="J968" s="6"/>
      <c r="K968" s="6"/>
      <c r="L968" s="6"/>
      <c r="M968" s="6"/>
    </row>
    <row r="969" customFormat="false" ht="13.2" hidden="false" customHeight="false" outlineLevel="0" collapsed="false">
      <c r="D969" s="6"/>
      <c r="E969" s="6"/>
      <c r="F969" s="6"/>
      <c r="G969" s="6"/>
      <c r="H969" s="6"/>
      <c r="I969" s="6"/>
      <c r="J969" s="6"/>
      <c r="K969" s="6"/>
      <c r="L969" s="6"/>
      <c r="M969" s="6"/>
    </row>
    <row r="970" customFormat="false" ht="13.2" hidden="false" customHeight="false" outlineLevel="0" collapsed="false">
      <c r="D970" s="6"/>
      <c r="E970" s="6"/>
      <c r="F970" s="6"/>
      <c r="G970" s="6"/>
      <c r="H970" s="6"/>
      <c r="I970" s="6"/>
      <c r="J970" s="6"/>
      <c r="K970" s="6"/>
      <c r="L970" s="6"/>
      <c r="M970" s="6"/>
    </row>
    <row r="971" customFormat="false" ht="13.2" hidden="false" customHeight="false" outlineLevel="0" collapsed="false">
      <c r="D971" s="6"/>
      <c r="E971" s="6"/>
      <c r="F971" s="6"/>
      <c r="G971" s="6"/>
      <c r="H971" s="6"/>
      <c r="I971" s="6"/>
      <c r="J971" s="6"/>
      <c r="K971" s="6"/>
      <c r="L971" s="6"/>
      <c r="M971" s="6"/>
    </row>
    <row r="972" customFormat="false" ht="13.2" hidden="false" customHeight="false" outlineLevel="0" collapsed="false">
      <c r="D972" s="6"/>
      <c r="E972" s="6"/>
      <c r="F972" s="6"/>
      <c r="G972" s="6"/>
      <c r="H972" s="6"/>
      <c r="I972" s="6"/>
      <c r="J972" s="6"/>
      <c r="K972" s="6"/>
      <c r="L972" s="6"/>
      <c r="M972" s="6"/>
    </row>
    <row r="973" customFormat="false" ht="13.2" hidden="false" customHeight="false" outlineLevel="0" collapsed="false">
      <c r="D973" s="6"/>
      <c r="E973" s="6"/>
      <c r="F973" s="6"/>
      <c r="G973" s="6"/>
      <c r="H973" s="6"/>
      <c r="I973" s="6"/>
      <c r="J973" s="6"/>
      <c r="K973" s="6"/>
      <c r="L973" s="6"/>
      <c r="M973" s="6"/>
    </row>
    <row r="974" customFormat="false" ht="13.2" hidden="false" customHeight="false" outlineLevel="0" collapsed="false">
      <c r="D974" s="6"/>
      <c r="E974" s="6"/>
      <c r="F974" s="6"/>
      <c r="G974" s="6"/>
      <c r="H974" s="6"/>
      <c r="I974" s="6"/>
      <c r="J974" s="6"/>
      <c r="K974" s="6"/>
      <c r="L974" s="6"/>
      <c r="M974" s="6"/>
    </row>
    <row r="975" customFormat="false" ht="13.2" hidden="false" customHeight="false" outlineLevel="0" collapsed="false">
      <c r="D975" s="6"/>
      <c r="E975" s="6"/>
      <c r="F975" s="6"/>
      <c r="G975" s="6"/>
      <c r="H975" s="6"/>
      <c r="I975" s="6"/>
      <c r="J975" s="6"/>
      <c r="K975" s="6"/>
      <c r="L975" s="6"/>
      <c r="M975" s="6"/>
    </row>
    <row r="976" customFormat="false" ht="13.2" hidden="false" customHeight="false" outlineLevel="0" collapsed="false">
      <c r="D976" s="6"/>
      <c r="E976" s="6"/>
      <c r="F976" s="6"/>
      <c r="G976" s="6"/>
      <c r="H976" s="6"/>
      <c r="I976" s="6"/>
      <c r="J976" s="6"/>
      <c r="K976" s="6"/>
      <c r="L976" s="6"/>
      <c r="M976" s="6"/>
    </row>
    <row r="977" customFormat="false" ht="13.2" hidden="false" customHeight="false" outlineLevel="0" collapsed="false">
      <c r="D977" s="6"/>
      <c r="E977" s="6"/>
      <c r="F977" s="6"/>
      <c r="G977" s="6"/>
      <c r="H977" s="6"/>
      <c r="I977" s="6"/>
      <c r="J977" s="6"/>
      <c r="K977" s="6"/>
      <c r="L977" s="6"/>
      <c r="M977" s="6"/>
    </row>
    <row r="978" customFormat="false" ht="13.2" hidden="false" customHeight="false" outlineLevel="0" collapsed="false">
      <c r="D978" s="6"/>
      <c r="E978" s="6"/>
      <c r="F978" s="6"/>
      <c r="G978" s="6"/>
      <c r="H978" s="6"/>
      <c r="I978" s="6"/>
      <c r="J978" s="6"/>
      <c r="K978" s="6"/>
      <c r="L978" s="6"/>
      <c r="M978" s="6"/>
    </row>
    <row r="979" customFormat="false" ht="13.2" hidden="false" customHeight="false" outlineLevel="0" collapsed="false">
      <c r="D979" s="6"/>
      <c r="E979" s="6"/>
      <c r="F979" s="6"/>
      <c r="G979" s="6"/>
      <c r="H979" s="6"/>
      <c r="I979" s="6"/>
      <c r="J979" s="6"/>
      <c r="K979" s="6"/>
      <c r="L979" s="6"/>
      <c r="M979" s="6"/>
    </row>
    <row r="980" customFormat="false" ht="13.2" hidden="false" customHeight="false" outlineLevel="0" collapsed="false">
      <c r="D980" s="6"/>
      <c r="E980" s="6"/>
      <c r="F980" s="6"/>
      <c r="G980" s="6"/>
      <c r="H980" s="6"/>
      <c r="I980" s="6"/>
      <c r="J980" s="6"/>
      <c r="K980" s="6"/>
      <c r="L980" s="6"/>
      <c r="M980" s="6"/>
    </row>
    <row r="981" customFormat="false" ht="13.2" hidden="false" customHeight="false" outlineLevel="0" collapsed="false">
      <c r="D981" s="6"/>
      <c r="E981" s="6"/>
      <c r="F981" s="6"/>
      <c r="G981" s="6"/>
      <c r="H981" s="6"/>
      <c r="I981" s="6"/>
      <c r="J981" s="6"/>
      <c r="K981" s="6"/>
      <c r="L981" s="6"/>
      <c r="M981" s="6"/>
    </row>
    <row r="982" customFormat="false" ht="13.2" hidden="false" customHeight="false" outlineLevel="0" collapsed="false">
      <c r="D982" s="6"/>
      <c r="E982" s="6"/>
      <c r="F982" s="6"/>
      <c r="G982" s="6"/>
      <c r="H982" s="6"/>
      <c r="I982" s="6"/>
      <c r="J982" s="6"/>
      <c r="K982" s="6"/>
      <c r="L982" s="6"/>
      <c r="M982" s="6"/>
    </row>
    <row r="983" customFormat="false" ht="13.2" hidden="false" customHeight="false" outlineLevel="0" collapsed="false">
      <c r="D983" s="6"/>
      <c r="E983" s="6"/>
      <c r="F983" s="6"/>
      <c r="G983" s="6"/>
      <c r="H983" s="6"/>
      <c r="I983" s="6"/>
      <c r="J983" s="6"/>
      <c r="K983" s="6"/>
      <c r="L983" s="6"/>
      <c r="M983" s="6"/>
    </row>
    <row r="984" customFormat="false" ht="13.2" hidden="false" customHeight="false" outlineLevel="0" collapsed="false">
      <c r="D984" s="6"/>
      <c r="E984" s="6"/>
      <c r="F984" s="6"/>
      <c r="G984" s="6"/>
      <c r="H984" s="6"/>
      <c r="I984" s="6"/>
      <c r="J984" s="6"/>
      <c r="K984" s="6"/>
      <c r="L984" s="6"/>
      <c r="M984" s="6"/>
    </row>
    <row r="985" customFormat="false" ht="13.2" hidden="false" customHeight="false" outlineLevel="0" collapsed="false">
      <c r="D985" s="6"/>
      <c r="E985" s="6"/>
      <c r="F985" s="6"/>
      <c r="G985" s="6"/>
      <c r="H985" s="6"/>
      <c r="I985" s="6"/>
      <c r="J985" s="6"/>
      <c r="K985" s="6"/>
      <c r="L985" s="6"/>
      <c r="M985" s="6"/>
    </row>
    <row r="986" customFormat="false" ht="13.2" hidden="false" customHeight="false" outlineLevel="0" collapsed="false">
      <c r="D986" s="6"/>
      <c r="E986" s="6"/>
      <c r="F986" s="6"/>
      <c r="G986" s="6"/>
      <c r="H986" s="6"/>
      <c r="I986" s="6"/>
      <c r="J986" s="6"/>
      <c r="K986" s="6"/>
      <c r="L986" s="6"/>
      <c r="M986" s="6"/>
    </row>
    <row r="987" customFormat="false" ht="13.2" hidden="false" customHeight="false" outlineLevel="0" collapsed="false">
      <c r="D987" s="6"/>
      <c r="E987" s="6"/>
      <c r="F987" s="6"/>
      <c r="G987" s="6"/>
      <c r="H987" s="6"/>
      <c r="I987" s="6"/>
      <c r="J987" s="6"/>
      <c r="K987" s="6"/>
      <c r="L987" s="6"/>
      <c r="M987" s="6"/>
    </row>
    <row r="988" customFormat="false" ht="13.2" hidden="false" customHeight="false" outlineLevel="0" collapsed="false">
      <c r="D988" s="6"/>
      <c r="E988" s="6"/>
      <c r="F988" s="6"/>
      <c r="G988" s="6"/>
      <c r="H988" s="6"/>
      <c r="I988" s="6"/>
      <c r="J988" s="6"/>
      <c r="K988" s="6"/>
      <c r="L988" s="6"/>
      <c r="M988" s="6"/>
    </row>
    <row r="989" customFormat="false" ht="13.2" hidden="false" customHeight="false" outlineLevel="0" collapsed="false">
      <c r="D989" s="6"/>
      <c r="E989" s="6"/>
      <c r="F989" s="6"/>
      <c r="G989" s="6"/>
      <c r="H989" s="6"/>
      <c r="I989" s="6"/>
      <c r="J989" s="6"/>
      <c r="K989" s="6"/>
      <c r="L989" s="6"/>
      <c r="M989" s="6"/>
    </row>
    <row r="990" customFormat="false" ht="13.2" hidden="false" customHeight="false" outlineLevel="0" collapsed="false">
      <c r="D990" s="6"/>
      <c r="E990" s="6"/>
      <c r="F990" s="6"/>
      <c r="G990" s="6"/>
      <c r="H990" s="6"/>
      <c r="I990" s="6"/>
      <c r="J990" s="6"/>
      <c r="K990" s="6"/>
      <c r="L990" s="6"/>
      <c r="M990" s="6"/>
    </row>
    <row r="991" customFormat="false" ht="13.2" hidden="false" customHeight="false" outlineLevel="0" collapsed="false">
      <c r="D991" s="6"/>
      <c r="E991" s="6"/>
      <c r="F991" s="6"/>
      <c r="G991" s="6"/>
      <c r="H991" s="6"/>
      <c r="I991" s="6"/>
      <c r="J991" s="6"/>
      <c r="K991" s="6"/>
      <c r="L991" s="6"/>
      <c r="M991" s="6"/>
    </row>
    <row r="992" customFormat="false" ht="13.2" hidden="false" customHeight="false" outlineLevel="0" collapsed="false">
      <c r="D992" s="6"/>
      <c r="E992" s="6"/>
      <c r="F992" s="6"/>
      <c r="G992" s="6"/>
      <c r="H992" s="6"/>
      <c r="I992" s="6"/>
      <c r="J992" s="6"/>
      <c r="K992" s="6"/>
      <c r="L992" s="6"/>
      <c r="M992" s="6"/>
    </row>
    <row r="993" customFormat="false" ht="13.2" hidden="false" customHeight="false" outlineLevel="0" collapsed="false">
      <c r="D993" s="6"/>
      <c r="E993" s="6"/>
      <c r="F993" s="6"/>
      <c r="G993" s="6"/>
      <c r="H993" s="6"/>
      <c r="I993" s="6"/>
      <c r="J993" s="6"/>
      <c r="K993" s="6"/>
      <c r="L993" s="6"/>
      <c r="M993" s="6"/>
    </row>
    <row r="994" customFormat="false" ht="13.2" hidden="false" customHeight="false" outlineLevel="0" collapsed="false">
      <c r="D994" s="6"/>
      <c r="E994" s="6"/>
      <c r="F994" s="6"/>
      <c r="G994" s="6"/>
      <c r="H994" s="6"/>
      <c r="I994" s="6"/>
      <c r="J994" s="6"/>
      <c r="K994" s="6"/>
      <c r="L994" s="6"/>
      <c r="M994" s="6"/>
    </row>
    <row r="995" customFormat="false" ht="13.2" hidden="false" customHeight="false" outlineLevel="0" collapsed="false">
      <c r="D995" s="6"/>
      <c r="E995" s="6"/>
      <c r="F995" s="6"/>
      <c r="G995" s="6"/>
      <c r="H995" s="6"/>
      <c r="I995" s="6"/>
      <c r="J995" s="6"/>
      <c r="K995" s="6"/>
      <c r="L995" s="6"/>
      <c r="M995" s="6"/>
    </row>
    <row r="996" customFormat="false" ht="13.2" hidden="false" customHeight="false" outlineLevel="0" collapsed="false">
      <c r="D996" s="6"/>
      <c r="E996" s="6"/>
      <c r="F996" s="6"/>
      <c r="G996" s="6"/>
      <c r="H996" s="6"/>
      <c r="I996" s="6"/>
      <c r="J996" s="6"/>
      <c r="K996" s="6"/>
      <c r="L996" s="6"/>
      <c r="M996" s="6"/>
    </row>
    <row r="997" customFormat="false" ht="13.2" hidden="false" customHeight="false" outlineLevel="0" collapsed="false">
      <c r="D997" s="6"/>
      <c r="E997" s="6"/>
      <c r="F997" s="6"/>
      <c r="G997" s="6"/>
      <c r="H997" s="6"/>
      <c r="I997" s="6"/>
      <c r="J997" s="6"/>
      <c r="K997" s="6"/>
      <c r="L997" s="6"/>
      <c r="M997" s="6"/>
    </row>
    <row r="998" customFormat="false" ht="13.2" hidden="false" customHeight="false" outlineLevel="0" collapsed="false">
      <c r="D998" s="6"/>
      <c r="E998" s="6"/>
      <c r="F998" s="6"/>
      <c r="G998" s="6"/>
      <c r="H998" s="6"/>
      <c r="I998" s="6"/>
      <c r="J998" s="6"/>
      <c r="K998" s="6"/>
      <c r="L998" s="6"/>
      <c r="M998" s="6"/>
    </row>
    <row r="999" customFormat="false" ht="13.2" hidden="false" customHeight="false" outlineLevel="0" collapsed="false">
      <c r="D999" s="6"/>
      <c r="E999" s="6"/>
      <c r="F999" s="6"/>
      <c r="G999" s="6"/>
      <c r="H999" s="6"/>
      <c r="I999" s="6"/>
      <c r="J999" s="6"/>
      <c r="K999" s="6"/>
      <c r="L999" s="6"/>
      <c r="M999" s="6"/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1023"/>
  <sheetViews>
    <sheetView showFormulas="false" showGridLines="fals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L32" activeCellId="0" sqref="L3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3" min="3" style="0" width="13.63"/>
    <col collapsed="false" customWidth="true" hidden="false" outlineLevel="0" max="9" min="9" style="0" width="19.25"/>
    <col collapsed="false" customWidth="true" hidden="false" outlineLevel="0" max="21" min="21" style="0" width="26"/>
    <col collapsed="false" customWidth="true" hidden="false" outlineLevel="0" max="22" min="22" style="0" width="23.5"/>
  </cols>
  <sheetData>
    <row r="1" customFormat="false" ht="15.75" hidden="false" customHeight="true" outlineLevel="0" collapsed="false">
      <c r="A1" s="20"/>
      <c r="B1" s="21" t="s">
        <v>32</v>
      </c>
      <c r="C1" s="2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customFormat="false" ht="15.75" hidden="false" customHeight="true" outlineLevel="0" collapsed="false">
      <c r="A2" s="20"/>
      <c r="B2" s="22" t="s">
        <v>33</v>
      </c>
      <c r="C2" s="23" t="n">
        <v>0.04</v>
      </c>
      <c r="D2" s="2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customFormat="false" ht="15.75" hidden="false" customHeight="true" outlineLevel="0" collapsed="false">
      <c r="A3" s="20"/>
      <c r="B3" s="25" t="s">
        <v>34</v>
      </c>
      <c r="C3" s="25" t="s">
        <v>35</v>
      </c>
      <c r="D3" s="25" t="s">
        <v>36</v>
      </c>
      <c r="E3" s="25" t="s">
        <v>37</v>
      </c>
      <c r="F3" s="25" t="s">
        <v>38</v>
      </c>
      <c r="G3" s="25" t="s">
        <v>39</v>
      </c>
      <c r="H3" s="25" t="s">
        <v>40</v>
      </c>
      <c r="I3" s="25" t="s">
        <v>41</v>
      </c>
      <c r="J3" s="25" t="s">
        <v>42</v>
      </c>
      <c r="K3" s="25" t="s">
        <v>43</v>
      </c>
      <c r="L3" s="25" t="s">
        <v>44</v>
      </c>
      <c r="M3" s="25" t="s">
        <v>45</v>
      </c>
      <c r="N3" s="25" t="s">
        <v>46</v>
      </c>
      <c r="O3" s="25" t="s">
        <v>47</v>
      </c>
      <c r="P3" s="25" t="s">
        <v>48</v>
      </c>
      <c r="Q3" s="25" t="s">
        <v>49</v>
      </c>
      <c r="R3" s="25" t="s">
        <v>50</v>
      </c>
      <c r="S3" s="25" t="s">
        <v>51</v>
      </c>
      <c r="T3" s="25" t="s">
        <v>52</v>
      </c>
      <c r="U3" s="25" t="s">
        <v>53</v>
      </c>
      <c r="V3" s="25" t="s">
        <v>15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customFormat="false" ht="15.75" hidden="false" customHeight="true" outlineLevel="0" collapsed="false">
      <c r="A4" s="1"/>
      <c r="B4" s="26" t="n">
        <v>2470</v>
      </c>
      <c r="C4" s="27" t="s">
        <v>16</v>
      </c>
      <c r="D4" s="27" t="s">
        <v>0</v>
      </c>
      <c r="E4" s="27" t="n">
        <v>1</v>
      </c>
      <c r="F4" s="27" t="s">
        <v>1</v>
      </c>
      <c r="G4" s="28" t="n">
        <v>45845</v>
      </c>
      <c r="H4" s="27" t="s">
        <v>6</v>
      </c>
      <c r="I4" s="27" t="s">
        <v>54</v>
      </c>
      <c r="J4" s="26" t="n">
        <v>1019</v>
      </c>
      <c r="K4" s="29" t="n">
        <v>180</v>
      </c>
      <c r="L4" s="29" t="n">
        <v>0</v>
      </c>
      <c r="M4" s="29" t="n">
        <f aca="false">K4-L4</f>
        <v>180</v>
      </c>
      <c r="N4" s="29" t="n">
        <f aca="false">M4*C2</f>
        <v>7.2</v>
      </c>
      <c r="O4" s="30" t="n">
        <f aca="false">M4*1.9%</f>
        <v>3.42</v>
      </c>
      <c r="P4" s="31" t="s">
        <v>7</v>
      </c>
      <c r="Q4" s="31" t="s">
        <v>55</v>
      </c>
      <c r="R4" s="31" t="n">
        <f aca="false">M4-N4-O4</f>
        <v>169.38</v>
      </c>
      <c r="S4" s="31" t="n">
        <f aca="false">R4/E4</f>
        <v>169.38</v>
      </c>
      <c r="T4" s="32" t="s">
        <v>56</v>
      </c>
      <c r="U4" s="31" t="n">
        <f aca="false">M4-O4</f>
        <v>176.58</v>
      </c>
      <c r="V4" s="26" t="s">
        <v>57</v>
      </c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customFormat="false" ht="15.75" hidden="false" customHeight="true" outlineLevel="0" collapsed="false">
      <c r="A5" s="1"/>
      <c r="B5" s="26" t="n">
        <v>2550</v>
      </c>
      <c r="C5" s="27" t="s">
        <v>58</v>
      </c>
      <c r="D5" s="27" t="s">
        <v>0</v>
      </c>
      <c r="E5" s="27" t="n">
        <v>2</v>
      </c>
      <c r="F5" s="27" t="s">
        <v>1</v>
      </c>
      <c r="G5" s="28" t="n">
        <v>45845</v>
      </c>
      <c r="H5" s="27" t="s">
        <v>6</v>
      </c>
      <c r="I5" s="27" t="s">
        <v>54</v>
      </c>
      <c r="J5" s="26" t="n">
        <v>1020</v>
      </c>
      <c r="K5" s="29" t="n">
        <v>120</v>
      </c>
      <c r="L5" s="29" t="n">
        <v>0</v>
      </c>
      <c r="M5" s="29" t="n">
        <f aca="false">K5-L5</f>
        <v>120</v>
      </c>
      <c r="N5" s="29" t="n">
        <f aca="false">M5*C2</f>
        <v>4.8</v>
      </c>
      <c r="O5" s="30" t="n">
        <v>0</v>
      </c>
      <c r="P5" s="31" t="s">
        <v>5</v>
      </c>
      <c r="Q5" s="31" t="s">
        <v>6</v>
      </c>
      <c r="R5" s="31" t="n">
        <f aca="false">M5-N5-O5</f>
        <v>115.2</v>
      </c>
      <c r="S5" s="31" t="n">
        <f aca="false">R5/E5</f>
        <v>57.6</v>
      </c>
      <c r="T5" s="32" t="s">
        <v>59</v>
      </c>
      <c r="U5" s="31" t="n">
        <f aca="false">M5-O5</f>
        <v>120</v>
      </c>
      <c r="V5" s="26" t="s">
        <v>60</v>
      </c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customFormat="false" ht="15.75" hidden="false" customHeight="true" outlineLevel="0" collapsed="false">
      <c r="A6" s="1"/>
      <c r="B6" s="26" t="n">
        <v>2470</v>
      </c>
      <c r="C6" s="27" t="s">
        <v>16</v>
      </c>
      <c r="D6" s="27" t="s">
        <v>0</v>
      </c>
      <c r="E6" s="27" t="n">
        <v>1</v>
      </c>
      <c r="F6" s="27" t="s">
        <v>1</v>
      </c>
      <c r="G6" s="28" t="n">
        <v>45845</v>
      </c>
      <c r="H6" s="27" t="s">
        <v>6</v>
      </c>
      <c r="I6" s="27" t="s">
        <v>54</v>
      </c>
      <c r="J6" s="26" t="n">
        <v>1021</v>
      </c>
      <c r="K6" s="29" t="n">
        <v>180</v>
      </c>
      <c r="L6" s="29" t="n">
        <v>80</v>
      </c>
      <c r="M6" s="29" t="n">
        <f aca="false">K6-L6</f>
        <v>100</v>
      </c>
      <c r="N6" s="29" t="n">
        <f aca="false">M6*C2</f>
        <v>4</v>
      </c>
      <c r="O6" s="30" t="n">
        <f aca="false">M6*1.9%</f>
        <v>1.9</v>
      </c>
      <c r="P6" s="31" t="s">
        <v>7</v>
      </c>
      <c r="Q6" s="31" t="s">
        <v>55</v>
      </c>
      <c r="R6" s="31" t="n">
        <f aca="false">M6-N6-O6</f>
        <v>94.1</v>
      </c>
      <c r="S6" s="31" t="n">
        <f aca="false">R6/E6</f>
        <v>94.1</v>
      </c>
      <c r="T6" s="32" t="s">
        <v>59</v>
      </c>
      <c r="U6" s="31" t="n">
        <f aca="false">M6-O6</f>
        <v>98.1</v>
      </c>
      <c r="V6" s="26" t="s">
        <v>61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customFormat="false" ht="15.75" hidden="false" customHeight="true" outlineLevel="0" collapsed="false">
      <c r="A7" s="1"/>
      <c r="B7" s="26" t="n">
        <v>2470</v>
      </c>
      <c r="C7" s="27" t="s">
        <v>16</v>
      </c>
      <c r="D7" s="27" t="s">
        <v>0</v>
      </c>
      <c r="E7" s="27" t="n">
        <v>1</v>
      </c>
      <c r="F7" s="27" t="s">
        <v>1</v>
      </c>
      <c r="G7" s="28" t="n">
        <v>45845</v>
      </c>
      <c r="H7" s="27" t="s">
        <v>6</v>
      </c>
      <c r="I7" s="27" t="s">
        <v>54</v>
      </c>
      <c r="J7" s="26" t="n">
        <v>1022</v>
      </c>
      <c r="K7" s="29" t="n">
        <v>180</v>
      </c>
      <c r="L7" s="29" t="n">
        <v>80</v>
      </c>
      <c r="M7" s="29" t="n">
        <f aca="false">K7-L7</f>
        <v>100</v>
      </c>
      <c r="N7" s="29" t="n">
        <f aca="false">M7*C2</f>
        <v>4</v>
      </c>
      <c r="O7" s="30" t="n">
        <f aca="false">M7*1.9%</f>
        <v>1.9</v>
      </c>
      <c r="P7" s="31" t="s">
        <v>7</v>
      </c>
      <c r="Q7" s="31" t="s">
        <v>62</v>
      </c>
      <c r="R7" s="31" t="n">
        <f aca="false">M7-N7-O7</f>
        <v>94.1</v>
      </c>
      <c r="S7" s="31" t="n">
        <f aca="false">R7/E7</f>
        <v>94.1</v>
      </c>
      <c r="T7" s="32" t="s">
        <v>59</v>
      </c>
      <c r="U7" s="31" t="n">
        <f aca="false">M7-O7</f>
        <v>98.1</v>
      </c>
      <c r="V7" s="26" t="s">
        <v>61</v>
      </c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customFormat="false" ht="15.75" hidden="false" customHeight="true" outlineLevel="0" collapsed="false">
      <c r="A8" s="1"/>
      <c r="B8" s="26" t="n">
        <v>2470</v>
      </c>
      <c r="C8" s="27" t="s">
        <v>16</v>
      </c>
      <c r="D8" s="27" t="s">
        <v>0</v>
      </c>
      <c r="E8" s="27" t="n">
        <v>1</v>
      </c>
      <c r="F8" s="27" t="s">
        <v>1</v>
      </c>
      <c r="G8" s="28" t="n">
        <v>45845</v>
      </c>
      <c r="H8" s="27" t="s">
        <v>6</v>
      </c>
      <c r="I8" s="27" t="s">
        <v>54</v>
      </c>
      <c r="J8" s="26" t="n">
        <v>1023</v>
      </c>
      <c r="K8" s="29" t="n">
        <v>180</v>
      </c>
      <c r="L8" s="29" t="n">
        <v>80</v>
      </c>
      <c r="M8" s="29" t="n">
        <f aca="false">K8-L8</f>
        <v>100</v>
      </c>
      <c r="N8" s="29" t="n">
        <f aca="false">M8*C2</f>
        <v>4</v>
      </c>
      <c r="O8" s="30" t="n">
        <v>0</v>
      </c>
      <c r="P8" s="31" t="s">
        <v>5</v>
      </c>
      <c r="Q8" s="31" t="s">
        <v>6</v>
      </c>
      <c r="R8" s="31" t="n">
        <f aca="false">M8-N8-O8</f>
        <v>96</v>
      </c>
      <c r="S8" s="31" t="n">
        <f aca="false">R8/E8</f>
        <v>96</v>
      </c>
      <c r="T8" s="32" t="s">
        <v>59</v>
      </c>
      <c r="U8" s="31" t="n">
        <f aca="false">M8-O8</f>
        <v>100</v>
      </c>
      <c r="V8" s="26" t="s">
        <v>61</v>
      </c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customFormat="false" ht="15.75" hidden="false" customHeight="true" outlineLevel="0" collapsed="false">
      <c r="A9" s="1"/>
      <c r="B9" s="26" t="n">
        <v>2470</v>
      </c>
      <c r="C9" s="27" t="s">
        <v>16</v>
      </c>
      <c r="D9" s="27" t="s">
        <v>0</v>
      </c>
      <c r="E9" s="27" t="n">
        <v>1</v>
      </c>
      <c r="F9" s="27" t="s">
        <v>1</v>
      </c>
      <c r="G9" s="28" t="n">
        <v>45845</v>
      </c>
      <c r="H9" s="27" t="s">
        <v>6</v>
      </c>
      <c r="I9" s="27" t="s">
        <v>54</v>
      </c>
      <c r="J9" s="26" t="n">
        <v>1024</v>
      </c>
      <c r="K9" s="29" t="n">
        <v>180</v>
      </c>
      <c r="L9" s="29" t="n">
        <v>0</v>
      </c>
      <c r="M9" s="29" t="n">
        <f aca="false">K9-L9</f>
        <v>180</v>
      </c>
      <c r="N9" s="29" t="n">
        <f aca="false">M9*C2</f>
        <v>7.2</v>
      </c>
      <c r="O9" s="30" t="n">
        <v>0</v>
      </c>
      <c r="P9" s="31" t="s">
        <v>5</v>
      </c>
      <c r="Q9" s="31" t="s">
        <v>6</v>
      </c>
      <c r="R9" s="31" t="n">
        <f aca="false">M9-N9-O9</f>
        <v>172.8</v>
      </c>
      <c r="S9" s="31" t="n">
        <f aca="false">R9/E9</f>
        <v>172.8</v>
      </c>
      <c r="T9" s="32" t="s">
        <v>59</v>
      </c>
      <c r="U9" s="31" t="n">
        <f aca="false">M9-O9</f>
        <v>180</v>
      </c>
      <c r="V9" s="26" t="s">
        <v>61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customFormat="false" ht="15.75" hidden="false" customHeight="true" outlineLevel="0" collapsed="false">
      <c r="A10" s="1"/>
      <c r="B10" s="26" t="n">
        <v>2470</v>
      </c>
      <c r="C10" s="27" t="s">
        <v>16</v>
      </c>
      <c r="D10" s="27" t="s">
        <v>0</v>
      </c>
      <c r="E10" s="27" t="n">
        <v>1</v>
      </c>
      <c r="F10" s="27" t="s">
        <v>1</v>
      </c>
      <c r="G10" s="28" t="n">
        <v>45845</v>
      </c>
      <c r="H10" s="27" t="s">
        <v>6</v>
      </c>
      <c r="I10" s="27" t="s">
        <v>54</v>
      </c>
      <c r="J10" s="26" t="n">
        <v>1024</v>
      </c>
      <c r="K10" s="29" t="n">
        <v>180</v>
      </c>
      <c r="L10" s="29" t="n">
        <v>80</v>
      </c>
      <c r="M10" s="29" t="n">
        <f aca="false">K10-L10</f>
        <v>100</v>
      </c>
      <c r="N10" s="29" t="n">
        <f aca="false">M10*C2</f>
        <v>4</v>
      </c>
      <c r="O10" s="30" t="n">
        <v>0</v>
      </c>
      <c r="P10" s="31" t="s">
        <v>5</v>
      </c>
      <c r="Q10" s="31" t="s">
        <v>6</v>
      </c>
      <c r="R10" s="31" t="n">
        <f aca="false">M10-N10-O10</f>
        <v>96</v>
      </c>
      <c r="S10" s="31" t="n">
        <f aca="false">R10/E10</f>
        <v>96</v>
      </c>
      <c r="T10" s="32" t="s">
        <v>59</v>
      </c>
      <c r="U10" s="31" t="n">
        <f aca="false">M10-O10</f>
        <v>100</v>
      </c>
      <c r="V10" s="26" t="s">
        <v>61</v>
      </c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customFormat="false" ht="15.75" hidden="false" customHeight="true" outlineLevel="0" collapsed="false">
      <c r="A11" s="1"/>
      <c r="B11" s="26" t="n">
        <v>2470</v>
      </c>
      <c r="C11" s="27" t="s">
        <v>16</v>
      </c>
      <c r="D11" s="27" t="s">
        <v>0</v>
      </c>
      <c r="E11" s="27" t="n">
        <v>1</v>
      </c>
      <c r="F11" s="27" t="s">
        <v>1</v>
      </c>
      <c r="G11" s="28" t="n">
        <v>45846</v>
      </c>
      <c r="H11" s="27" t="s">
        <v>6</v>
      </c>
      <c r="I11" s="27" t="s">
        <v>54</v>
      </c>
      <c r="J11" s="26" t="n">
        <v>1025</v>
      </c>
      <c r="K11" s="29" t="n">
        <v>180</v>
      </c>
      <c r="L11" s="29" t="n">
        <v>0</v>
      </c>
      <c r="M11" s="29" t="n">
        <f aca="false">K11-L11</f>
        <v>180</v>
      </c>
      <c r="N11" s="29" t="n">
        <f aca="false">M11*C2</f>
        <v>7.2</v>
      </c>
      <c r="O11" s="30" t="n">
        <v>0</v>
      </c>
      <c r="P11" s="31" t="s">
        <v>5</v>
      </c>
      <c r="Q11" s="31" t="s">
        <v>6</v>
      </c>
      <c r="R11" s="31" t="n">
        <f aca="false">M11-N11-O11</f>
        <v>172.8</v>
      </c>
      <c r="S11" s="31" t="n">
        <f aca="false">R11/E11</f>
        <v>172.8</v>
      </c>
      <c r="T11" s="32" t="s">
        <v>59</v>
      </c>
      <c r="U11" s="31" t="n">
        <f aca="false">M11-O11</f>
        <v>180</v>
      </c>
      <c r="V11" s="26" t="s">
        <v>63</v>
      </c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customFormat="false" ht="15.75" hidden="false" customHeight="true" outlineLevel="0" collapsed="false">
      <c r="A12" s="1"/>
      <c r="B12" s="26" t="n">
        <v>2470</v>
      </c>
      <c r="C12" s="27" t="s">
        <v>16</v>
      </c>
      <c r="D12" s="27" t="s">
        <v>0</v>
      </c>
      <c r="E12" s="27" t="n">
        <v>1</v>
      </c>
      <c r="F12" s="27" t="s">
        <v>1</v>
      </c>
      <c r="G12" s="28" t="n">
        <v>45846</v>
      </c>
      <c r="H12" s="27" t="s">
        <v>6</v>
      </c>
      <c r="I12" s="27" t="s">
        <v>54</v>
      </c>
      <c r="J12" s="26" t="n">
        <v>1026</v>
      </c>
      <c r="K12" s="29" t="n">
        <v>180</v>
      </c>
      <c r="L12" s="29" t="n">
        <v>0</v>
      </c>
      <c r="M12" s="29" t="n">
        <f aca="false">K12-L12</f>
        <v>180</v>
      </c>
      <c r="N12" s="29" t="n">
        <f aca="false">M12*C2</f>
        <v>7.2</v>
      </c>
      <c r="O12" s="30" t="n">
        <f aca="false">M12*1.9%</f>
        <v>3.42</v>
      </c>
      <c r="P12" s="31" t="s">
        <v>7</v>
      </c>
      <c r="Q12" s="31" t="s">
        <v>55</v>
      </c>
      <c r="R12" s="31" t="n">
        <f aca="false">M12-N12-O12</f>
        <v>169.38</v>
      </c>
      <c r="S12" s="31" t="n">
        <f aca="false">R12/E12</f>
        <v>169.38</v>
      </c>
      <c r="T12" s="32" t="s">
        <v>59</v>
      </c>
      <c r="U12" s="31" t="n">
        <f aca="false">M12-O12</f>
        <v>176.58</v>
      </c>
      <c r="V12" s="26" t="s">
        <v>63</v>
      </c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customFormat="false" ht="15.75" hidden="false" customHeight="true" outlineLevel="0" collapsed="false">
      <c r="A13" s="1"/>
      <c r="B13" s="26" t="n">
        <v>2550</v>
      </c>
      <c r="C13" s="27" t="s">
        <v>58</v>
      </c>
      <c r="D13" s="27" t="s">
        <v>0</v>
      </c>
      <c r="E13" s="27" t="n">
        <v>1</v>
      </c>
      <c r="F13" s="27" t="s">
        <v>1</v>
      </c>
      <c r="G13" s="28" t="n">
        <v>45846</v>
      </c>
      <c r="H13" s="27" t="s">
        <v>64</v>
      </c>
      <c r="I13" s="27" t="s">
        <v>54</v>
      </c>
      <c r="J13" s="26" t="n">
        <v>1027</v>
      </c>
      <c r="K13" s="29" t="n">
        <v>60</v>
      </c>
      <c r="L13" s="29" t="n">
        <v>0</v>
      </c>
      <c r="M13" s="29" t="n">
        <f aca="false">K13-L13</f>
        <v>60</v>
      </c>
      <c r="N13" s="29" t="n">
        <f aca="false">M13*C2</f>
        <v>2.4</v>
      </c>
      <c r="O13" s="30" t="n">
        <v>0</v>
      </c>
      <c r="P13" s="31" t="s">
        <v>5</v>
      </c>
      <c r="Q13" s="31" t="s">
        <v>6</v>
      </c>
      <c r="R13" s="31" t="n">
        <f aca="false">M13-N13-O13</f>
        <v>57.6</v>
      </c>
      <c r="S13" s="31" t="n">
        <v>0</v>
      </c>
      <c r="T13" s="32" t="s">
        <v>59</v>
      </c>
      <c r="U13" s="31" t="n">
        <f aca="false">M13-O13</f>
        <v>60</v>
      </c>
      <c r="V13" s="26" t="s">
        <v>65</v>
      </c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customFormat="false" ht="15.75" hidden="false" customHeight="true" outlineLevel="0" collapsed="false">
      <c r="A14" s="1"/>
      <c r="B14" s="33" t="n">
        <v>3008</v>
      </c>
      <c r="C14" s="34" t="s">
        <v>28</v>
      </c>
      <c r="D14" s="34" t="s">
        <v>0</v>
      </c>
      <c r="E14" s="34" t="n">
        <v>1</v>
      </c>
      <c r="F14" s="34" t="s">
        <v>1</v>
      </c>
      <c r="G14" s="35" t="n">
        <v>45846</v>
      </c>
      <c r="H14" s="34" t="s">
        <v>64</v>
      </c>
      <c r="I14" s="34" t="s">
        <v>54</v>
      </c>
      <c r="J14" s="33" t="n">
        <v>1028</v>
      </c>
      <c r="K14" s="36" t="n">
        <v>215</v>
      </c>
      <c r="L14" s="36" t="n">
        <v>43</v>
      </c>
      <c r="M14" s="36" t="n">
        <f aca="false">K14-L14</f>
        <v>172</v>
      </c>
      <c r="N14" s="36" t="n">
        <f aca="false">M14*C2</f>
        <v>6.88</v>
      </c>
      <c r="O14" s="37" t="n">
        <f aca="false">M14*2.71%</f>
        <v>4.6612</v>
      </c>
      <c r="P14" s="38" t="s">
        <v>9</v>
      </c>
      <c r="Q14" s="38" t="s">
        <v>62</v>
      </c>
      <c r="R14" s="38" t="n">
        <f aca="false">M14-N14-O14</f>
        <v>160.4588</v>
      </c>
      <c r="S14" s="38" t="n">
        <f aca="false">R14/E14</f>
        <v>160.4588</v>
      </c>
      <c r="T14" s="39" t="s">
        <v>66</v>
      </c>
      <c r="U14" s="38" t="n">
        <f aca="false">M14-O14</f>
        <v>167.3388</v>
      </c>
      <c r="V14" s="33" t="s">
        <v>67</v>
      </c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customFormat="false" ht="15.75" hidden="false" customHeight="true" outlineLevel="0" collapsed="false">
      <c r="A15" s="1"/>
      <c r="B15" s="33" t="n">
        <v>2470</v>
      </c>
      <c r="C15" s="34" t="s">
        <v>16</v>
      </c>
      <c r="D15" s="34" t="s">
        <v>0</v>
      </c>
      <c r="E15" s="34" t="n">
        <v>1</v>
      </c>
      <c r="F15" s="34" t="s">
        <v>1</v>
      </c>
      <c r="G15" s="35" t="n">
        <v>45846</v>
      </c>
      <c r="H15" s="34" t="s">
        <v>64</v>
      </c>
      <c r="I15" s="34" t="s">
        <v>54</v>
      </c>
      <c r="J15" s="33" t="n">
        <v>1029</v>
      </c>
      <c r="K15" s="36" t="n">
        <v>180</v>
      </c>
      <c r="L15" s="36" t="n">
        <v>0</v>
      </c>
      <c r="M15" s="36" t="n">
        <f aca="false">K15-L15</f>
        <v>180</v>
      </c>
      <c r="N15" s="36" t="n">
        <f aca="false">M15*C2</f>
        <v>7.2</v>
      </c>
      <c r="O15" s="37" t="n">
        <f aca="false">M15*0.75%</f>
        <v>1.35</v>
      </c>
      <c r="P15" s="38" t="s">
        <v>5</v>
      </c>
      <c r="Q15" s="38" t="s">
        <v>6</v>
      </c>
      <c r="R15" s="38" t="n">
        <f aca="false">M15-N15-O15</f>
        <v>171.45</v>
      </c>
      <c r="S15" s="38" t="n">
        <f aca="false">R15/E15</f>
        <v>171.45</v>
      </c>
      <c r="T15" s="40" t="s">
        <v>56</v>
      </c>
      <c r="U15" s="41" t="n">
        <f aca="false">M15-O15</f>
        <v>178.65</v>
      </c>
      <c r="V15" s="33" t="s">
        <v>67</v>
      </c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customFormat="false" ht="15.75" hidden="false" customHeight="true" outlineLevel="0" collapsed="false">
      <c r="A16" s="1"/>
      <c r="B16" s="33" t="n">
        <v>2470</v>
      </c>
      <c r="C16" s="34" t="s">
        <v>16</v>
      </c>
      <c r="D16" s="34" t="s">
        <v>0</v>
      </c>
      <c r="E16" s="34" t="n">
        <v>3</v>
      </c>
      <c r="F16" s="34" t="s">
        <v>1</v>
      </c>
      <c r="G16" s="35" t="n">
        <v>45847</v>
      </c>
      <c r="H16" s="34" t="s">
        <v>68</v>
      </c>
      <c r="I16" s="34" t="s">
        <v>54</v>
      </c>
      <c r="J16" s="33" t="n">
        <v>1030</v>
      </c>
      <c r="K16" s="36" t="n">
        <v>540</v>
      </c>
      <c r="L16" s="36" t="n">
        <v>108</v>
      </c>
      <c r="M16" s="36" t="n">
        <f aca="false">K16-L16</f>
        <v>432</v>
      </c>
      <c r="N16" s="36" t="n">
        <f aca="false">M16*C2</f>
        <v>17.28</v>
      </c>
      <c r="O16" s="37" t="n">
        <f aca="false">M16*2.9%</f>
        <v>12.528</v>
      </c>
      <c r="P16" s="38" t="s">
        <v>69</v>
      </c>
      <c r="Q16" s="38" t="s">
        <v>55</v>
      </c>
      <c r="R16" s="38" t="n">
        <f aca="false">M16-N16-O16</f>
        <v>402.192</v>
      </c>
      <c r="S16" s="42" t="n">
        <f aca="false">R16/E16</f>
        <v>134.064</v>
      </c>
      <c r="T16" s="43" t="s">
        <v>66</v>
      </c>
      <c r="U16" s="44" t="n">
        <f aca="false">M16/4-O16/4</f>
        <v>104.868</v>
      </c>
      <c r="V16" s="45" t="s">
        <v>67</v>
      </c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customFormat="false" ht="15.75" hidden="false" customHeight="true" outlineLevel="0" collapsed="false">
      <c r="A17" s="1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42"/>
      <c r="T17" s="40" t="s">
        <v>70</v>
      </c>
      <c r="U17" s="41" t="n">
        <f aca="false">U16</f>
        <v>104.868</v>
      </c>
      <c r="V17" s="4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customFormat="false" ht="15.75" hidden="false" customHeight="true" outlineLevel="0" collapsed="false">
      <c r="A18" s="1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42"/>
      <c r="T18" s="40" t="s">
        <v>71</v>
      </c>
      <c r="U18" s="41" t="n">
        <f aca="false">U17</f>
        <v>104.868</v>
      </c>
      <c r="V18" s="4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customFormat="false" ht="15.75" hidden="false" customHeight="true" outlineLevel="0" collapsed="false">
      <c r="A19" s="1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42"/>
      <c r="T19" s="39" t="s">
        <v>72</v>
      </c>
      <c r="U19" s="38" t="n">
        <f aca="false">U18</f>
        <v>104.868</v>
      </c>
      <c r="V19" s="4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customFormat="false" ht="15.75" hidden="false" customHeight="true" outlineLevel="0" collapsed="false">
      <c r="A20" s="1"/>
      <c r="B20" s="33" t="n">
        <v>2550</v>
      </c>
      <c r="C20" s="34" t="s">
        <v>58</v>
      </c>
      <c r="D20" s="34" t="s">
        <v>0</v>
      </c>
      <c r="E20" s="34" t="n">
        <v>1</v>
      </c>
      <c r="F20" s="34" t="s">
        <v>1</v>
      </c>
      <c r="G20" s="35" t="n">
        <v>45847</v>
      </c>
      <c r="H20" s="34" t="s">
        <v>68</v>
      </c>
      <c r="I20" s="34" t="s">
        <v>54</v>
      </c>
      <c r="J20" s="33" t="n">
        <v>1030</v>
      </c>
      <c r="K20" s="36" t="n">
        <v>60</v>
      </c>
      <c r="L20" s="36" t="n">
        <v>12</v>
      </c>
      <c r="M20" s="36" t="n">
        <f aca="false">K20-L20</f>
        <v>48</v>
      </c>
      <c r="N20" s="36" t="n">
        <f aca="false">M20*C2</f>
        <v>1.92</v>
      </c>
      <c r="O20" s="37" t="n">
        <f aca="false">M20*2.9%</f>
        <v>1.392</v>
      </c>
      <c r="P20" s="38" t="s">
        <v>69</v>
      </c>
      <c r="Q20" s="38" t="s">
        <v>55</v>
      </c>
      <c r="R20" s="38" t="n">
        <f aca="false">M20-N20-O20</f>
        <v>44.688</v>
      </c>
      <c r="S20" s="42" t="n">
        <f aca="false">R20/E20</f>
        <v>44.688</v>
      </c>
      <c r="T20" s="43" t="s">
        <v>66</v>
      </c>
      <c r="U20" s="44" t="n">
        <f aca="false">M20/4-O20/4</f>
        <v>11.652</v>
      </c>
      <c r="V20" s="45" t="s">
        <v>67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customFormat="false" ht="15.75" hidden="false" customHeight="true" outlineLevel="0" collapsed="false">
      <c r="A21" s="1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42"/>
      <c r="T21" s="40" t="s">
        <v>70</v>
      </c>
      <c r="U21" s="41" t="n">
        <f aca="false">U20</f>
        <v>11.652</v>
      </c>
      <c r="V21" s="4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customFormat="false" ht="15.75" hidden="false" customHeight="true" outlineLevel="0" collapsed="false">
      <c r="A22" s="1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42"/>
      <c r="T22" s="40" t="s">
        <v>71</v>
      </c>
      <c r="U22" s="41" t="n">
        <f aca="false">U21</f>
        <v>11.652</v>
      </c>
      <c r="V22" s="4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customFormat="false" ht="15.75" hidden="false" customHeight="true" outlineLevel="0" collapsed="false">
      <c r="A23" s="1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42"/>
      <c r="T23" s="39" t="s">
        <v>72</v>
      </c>
      <c r="U23" s="38" t="n">
        <f aca="false">U22</f>
        <v>11.652</v>
      </c>
      <c r="V23" s="4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customFormat="false" ht="15.75" hidden="false" customHeight="true" outlineLevel="0" collapsed="false">
      <c r="A24" s="1"/>
      <c r="B24" s="33" t="n">
        <v>3010</v>
      </c>
      <c r="C24" s="34" t="s">
        <v>30</v>
      </c>
      <c r="D24" s="34" t="s">
        <v>0</v>
      </c>
      <c r="E24" s="34" t="n">
        <v>1</v>
      </c>
      <c r="F24" s="34" t="s">
        <v>1</v>
      </c>
      <c r="G24" s="35" t="n">
        <v>45847</v>
      </c>
      <c r="H24" s="34" t="s">
        <v>68</v>
      </c>
      <c r="I24" s="34" t="s">
        <v>54</v>
      </c>
      <c r="J24" s="33" t="n">
        <v>1031</v>
      </c>
      <c r="K24" s="36" t="n">
        <v>250</v>
      </c>
      <c r="L24" s="36" t="n">
        <v>0</v>
      </c>
      <c r="M24" s="36" t="n">
        <f aca="false">K24-L24</f>
        <v>250</v>
      </c>
      <c r="N24" s="36" t="n">
        <f aca="false">M24*C2</f>
        <v>10</v>
      </c>
      <c r="O24" s="37" t="n">
        <f aca="false">M24*2.9%</f>
        <v>7.25</v>
      </c>
      <c r="P24" s="38" t="s">
        <v>10</v>
      </c>
      <c r="Q24" s="38" t="s">
        <v>62</v>
      </c>
      <c r="R24" s="42" t="n">
        <f aca="false">M24-N24-O24</f>
        <v>232.75</v>
      </c>
      <c r="S24" s="44" t="n">
        <f aca="false">M24/E20</f>
        <v>250</v>
      </c>
      <c r="T24" s="46" t="s">
        <v>66</v>
      </c>
      <c r="U24" s="44" t="n">
        <f aca="false">M24/2-O24/2</f>
        <v>121.375</v>
      </c>
      <c r="V24" s="45" t="s">
        <v>67</v>
      </c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customFormat="false" ht="15.75" hidden="false" customHeight="true" outlineLevel="0" collapsed="false">
      <c r="A25" s="1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42"/>
      <c r="S25" s="44"/>
      <c r="T25" s="47" t="s">
        <v>70</v>
      </c>
      <c r="U25" s="41" t="n">
        <f aca="false">U24</f>
        <v>121.375</v>
      </c>
      <c r="V25" s="4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customFormat="false" ht="15.75" hidden="false" customHeight="true" outlineLevel="0" collapsed="false">
      <c r="A26" s="1"/>
      <c r="B26" s="33" t="n">
        <v>3008</v>
      </c>
      <c r="C26" s="34" t="s">
        <v>28</v>
      </c>
      <c r="D26" s="34" t="s">
        <v>0</v>
      </c>
      <c r="E26" s="34" t="n">
        <v>1</v>
      </c>
      <c r="F26" s="34" t="s">
        <v>1</v>
      </c>
      <c r="G26" s="35" t="n">
        <v>45847</v>
      </c>
      <c r="H26" s="34" t="s">
        <v>68</v>
      </c>
      <c r="I26" s="34" t="s">
        <v>54</v>
      </c>
      <c r="J26" s="33" t="n">
        <v>1031</v>
      </c>
      <c r="K26" s="36" t="n">
        <v>215</v>
      </c>
      <c r="L26" s="36" t="n">
        <v>0</v>
      </c>
      <c r="M26" s="36" t="n">
        <f aca="false">K26-L26</f>
        <v>215</v>
      </c>
      <c r="N26" s="36" t="n">
        <f aca="false">M26*C2</f>
        <v>8.6</v>
      </c>
      <c r="O26" s="37" t="n">
        <f aca="false">M26*2.9%</f>
        <v>6.235</v>
      </c>
      <c r="P26" s="38" t="s">
        <v>10</v>
      </c>
      <c r="Q26" s="38" t="s">
        <v>62</v>
      </c>
      <c r="R26" s="42" t="n">
        <f aca="false">M26-N26-O26</f>
        <v>200.165</v>
      </c>
      <c r="S26" s="44" t="n">
        <f aca="false">M26/E26</f>
        <v>215</v>
      </c>
      <c r="T26" s="46" t="s">
        <v>66</v>
      </c>
      <c r="U26" s="44" t="n">
        <f aca="false">M26/2-O26/2</f>
        <v>104.3825</v>
      </c>
      <c r="V26" s="45" t="s">
        <v>67</v>
      </c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customFormat="false" ht="15.75" hidden="false" customHeight="true" outlineLevel="0" collapsed="false">
      <c r="A27" s="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42"/>
      <c r="S27" s="44"/>
      <c r="T27" s="47" t="s">
        <v>70</v>
      </c>
      <c r="U27" s="41" t="n">
        <f aca="false">U26</f>
        <v>104.3825</v>
      </c>
      <c r="V27" s="4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customFormat="false" ht="15.75" hidden="false" customHeight="true" outlineLevel="0" collapsed="false">
      <c r="A28" s="1"/>
      <c r="B28" s="33" t="n">
        <v>3007</v>
      </c>
      <c r="C28" s="34" t="s">
        <v>27</v>
      </c>
      <c r="D28" s="34" t="s">
        <v>0</v>
      </c>
      <c r="E28" s="34" t="n">
        <v>1</v>
      </c>
      <c r="F28" s="34" t="s">
        <v>1</v>
      </c>
      <c r="G28" s="35" t="n">
        <v>45847</v>
      </c>
      <c r="H28" s="34" t="s">
        <v>68</v>
      </c>
      <c r="I28" s="34" t="s">
        <v>54</v>
      </c>
      <c r="J28" s="33" t="n">
        <v>1031</v>
      </c>
      <c r="K28" s="36" t="n">
        <v>200</v>
      </c>
      <c r="L28" s="36" t="n">
        <v>0</v>
      </c>
      <c r="M28" s="36" t="n">
        <f aca="false">K28-L28</f>
        <v>200</v>
      </c>
      <c r="N28" s="36" t="n">
        <f aca="false">M28*C2</f>
        <v>8</v>
      </c>
      <c r="O28" s="37" t="n">
        <f aca="false">M28*2.9%</f>
        <v>5.8</v>
      </c>
      <c r="P28" s="38" t="s">
        <v>10</v>
      </c>
      <c r="Q28" s="38" t="s">
        <v>62</v>
      </c>
      <c r="R28" s="42" t="n">
        <f aca="false">M28-N28-O28</f>
        <v>186.2</v>
      </c>
      <c r="S28" s="44" t="n">
        <f aca="false">M28/E28</f>
        <v>200</v>
      </c>
      <c r="T28" s="46" t="s">
        <v>66</v>
      </c>
      <c r="U28" s="44" t="n">
        <f aca="false">M28/2-O28/2</f>
        <v>97.1</v>
      </c>
      <c r="V28" s="45" t="s">
        <v>67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customFormat="false" ht="15.75" hidden="false" customHeight="true" outlineLevel="0" collapsed="false">
      <c r="A29" s="1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42"/>
      <c r="S29" s="44"/>
      <c r="T29" s="47" t="s">
        <v>70</v>
      </c>
      <c r="U29" s="41" t="n">
        <f aca="false">U28</f>
        <v>97.1</v>
      </c>
      <c r="V29" s="4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customFormat="false" ht="15.75" hidden="false" customHeight="true" outlineLevel="0" collapsed="false">
      <c r="A30" s="1"/>
      <c r="B30" s="33" t="n">
        <v>3008</v>
      </c>
      <c r="C30" s="34" t="s">
        <v>28</v>
      </c>
      <c r="D30" s="34" t="s">
        <v>0</v>
      </c>
      <c r="E30" s="34" t="n">
        <v>2</v>
      </c>
      <c r="F30" s="34" t="s">
        <v>1</v>
      </c>
      <c r="G30" s="35" t="n">
        <v>45848</v>
      </c>
      <c r="H30" s="34" t="s">
        <v>73</v>
      </c>
      <c r="I30" s="34" t="s">
        <v>74</v>
      </c>
      <c r="J30" s="33" t="n">
        <v>1032</v>
      </c>
      <c r="K30" s="36" t="n">
        <v>430</v>
      </c>
      <c r="L30" s="36" t="n">
        <v>86</v>
      </c>
      <c r="M30" s="36" t="n">
        <f aca="false">K30-L30</f>
        <v>344</v>
      </c>
      <c r="N30" s="36" t="n">
        <f aca="false">M30*C2</f>
        <v>13.76</v>
      </c>
      <c r="O30" s="37" t="n">
        <f aca="false">M30*2.9%</f>
        <v>9.976</v>
      </c>
      <c r="P30" s="38" t="s">
        <v>10</v>
      </c>
      <c r="Q30" s="38" t="s">
        <v>62</v>
      </c>
      <c r="R30" s="42" t="n">
        <f aca="false">M30-N30-O30</f>
        <v>320.264</v>
      </c>
      <c r="S30" s="48" t="n">
        <f aca="false">M30/E30</f>
        <v>172</v>
      </c>
      <c r="T30" s="43" t="s">
        <v>66</v>
      </c>
      <c r="U30" s="44" t="n">
        <f aca="false">M30/2-O30/2</f>
        <v>167.012</v>
      </c>
      <c r="V30" s="45" t="s">
        <v>67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customFormat="false" ht="15.75" hidden="false" customHeight="true" outlineLevel="0" collapsed="false">
      <c r="A31" s="1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42"/>
      <c r="S31" s="42"/>
      <c r="T31" s="39" t="s">
        <v>70</v>
      </c>
      <c r="U31" s="38" t="n">
        <f aca="false">U30</f>
        <v>167.012</v>
      </c>
      <c r="V31" s="4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customFormat="false" ht="15.75" hidden="false" customHeight="true" outlineLevel="0" collapsed="false">
      <c r="A32" s="1"/>
      <c r="B32" s="33" t="n">
        <v>2470</v>
      </c>
      <c r="C32" s="34" t="s">
        <v>16</v>
      </c>
      <c r="D32" s="34" t="s">
        <v>0</v>
      </c>
      <c r="E32" s="34" t="n">
        <v>1</v>
      </c>
      <c r="F32" s="34" t="s">
        <v>1</v>
      </c>
      <c r="G32" s="35" t="n">
        <v>45849</v>
      </c>
      <c r="H32" s="34" t="s">
        <v>75</v>
      </c>
      <c r="I32" s="34" t="s">
        <v>54</v>
      </c>
      <c r="J32" s="33" t="n">
        <v>1033</v>
      </c>
      <c r="K32" s="36" t="n">
        <v>180</v>
      </c>
      <c r="L32" s="36" t="n">
        <v>0</v>
      </c>
      <c r="M32" s="36" t="n">
        <f aca="false">K32-L32</f>
        <v>180</v>
      </c>
      <c r="N32" s="36" t="n">
        <f aca="false">M32*C2</f>
        <v>7.2</v>
      </c>
      <c r="O32" s="37" t="n">
        <f aca="false">M32*2.71%</f>
        <v>4.878</v>
      </c>
      <c r="P32" s="38" t="s">
        <v>9</v>
      </c>
      <c r="Q32" s="38" t="s">
        <v>62</v>
      </c>
      <c r="R32" s="38" t="n">
        <f aca="false">M32-N32-O32</f>
        <v>167.922</v>
      </c>
      <c r="S32" s="38" t="n">
        <f aca="false">R32/E32</f>
        <v>167.922</v>
      </c>
      <c r="T32" s="39" t="s">
        <v>66</v>
      </c>
      <c r="U32" s="38" t="n">
        <f aca="false">M32-O32</f>
        <v>175.122</v>
      </c>
      <c r="V32" s="33" t="s">
        <v>67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customFormat="false" ht="15.75" hidden="false" customHeight="true" outlineLevel="0" collapsed="false">
      <c r="A33" s="1"/>
      <c r="B33" s="33" t="n">
        <v>2470</v>
      </c>
      <c r="C33" s="34" t="s">
        <v>16</v>
      </c>
      <c r="D33" s="34" t="s">
        <v>0</v>
      </c>
      <c r="E33" s="34" t="n">
        <v>1</v>
      </c>
      <c r="F33" s="34" t="s">
        <v>1</v>
      </c>
      <c r="G33" s="35" t="n">
        <v>45850</v>
      </c>
      <c r="H33" s="34" t="s">
        <v>76</v>
      </c>
      <c r="I33" s="34" t="s">
        <v>54</v>
      </c>
      <c r="J33" s="33" t="n">
        <v>1034</v>
      </c>
      <c r="K33" s="36" t="n">
        <v>180</v>
      </c>
      <c r="L33" s="36" t="n">
        <v>0</v>
      </c>
      <c r="M33" s="36" t="n">
        <f aca="false">K33-L33</f>
        <v>180</v>
      </c>
      <c r="N33" s="36" t="n">
        <f aca="false">M33*C2</f>
        <v>7.2</v>
      </c>
      <c r="O33" s="37" t="n">
        <f aca="false">M33*3.78%</f>
        <v>6.804</v>
      </c>
      <c r="P33" s="38" t="s">
        <v>10</v>
      </c>
      <c r="Q33" s="38" t="s">
        <v>55</v>
      </c>
      <c r="R33" s="42" t="n">
        <f aca="false">M33-N33-O33</f>
        <v>165.996</v>
      </c>
      <c r="S33" s="48" t="n">
        <f aca="false">R33/E33</f>
        <v>165.996</v>
      </c>
      <c r="T33" s="43" t="s">
        <v>66</v>
      </c>
      <c r="U33" s="44" t="n">
        <f aca="false">M33/2-O33/2</f>
        <v>86.598</v>
      </c>
      <c r="V33" s="4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customFormat="false" ht="15.75" hidden="false" customHeight="true" outlineLevel="0" collapsed="false">
      <c r="A34" s="1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42"/>
      <c r="S34" s="42"/>
      <c r="T34" s="39" t="s">
        <v>70</v>
      </c>
      <c r="U34" s="38" t="n">
        <f aca="false">U33</f>
        <v>86.598</v>
      </c>
      <c r="V34" s="4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customFormat="false" ht="15.75" hidden="false" customHeight="true" outlineLevel="0" collapsed="false">
      <c r="A35" s="1"/>
      <c r="B35" s="33" t="n">
        <v>2550</v>
      </c>
      <c r="C35" s="34" t="s">
        <v>58</v>
      </c>
      <c r="D35" s="34" t="s">
        <v>0</v>
      </c>
      <c r="E35" s="34" t="n">
        <v>1</v>
      </c>
      <c r="F35" s="34" t="s">
        <v>1</v>
      </c>
      <c r="G35" s="35" t="n">
        <v>45850</v>
      </c>
      <c r="H35" s="34" t="s">
        <v>76</v>
      </c>
      <c r="I35" s="34" t="s">
        <v>54</v>
      </c>
      <c r="J35" s="33" t="n">
        <v>1035</v>
      </c>
      <c r="K35" s="36" t="n">
        <v>60</v>
      </c>
      <c r="L35" s="36" t="n">
        <v>0</v>
      </c>
      <c r="M35" s="36" t="n">
        <f aca="false">K35-L35</f>
        <v>60</v>
      </c>
      <c r="N35" s="36" t="n">
        <f aca="false">M35*C2</f>
        <v>2.4</v>
      </c>
      <c r="O35" s="37" t="n">
        <f aca="false">M35*3.29%</f>
        <v>1.974</v>
      </c>
      <c r="P35" s="38" t="s">
        <v>9</v>
      </c>
      <c r="Q35" s="38" t="s">
        <v>55</v>
      </c>
      <c r="R35" s="38" t="n">
        <f aca="false">M35-N35-O35</f>
        <v>55.626</v>
      </c>
      <c r="S35" s="38" t="n">
        <f aca="false">R35/E35</f>
        <v>55.626</v>
      </c>
      <c r="T35" s="39" t="s">
        <v>66</v>
      </c>
      <c r="U35" s="38" t="n">
        <f aca="false">M35-O35</f>
        <v>58.026</v>
      </c>
      <c r="V35" s="33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customFormat="false" ht="15.75" hidden="false" customHeight="true" outlineLevel="0" collapsed="false">
      <c r="A36" s="1"/>
      <c r="B36" s="33" t="n">
        <v>3006</v>
      </c>
      <c r="C36" s="34" t="s">
        <v>25</v>
      </c>
      <c r="D36" s="34" t="s">
        <v>0</v>
      </c>
      <c r="E36" s="34" t="n">
        <v>1</v>
      </c>
      <c r="F36" s="34" t="s">
        <v>1</v>
      </c>
      <c r="G36" s="35" t="n">
        <v>45850</v>
      </c>
      <c r="H36" s="34" t="s">
        <v>76</v>
      </c>
      <c r="I36" s="34" t="s">
        <v>54</v>
      </c>
      <c r="J36" s="33" t="n">
        <v>1036</v>
      </c>
      <c r="K36" s="36" t="n">
        <v>170</v>
      </c>
      <c r="L36" s="36" t="n">
        <v>0</v>
      </c>
      <c r="M36" s="36" t="n">
        <f aca="false">K36-L36</f>
        <v>170</v>
      </c>
      <c r="N36" s="36" t="n">
        <f aca="false">M36*C2</f>
        <v>6.8</v>
      </c>
      <c r="O36" s="37" t="n">
        <v>1.27</v>
      </c>
      <c r="P36" s="38" t="s">
        <v>5</v>
      </c>
      <c r="Q36" s="38" t="s">
        <v>6</v>
      </c>
      <c r="R36" s="38" t="n">
        <f aca="false">M36-N36-O36</f>
        <v>161.93</v>
      </c>
      <c r="S36" s="38" t="n">
        <f aca="false">R36/E36</f>
        <v>161.93</v>
      </c>
      <c r="T36" s="39" t="s">
        <v>56</v>
      </c>
      <c r="U36" s="38" t="n">
        <f aca="false">M36-O36</f>
        <v>168.73</v>
      </c>
      <c r="V36" s="33" t="s">
        <v>67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customFormat="false" ht="15.75" hidden="false" customHeight="true" outlineLevel="0" collapsed="false">
      <c r="A37" s="1"/>
      <c r="B37" s="33" t="n">
        <v>2470</v>
      </c>
      <c r="C37" s="34" t="s">
        <v>16</v>
      </c>
      <c r="D37" s="34" t="s">
        <v>0</v>
      </c>
      <c r="E37" s="34" t="n">
        <v>1</v>
      </c>
      <c r="F37" s="34" t="s">
        <v>1</v>
      </c>
      <c r="G37" s="35" t="n">
        <v>45850</v>
      </c>
      <c r="H37" s="34" t="s">
        <v>76</v>
      </c>
      <c r="I37" s="34" t="s">
        <v>54</v>
      </c>
      <c r="J37" s="33" t="n">
        <v>1037</v>
      </c>
      <c r="K37" s="36" t="n">
        <v>180</v>
      </c>
      <c r="L37" s="36" t="n">
        <v>0</v>
      </c>
      <c r="M37" s="36" t="n">
        <f aca="false">K37-L37</f>
        <v>180</v>
      </c>
      <c r="N37" s="36" t="n">
        <f aca="false">M37*C2</f>
        <v>7.2</v>
      </c>
      <c r="O37" s="37" t="n">
        <f aca="false">M37*2.9%</f>
        <v>5.22</v>
      </c>
      <c r="P37" s="38" t="s">
        <v>10</v>
      </c>
      <c r="Q37" s="38" t="s">
        <v>55</v>
      </c>
      <c r="R37" s="42" t="n">
        <f aca="false">M37-N37-O37</f>
        <v>167.58</v>
      </c>
      <c r="S37" s="48" t="n">
        <f aca="false">R37/E37</f>
        <v>167.58</v>
      </c>
      <c r="T37" s="43" t="s">
        <v>66</v>
      </c>
      <c r="U37" s="44" t="n">
        <f aca="false">M37/2-O37/2</f>
        <v>87.39</v>
      </c>
      <c r="V37" s="45" t="s">
        <v>67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customFormat="false" ht="15.75" hidden="false" customHeight="true" outlineLevel="0" collapsed="false">
      <c r="A38" s="1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42"/>
      <c r="S38" s="42"/>
      <c r="T38" s="39" t="s">
        <v>70</v>
      </c>
      <c r="U38" s="38" t="n">
        <f aca="false">U37</f>
        <v>87.39</v>
      </c>
      <c r="V38" s="4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customFormat="false" ht="15.75" hidden="false" customHeight="true" outlineLevel="0" collapsed="false">
      <c r="A39" s="1"/>
      <c r="B39" s="33" t="n">
        <v>2731</v>
      </c>
      <c r="C39" s="34" t="s">
        <v>18</v>
      </c>
      <c r="D39" s="34" t="s">
        <v>0</v>
      </c>
      <c r="E39" s="34" t="n">
        <v>1</v>
      </c>
      <c r="F39" s="34" t="s">
        <v>1</v>
      </c>
      <c r="G39" s="35" t="n">
        <v>45850</v>
      </c>
      <c r="H39" s="34" t="s">
        <v>76</v>
      </c>
      <c r="I39" s="34" t="s">
        <v>54</v>
      </c>
      <c r="J39" s="33" t="n">
        <v>1037</v>
      </c>
      <c r="K39" s="36" t="n">
        <v>60</v>
      </c>
      <c r="L39" s="36" t="n">
        <v>0</v>
      </c>
      <c r="M39" s="36" t="n">
        <f aca="false">K39-L39</f>
        <v>60</v>
      </c>
      <c r="N39" s="36" t="n">
        <f aca="false">M39*C2</f>
        <v>2.4</v>
      </c>
      <c r="O39" s="37" t="n">
        <f aca="false">M39*2.9%</f>
        <v>1.74</v>
      </c>
      <c r="P39" s="38" t="s">
        <v>10</v>
      </c>
      <c r="Q39" s="38" t="s">
        <v>55</v>
      </c>
      <c r="R39" s="42" t="n">
        <f aca="false">M39-N39-O39</f>
        <v>55.86</v>
      </c>
      <c r="S39" s="48" t="n">
        <f aca="false">R39/E39</f>
        <v>55.86</v>
      </c>
      <c r="T39" s="43" t="s">
        <v>66</v>
      </c>
      <c r="U39" s="44" t="n">
        <f aca="false">M39/2-O39/2</f>
        <v>29.13</v>
      </c>
      <c r="V39" s="45" t="s">
        <v>67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customFormat="false" ht="15.75" hidden="false" customHeight="true" outlineLevel="0" collapsed="false">
      <c r="A40" s="1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42"/>
      <c r="S40" s="42"/>
      <c r="T40" s="39" t="s">
        <v>70</v>
      </c>
      <c r="U40" s="38" t="n">
        <f aca="false">U39</f>
        <v>29.13</v>
      </c>
      <c r="V40" s="4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customFormat="false" ht="15.75" hidden="false" customHeight="true" outlineLevel="0" collapsed="false">
      <c r="A41" s="1"/>
      <c r="B41" s="33" t="n">
        <v>3010</v>
      </c>
      <c r="C41" s="34" t="s">
        <v>30</v>
      </c>
      <c r="D41" s="34" t="s">
        <v>0</v>
      </c>
      <c r="E41" s="34" t="n">
        <v>1</v>
      </c>
      <c r="F41" s="34" t="s">
        <v>1</v>
      </c>
      <c r="G41" s="35" t="n">
        <v>45851</v>
      </c>
      <c r="H41" s="34" t="s">
        <v>77</v>
      </c>
      <c r="I41" s="34" t="s">
        <v>54</v>
      </c>
      <c r="J41" s="33" t="n">
        <v>1038</v>
      </c>
      <c r="K41" s="36" t="n">
        <v>250</v>
      </c>
      <c r="L41" s="36" t="n">
        <v>0</v>
      </c>
      <c r="M41" s="36" t="n">
        <f aca="false">K41-L41</f>
        <v>250</v>
      </c>
      <c r="N41" s="36" t="n">
        <f aca="false">M41*C2</f>
        <v>10</v>
      </c>
      <c r="O41" s="37" t="n">
        <f aca="false">M41*2.9%</f>
        <v>7.25</v>
      </c>
      <c r="P41" s="38" t="s">
        <v>10</v>
      </c>
      <c r="Q41" s="38" t="s">
        <v>62</v>
      </c>
      <c r="R41" s="42" t="n">
        <f aca="false">M41-N41-O41</f>
        <v>232.75</v>
      </c>
      <c r="S41" s="48" t="n">
        <f aca="false">R41/E41</f>
        <v>232.75</v>
      </c>
      <c r="T41" s="43" t="s">
        <v>66</v>
      </c>
      <c r="U41" s="44" t="n">
        <f aca="false">M41/2-O41/2</f>
        <v>121.375</v>
      </c>
      <c r="V41" s="45" t="s">
        <v>67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customFormat="false" ht="15.75" hidden="false" customHeight="true" outlineLevel="0" collapsed="false">
      <c r="A42" s="1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42"/>
      <c r="S42" s="42"/>
      <c r="T42" s="39" t="s">
        <v>70</v>
      </c>
      <c r="U42" s="38" t="n">
        <f aca="false">U41</f>
        <v>121.375</v>
      </c>
      <c r="V42" s="4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customFormat="false" ht="15.75" hidden="false" customHeight="true" outlineLevel="0" collapsed="false">
      <c r="A43" s="1"/>
      <c r="B43" s="33" t="n">
        <v>2470</v>
      </c>
      <c r="C43" s="34" t="s">
        <v>16</v>
      </c>
      <c r="D43" s="34" t="s">
        <v>0</v>
      </c>
      <c r="E43" s="34" t="n">
        <v>1</v>
      </c>
      <c r="F43" s="34" t="s">
        <v>1</v>
      </c>
      <c r="G43" s="35" t="n">
        <v>45851</v>
      </c>
      <c r="H43" s="34" t="s">
        <v>77</v>
      </c>
      <c r="I43" s="34" t="s">
        <v>54</v>
      </c>
      <c r="J43" s="33" t="n">
        <v>1039</v>
      </c>
      <c r="K43" s="36" t="n">
        <v>180</v>
      </c>
      <c r="L43" s="36" t="n">
        <v>0</v>
      </c>
      <c r="M43" s="36" t="n">
        <f aca="false">K43-L43</f>
        <v>180</v>
      </c>
      <c r="N43" s="36" t="n">
        <f aca="false">M43*C2</f>
        <v>7.2</v>
      </c>
      <c r="O43" s="37" t="n">
        <f aca="false">M43*3.78%</f>
        <v>6.804</v>
      </c>
      <c r="P43" s="38" t="s">
        <v>10</v>
      </c>
      <c r="Q43" s="38" t="s">
        <v>55</v>
      </c>
      <c r="R43" s="42" t="n">
        <f aca="false">M43-N43-O43</f>
        <v>165.996</v>
      </c>
      <c r="S43" s="48" t="n">
        <f aca="false">R43/E43</f>
        <v>165.996</v>
      </c>
      <c r="T43" s="43" t="s">
        <v>66</v>
      </c>
      <c r="U43" s="44" t="n">
        <f aca="false">M43/2-O43/2</f>
        <v>86.598</v>
      </c>
      <c r="V43" s="45" t="s">
        <v>78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customFormat="false" ht="15.75" hidden="false" customHeight="true" outlineLevel="0" collapsed="false">
      <c r="A44" s="1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42"/>
      <c r="S44" s="42"/>
      <c r="T44" s="39" t="s">
        <v>70</v>
      </c>
      <c r="U44" s="38" t="n">
        <f aca="false">U43</f>
        <v>86.598</v>
      </c>
      <c r="V44" s="4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customFormat="false" ht="15.75" hidden="false" customHeight="true" outlineLevel="0" collapsed="false">
      <c r="A45" s="1"/>
      <c r="B45" s="33" t="n">
        <v>2470</v>
      </c>
      <c r="C45" s="34" t="s">
        <v>16</v>
      </c>
      <c r="D45" s="34" t="s">
        <v>0</v>
      </c>
      <c r="E45" s="34" t="n">
        <v>1</v>
      </c>
      <c r="F45" s="34" t="s">
        <v>1</v>
      </c>
      <c r="G45" s="35" t="n">
        <v>45853</v>
      </c>
      <c r="H45" s="34" t="s">
        <v>64</v>
      </c>
      <c r="I45" s="34" t="s">
        <v>54</v>
      </c>
      <c r="J45" s="33" t="n">
        <v>1041</v>
      </c>
      <c r="K45" s="36" t="n">
        <v>180</v>
      </c>
      <c r="L45" s="36" t="n">
        <v>0</v>
      </c>
      <c r="M45" s="36" t="n">
        <f aca="false">K45-L45</f>
        <v>180</v>
      </c>
      <c r="N45" s="36" t="n">
        <f aca="false">M45*C2</f>
        <v>7.2</v>
      </c>
      <c r="O45" s="37" t="n">
        <f aca="false">M45*2.9%</f>
        <v>5.22</v>
      </c>
      <c r="P45" s="38" t="s">
        <v>10</v>
      </c>
      <c r="Q45" s="38" t="s">
        <v>55</v>
      </c>
      <c r="R45" s="42" t="n">
        <f aca="false">M45-N45-O45</f>
        <v>167.58</v>
      </c>
      <c r="S45" s="48" t="n">
        <f aca="false">R45/E45</f>
        <v>167.58</v>
      </c>
      <c r="T45" s="43" t="s">
        <v>66</v>
      </c>
      <c r="U45" s="44" t="n">
        <f aca="false">M45/2-O45/2</f>
        <v>87.39</v>
      </c>
      <c r="V45" s="45" t="s">
        <v>67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customFormat="false" ht="15.75" hidden="false" customHeight="true" outlineLevel="0" collapsed="false">
      <c r="A46" s="1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42"/>
      <c r="S46" s="42"/>
      <c r="T46" s="39" t="s">
        <v>70</v>
      </c>
      <c r="U46" s="38" t="n">
        <f aca="false">U45</f>
        <v>87.39</v>
      </c>
      <c r="V46" s="4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customFormat="false" ht="15.75" hidden="false" customHeight="true" outlineLevel="0" collapsed="false">
      <c r="A47" s="1"/>
      <c r="B47" s="33" t="n">
        <v>2470</v>
      </c>
      <c r="C47" s="34" t="s">
        <v>16</v>
      </c>
      <c r="D47" s="34" t="s">
        <v>0</v>
      </c>
      <c r="E47" s="34" t="n">
        <v>1</v>
      </c>
      <c r="F47" s="34" t="s">
        <v>1</v>
      </c>
      <c r="G47" s="35" t="n">
        <v>45853</v>
      </c>
      <c r="H47" s="34" t="s">
        <v>64</v>
      </c>
      <c r="I47" s="34" t="s">
        <v>54</v>
      </c>
      <c r="J47" s="33" t="n">
        <v>1042</v>
      </c>
      <c r="K47" s="36" t="n">
        <v>180</v>
      </c>
      <c r="L47" s="36" t="n">
        <v>0</v>
      </c>
      <c r="M47" s="36" t="n">
        <f aca="false">K47-L47</f>
        <v>180</v>
      </c>
      <c r="N47" s="36" t="n">
        <f aca="false">M47*C2</f>
        <v>7.2</v>
      </c>
      <c r="O47" s="49" t="n">
        <f aca="false">M47*1.65%</f>
        <v>2.97</v>
      </c>
      <c r="P47" s="37" t="s">
        <v>7</v>
      </c>
      <c r="Q47" s="38" t="s">
        <v>55</v>
      </c>
      <c r="R47" s="38" t="n">
        <f aca="false">M47-N47-O47</f>
        <v>169.83</v>
      </c>
      <c r="S47" s="38" t="n">
        <f aca="false">R47/E47</f>
        <v>169.83</v>
      </c>
      <c r="T47" s="39" t="s">
        <v>56</v>
      </c>
      <c r="U47" s="38" t="n">
        <f aca="false">M47-O47</f>
        <v>177.03</v>
      </c>
      <c r="V47" s="33" t="s">
        <v>67</v>
      </c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customFormat="false" ht="15.75" hidden="false" customHeight="true" outlineLevel="0" collapsed="false">
      <c r="A48" s="1"/>
      <c r="B48" s="33" t="n">
        <v>2470</v>
      </c>
      <c r="C48" s="34" t="s">
        <v>16</v>
      </c>
      <c r="D48" s="34" t="s">
        <v>0</v>
      </c>
      <c r="E48" s="34" t="n">
        <v>1</v>
      </c>
      <c r="F48" s="34" t="s">
        <v>1</v>
      </c>
      <c r="G48" s="35" t="n">
        <v>45853</v>
      </c>
      <c r="H48" s="34" t="s">
        <v>64</v>
      </c>
      <c r="I48" s="34" t="s">
        <v>54</v>
      </c>
      <c r="J48" s="33" t="n">
        <v>1043</v>
      </c>
      <c r="K48" s="36" t="n">
        <v>180</v>
      </c>
      <c r="L48" s="36" t="n">
        <v>0</v>
      </c>
      <c r="M48" s="36" t="n">
        <f aca="false">K48-L48</f>
        <v>180</v>
      </c>
      <c r="N48" s="36" t="n">
        <f aca="false">M48*C2</f>
        <v>7.2</v>
      </c>
      <c r="O48" s="37" t="n">
        <f aca="false">M48*0.75%</f>
        <v>1.35</v>
      </c>
      <c r="P48" s="38" t="s">
        <v>5</v>
      </c>
      <c r="Q48" s="38" t="s">
        <v>6</v>
      </c>
      <c r="R48" s="38" t="n">
        <f aca="false">M48-N48-O48</f>
        <v>171.45</v>
      </c>
      <c r="S48" s="38" t="n">
        <f aca="false">R48/E48</f>
        <v>171.45</v>
      </c>
      <c r="T48" s="39" t="s">
        <v>56</v>
      </c>
      <c r="U48" s="38" t="n">
        <f aca="false">M48-O48</f>
        <v>178.65</v>
      </c>
      <c r="V48" s="33" t="s">
        <v>67</v>
      </c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customFormat="false" ht="15.75" hidden="false" customHeight="true" outlineLevel="0" collapsed="false">
      <c r="A49" s="1"/>
      <c r="B49" s="33" t="n">
        <v>2470</v>
      </c>
      <c r="C49" s="34" t="s">
        <v>16</v>
      </c>
      <c r="D49" s="34" t="s">
        <v>0</v>
      </c>
      <c r="E49" s="34" t="n">
        <v>1</v>
      </c>
      <c r="F49" s="34" t="s">
        <v>1</v>
      </c>
      <c r="G49" s="35" t="n">
        <v>45853</v>
      </c>
      <c r="H49" s="34" t="s">
        <v>64</v>
      </c>
      <c r="I49" s="34" t="s">
        <v>54</v>
      </c>
      <c r="J49" s="33" t="n">
        <v>1044</v>
      </c>
      <c r="K49" s="36" t="n">
        <v>360</v>
      </c>
      <c r="L49" s="36" t="n">
        <v>72</v>
      </c>
      <c r="M49" s="36" t="n">
        <f aca="false">K49-L49</f>
        <v>288</v>
      </c>
      <c r="N49" s="36" t="n">
        <f aca="false">M49*C2</f>
        <v>11.52</v>
      </c>
      <c r="O49" s="37" t="n">
        <f aca="false">M49*2.05%</f>
        <v>5.904</v>
      </c>
      <c r="P49" s="38" t="s">
        <v>7</v>
      </c>
      <c r="Q49" s="38" t="s">
        <v>79</v>
      </c>
      <c r="R49" s="38" t="n">
        <f aca="false">M49-N49-O49</f>
        <v>270.576</v>
      </c>
      <c r="S49" s="38" t="n">
        <f aca="false">R49/E49</f>
        <v>270.576</v>
      </c>
      <c r="T49" s="39" t="s">
        <v>56</v>
      </c>
      <c r="U49" s="38" t="n">
        <f aca="false">M49-O49</f>
        <v>282.096</v>
      </c>
      <c r="V49" s="33" t="s">
        <v>67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customFormat="false" ht="15.75" hidden="false" customHeight="true" outlineLevel="0" collapsed="false">
      <c r="A50" s="1"/>
      <c r="B50" s="33" t="n">
        <v>3006</v>
      </c>
      <c r="C50" s="34" t="s">
        <v>25</v>
      </c>
      <c r="D50" s="34" t="s">
        <v>0</v>
      </c>
      <c r="E50" s="34" t="n">
        <v>1</v>
      </c>
      <c r="F50" s="34" t="s">
        <v>1</v>
      </c>
      <c r="G50" s="35" t="n">
        <v>45853</v>
      </c>
      <c r="H50" s="34" t="s">
        <v>64</v>
      </c>
      <c r="I50" s="34" t="s">
        <v>54</v>
      </c>
      <c r="J50" s="33" t="n">
        <v>1045</v>
      </c>
      <c r="K50" s="36" t="n">
        <v>170</v>
      </c>
      <c r="L50" s="36" t="n">
        <v>0</v>
      </c>
      <c r="M50" s="36" t="n">
        <f aca="false">K50-L50</f>
        <v>170</v>
      </c>
      <c r="N50" s="36" t="n">
        <f aca="false">M50*C2</f>
        <v>6.8</v>
      </c>
      <c r="O50" s="37" t="n">
        <f aca="false">M50*2.9%</f>
        <v>4.93</v>
      </c>
      <c r="P50" s="38" t="s">
        <v>10</v>
      </c>
      <c r="Q50" s="38" t="s">
        <v>55</v>
      </c>
      <c r="R50" s="42" t="n">
        <f aca="false">M50-N50-O50</f>
        <v>158.27</v>
      </c>
      <c r="S50" s="48" t="n">
        <f aca="false">R50/E50</f>
        <v>158.27</v>
      </c>
      <c r="T50" s="43" t="s">
        <v>66</v>
      </c>
      <c r="U50" s="44" t="n">
        <f aca="false">M50/2-O50/2</f>
        <v>82.535</v>
      </c>
      <c r="V50" s="45" t="s">
        <v>67</v>
      </c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customFormat="false" ht="15.75" hidden="false" customHeight="true" outlineLevel="0" collapsed="false">
      <c r="A51" s="1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42"/>
      <c r="S51" s="42"/>
      <c r="T51" s="39" t="s">
        <v>70</v>
      </c>
      <c r="U51" s="38" t="n">
        <f aca="false">U50</f>
        <v>82.535</v>
      </c>
      <c r="V51" s="4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customFormat="false" ht="15.75" hidden="false" customHeight="true" outlineLevel="0" collapsed="false">
      <c r="A52" s="1"/>
      <c r="B52" s="33" t="n">
        <v>2470</v>
      </c>
      <c r="C52" s="34" t="s">
        <v>16</v>
      </c>
      <c r="D52" s="34" t="s">
        <v>0</v>
      </c>
      <c r="E52" s="34" t="n">
        <v>1</v>
      </c>
      <c r="F52" s="34" t="s">
        <v>1</v>
      </c>
      <c r="G52" s="35" t="n">
        <v>45854</v>
      </c>
      <c r="H52" s="34" t="s">
        <v>68</v>
      </c>
      <c r="I52" s="34" t="s">
        <v>54</v>
      </c>
      <c r="J52" s="33" t="n">
        <v>1046</v>
      </c>
      <c r="K52" s="36" t="n">
        <v>180</v>
      </c>
      <c r="L52" s="36" t="n">
        <v>36</v>
      </c>
      <c r="M52" s="36" t="n">
        <f aca="false">K52-L52</f>
        <v>144</v>
      </c>
      <c r="N52" s="36" t="n">
        <f aca="false">M52*C2</f>
        <v>5.76</v>
      </c>
      <c r="O52" s="37" t="n">
        <f aca="false">M52*1.65%</f>
        <v>2.376</v>
      </c>
      <c r="P52" s="38" t="s">
        <v>7</v>
      </c>
      <c r="Q52" s="38" t="s">
        <v>55</v>
      </c>
      <c r="R52" s="38" t="n">
        <f aca="false">M52-N52-O52</f>
        <v>135.864</v>
      </c>
      <c r="S52" s="38" t="n">
        <f aca="false">R52/E52</f>
        <v>135.864</v>
      </c>
      <c r="T52" s="39" t="s">
        <v>56</v>
      </c>
      <c r="U52" s="38" t="n">
        <f aca="false">M52-O52</f>
        <v>141.624</v>
      </c>
      <c r="V52" s="33" t="s">
        <v>67</v>
      </c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customFormat="false" ht="15.75" hidden="false" customHeight="true" outlineLevel="0" collapsed="false">
      <c r="A53" s="1"/>
      <c r="B53" s="33" t="n">
        <v>3010</v>
      </c>
      <c r="C53" s="34" t="s">
        <v>30</v>
      </c>
      <c r="D53" s="34" t="s">
        <v>0</v>
      </c>
      <c r="E53" s="34" t="n">
        <v>1</v>
      </c>
      <c r="F53" s="34" t="s">
        <v>1</v>
      </c>
      <c r="G53" s="35" t="n">
        <v>45854</v>
      </c>
      <c r="H53" s="34" t="s">
        <v>68</v>
      </c>
      <c r="I53" s="34" t="s">
        <v>54</v>
      </c>
      <c r="J53" s="33" t="n">
        <v>1046</v>
      </c>
      <c r="K53" s="36" t="n">
        <v>250</v>
      </c>
      <c r="L53" s="36" t="n">
        <v>50</v>
      </c>
      <c r="M53" s="36" t="n">
        <f aca="false">K53-L53</f>
        <v>200</v>
      </c>
      <c r="N53" s="36" t="n">
        <f aca="false">M53*C2</f>
        <v>8</v>
      </c>
      <c r="O53" s="37" t="n">
        <f aca="false">M53*1.65%</f>
        <v>3.3</v>
      </c>
      <c r="P53" s="38" t="s">
        <v>7</v>
      </c>
      <c r="Q53" s="38" t="s">
        <v>55</v>
      </c>
      <c r="R53" s="38" t="n">
        <f aca="false">M53-N53-O53</f>
        <v>188.7</v>
      </c>
      <c r="S53" s="38" t="n">
        <f aca="false">R53/E53</f>
        <v>188.7</v>
      </c>
      <c r="T53" s="39" t="s">
        <v>56</v>
      </c>
      <c r="U53" s="38" t="n">
        <f aca="false">M53-O53</f>
        <v>196.7</v>
      </c>
      <c r="V53" s="33" t="s">
        <v>67</v>
      </c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customFormat="false" ht="15.75" hidden="false" customHeight="true" outlineLevel="0" collapsed="false">
      <c r="A54" s="1"/>
      <c r="B54" s="33" t="n">
        <v>2470</v>
      </c>
      <c r="C54" s="34" t="s">
        <v>16</v>
      </c>
      <c r="D54" s="34" t="s">
        <v>0</v>
      </c>
      <c r="E54" s="34" t="n">
        <v>1</v>
      </c>
      <c r="F54" s="34" t="s">
        <v>1</v>
      </c>
      <c r="G54" s="35" t="n">
        <v>45854</v>
      </c>
      <c r="H54" s="34" t="s">
        <v>68</v>
      </c>
      <c r="I54" s="34" t="s">
        <v>54</v>
      </c>
      <c r="J54" s="33" t="n">
        <v>1047</v>
      </c>
      <c r="K54" s="36" t="n">
        <v>180</v>
      </c>
      <c r="L54" s="36" t="n">
        <v>0</v>
      </c>
      <c r="M54" s="36" t="n">
        <f aca="false">K54-L54</f>
        <v>180</v>
      </c>
      <c r="N54" s="36" t="n">
        <f aca="false">M54*C2</f>
        <v>7.2</v>
      </c>
      <c r="O54" s="37" t="n">
        <v>5.22</v>
      </c>
      <c r="P54" s="38" t="s">
        <v>10</v>
      </c>
      <c r="Q54" s="38" t="s">
        <v>55</v>
      </c>
      <c r="R54" s="42" t="n">
        <f aca="false">M54-N54-O54</f>
        <v>167.58</v>
      </c>
      <c r="S54" s="48" t="n">
        <f aca="false">R54/E54</f>
        <v>167.58</v>
      </c>
      <c r="T54" s="43" t="s">
        <v>66</v>
      </c>
      <c r="U54" s="44" t="n">
        <f aca="false">M54/2-O54/2</f>
        <v>87.39</v>
      </c>
      <c r="V54" s="45" t="s">
        <v>67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customFormat="false" ht="15.75" hidden="false" customHeight="true" outlineLevel="0" collapsed="false">
      <c r="A55" s="1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42"/>
      <c r="S55" s="42"/>
      <c r="T55" s="39" t="s">
        <v>70</v>
      </c>
      <c r="U55" s="38" t="n">
        <f aca="false">U54</f>
        <v>87.39</v>
      </c>
      <c r="V55" s="4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customFormat="false" ht="15.75" hidden="false" customHeight="true" outlineLevel="0" collapsed="false">
      <c r="A56" s="1"/>
      <c r="B56" s="33" t="n">
        <v>3010</v>
      </c>
      <c r="C56" s="34" t="s">
        <v>30</v>
      </c>
      <c r="D56" s="34" t="s">
        <v>0</v>
      </c>
      <c r="E56" s="34" t="n">
        <v>1</v>
      </c>
      <c r="F56" s="34" t="s">
        <v>1</v>
      </c>
      <c r="G56" s="35" t="n">
        <v>45855</v>
      </c>
      <c r="H56" s="34" t="s">
        <v>73</v>
      </c>
      <c r="I56" s="34" t="s">
        <v>54</v>
      </c>
      <c r="J56" s="33" t="n">
        <v>1048</v>
      </c>
      <c r="K56" s="36" t="n">
        <v>250</v>
      </c>
      <c r="L56" s="36" t="n">
        <v>50</v>
      </c>
      <c r="M56" s="36" t="n">
        <f aca="false">K56-L56</f>
        <v>200</v>
      </c>
      <c r="N56" s="36" t="n">
        <f aca="false">M56*C2</f>
        <v>8</v>
      </c>
      <c r="O56" s="37" t="n">
        <f aca="false">M56*1.65%</f>
        <v>3.3</v>
      </c>
      <c r="P56" s="38" t="s">
        <v>7</v>
      </c>
      <c r="Q56" s="38" t="s">
        <v>55</v>
      </c>
      <c r="R56" s="38" t="n">
        <f aca="false">M56-N56-O56</f>
        <v>188.7</v>
      </c>
      <c r="S56" s="38" t="n">
        <f aca="false">R56/E56</f>
        <v>188.7</v>
      </c>
      <c r="T56" s="39" t="s">
        <v>56</v>
      </c>
      <c r="U56" s="38" t="n">
        <f aca="false">M56-O56</f>
        <v>196.7</v>
      </c>
      <c r="V56" s="33" t="s">
        <v>67</v>
      </c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customFormat="false" ht="15.75" hidden="false" customHeight="true" outlineLevel="0" collapsed="false">
      <c r="A57" s="1"/>
      <c r="B57" s="33" t="n">
        <v>3008</v>
      </c>
      <c r="C57" s="34" t="s">
        <v>28</v>
      </c>
      <c r="D57" s="34" t="s">
        <v>0</v>
      </c>
      <c r="E57" s="34" t="n">
        <v>3</v>
      </c>
      <c r="F57" s="34" t="s">
        <v>1</v>
      </c>
      <c r="G57" s="35" t="n">
        <v>45855</v>
      </c>
      <c r="H57" s="34" t="s">
        <v>73</v>
      </c>
      <c r="I57" s="34" t="s">
        <v>54</v>
      </c>
      <c r="J57" s="33" t="n">
        <v>1048</v>
      </c>
      <c r="K57" s="36" t="n">
        <v>645</v>
      </c>
      <c r="L57" s="36" t="n">
        <v>129</v>
      </c>
      <c r="M57" s="36" t="n">
        <f aca="false">K57-L57</f>
        <v>516</v>
      </c>
      <c r="N57" s="36" t="n">
        <f aca="false">M57*C2</f>
        <v>20.64</v>
      </c>
      <c r="O57" s="44" t="n">
        <f aca="false">16*1.65%</f>
        <v>0.264</v>
      </c>
      <c r="P57" s="41" t="s">
        <v>7</v>
      </c>
      <c r="Q57" s="41" t="s">
        <v>55</v>
      </c>
      <c r="R57" s="37" t="n">
        <f aca="false">M57-N57-O57-O58</f>
        <v>480.596</v>
      </c>
      <c r="S57" s="37" t="n">
        <f aca="false">(R57+R58)/E57</f>
        <v>160.198666666667</v>
      </c>
      <c r="T57" s="43" t="s">
        <v>56</v>
      </c>
      <c r="U57" s="44" t="n">
        <f aca="false">16-O57</f>
        <v>15.736</v>
      </c>
      <c r="V57" s="50" t="s">
        <v>67</v>
      </c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customFormat="false" ht="15.75" hidden="false" customHeight="true" outlineLevel="0" collapsed="false">
      <c r="A58" s="1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7" t="n">
        <f aca="false">500*2.9%</f>
        <v>14.5</v>
      </c>
      <c r="P58" s="37" t="s">
        <v>10</v>
      </c>
      <c r="Q58" s="37" t="s">
        <v>55</v>
      </c>
      <c r="R58" s="37"/>
      <c r="S58" s="37"/>
      <c r="T58" s="43" t="s">
        <v>66</v>
      </c>
      <c r="U58" s="44" t="n">
        <f aca="false">250-(O58/2)</f>
        <v>242.75</v>
      </c>
      <c r="V58" s="45" t="s">
        <v>67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customFormat="false" ht="15.75" hidden="false" customHeight="true" outlineLevel="0" collapsed="false">
      <c r="A59" s="1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9" t="s">
        <v>70</v>
      </c>
      <c r="U59" s="38" t="n">
        <f aca="false">U58</f>
        <v>242.75</v>
      </c>
      <c r="V59" s="4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customFormat="false" ht="15.75" hidden="false" customHeight="true" outlineLevel="0" collapsed="false">
      <c r="A60" s="1"/>
      <c r="B60" s="33" t="n">
        <v>2470</v>
      </c>
      <c r="C60" s="34" t="s">
        <v>16</v>
      </c>
      <c r="D60" s="34" t="s">
        <v>0</v>
      </c>
      <c r="E60" s="34" t="n">
        <v>1</v>
      </c>
      <c r="F60" s="34" t="s">
        <v>1</v>
      </c>
      <c r="G60" s="35" t="n">
        <v>45856</v>
      </c>
      <c r="H60" s="34" t="s">
        <v>75</v>
      </c>
      <c r="I60" s="34" t="s">
        <v>54</v>
      </c>
      <c r="J60" s="33" t="n">
        <v>1049</v>
      </c>
      <c r="K60" s="36" t="n">
        <v>180</v>
      </c>
      <c r="L60" s="36" t="n">
        <v>0</v>
      </c>
      <c r="M60" s="36" t="n">
        <f aca="false">K60-L60</f>
        <v>180</v>
      </c>
      <c r="N60" s="36" t="n">
        <f aca="false">M60*C2</f>
        <v>7.2</v>
      </c>
      <c r="O60" s="37" t="n">
        <f aca="false">M60*2.05%</f>
        <v>3.69</v>
      </c>
      <c r="P60" s="38" t="s">
        <v>7</v>
      </c>
      <c r="Q60" s="38" t="s">
        <v>79</v>
      </c>
      <c r="R60" s="38" t="n">
        <f aca="false">M60-N60-O60</f>
        <v>169.11</v>
      </c>
      <c r="S60" s="38" t="n">
        <f aca="false">R60/E60</f>
        <v>169.11</v>
      </c>
      <c r="T60" s="39" t="s">
        <v>56</v>
      </c>
      <c r="U60" s="38" t="n">
        <f aca="false">M60-O60</f>
        <v>176.31</v>
      </c>
      <c r="V60" s="33" t="s">
        <v>67</v>
      </c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customFormat="false" ht="15.75" hidden="false" customHeight="true" outlineLevel="0" collapsed="false">
      <c r="A61" s="1"/>
      <c r="B61" s="33" t="n">
        <v>2470</v>
      </c>
      <c r="C61" s="34" t="s">
        <v>16</v>
      </c>
      <c r="D61" s="34" t="s">
        <v>0</v>
      </c>
      <c r="E61" s="34" t="n">
        <v>1</v>
      </c>
      <c r="F61" s="34" t="s">
        <v>1</v>
      </c>
      <c r="G61" s="35" t="n">
        <v>45856</v>
      </c>
      <c r="H61" s="34" t="s">
        <v>75</v>
      </c>
      <c r="I61" s="34" t="s">
        <v>54</v>
      </c>
      <c r="J61" s="33" t="n">
        <v>1050</v>
      </c>
      <c r="K61" s="36" t="n">
        <v>180</v>
      </c>
      <c r="L61" s="36" t="n">
        <v>0</v>
      </c>
      <c r="M61" s="36" t="n">
        <f aca="false">K61-L61</f>
        <v>180</v>
      </c>
      <c r="N61" s="36" t="n">
        <f aca="false">M61*C2</f>
        <v>7.2</v>
      </c>
      <c r="O61" s="37" t="n">
        <f aca="false">M61*2.9%</f>
        <v>5.22</v>
      </c>
      <c r="P61" s="38" t="s">
        <v>10</v>
      </c>
      <c r="Q61" s="38" t="s">
        <v>55</v>
      </c>
      <c r="R61" s="42" t="n">
        <f aca="false">M61-N61-O61</f>
        <v>167.58</v>
      </c>
      <c r="S61" s="48" t="n">
        <f aca="false">R61/E61</f>
        <v>167.58</v>
      </c>
      <c r="T61" s="43" t="s">
        <v>66</v>
      </c>
      <c r="U61" s="44" t="n">
        <f aca="false">M61/2-O61/2</f>
        <v>87.39</v>
      </c>
      <c r="V61" s="45" t="s">
        <v>67</v>
      </c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customFormat="false" ht="15.75" hidden="false" customHeight="true" outlineLevel="0" collapsed="false">
      <c r="A62" s="1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42"/>
      <c r="S62" s="42"/>
      <c r="T62" s="39" t="s">
        <v>70</v>
      </c>
      <c r="U62" s="38" t="n">
        <f aca="false">U61</f>
        <v>87.39</v>
      </c>
      <c r="V62" s="4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customFormat="false" ht="15.75" hidden="false" customHeight="true" outlineLevel="0" collapsed="false">
      <c r="A63" s="1"/>
      <c r="B63" s="26" t="n">
        <v>2470</v>
      </c>
      <c r="C63" s="27" t="s">
        <v>16</v>
      </c>
      <c r="D63" s="27" t="s">
        <v>0</v>
      </c>
      <c r="E63" s="27" t="n">
        <v>1</v>
      </c>
      <c r="F63" s="27" t="s">
        <v>1</v>
      </c>
      <c r="G63" s="28" t="n">
        <v>45856</v>
      </c>
      <c r="H63" s="27" t="s">
        <v>75</v>
      </c>
      <c r="I63" s="27" t="s">
        <v>54</v>
      </c>
      <c r="J63" s="26" t="n">
        <v>1051</v>
      </c>
      <c r="K63" s="29" t="n">
        <v>180</v>
      </c>
      <c r="L63" s="29" t="n">
        <v>0</v>
      </c>
      <c r="M63" s="29" t="n">
        <f aca="false">K63-L63</f>
        <v>180</v>
      </c>
      <c r="N63" s="29" t="n">
        <f aca="false">M63*C2</f>
        <v>7.2</v>
      </c>
      <c r="O63" s="30" t="n">
        <f aca="false">M63*1.9%</f>
        <v>3.42</v>
      </c>
      <c r="P63" s="31" t="s">
        <v>7</v>
      </c>
      <c r="Q63" s="31" t="s">
        <v>55</v>
      </c>
      <c r="R63" s="31" t="n">
        <f aca="false">M63-N63-O74</f>
        <v>166.878</v>
      </c>
      <c r="S63" s="31" t="n">
        <f aca="false">R63/E63</f>
        <v>166.878</v>
      </c>
      <c r="T63" s="32" t="s">
        <v>59</v>
      </c>
      <c r="U63" s="31" t="n">
        <f aca="false">M63-O63</f>
        <v>176.58</v>
      </c>
      <c r="V63" s="26" t="s">
        <v>80</v>
      </c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customFormat="false" ht="15.75" hidden="false" customHeight="true" outlineLevel="0" collapsed="false">
      <c r="A64" s="1"/>
      <c r="B64" s="26" t="n">
        <v>2470</v>
      </c>
      <c r="C64" s="27" t="s">
        <v>16</v>
      </c>
      <c r="D64" s="27" t="s">
        <v>0</v>
      </c>
      <c r="E64" s="27" t="n">
        <v>2</v>
      </c>
      <c r="F64" s="27" t="s">
        <v>1</v>
      </c>
      <c r="G64" s="28" t="n">
        <v>45856</v>
      </c>
      <c r="H64" s="27" t="s">
        <v>6</v>
      </c>
      <c r="I64" s="27" t="s">
        <v>54</v>
      </c>
      <c r="J64" s="26" t="n">
        <v>1052</v>
      </c>
      <c r="K64" s="29" t="n">
        <v>360</v>
      </c>
      <c r="L64" s="29" t="n">
        <v>0</v>
      </c>
      <c r="M64" s="29" t="n">
        <f aca="false">K64-L64</f>
        <v>360</v>
      </c>
      <c r="N64" s="29" t="n">
        <f aca="false">M64*C2</f>
        <v>14.4</v>
      </c>
      <c r="O64" s="30" t="n">
        <v>0</v>
      </c>
      <c r="P64" s="31" t="s">
        <v>5</v>
      </c>
      <c r="Q64" s="31" t="s">
        <v>6</v>
      </c>
      <c r="R64" s="31" t="n">
        <f aca="false">M64-N64-O64</f>
        <v>345.6</v>
      </c>
      <c r="S64" s="31" t="n">
        <f aca="false">R64/E64</f>
        <v>172.8</v>
      </c>
      <c r="T64" s="32" t="s">
        <v>59</v>
      </c>
      <c r="U64" s="31" t="n">
        <f aca="false">M64-O64</f>
        <v>360</v>
      </c>
      <c r="V64" s="26" t="s">
        <v>81</v>
      </c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customFormat="false" ht="15.75" hidden="false" customHeight="true" outlineLevel="0" collapsed="false">
      <c r="A65" s="1"/>
      <c r="B65" s="26" t="n">
        <v>2550</v>
      </c>
      <c r="C65" s="27" t="s">
        <v>58</v>
      </c>
      <c r="D65" s="27" t="s">
        <v>0</v>
      </c>
      <c r="E65" s="27" t="n">
        <v>1</v>
      </c>
      <c r="F65" s="27" t="s">
        <v>1</v>
      </c>
      <c r="G65" s="28" t="n">
        <v>45856</v>
      </c>
      <c r="H65" s="27" t="s">
        <v>6</v>
      </c>
      <c r="I65" s="27" t="s">
        <v>54</v>
      </c>
      <c r="J65" s="26" t="n">
        <v>1053</v>
      </c>
      <c r="K65" s="29" t="n">
        <v>60</v>
      </c>
      <c r="L65" s="29" t="n">
        <v>0</v>
      </c>
      <c r="M65" s="29" t="n">
        <f aca="false">K65-L65</f>
        <v>60</v>
      </c>
      <c r="N65" s="29" t="n">
        <f aca="false">M65*C2</f>
        <v>2.4</v>
      </c>
      <c r="O65" s="30" t="n">
        <v>0</v>
      </c>
      <c r="P65" s="31" t="s">
        <v>5</v>
      </c>
      <c r="Q65" s="31" t="s">
        <v>6</v>
      </c>
      <c r="R65" s="31" t="n">
        <f aca="false">M65-N65-O65</f>
        <v>57.6</v>
      </c>
      <c r="S65" s="31" t="n">
        <f aca="false">R65/E65</f>
        <v>57.6</v>
      </c>
      <c r="T65" s="32" t="s">
        <v>59</v>
      </c>
      <c r="U65" s="31" t="n">
        <f aca="false">M65-O65</f>
        <v>60</v>
      </c>
      <c r="V65" s="26" t="s">
        <v>82</v>
      </c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customFormat="false" ht="15.75" hidden="false" customHeight="true" outlineLevel="0" collapsed="false">
      <c r="A66" s="1"/>
      <c r="B66" s="33" t="n">
        <v>3010</v>
      </c>
      <c r="C66" s="34" t="s">
        <v>30</v>
      </c>
      <c r="D66" s="34" t="s">
        <v>0</v>
      </c>
      <c r="E66" s="34" t="n">
        <v>1</v>
      </c>
      <c r="F66" s="34" t="s">
        <v>1</v>
      </c>
      <c r="G66" s="35" t="n">
        <v>45856</v>
      </c>
      <c r="H66" s="34" t="s">
        <v>75</v>
      </c>
      <c r="I66" s="34" t="s">
        <v>54</v>
      </c>
      <c r="J66" s="33" t="n">
        <v>1054</v>
      </c>
      <c r="K66" s="36" t="n">
        <v>250</v>
      </c>
      <c r="L66" s="36" t="n">
        <v>50</v>
      </c>
      <c r="M66" s="36" t="n">
        <f aca="false">K66-L66</f>
        <v>200</v>
      </c>
      <c r="N66" s="36" t="n">
        <f aca="false">M66*C2</f>
        <v>8</v>
      </c>
      <c r="O66" s="37" t="n">
        <f aca="false">M66*3.71%</f>
        <v>7.42</v>
      </c>
      <c r="P66" s="38" t="s">
        <v>10</v>
      </c>
      <c r="Q66" s="38" t="s">
        <v>79</v>
      </c>
      <c r="R66" s="42" t="n">
        <f aca="false">M66-N66-O66</f>
        <v>184.58</v>
      </c>
      <c r="S66" s="48" t="n">
        <f aca="false">R66/E66</f>
        <v>184.58</v>
      </c>
      <c r="T66" s="43" t="s">
        <v>66</v>
      </c>
      <c r="U66" s="44" t="n">
        <f aca="false">M66/2-O66/2</f>
        <v>96.29</v>
      </c>
      <c r="V66" s="45" t="s">
        <v>67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customFormat="false" ht="15.75" hidden="false" customHeight="true" outlineLevel="0" collapsed="false">
      <c r="A67" s="1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42"/>
      <c r="S67" s="42"/>
      <c r="T67" s="39" t="s">
        <v>70</v>
      </c>
      <c r="U67" s="38" t="n">
        <f aca="false">U66</f>
        <v>96.29</v>
      </c>
      <c r="V67" s="4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customFormat="false" ht="15.75" hidden="false" customHeight="true" outlineLevel="0" collapsed="false">
      <c r="A68" s="1"/>
      <c r="B68" s="33" t="n">
        <v>2550</v>
      </c>
      <c r="C68" s="34" t="s">
        <v>58</v>
      </c>
      <c r="D68" s="34" t="s">
        <v>0</v>
      </c>
      <c r="E68" s="34" t="n">
        <v>1</v>
      </c>
      <c r="F68" s="34" t="s">
        <v>1</v>
      </c>
      <c r="G68" s="35" t="n">
        <v>45856</v>
      </c>
      <c r="H68" s="34" t="s">
        <v>75</v>
      </c>
      <c r="I68" s="34" t="s">
        <v>54</v>
      </c>
      <c r="J68" s="33" t="n">
        <v>1054</v>
      </c>
      <c r="K68" s="36" t="n">
        <v>60</v>
      </c>
      <c r="L68" s="36" t="n">
        <v>12</v>
      </c>
      <c r="M68" s="36" t="n">
        <f aca="false">K68-L68</f>
        <v>48</v>
      </c>
      <c r="N68" s="36" t="n">
        <f aca="false">M68*C2</f>
        <v>1.92</v>
      </c>
      <c r="O68" s="37" t="n">
        <f aca="false">M68*3.71%</f>
        <v>1.7808</v>
      </c>
      <c r="P68" s="38" t="s">
        <v>10</v>
      </c>
      <c r="Q68" s="38" t="s">
        <v>79</v>
      </c>
      <c r="R68" s="42" t="n">
        <f aca="false">M68-N68-O68</f>
        <v>44.2992</v>
      </c>
      <c r="S68" s="48" t="n">
        <f aca="false">R68/E68</f>
        <v>44.2992</v>
      </c>
      <c r="T68" s="43" t="s">
        <v>66</v>
      </c>
      <c r="U68" s="44" t="n">
        <f aca="false">M68/2-O68/2</f>
        <v>23.1096</v>
      </c>
      <c r="V68" s="45" t="s">
        <v>67</v>
      </c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customFormat="false" ht="15.75" hidden="false" customHeight="true" outlineLevel="0" collapsed="false">
      <c r="A69" s="1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42"/>
      <c r="S69" s="42"/>
      <c r="T69" s="39" t="s">
        <v>70</v>
      </c>
      <c r="U69" s="38" t="n">
        <f aca="false">U68</f>
        <v>23.1096</v>
      </c>
      <c r="V69" s="4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customFormat="false" ht="15.75" hidden="false" customHeight="true" outlineLevel="0" collapsed="false">
      <c r="A70" s="1"/>
      <c r="B70" s="33" t="n">
        <v>2470</v>
      </c>
      <c r="C70" s="34" t="s">
        <v>16</v>
      </c>
      <c r="D70" s="34" t="s">
        <v>0</v>
      </c>
      <c r="E70" s="34" t="n">
        <v>2</v>
      </c>
      <c r="F70" s="34" t="s">
        <v>1</v>
      </c>
      <c r="G70" s="35" t="n">
        <v>45857</v>
      </c>
      <c r="H70" s="34" t="s">
        <v>76</v>
      </c>
      <c r="I70" s="34" t="s">
        <v>54</v>
      </c>
      <c r="J70" s="33" t="n">
        <v>1055</v>
      </c>
      <c r="K70" s="36" t="n">
        <v>360</v>
      </c>
      <c r="L70" s="36" t="n">
        <v>36</v>
      </c>
      <c r="M70" s="36" t="n">
        <f aca="false">K70-L70</f>
        <v>324</v>
      </c>
      <c r="N70" s="36" t="n">
        <f aca="false">M70*C2</f>
        <v>12.96</v>
      </c>
      <c r="O70" s="37" t="n">
        <f aca="false">M70*2.9%</f>
        <v>9.396</v>
      </c>
      <c r="P70" s="38" t="s">
        <v>10</v>
      </c>
      <c r="Q70" s="38" t="s">
        <v>62</v>
      </c>
      <c r="R70" s="38" t="n">
        <f aca="false">M70-N70-O70</f>
        <v>301.644</v>
      </c>
      <c r="S70" s="42" t="n">
        <f aca="false">R70/E70</f>
        <v>150.822</v>
      </c>
      <c r="T70" s="43" t="s">
        <v>66</v>
      </c>
      <c r="U70" s="44" t="n">
        <f aca="false">M70/2-O70/2</f>
        <v>157.302</v>
      </c>
      <c r="V70" s="45" t="s">
        <v>67</v>
      </c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customFormat="false" ht="15.75" hidden="false" customHeight="true" outlineLevel="0" collapsed="false">
      <c r="A71" s="1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42"/>
      <c r="T71" s="39" t="s">
        <v>70</v>
      </c>
      <c r="U71" s="38" t="n">
        <f aca="false">U70</f>
        <v>157.302</v>
      </c>
      <c r="V71" s="4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customFormat="false" ht="15.75" hidden="false" customHeight="true" outlineLevel="0" collapsed="false">
      <c r="A72" s="1"/>
      <c r="B72" s="33" t="n">
        <v>2470</v>
      </c>
      <c r="C72" s="34" t="s">
        <v>16</v>
      </c>
      <c r="D72" s="34" t="s">
        <v>0</v>
      </c>
      <c r="E72" s="34" t="n">
        <v>1</v>
      </c>
      <c r="F72" s="34" t="s">
        <v>1</v>
      </c>
      <c r="G72" s="35" t="n">
        <v>45857</v>
      </c>
      <c r="H72" s="34" t="s">
        <v>76</v>
      </c>
      <c r="I72" s="34" t="s">
        <v>54</v>
      </c>
      <c r="J72" s="33" t="n">
        <v>1056</v>
      </c>
      <c r="K72" s="36" t="n">
        <v>180</v>
      </c>
      <c r="L72" s="36" t="n">
        <v>0</v>
      </c>
      <c r="M72" s="36" t="n">
        <f aca="false">K72-L72</f>
        <v>180</v>
      </c>
      <c r="N72" s="36" t="n">
        <f aca="false">M72*C2</f>
        <v>7.2</v>
      </c>
      <c r="O72" s="37" t="n">
        <f aca="false">M72*3.78%</f>
        <v>6.804</v>
      </c>
      <c r="P72" s="38" t="s">
        <v>10</v>
      </c>
      <c r="Q72" s="38" t="s">
        <v>55</v>
      </c>
      <c r="R72" s="38" t="n">
        <f aca="false">M72-N72-O72</f>
        <v>165.996</v>
      </c>
      <c r="S72" s="42" t="n">
        <f aca="false">R72/E72</f>
        <v>165.996</v>
      </c>
      <c r="T72" s="43" t="s">
        <v>66</v>
      </c>
      <c r="U72" s="44" t="n">
        <f aca="false">M72/2-O72/2</f>
        <v>86.598</v>
      </c>
      <c r="V72" s="4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customFormat="false" ht="15.75" hidden="false" customHeight="true" outlineLevel="0" collapsed="false">
      <c r="A73" s="1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42"/>
      <c r="T73" s="39" t="s">
        <v>70</v>
      </c>
      <c r="U73" s="38" t="n">
        <f aca="false">U72</f>
        <v>86.598</v>
      </c>
      <c r="V73" s="4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customFormat="false" ht="15.75" hidden="false" customHeight="true" outlineLevel="0" collapsed="false">
      <c r="A74" s="1"/>
      <c r="B74" s="33" t="n">
        <v>2470</v>
      </c>
      <c r="C74" s="34" t="s">
        <v>16</v>
      </c>
      <c r="D74" s="34" t="s">
        <v>0</v>
      </c>
      <c r="E74" s="34" t="n">
        <v>1</v>
      </c>
      <c r="F74" s="34" t="s">
        <v>1</v>
      </c>
      <c r="G74" s="35" t="n">
        <v>45857</v>
      </c>
      <c r="H74" s="34" t="s">
        <v>76</v>
      </c>
      <c r="I74" s="34" t="s">
        <v>54</v>
      </c>
      <c r="J74" s="33" t="n">
        <v>1057</v>
      </c>
      <c r="K74" s="36" t="n">
        <v>180</v>
      </c>
      <c r="L74" s="36" t="n">
        <v>0</v>
      </c>
      <c r="M74" s="36" t="n">
        <f aca="false">K74-L74</f>
        <v>180</v>
      </c>
      <c r="N74" s="36" t="n">
        <f aca="false">M74*C2</f>
        <v>7.2</v>
      </c>
      <c r="O74" s="37" t="n">
        <f aca="false">M63*3.29%</f>
        <v>5.922</v>
      </c>
      <c r="P74" s="38" t="s">
        <v>9</v>
      </c>
      <c r="Q74" s="38" t="s">
        <v>62</v>
      </c>
      <c r="R74" s="38" t="n">
        <f aca="false">M74-N74-O74</f>
        <v>166.878</v>
      </c>
      <c r="S74" s="38" t="n">
        <f aca="false">R74/E74</f>
        <v>166.878</v>
      </c>
      <c r="T74" s="39" t="s">
        <v>66</v>
      </c>
      <c r="U74" s="38" t="n">
        <f aca="false">M63-O74</f>
        <v>174.078</v>
      </c>
      <c r="V74" s="33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customFormat="false" ht="15.75" hidden="false" customHeight="true" outlineLevel="0" collapsed="false">
      <c r="A75" s="1"/>
      <c r="B75" s="33" t="n">
        <v>2470</v>
      </c>
      <c r="C75" s="34" t="s">
        <v>16</v>
      </c>
      <c r="D75" s="34" t="s">
        <v>0</v>
      </c>
      <c r="E75" s="34" t="n">
        <v>1</v>
      </c>
      <c r="F75" s="34" t="s">
        <v>1</v>
      </c>
      <c r="G75" s="35" t="n">
        <v>45857</v>
      </c>
      <c r="H75" s="34" t="s">
        <v>76</v>
      </c>
      <c r="I75" s="34" t="s">
        <v>54</v>
      </c>
      <c r="J75" s="33" t="n">
        <v>1058</v>
      </c>
      <c r="K75" s="36" t="n">
        <v>180</v>
      </c>
      <c r="L75" s="36" t="n">
        <v>0</v>
      </c>
      <c r="M75" s="36" t="n">
        <f aca="false">K75-L75</f>
        <v>180</v>
      </c>
      <c r="N75" s="36" t="n">
        <f aca="false">M75*C2</f>
        <v>7.2</v>
      </c>
      <c r="O75" s="37" t="n">
        <f aca="false">M75*1.9%</f>
        <v>3.42</v>
      </c>
      <c r="P75" s="38" t="s">
        <v>7</v>
      </c>
      <c r="Q75" s="38" t="s">
        <v>55</v>
      </c>
      <c r="R75" s="38" t="n">
        <f aca="false">M75-N75-O75</f>
        <v>169.38</v>
      </c>
      <c r="S75" s="38" t="n">
        <f aca="false">R75/E75</f>
        <v>169.38</v>
      </c>
      <c r="T75" s="39" t="s">
        <v>56</v>
      </c>
      <c r="U75" s="38" t="n">
        <f aca="false">M75-O75</f>
        <v>176.58</v>
      </c>
      <c r="V75" s="33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customFormat="false" ht="15.75" hidden="false" customHeight="true" outlineLevel="0" collapsed="false">
      <c r="A76" s="1"/>
      <c r="B76" s="26" t="n">
        <v>3010</v>
      </c>
      <c r="C76" s="27" t="s">
        <v>30</v>
      </c>
      <c r="D76" s="27" t="s">
        <v>0</v>
      </c>
      <c r="E76" s="27" t="n">
        <v>1</v>
      </c>
      <c r="F76" s="27" t="s">
        <v>1</v>
      </c>
      <c r="G76" s="28" t="n">
        <v>45857</v>
      </c>
      <c r="H76" s="27" t="s">
        <v>6</v>
      </c>
      <c r="I76" s="27" t="s">
        <v>54</v>
      </c>
      <c r="J76" s="26" t="n">
        <v>1059</v>
      </c>
      <c r="K76" s="29" t="n">
        <v>250</v>
      </c>
      <c r="L76" s="29" t="n">
        <v>0</v>
      </c>
      <c r="M76" s="29" t="n">
        <f aca="false">K76-L76</f>
        <v>250</v>
      </c>
      <c r="N76" s="29" t="n">
        <f aca="false">M76*C2</f>
        <v>10</v>
      </c>
      <c r="O76" s="30" t="n">
        <f aca="false">M76*2.9%</f>
        <v>7.25</v>
      </c>
      <c r="P76" s="31" t="s">
        <v>10</v>
      </c>
      <c r="Q76" s="31" t="s">
        <v>55</v>
      </c>
      <c r="R76" s="31" t="n">
        <f aca="false">M76-N76-O76</f>
        <v>232.75</v>
      </c>
      <c r="S76" s="51" t="n">
        <f aca="false">R76/E76</f>
        <v>232.75</v>
      </c>
      <c r="T76" s="52" t="s">
        <v>66</v>
      </c>
      <c r="U76" s="53" t="n">
        <f aca="false">M76/2-O76/2</f>
        <v>121.375</v>
      </c>
      <c r="V76" s="54" t="s">
        <v>83</v>
      </c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customFormat="false" ht="15.75" hidden="false" customHeight="true" outlineLevel="0" collapsed="false">
      <c r="A77" s="1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51"/>
      <c r="T77" s="32" t="s">
        <v>70</v>
      </c>
      <c r="U77" s="31" t="n">
        <f aca="false">U76</f>
        <v>121.375</v>
      </c>
      <c r="V77" s="54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customFormat="false" ht="15.75" hidden="false" customHeight="true" outlineLevel="0" collapsed="false">
      <c r="A78" s="1"/>
      <c r="B78" s="33" t="n">
        <v>2470</v>
      </c>
      <c r="C78" s="34" t="s">
        <v>16</v>
      </c>
      <c r="D78" s="34" t="s">
        <v>0</v>
      </c>
      <c r="E78" s="34" t="n">
        <v>1</v>
      </c>
      <c r="F78" s="34" t="s">
        <v>1</v>
      </c>
      <c r="G78" s="35" t="n">
        <v>45857</v>
      </c>
      <c r="H78" s="34" t="s">
        <v>76</v>
      </c>
      <c r="I78" s="34" t="s">
        <v>54</v>
      </c>
      <c r="J78" s="33" t="n">
        <v>1060</v>
      </c>
      <c r="K78" s="36" t="n">
        <v>180</v>
      </c>
      <c r="L78" s="36" t="n">
        <v>36</v>
      </c>
      <c r="M78" s="36" t="n">
        <f aca="false">K78-L78</f>
        <v>144</v>
      </c>
      <c r="N78" s="36" t="n">
        <f aca="false">M78*C2</f>
        <v>5.76</v>
      </c>
      <c r="O78" s="37" t="n">
        <f aca="false">M78*1.65%</f>
        <v>2.376</v>
      </c>
      <c r="P78" s="38" t="s">
        <v>7</v>
      </c>
      <c r="Q78" s="38" t="s">
        <v>62</v>
      </c>
      <c r="R78" s="38" t="n">
        <f aca="false">M78-N78-O78</f>
        <v>135.864</v>
      </c>
      <c r="S78" s="38" t="n">
        <f aca="false">R78/E78</f>
        <v>135.864</v>
      </c>
      <c r="T78" s="39" t="s">
        <v>56</v>
      </c>
      <c r="U78" s="38" t="n">
        <f aca="false">M78-O78</f>
        <v>141.624</v>
      </c>
      <c r="V78" s="33" t="s">
        <v>67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customFormat="false" ht="15.75" hidden="false" customHeight="true" outlineLevel="0" collapsed="false">
      <c r="A79" s="1"/>
      <c r="B79" s="33" t="n">
        <v>2470</v>
      </c>
      <c r="C79" s="34" t="s">
        <v>16</v>
      </c>
      <c r="D79" s="34" t="s">
        <v>0</v>
      </c>
      <c r="E79" s="34" t="n">
        <v>1</v>
      </c>
      <c r="F79" s="34" t="s">
        <v>1</v>
      </c>
      <c r="G79" s="35" t="n">
        <v>45857</v>
      </c>
      <c r="H79" s="34" t="s">
        <v>76</v>
      </c>
      <c r="I79" s="34" t="s">
        <v>54</v>
      </c>
      <c r="J79" s="33" t="n">
        <v>1061</v>
      </c>
      <c r="K79" s="36" t="n">
        <v>180</v>
      </c>
      <c r="L79" s="36" t="n">
        <v>36</v>
      </c>
      <c r="M79" s="36" t="n">
        <f aca="false">K79-L79</f>
        <v>144</v>
      </c>
      <c r="N79" s="36" t="n">
        <f aca="false">M79*C2</f>
        <v>5.76</v>
      </c>
      <c r="O79" s="37" t="n">
        <f aca="false">M79*2.7%</f>
        <v>3.888</v>
      </c>
      <c r="P79" s="38" t="s">
        <v>9</v>
      </c>
      <c r="Q79" s="38" t="s">
        <v>62</v>
      </c>
      <c r="R79" s="38" t="n">
        <f aca="false">M79-N79-O79</f>
        <v>134.352</v>
      </c>
      <c r="S79" s="38" t="n">
        <f aca="false">R79/E79</f>
        <v>134.352</v>
      </c>
      <c r="T79" s="40" t="s">
        <v>66</v>
      </c>
      <c r="U79" s="41" t="n">
        <f aca="false">M79-O79</f>
        <v>140.112</v>
      </c>
      <c r="V79" s="33" t="s">
        <v>67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customFormat="false" ht="15.75" hidden="false" customHeight="true" outlineLevel="0" collapsed="false">
      <c r="A80" s="1"/>
      <c r="B80" s="26" t="n">
        <v>2470</v>
      </c>
      <c r="C80" s="27" t="s">
        <v>16</v>
      </c>
      <c r="D80" s="27" t="s">
        <v>0</v>
      </c>
      <c r="E80" s="27" t="n">
        <v>4</v>
      </c>
      <c r="F80" s="27" t="s">
        <v>1</v>
      </c>
      <c r="G80" s="28" t="n">
        <v>45857</v>
      </c>
      <c r="H80" s="27" t="s">
        <v>6</v>
      </c>
      <c r="I80" s="27" t="s">
        <v>54</v>
      </c>
      <c r="J80" s="26" t="n">
        <v>1062</v>
      </c>
      <c r="K80" s="29" t="n">
        <v>720</v>
      </c>
      <c r="L80" s="29" t="n">
        <v>144</v>
      </c>
      <c r="M80" s="29" t="n">
        <f aca="false">K80-L80</f>
        <v>576</v>
      </c>
      <c r="N80" s="29" t="n">
        <f aca="false">M80*C2</f>
        <v>23.04</v>
      </c>
      <c r="O80" s="30" t="n">
        <f aca="false">M80*2.9%</f>
        <v>16.704</v>
      </c>
      <c r="P80" s="31" t="s">
        <v>69</v>
      </c>
      <c r="Q80" s="31" t="s">
        <v>55</v>
      </c>
      <c r="R80" s="31" t="n">
        <f aca="false">M80-N80-O80</f>
        <v>536.256</v>
      </c>
      <c r="S80" s="51" t="n">
        <f aca="false">R80/E80</f>
        <v>134.064</v>
      </c>
      <c r="T80" s="52" t="s">
        <v>66</v>
      </c>
      <c r="U80" s="53" t="n">
        <f aca="false">M80/4-O80/4</f>
        <v>139.824</v>
      </c>
      <c r="V80" s="54" t="s">
        <v>83</v>
      </c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customFormat="false" ht="15.75" hidden="false" customHeight="true" outlineLevel="0" collapsed="false">
      <c r="A81" s="1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51"/>
      <c r="T81" s="55" t="s">
        <v>70</v>
      </c>
      <c r="U81" s="56" t="n">
        <f aca="false">U80</f>
        <v>139.824</v>
      </c>
      <c r="V81" s="54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customFormat="false" ht="15.75" hidden="false" customHeight="true" outlineLevel="0" collapsed="false">
      <c r="A82" s="1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51"/>
      <c r="T82" s="55" t="s">
        <v>71</v>
      </c>
      <c r="U82" s="56" t="n">
        <f aca="false">U81</f>
        <v>139.824</v>
      </c>
      <c r="V82" s="54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customFormat="false" ht="15.75" hidden="false" customHeight="true" outlineLevel="0" collapsed="false">
      <c r="A83" s="1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51"/>
      <c r="T83" s="32" t="s">
        <v>72</v>
      </c>
      <c r="U83" s="31" t="n">
        <f aca="false">U82</f>
        <v>139.824</v>
      </c>
      <c r="V83" s="54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customFormat="false" ht="15.75" hidden="false" customHeight="true" outlineLevel="0" collapsed="false">
      <c r="A84" s="1"/>
      <c r="B84" s="33" t="n">
        <v>2470</v>
      </c>
      <c r="C84" s="34" t="s">
        <v>16</v>
      </c>
      <c r="D84" s="34" t="s">
        <v>0</v>
      </c>
      <c r="E84" s="34" t="n">
        <v>1</v>
      </c>
      <c r="F84" s="34" t="s">
        <v>1</v>
      </c>
      <c r="G84" s="35" t="n">
        <v>45859</v>
      </c>
      <c r="H84" s="34" t="s">
        <v>77</v>
      </c>
      <c r="I84" s="34" t="s">
        <v>54</v>
      </c>
      <c r="J84" s="33" t="n">
        <v>1063</v>
      </c>
      <c r="K84" s="36" t="n">
        <v>180</v>
      </c>
      <c r="L84" s="36" t="n">
        <v>50</v>
      </c>
      <c r="M84" s="36" t="n">
        <f aca="false">K84-L84</f>
        <v>130</v>
      </c>
      <c r="N84" s="36" t="n">
        <f aca="false">M84*C2</f>
        <v>5.2</v>
      </c>
      <c r="O84" s="37" t="n">
        <f aca="false">M84*1.65%-0.01</f>
        <v>2.135</v>
      </c>
      <c r="P84" s="38" t="s">
        <v>7</v>
      </c>
      <c r="Q84" s="38" t="s">
        <v>55</v>
      </c>
      <c r="R84" s="38" t="n">
        <f aca="false">M84-N84-O84</f>
        <v>122.665</v>
      </c>
      <c r="S84" s="38" t="n">
        <f aca="false">R84/E84</f>
        <v>122.665</v>
      </c>
      <c r="T84" s="39" t="s">
        <v>56</v>
      </c>
      <c r="U84" s="38" t="n">
        <f aca="false">M84-O84</f>
        <v>127.865</v>
      </c>
      <c r="V84" s="33" t="s">
        <v>67</v>
      </c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customFormat="false" ht="15.75" hidden="false" customHeight="true" outlineLevel="0" collapsed="false">
      <c r="A85" s="1"/>
      <c r="B85" s="33" t="n">
        <v>2470</v>
      </c>
      <c r="C85" s="34" t="s">
        <v>16</v>
      </c>
      <c r="D85" s="34" t="s">
        <v>0</v>
      </c>
      <c r="E85" s="34" t="n">
        <v>1</v>
      </c>
      <c r="F85" s="34" t="s">
        <v>1</v>
      </c>
      <c r="G85" s="35" t="n">
        <v>45860</v>
      </c>
      <c r="H85" s="34" t="s">
        <v>64</v>
      </c>
      <c r="I85" s="34" t="s">
        <v>54</v>
      </c>
      <c r="J85" s="33" t="n">
        <v>1066</v>
      </c>
      <c r="K85" s="36" t="n">
        <v>180</v>
      </c>
      <c r="L85" s="36" t="n">
        <v>0</v>
      </c>
      <c r="M85" s="36" t="n">
        <f aca="false">K85-L85</f>
        <v>180</v>
      </c>
      <c r="N85" s="36" t="n">
        <f aca="false">M85*C2</f>
        <v>7.2</v>
      </c>
      <c r="O85" s="37" t="n">
        <f aca="false">M85*2.9%</f>
        <v>5.22</v>
      </c>
      <c r="P85" s="38" t="s">
        <v>10</v>
      </c>
      <c r="Q85" s="38" t="s">
        <v>55</v>
      </c>
      <c r="R85" s="38" t="n">
        <f aca="false">M85-N85-O85</f>
        <v>167.58</v>
      </c>
      <c r="S85" s="42" t="n">
        <f aca="false">R85/E85</f>
        <v>167.58</v>
      </c>
      <c r="T85" s="43" t="s">
        <v>66</v>
      </c>
      <c r="U85" s="44" t="n">
        <f aca="false">M85/2-O85/2</f>
        <v>87.39</v>
      </c>
      <c r="V85" s="45" t="s">
        <v>67</v>
      </c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customFormat="false" ht="15.75" hidden="false" customHeight="true" outlineLevel="0" collapsed="false">
      <c r="A86" s="1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42"/>
      <c r="T86" s="39" t="s">
        <v>70</v>
      </c>
      <c r="U86" s="38" t="n">
        <f aca="false">U85</f>
        <v>87.39</v>
      </c>
      <c r="V86" s="4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customFormat="false" ht="15.75" hidden="false" customHeight="true" outlineLevel="0" collapsed="false">
      <c r="A87" s="1"/>
      <c r="B87" s="33" t="n">
        <v>2470</v>
      </c>
      <c r="C87" s="34" t="s">
        <v>16</v>
      </c>
      <c r="D87" s="34" t="s">
        <v>0</v>
      </c>
      <c r="E87" s="34" t="n">
        <v>1</v>
      </c>
      <c r="F87" s="34" t="s">
        <v>1</v>
      </c>
      <c r="G87" s="35" t="n">
        <v>45861</v>
      </c>
      <c r="H87" s="34" t="s">
        <v>68</v>
      </c>
      <c r="I87" s="34" t="s">
        <v>54</v>
      </c>
      <c r="J87" s="33" t="n">
        <v>1067</v>
      </c>
      <c r="K87" s="36" t="n">
        <v>180</v>
      </c>
      <c r="L87" s="36" t="n">
        <v>0</v>
      </c>
      <c r="M87" s="36" t="n">
        <f aca="false">K87-L87</f>
        <v>180</v>
      </c>
      <c r="N87" s="36" t="n">
        <f aca="false">M87*C2</f>
        <v>7.2</v>
      </c>
      <c r="O87" s="37" t="n">
        <f aca="false">M87*0.75%</f>
        <v>1.35</v>
      </c>
      <c r="P87" s="38" t="s">
        <v>5</v>
      </c>
      <c r="Q87" s="38" t="s">
        <v>6</v>
      </c>
      <c r="R87" s="38" t="n">
        <f aca="false">M87-N87-O87</f>
        <v>171.45</v>
      </c>
      <c r="S87" s="38" t="n">
        <f aca="false">R87/E87</f>
        <v>171.45</v>
      </c>
      <c r="T87" s="40" t="s">
        <v>56</v>
      </c>
      <c r="U87" s="41" t="n">
        <f aca="false">M87-O87</f>
        <v>178.65</v>
      </c>
      <c r="V87" s="33" t="s">
        <v>67</v>
      </c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customFormat="false" ht="15.75" hidden="false" customHeight="true" outlineLevel="0" collapsed="false">
      <c r="A88" s="1"/>
      <c r="B88" s="33" t="n">
        <v>2470</v>
      </c>
      <c r="C88" s="34" t="s">
        <v>16</v>
      </c>
      <c r="D88" s="34" t="s">
        <v>0</v>
      </c>
      <c r="E88" s="34" t="n">
        <v>2</v>
      </c>
      <c r="F88" s="34" t="s">
        <v>1</v>
      </c>
      <c r="G88" s="35" t="n">
        <v>45861</v>
      </c>
      <c r="H88" s="34" t="s">
        <v>68</v>
      </c>
      <c r="I88" s="34" t="s">
        <v>84</v>
      </c>
      <c r="J88" s="33" t="n">
        <v>1068</v>
      </c>
      <c r="K88" s="36" t="n">
        <v>360</v>
      </c>
      <c r="L88" s="36" t="n">
        <v>80</v>
      </c>
      <c r="M88" s="36" t="n">
        <f aca="false">K88-L88</f>
        <v>280</v>
      </c>
      <c r="N88" s="36" t="n">
        <f aca="false">M88*C2</f>
        <v>11.2</v>
      </c>
      <c r="O88" s="37" t="n">
        <f aca="false">M88*2.91%-0.03</f>
        <v>8.118</v>
      </c>
      <c r="P88" s="38" t="s">
        <v>10</v>
      </c>
      <c r="Q88" s="38" t="s">
        <v>55</v>
      </c>
      <c r="R88" s="38" t="n">
        <f aca="false">M88-N88-O88</f>
        <v>260.682</v>
      </c>
      <c r="S88" s="42" t="n">
        <f aca="false">R88/E88</f>
        <v>130.341</v>
      </c>
      <c r="T88" s="43" t="s">
        <v>66</v>
      </c>
      <c r="U88" s="44" t="n">
        <f aca="false">M88/2-O88/2</f>
        <v>135.941</v>
      </c>
      <c r="V88" s="45" t="s">
        <v>67</v>
      </c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customFormat="false" ht="15.75" hidden="false" customHeight="true" outlineLevel="0" collapsed="false">
      <c r="A89" s="1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42"/>
      <c r="T89" s="39" t="s">
        <v>70</v>
      </c>
      <c r="U89" s="38" t="n">
        <f aca="false">U88</f>
        <v>135.941</v>
      </c>
      <c r="V89" s="4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customFormat="false" ht="15.75" hidden="false" customHeight="true" outlineLevel="0" collapsed="false">
      <c r="A90" s="1"/>
      <c r="B90" s="26" t="n">
        <v>2470</v>
      </c>
      <c r="C90" s="27" t="s">
        <v>16</v>
      </c>
      <c r="D90" s="27" t="s">
        <v>0</v>
      </c>
      <c r="E90" s="27" t="n">
        <v>1</v>
      </c>
      <c r="F90" s="27" t="s">
        <v>1</v>
      </c>
      <c r="G90" s="28" t="n">
        <v>45861</v>
      </c>
      <c r="H90" s="27" t="s">
        <v>6</v>
      </c>
      <c r="I90" s="27" t="s">
        <v>54</v>
      </c>
      <c r="J90" s="26" t="n">
        <v>1069</v>
      </c>
      <c r="K90" s="29" t="n">
        <v>180</v>
      </c>
      <c r="L90" s="29" t="n">
        <v>0</v>
      </c>
      <c r="M90" s="29" t="n">
        <f aca="false">K90-L90</f>
        <v>180</v>
      </c>
      <c r="N90" s="29" t="n">
        <f aca="false">M90*C2</f>
        <v>7.2</v>
      </c>
      <c r="O90" s="30" t="n">
        <v>0</v>
      </c>
      <c r="P90" s="31" t="s">
        <v>5</v>
      </c>
      <c r="Q90" s="31" t="s">
        <v>6</v>
      </c>
      <c r="R90" s="31" t="n">
        <f aca="false">M90-N90-O90</f>
        <v>172.8</v>
      </c>
      <c r="S90" s="31" t="n">
        <f aca="false">R90/E90</f>
        <v>172.8</v>
      </c>
      <c r="T90" s="32" t="s">
        <v>59</v>
      </c>
      <c r="U90" s="31"/>
      <c r="V90" s="26" t="s">
        <v>85</v>
      </c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customFormat="false" ht="15.75" hidden="false" customHeight="true" outlineLevel="0" collapsed="false">
      <c r="A91" s="1"/>
      <c r="B91" s="26" t="n">
        <v>3010</v>
      </c>
      <c r="C91" s="27" t="s">
        <v>30</v>
      </c>
      <c r="D91" s="27" t="s">
        <v>0</v>
      </c>
      <c r="E91" s="27" t="n">
        <v>1</v>
      </c>
      <c r="F91" s="27" t="s">
        <v>1</v>
      </c>
      <c r="G91" s="28" t="n">
        <v>45861</v>
      </c>
      <c r="H91" s="27" t="s">
        <v>6</v>
      </c>
      <c r="I91" s="27" t="s">
        <v>54</v>
      </c>
      <c r="J91" s="26" t="n">
        <v>1069</v>
      </c>
      <c r="K91" s="29" t="n">
        <v>250</v>
      </c>
      <c r="L91" s="29" t="n">
        <v>0</v>
      </c>
      <c r="M91" s="29" t="n">
        <f aca="false">K91-L91</f>
        <v>250</v>
      </c>
      <c r="N91" s="29" t="n">
        <f aca="false">M91*C2</f>
        <v>10</v>
      </c>
      <c r="O91" s="30" t="n">
        <v>0</v>
      </c>
      <c r="P91" s="31" t="s">
        <v>5</v>
      </c>
      <c r="Q91" s="31" t="s">
        <v>6</v>
      </c>
      <c r="R91" s="31" t="n">
        <f aca="false">M91-N91-O91</f>
        <v>240</v>
      </c>
      <c r="S91" s="31" t="n">
        <f aca="false">R91/E91</f>
        <v>240</v>
      </c>
      <c r="T91" s="32" t="s">
        <v>59</v>
      </c>
      <c r="U91" s="31"/>
      <c r="V91" s="26" t="s">
        <v>85</v>
      </c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customFormat="false" ht="15.75" hidden="false" customHeight="true" outlineLevel="0" collapsed="false">
      <c r="A92" s="1"/>
      <c r="B92" s="33" t="n">
        <v>2470</v>
      </c>
      <c r="C92" s="34" t="s">
        <v>16</v>
      </c>
      <c r="D92" s="34" t="s">
        <v>0</v>
      </c>
      <c r="E92" s="34" t="n">
        <v>1</v>
      </c>
      <c r="F92" s="34" t="s">
        <v>1</v>
      </c>
      <c r="G92" s="35" t="n">
        <v>45861</v>
      </c>
      <c r="H92" s="34" t="s">
        <v>68</v>
      </c>
      <c r="I92" s="34" t="s">
        <v>54</v>
      </c>
      <c r="J92" s="33" t="n">
        <v>1070</v>
      </c>
      <c r="K92" s="36" t="n">
        <v>180</v>
      </c>
      <c r="L92" s="36" t="n">
        <v>0</v>
      </c>
      <c r="M92" s="36" t="n">
        <f aca="false">K92-L92</f>
        <v>180</v>
      </c>
      <c r="N92" s="36" t="n">
        <f aca="false">M92*C2</f>
        <v>7.2</v>
      </c>
      <c r="O92" s="37" t="n">
        <f aca="false">M92*2.9%</f>
        <v>5.22</v>
      </c>
      <c r="P92" s="38" t="s">
        <v>10</v>
      </c>
      <c r="Q92" s="38" t="s">
        <v>62</v>
      </c>
      <c r="R92" s="38" t="n">
        <f aca="false">M92-N92-O92</f>
        <v>167.58</v>
      </c>
      <c r="S92" s="42" t="n">
        <f aca="false">R92/E92</f>
        <v>167.58</v>
      </c>
      <c r="T92" s="43" t="s">
        <v>66</v>
      </c>
      <c r="U92" s="44" t="n">
        <f aca="false">M92/2-O92/2</f>
        <v>87.39</v>
      </c>
      <c r="V92" s="45" t="s">
        <v>67</v>
      </c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customFormat="false" ht="15.75" hidden="false" customHeight="true" outlineLevel="0" collapsed="false">
      <c r="A93" s="1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42"/>
      <c r="T93" s="39" t="s">
        <v>70</v>
      </c>
      <c r="U93" s="38" t="n">
        <f aca="false">U92</f>
        <v>87.39</v>
      </c>
      <c r="V93" s="4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customFormat="false" ht="15.75" hidden="false" customHeight="true" outlineLevel="0" collapsed="false">
      <c r="A94" s="1"/>
      <c r="B94" s="26" t="n">
        <v>2470</v>
      </c>
      <c r="C94" s="27" t="s">
        <v>16</v>
      </c>
      <c r="D94" s="27" t="s">
        <v>0</v>
      </c>
      <c r="E94" s="27" t="n">
        <v>1</v>
      </c>
      <c r="F94" s="27" t="s">
        <v>1</v>
      </c>
      <c r="G94" s="28" t="n">
        <v>45861</v>
      </c>
      <c r="H94" s="27" t="s">
        <v>6</v>
      </c>
      <c r="I94" s="27" t="s">
        <v>54</v>
      </c>
      <c r="J94" s="26" t="n">
        <v>1071</v>
      </c>
      <c r="K94" s="29" t="n">
        <v>180</v>
      </c>
      <c r="L94" s="29" t="n">
        <v>0</v>
      </c>
      <c r="M94" s="29" t="n">
        <f aca="false">K94-L94</f>
        <v>180</v>
      </c>
      <c r="N94" s="29" t="n">
        <f aca="false">M94*C2</f>
        <v>7.2</v>
      </c>
      <c r="O94" s="30" t="n">
        <v>0</v>
      </c>
      <c r="P94" s="31" t="s">
        <v>5</v>
      </c>
      <c r="Q94" s="31" t="s">
        <v>6</v>
      </c>
      <c r="R94" s="31" t="n">
        <f aca="false">M94-N94-O94</f>
        <v>172.8</v>
      </c>
      <c r="S94" s="31" t="n">
        <f aca="false">R94/E94</f>
        <v>172.8</v>
      </c>
      <c r="T94" s="55" t="s">
        <v>59</v>
      </c>
      <c r="U94" s="56"/>
      <c r="V94" s="26" t="s">
        <v>86</v>
      </c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customFormat="false" ht="15.75" hidden="false" customHeight="true" outlineLevel="0" collapsed="false">
      <c r="A95" s="1"/>
      <c r="B95" s="26" t="n">
        <v>2470</v>
      </c>
      <c r="C95" s="27" t="s">
        <v>16</v>
      </c>
      <c r="D95" s="27" t="s">
        <v>0</v>
      </c>
      <c r="E95" s="27" t="n">
        <v>1</v>
      </c>
      <c r="F95" s="27" t="s">
        <v>1</v>
      </c>
      <c r="G95" s="28" t="n">
        <v>45861</v>
      </c>
      <c r="H95" s="27" t="s">
        <v>6</v>
      </c>
      <c r="I95" s="27" t="s">
        <v>54</v>
      </c>
      <c r="J95" s="26" t="n">
        <v>1072</v>
      </c>
      <c r="K95" s="29" t="n">
        <v>180</v>
      </c>
      <c r="L95" s="29" t="n">
        <v>0</v>
      </c>
      <c r="M95" s="29" t="n">
        <f aca="false">K95-L95</f>
        <v>180</v>
      </c>
      <c r="N95" s="29" t="n">
        <f aca="false">M95*C2</f>
        <v>7.2</v>
      </c>
      <c r="O95" s="30" t="n">
        <f aca="false">M95*3.78%</f>
        <v>6.804</v>
      </c>
      <c r="P95" s="31" t="s">
        <v>87</v>
      </c>
      <c r="Q95" s="31" t="s">
        <v>62</v>
      </c>
      <c r="R95" s="31" t="n">
        <f aca="false">M95-N95-O95</f>
        <v>165.996</v>
      </c>
      <c r="S95" s="51" t="n">
        <f aca="false">R95/E95</f>
        <v>165.996</v>
      </c>
      <c r="T95" s="57" t="s">
        <v>56</v>
      </c>
      <c r="U95" s="53" t="n">
        <f aca="false">M95/3-O95/3</f>
        <v>57.732</v>
      </c>
      <c r="V95" s="54" t="s">
        <v>88</v>
      </c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customFormat="false" ht="15.75" hidden="false" customHeight="true" outlineLevel="0" collapsed="false">
      <c r="A96" s="1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51"/>
      <c r="T96" s="58" t="s">
        <v>66</v>
      </c>
      <c r="U96" s="56" t="n">
        <f aca="false">U95</f>
        <v>57.732</v>
      </c>
      <c r="V96" s="5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customFormat="false" ht="15.75" hidden="false" customHeight="true" outlineLevel="0" collapsed="false">
      <c r="A97" s="1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51"/>
      <c r="T97" s="59" t="s">
        <v>70</v>
      </c>
      <c r="U97" s="56" t="n">
        <f aca="false">U96</f>
        <v>57.732</v>
      </c>
      <c r="V97" s="54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customFormat="false" ht="15.75" hidden="false" customHeight="true" outlineLevel="0" collapsed="false">
      <c r="A98" s="1"/>
      <c r="B98" s="26" t="n">
        <v>2550</v>
      </c>
      <c r="C98" s="27" t="s">
        <v>58</v>
      </c>
      <c r="D98" s="27" t="s">
        <v>0</v>
      </c>
      <c r="E98" s="27" t="n">
        <v>1</v>
      </c>
      <c r="F98" s="27" t="s">
        <v>1</v>
      </c>
      <c r="G98" s="28" t="n">
        <v>45861</v>
      </c>
      <c r="H98" s="27" t="s">
        <v>6</v>
      </c>
      <c r="I98" s="27" t="s">
        <v>54</v>
      </c>
      <c r="J98" s="26" t="n">
        <v>1072</v>
      </c>
      <c r="K98" s="29" t="n">
        <v>60</v>
      </c>
      <c r="L98" s="29" t="n">
        <v>0</v>
      </c>
      <c r="M98" s="29" t="n">
        <f aca="false">K98-L98</f>
        <v>60</v>
      </c>
      <c r="N98" s="29" t="n">
        <f aca="false">M98*C2</f>
        <v>2.4</v>
      </c>
      <c r="O98" s="30" t="n">
        <f aca="false">M98*3.78%</f>
        <v>2.268</v>
      </c>
      <c r="P98" s="31" t="s">
        <v>87</v>
      </c>
      <c r="Q98" s="31" t="s">
        <v>62</v>
      </c>
      <c r="R98" s="31" t="n">
        <f aca="false">M98-N98-O98</f>
        <v>55.332</v>
      </c>
      <c r="S98" s="51" t="n">
        <f aca="false">R98/E98</f>
        <v>55.332</v>
      </c>
      <c r="T98" s="57" t="s">
        <v>56</v>
      </c>
      <c r="U98" s="53" t="n">
        <f aca="false">M98/3-O98/3</f>
        <v>19.244</v>
      </c>
      <c r="V98" s="54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customFormat="false" ht="15.75" hidden="false" customHeight="true" outlineLevel="0" collapsed="false">
      <c r="A99" s="1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51"/>
      <c r="T99" s="58" t="s">
        <v>66</v>
      </c>
      <c r="U99" s="56" t="n">
        <f aca="false">U98</f>
        <v>19.244</v>
      </c>
      <c r="V99" s="54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customFormat="false" ht="15.75" hidden="false" customHeight="true" outlineLevel="0" collapsed="false">
      <c r="A100" s="1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51"/>
      <c r="T100" s="59" t="s">
        <v>70</v>
      </c>
      <c r="U100" s="31" t="n">
        <f aca="false">U99</f>
        <v>19.244</v>
      </c>
      <c r="V100" s="54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customFormat="false" ht="15.75" hidden="false" customHeight="true" outlineLevel="0" collapsed="false">
      <c r="A101" s="1"/>
      <c r="B101" s="26" t="n">
        <v>2470</v>
      </c>
      <c r="C101" s="27" t="s">
        <v>16</v>
      </c>
      <c r="D101" s="27" t="s">
        <v>0</v>
      </c>
      <c r="E101" s="27" t="n">
        <v>1</v>
      </c>
      <c r="F101" s="27" t="s">
        <v>1</v>
      </c>
      <c r="G101" s="28" t="n">
        <v>45861</v>
      </c>
      <c r="H101" s="27" t="s">
        <v>6</v>
      </c>
      <c r="I101" s="27" t="s">
        <v>54</v>
      </c>
      <c r="J101" s="26" t="n">
        <v>1073</v>
      </c>
      <c r="K101" s="29" t="n">
        <v>180</v>
      </c>
      <c r="L101" s="29" t="n">
        <v>0</v>
      </c>
      <c r="M101" s="29" t="n">
        <f aca="false">K101-L101</f>
        <v>180</v>
      </c>
      <c r="N101" s="29" t="n">
        <f aca="false">M101*C2</f>
        <v>7.2</v>
      </c>
      <c r="O101" s="30" t="n">
        <f aca="false">M101*3.29%</f>
        <v>5.922</v>
      </c>
      <c r="P101" s="30" t="s">
        <v>9</v>
      </c>
      <c r="Q101" s="30" t="s">
        <v>55</v>
      </c>
      <c r="R101" s="30" t="n">
        <f aca="false">M101-N101-O101</f>
        <v>166.878</v>
      </c>
      <c r="S101" s="30" t="n">
        <f aca="false">R101/E101</f>
        <v>166.878</v>
      </c>
      <c r="T101" s="60" t="s">
        <v>56</v>
      </c>
      <c r="U101" s="30" t="n">
        <f aca="false">M101-O101</f>
        <v>174.078</v>
      </c>
      <c r="V101" s="26" t="s">
        <v>88</v>
      </c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customFormat="false" ht="15.75" hidden="false" customHeight="true" outlineLevel="0" collapsed="false">
      <c r="A102" s="1"/>
      <c r="B102" s="26" t="n">
        <v>2470</v>
      </c>
      <c r="C102" s="27" t="s">
        <v>16</v>
      </c>
      <c r="D102" s="27" t="s">
        <v>0</v>
      </c>
      <c r="E102" s="27" t="n">
        <v>1</v>
      </c>
      <c r="F102" s="27" t="s">
        <v>1</v>
      </c>
      <c r="G102" s="28" t="n">
        <v>45861</v>
      </c>
      <c r="H102" s="27" t="s">
        <v>6</v>
      </c>
      <c r="I102" s="27" t="s">
        <v>54</v>
      </c>
      <c r="J102" s="26" t="n">
        <v>1074</v>
      </c>
      <c r="K102" s="29" t="n">
        <v>180</v>
      </c>
      <c r="L102" s="29" t="n">
        <v>36</v>
      </c>
      <c r="M102" s="29" t="n">
        <f aca="false">K102-L102</f>
        <v>144</v>
      </c>
      <c r="N102" s="29" t="n">
        <f aca="false">M102*C2</f>
        <v>5.76</v>
      </c>
      <c r="O102" s="30" t="n">
        <f aca="false">M102*1.9%</f>
        <v>2.736</v>
      </c>
      <c r="P102" s="30" t="s">
        <v>7</v>
      </c>
      <c r="Q102" s="30" t="s">
        <v>55</v>
      </c>
      <c r="R102" s="30" t="n">
        <f aca="false">M102-N102-O102</f>
        <v>135.504</v>
      </c>
      <c r="S102" s="30" t="n">
        <f aca="false">R102/E102</f>
        <v>135.504</v>
      </c>
      <c r="T102" s="60" t="s">
        <v>56</v>
      </c>
      <c r="U102" s="30" t="n">
        <f aca="false">M102-O102</f>
        <v>141.264</v>
      </c>
      <c r="V102" s="26" t="s">
        <v>89</v>
      </c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customFormat="false" ht="15.75" hidden="false" customHeight="true" outlineLevel="0" collapsed="false">
      <c r="A103" s="1"/>
      <c r="B103" s="26" t="n">
        <v>2470</v>
      </c>
      <c r="C103" s="27" t="s">
        <v>16</v>
      </c>
      <c r="D103" s="27" t="s">
        <v>0</v>
      </c>
      <c r="E103" s="27" t="n">
        <v>1</v>
      </c>
      <c r="F103" s="27" t="s">
        <v>1</v>
      </c>
      <c r="G103" s="28" t="n">
        <v>45861</v>
      </c>
      <c r="H103" s="27" t="s">
        <v>6</v>
      </c>
      <c r="I103" s="27" t="s">
        <v>54</v>
      </c>
      <c r="J103" s="26" t="n">
        <v>1075</v>
      </c>
      <c r="K103" s="29" t="n">
        <v>180</v>
      </c>
      <c r="L103" s="29" t="n">
        <v>36</v>
      </c>
      <c r="M103" s="29" t="n">
        <f aca="false">K103-L103</f>
        <v>144</v>
      </c>
      <c r="N103" s="29" t="n">
        <f aca="false">M103*C2</f>
        <v>5.76</v>
      </c>
      <c r="O103" s="30" t="n">
        <v>0</v>
      </c>
      <c r="P103" s="30" t="s">
        <v>5</v>
      </c>
      <c r="Q103" s="30" t="s">
        <v>6</v>
      </c>
      <c r="R103" s="30" t="n">
        <f aca="false">M103-N103-O103</f>
        <v>138.24</v>
      </c>
      <c r="S103" s="30" t="n">
        <f aca="false">R103/E103</f>
        <v>138.24</v>
      </c>
      <c r="T103" s="60" t="s">
        <v>56</v>
      </c>
      <c r="U103" s="30" t="n">
        <f aca="false">M103-O103</f>
        <v>144</v>
      </c>
      <c r="V103" s="26" t="s">
        <v>90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customFormat="false" ht="15.75" hidden="false" customHeight="true" outlineLevel="0" collapsed="false">
      <c r="A104" s="1"/>
      <c r="B104" s="26" t="n">
        <v>2470</v>
      </c>
      <c r="C104" s="27" t="s">
        <v>16</v>
      </c>
      <c r="D104" s="27" t="s">
        <v>0</v>
      </c>
      <c r="E104" s="27" t="n">
        <v>1</v>
      </c>
      <c r="F104" s="27" t="s">
        <v>1</v>
      </c>
      <c r="G104" s="28" t="n">
        <v>45861</v>
      </c>
      <c r="H104" s="27" t="s">
        <v>6</v>
      </c>
      <c r="I104" s="27" t="s">
        <v>54</v>
      </c>
      <c r="J104" s="26" t="n">
        <v>1076</v>
      </c>
      <c r="K104" s="29" t="n">
        <v>180</v>
      </c>
      <c r="L104" s="29" t="n">
        <v>0</v>
      </c>
      <c r="M104" s="29" t="n">
        <f aca="false">K104-L104</f>
        <v>180</v>
      </c>
      <c r="N104" s="29" t="n">
        <f aca="false">M104*C2</f>
        <v>7.2</v>
      </c>
      <c r="O104" s="30" t="n">
        <v>0</v>
      </c>
      <c r="P104" s="30" t="s">
        <v>5</v>
      </c>
      <c r="Q104" s="30" t="s">
        <v>6</v>
      </c>
      <c r="R104" s="30" t="n">
        <f aca="false">M104-N104-O104</f>
        <v>172.8</v>
      </c>
      <c r="S104" s="30" t="n">
        <f aca="false">R104/E104</f>
        <v>172.8</v>
      </c>
      <c r="T104" s="60" t="s">
        <v>56</v>
      </c>
      <c r="U104" s="30" t="n">
        <f aca="false">M104-O104</f>
        <v>180</v>
      </c>
      <c r="V104" s="26" t="s">
        <v>90</v>
      </c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customFormat="false" ht="15.75" hidden="false" customHeight="true" outlineLevel="0" collapsed="false">
      <c r="A105" s="1"/>
      <c r="B105" s="34" t="n">
        <v>2946</v>
      </c>
      <c r="C105" s="34" t="s">
        <v>91</v>
      </c>
      <c r="D105" s="34" t="s">
        <v>0</v>
      </c>
      <c r="E105" s="34" t="n">
        <v>1</v>
      </c>
      <c r="F105" s="34" t="s">
        <v>1</v>
      </c>
      <c r="G105" s="35" t="n">
        <v>45863</v>
      </c>
      <c r="H105" s="34" t="s">
        <v>75</v>
      </c>
      <c r="I105" s="34" t="s">
        <v>54</v>
      </c>
      <c r="J105" s="34" t="n">
        <v>1077</v>
      </c>
      <c r="K105" s="36" t="n">
        <v>100</v>
      </c>
      <c r="L105" s="36" t="n">
        <v>0</v>
      </c>
      <c r="M105" s="36" t="n">
        <f aca="false">K105-L105</f>
        <v>100</v>
      </c>
      <c r="N105" s="36" t="n">
        <f aca="false">M105*C2</f>
        <v>4</v>
      </c>
      <c r="O105" s="37" t="n">
        <f aca="false">M105*0.75%</f>
        <v>0.75</v>
      </c>
      <c r="P105" s="61" t="s">
        <v>5</v>
      </c>
      <c r="Q105" s="61" t="s">
        <v>6</v>
      </c>
      <c r="R105" s="37" t="n">
        <f aca="false">M105-N105-O105</f>
        <v>95.25</v>
      </c>
      <c r="S105" s="37" t="n">
        <f aca="false">R105/E105</f>
        <v>95.25</v>
      </c>
      <c r="T105" s="61" t="s">
        <v>56</v>
      </c>
      <c r="U105" s="37" t="n">
        <f aca="false">M105-O105</f>
        <v>99.25</v>
      </c>
      <c r="V105" s="34" t="s">
        <v>67</v>
      </c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customFormat="false" ht="15.75" hidden="false" customHeight="true" outlineLevel="0" collapsed="false">
      <c r="A106" s="1"/>
      <c r="B106" s="34" t="n">
        <v>2550</v>
      </c>
      <c r="C106" s="34" t="s">
        <v>58</v>
      </c>
      <c r="D106" s="34" t="s">
        <v>0</v>
      </c>
      <c r="E106" s="34" t="n">
        <v>1</v>
      </c>
      <c r="F106" s="34" t="s">
        <v>1</v>
      </c>
      <c r="G106" s="35" t="n">
        <v>45863</v>
      </c>
      <c r="H106" s="34" t="s">
        <v>75</v>
      </c>
      <c r="I106" s="34" t="s">
        <v>54</v>
      </c>
      <c r="J106" s="34" t="n">
        <v>1077</v>
      </c>
      <c r="K106" s="36" t="n">
        <v>60</v>
      </c>
      <c r="L106" s="36" t="n">
        <v>0</v>
      </c>
      <c r="M106" s="36" t="n">
        <f aca="false">K106-L106</f>
        <v>60</v>
      </c>
      <c r="N106" s="36" t="n">
        <f aca="false">M106*C2</f>
        <v>2.4</v>
      </c>
      <c r="O106" s="37" t="n">
        <f aca="false">M106*0.75%</f>
        <v>0.45</v>
      </c>
      <c r="P106" s="61" t="s">
        <v>5</v>
      </c>
      <c r="Q106" s="61" t="s">
        <v>6</v>
      </c>
      <c r="R106" s="37" t="n">
        <f aca="false">M106-N106-O106</f>
        <v>57.15</v>
      </c>
      <c r="S106" s="37" t="n">
        <f aca="false">R106/E106</f>
        <v>57.15</v>
      </c>
      <c r="T106" s="61"/>
      <c r="U106" s="37" t="n">
        <f aca="false">M106-O106</f>
        <v>59.55</v>
      </c>
      <c r="V106" s="34" t="s">
        <v>67</v>
      </c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customFormat="false" ht="15.75" hidden="false" customHeight="true" outlineLevel="0" collapsed="false">
      <c r="A107" s="1"/>
      <c r="B107" s="33" t="n">
        <v>2470</v>
      </c>
      <c r="C107" s="34" t="s">
        <v>16</v>
      </c>
      <c r="D107" s="34" t="s">
        <v>0</v>
      </c>
      <c r="E107" s="34" t="n">
        <v>1</v>
      </c>
      <c r="F107" s="34" t="s">
        <v>1</v>
      </c>
      <c r="G107" s="35" t="n">
        <v>45864</v>
      </c>
      <c r="H107" s="34" t="s">
        <v>76</v>
      </c>
      <c r="I107" s="34" t="s">
        <v>54</v>
      </c>
      <c r="J107" s="33" t="n">
        <v>1078</v>
      </c>
      <c r="K107" s="36" t="n">
        <v>180</v>
      </c>
      <c r="L107" s="36" t="n">
        <v>0</v>
      </c>
      <c r="M107" s="36" t="n">
        <f aca="false">K107-L107</f>
        <v>180</v>
      </c>
      <c r="N107" s="36" t="n">
        <f aca="false">M107*C2</f>
        <v>7.2</v>
      </c>
      <c r="O107" s="37" t="n">
        <f aca="false">M107*2.9%</f>
        <v>5.22</v>
      </c>
      <c r="P107" s="38" t="s">
        <v>10</v>
      </c>
      <c r="Q107" s="38" t="s">
        <v>62</v>
      </c>
      <c r="R107" s="38" t="n">
        <f aca="false">M107-N107-O107</f>
        <v>167.58</v>
      </c>
      <c r="S107" s="42" t="n">
        <f aca="false">R107/E107</f>
        <v>167.58</v>
      </c>
      <c r="T107" s="43" t="s">
        <v>66</v>
      </c>
      <c r="U107" s="44" t="n">
        <f aca="false">M107/2-O107/2</f>
        <v>87.39</v>
      </c>
      <c r="V107" s="45" t="s">
        <v>67</v>
      </c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customFormat="false" ht="15.75" hidden="false" customHeight="true" outlineLevel="0" collapsed="false">
      <c r="A108" s="1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42"/>
      <c r="T108" s="39" t="s">
        <v>70</v>
      </c>
      <c r="U108" s="38" t="n">
        <f aca="false">U107</f>
        <v>87.39</v>
      </c>
      <c r="V108" s="4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customFormat="false" ht="15.75" hidden="false" customHeight="true" outlineLevel="0" collapsed="false">
      <c r="A109" s="1"/>
      <c r="B109" s="33" t="n">
        <v>2470</v>
      </c>
      <c r="C109" s="34" t="s">
        <v>16</v>
      </c>
      <c r="D109" s="34" t="s">
        <v>0</v>
      </c>
      <c r="E109" s="34" t="n">
        <v>1</v>
      </c>
      <c r="F109" s="34" t="s">
        <v>1</v>
      </c>
      <c r="G109" s="35" t="n">
        <v>45864</v>
      </c>
      <c r="H109" s="34" t="s">
        <v>76</v>
      </c>
      <c r="I109" s="34" t="s">
        <v>54</v>
      </c>
      <c r="J109" s="33" t="n">
        <v>1079</v>
      </c>
      <c r="K109" s="36" t="n">
        <v>180</v>
      </c>
      <c r="L109" s="36" t="n">
        <v>0</v>
      </c>
      <c r="M109" s="36" t="n">
        <f aca="false">K109-L109</f>
        <v>180</v>
      </c>
      <c r="N109" s="36" t="n">
        <f aca="false">M109*C2</f>
        <v>7.2</v>
      </c>
      <c r="O109" s="37" t="n">
        <f aca="false">M109*2.9%</f>
        <v>5.22</v>
      </c>
      <c r="P109" s="38" t="s">
        <v>10</v>
      </c>
      <c r="Q109" s="38" t="s">
        <v>62</v>
      </c>
      <c r="R109" s="38" t="n">
        <f aca="false">M109-N109-O109</f>
        <v>167.58</v>
      </c>
      <c r="S109" s="42" t="n">
        <f aca="false">R109/E109</f>
        <v>167.58</v>
      </c>
      <c r="T109" s="43" t="s">
        <v>66</v>
      </c>
      <c r="U109" s="44" t="n">
        <f aca="false">M109/2-O109/2</f>
        <v>87.39</v>
      </c>
      <c r="V109" s="45" t="s">
        <v>67</v>
      </c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customFormat="false" ht="15.75" hidden="false" customHeight="true" outlineLevel="0" collapsed="false">
      <c r="A110" s="1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42"/>
      <c r="T110" s="39" t="s">
        <v>70</v>
      </c>
      <c r="U110" s="38" t="n">
        <f aca="false">U109</f>
        <v>87.39</v>
      </c>
      <c r="V110" s="4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customFormat="false" ht="15.75" hidden="false" customHeight="true" outlineLevel="0" collapsed="false">
      <c r="A111" s="1"/>
      <c r="B111" s="33" t="n">
        <v>2470</v>
      </c>
      <c r="C111" s="34" t="s">
        <v>16</v>
      </c>
      <c r="D111" s="34" t="s">
        <v>0</v>
      </c>
      <c r="E111" s="34" t="n">
        <v>1</v>
      </c>
      <c r="F111" s="34" t="s">
        <v>1</v>
      </c>
      <c r="G111" s="35" t="n">
        <v>45864</v>
      </c>
      <c r="H111" s="34" t="s">
        <v>76</v>
      </c>
      <c r="I111" s="34" t="s">
        <v>54</v>
      </c>
      <c r="J111" s="33" t="n">
        <v>1080</v>
      </c>
      <c r="K111" s="36" t="n">
        <v>180</v>
      </c>
      <c r="L111" s="36" t="n">
        <v>0</v>
      </c>
      <c r="M111" s="36" t="n">
        <f aca="false">K111-L111</f>
        <v>180</v>
      </c>
      <c r="N111" s="36" t="n">
        <f aca="false">M111*C2</f>
        <v>7.2</v>
      </c>
      <c r="O111" s="37" t="n">
        <f aca="false">M111*3.7%+0.02</f>
        <v>6.68</v>
      </c>
      <c r="P111" s="38" t="s">
        <v>10</v>
      </c>
      <c r="Q111" s="38" t="s">
        <v>79</v>
      </c>
      <c r="R111" s="38" t="n">
        <f aca="false">M111-N111-O111</f>
        <v>166.12</v>
      </c>
      <c r="S111" s="42" t="n">
        <f aca="false">R111/E111</f>
        <v>166.12</v>
      </c>
      <c r="T111" s="43" t="s">
        <v>66</v>
      </c>
      <c r="U111" s="44" t="n">
        <f aca="false">M111/2-O111/2</f>
        <v>86.66</v>
      </c>
      <c r="V111" s="45" t="s">
        <v>67</v>
      </c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customFormat="false" ht="15.75" hidden="false" customHeight="true" outlineLevel="0" collapsed="false">
      <c r="A112" s="1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42"/>
      <c r="T112" s="39" t="s">
        <v>70</v>
      </c>
      <c r="U112" s="38" t="n">
        <f aca="false">U111</f>
        <v>86.66</v>
      </c>
      <c r="V112" s="4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customFormat="false" ht="15.75" hidden="false" customHeight="true" outlineLevel="0" collapsed="false">
      <c r="A113" s="1"/>
      <c r="B113" s="34" t="n">
        <v>2470</v>
      </c>
      <c r="C113" s="34" t="s">
        <v>16</v>
      </c>
      <c r="D113" s="34" t="s">
        <v>0</v>
      </c>
      <c r="E113" s="34" t="n">
        <v>1</v>
      </c>
      <c r="F113" s="34" t="s">
        <v>1</v>
      </c>
      <c r="G113" s="35" t="n">
        <v>45864</v>
      </c>
      <c r="H113" s="34" t="s">
        <v>76</v>
      </c>
      <c r="I113" s="34" t="s">
        <v>54</v>
      </c>
      <c r="J113" s="34" t="n">
        <v>1081</v>
      </c>
      <c r="K113" s="36" t="n">
        <v>180</v>
      </c>
      <c r="L113" s="36" t="n">
        <v>80</v>
      </c>
      <c r="M113" s="36" t="n">
        <f aca="false">K113-L113</f>
        <v>100</v>
      </c>
      <c r="N113" s="36" t="n">
        <f aca="false">M113*C2</f>
        <v>4</v>
      </c>
      <c r="O113" s="37" t="n">
        <f aca="false">M113*0.75%</f>
        <v>0.75</v>
      </c>
      <c r="P113" s="61" t="s">
        <v>5</v>
      </c>
      <c r="Q113" s="61" t="s">
        <v>6</v>
      </c>
      <c r="R113" s="37" t="n">
        <f aca="false">M113-N113-O113</f>
        <v>95.25</v>
      </c>
      <c r="S113" s="37" t="n">
        <f aca="false">R113/E113</f>
        <v>95.25</v>
      </c>
      <c r="T113" s="61" t="s">
        <v>56</v>
      </c>
      <c r="U113" s="37" t="n">
        <f aca="false">M113-O113</f>
        <v>99.25</v>
      </c>
      <c r="V113" s="34" t="s">
        <v>67</v>
      </c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customFormat="false" ht="15.75" hidden="false" customHeight="true" outlineLevel="0" collapsed="false">
      <c r="A114" s="1"/>
      <c r="B114" s="34" t="n">
        <v>2470</v>
      </c>
      <c r="C114" s="34" t="s">
        <v>16</v>
      </c>
      <c r="D114" s="34" t="s">
        <v>0</v>
      </c>
      <c r="E114" s="34" t="n">
        <v>1</v>
      </c>
      <c r="F114" s="34" t="s">
        <v>1</v>
      </c>
      <c r="G114" s="35" t="n">
        <v>45864</v>
      </c>
      <c r="H114" s="34" t="s">
        <v>76</v>
      </c>
      <c r="I114" s="34" t="s">
        <v>54</v>
      </c>
      <c r="J114" s="34" t="n">
        <v>1082</v>
      </c>
      <c r="K114" s="36" t="n">
        <v>180</v>
      </c>
      <c r="L114" s="36" t="n">
        <v>80</v>
      </c>
      <c r="M114" s="36" t="n">
        <f aca="false">K114-L114</f>
        <v>100</v>
      </c>
      <c r="N114" s="36" t="n">
        <f aca="false">M114*C2</f>
        <v>4</v>
      </c>
      <c r="O114" s="37" t="n">
        <f aca="false">M114*0.75%</f>
        <v>0.75</v>
      </c>
      <c r="P114" s="61" t="s">
        <v>5</v>
      </c>
      <c r="Q114" s="61" t="s">
        <v>6</v>
      </c>
      <c r="R114" s="37" t="n">
        <f aca="false">M114-N114-O114</f>
        <v>95.25</v>
      </c>
      <c r="S114" s="37" t="n">
        <f aca="false">R114/E114</f>
        <v>95.25</v>
      </c>
      <c r="T114" s="61" t="s">
        <v>56</v>
      </c>
      <c r="U114" s="37" t="n">
        <f aca="false">M114-O114</f>
        <v>99.25</v>
      </c>
      <c r="V114" s="34" t="s">
        <v>67</v>
      </c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customFormat="false" ht="15.75" hidden="false" customHeight="true" outlineLevel="0" collapsed="false">
      <c r="A115" s="1"/>
      <c r="B115" s="34" t="n">
        <v>2470</v>
      </c>
      <c r="C115" s="34" t="s">
        <v>16</v>
      </c>
      <c r="D115" s="34" t="s">
        <v>0</v>
      </c>
      <c r="E115" s="34" t="n">
        <v>1</v>
      </c>
      <c r="F115" s="34" t="s">
        <v>1</v>
      </c>
      <c r="G115" s="35" t="n">
        <v>45864</v>
      </c>
      <c r="H115" s="34" t="s">
        <v>76</v>
      </c>
      <c r="I115" s="34" t="s">
        <v>54</v>
      </c>
      <c r="J115" s="34" t="n">
        <v>1083</v>
      </c>
      <c r="K115" s="36" t="n">
        <v>180</v>
      </c>
      <c r="L115" s="36" t="n">
        <v>0</v>
      </c>
      <c r="M115" s="36" t="n">
        <f aca="false">K115-L115</f>
        <v>180</v>
      </c>
      <c r="N115" s="36" t="n">
        <f aca="false">M115*C2</f>
        <v>7.2</v>
      </c>
      <c r="O115" s="37" t="n">
        <f aca="false">M115*2.7%+0.02</f>
        <v>4.88</v>
      </c>
      <c r="P115" s="61" t="s">
        <v>9</v>
      </c>
      <c r="Q115" s="61" t="s">
        <v>55</v>
      </c>
      <c r="R115" s="37" t="n">
        <f aca="false">M115-N115-O115</f>
        <v>167.92</v>
      </c>
      <c r="S115" s="37" t="n">
        <f aca="false">R115/E115</f>
        <v>167.92</v>
      </c>
      <c r="T115" s="61" t="s">
        <v>66</v>
      </c>
      <c r="U115" s="37" t="n">
        <f aca="false">M115-O115</f>
        <v>175.12</v>
      </c>
      <c r="V115" s="34" t="s">
        <v>67</v>
      </c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customFormat="false" ht="15.75" hidden="false" customHeight="true" outlineLevel="0" collapsed="false">
      <c r="A116" s="1"/>
      <c r="B116" s="33" t="n">
        <v>2470</v>
      </c>
      <c r="C116" s="34" t="s">
        <v>16</v>
      </c>
      <c r="D116" s="34" t="s">
        <v>0</v>
      </c>
      <c r="E116" s="34" t="n">
        <v>1</v>
      </c>
      <c r="F116" s="34" t="s">
        <v>1</v>
      </c>
      <c r="G116" s="35" t="n">
        <v>45865</v>
      </c>
      <c r="H116" s="34" t="s">
        <v>92</v>
      </c>
      <c r="I116" s="34" t="s">
        <v>54</v>
      </c>
      <c r="J116" s="33" t="n">
        <v>1084</v>
      </c>
      <c r="K116" s="36" t="n">
        <v>180</v>
      </c>
      <c r="L116" s="36" t="n">
        <v>0</v>
      </c>
      <c r="M116" s="36" t="n">
        <f aca="false">K116-L116</f>
        <v>180</v>
      </c>
      <c r="N116" s="36" t="n">
        <f aca="false">M116*C2</f>
        <v>7.2</v>
      </c>
      <c r="O116" s="37" t="n">
        <f aca="false">M116*2.9%</f>
        <v>5.22</v>
      </c>
      <c r="P116" s="38" t="s">
        <v>10</v>
      </c>
      <c r="Q116" s="38" t="s">
        <v>55</v>
      </c>
      <c r="R116" s="38" t="n">
        <f aca="false">M116-N116-O116</f>
        <v>167.58</v>
      </c>
      <c r="S116" s="42" t="n">
        <f aca="false">R116/E116</f>
        <v>167.58</v>
      </c>
      <c r="T116" s="43" t="s">
        <v>66</v>
      </c>
      <c r="U116" s="44" t="n">
        <f aca="false">M116-O116</f>
        <v>174.78</v>
      </c>
      <c r="V116" s="45" t="s">
        <v>67</v>
      </c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customFormat="false" ht="15.75" hidden="false" customHeight="true" outlineLevel="0" collapsed="false">
      <c r="A117" s="1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42"/>
      <c r="T117" s="39" t="s">
        <v>70</v>
      </c>
      <c r="U117" s="38"/>
      <c r="V117" s="4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customFormat="false" ht="15.75" hidden="false" customHeight="true" outlineLevel="0" collapsed="false">
      <c r="A118" s="1"/>
      <c r="B118" s="34" t="n">
        <v>2470</v>
      </c>
      <c r="C118" s="34" t="s">
        <v>16</v>
      </c>
      <c r="D118" s="34" t="s">
        <v>0</v>
      </c>
      <c r="E118" s="34" t="n">
        <v>2</v>
      </c>
      <c r="F118" s="34" t="s">
        <v>1</v>
      </c>
      <c r="G118" s="35" t="n">
        <v>45865</v>
      </c>
      <c r="H118" s="34" t="s">
        <v>92</v>
      </c>
      <c r="I118" s="34" t="s">
        <v>54</v>
      </c>
      <c r="J118" s="34" t="n">
        <v>1085</v>
      </c>
      <c r="K118" s="36" t="n">
        <v>360</v>
      </c>
      <c r="L118" s="36" t="n">
        <v>160</v>
      </c>
      <c r="M118" s="36" t="n">
        <f aca="false">K118-L118</f>
        <v>200</v>
      </c>
      <c r="N118" s="36" t="n">
        <f aca="false">M118*C2</f>
        <v>8</v>
      </c>
      <c r="O118" s="37" t="n">
        <f aca="false">M118*0.75%</f>
        <v>1.5</v>
      </c>
      <c r="P118" s="61" t="s">
        <v>5</v>
      </c>
      <c r="Q118" s="61" t="s">
        <v>6</v>
      </c>
      <c r="R118" s="37" t="n">
        <f aca="false">M118-N118-O118</f>
        <v>190.5</v>
      </c>
      <c r="S118" s="37" t="n">
        <f aca="false">R118/E118</f>
        <v>95.25</v>
      </c>
      <c r="T118" s="61" t="s">
        <v>56</v>
      </c>
      <c r="U118" s="37" t="n">
        <f aca="false">M118-O118</f>
        <v>198.5</v>
      </c>
      <c r="V118" s="34" t="s">
        <v>67</v>
      </c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customFormat="false" ht="15.75" hidden="false" customHeight="true" outlineLevel="0" collapsed="false">
      <c r="A119" s="1"/>
      <c r="B119" s="34" t="n">
        <v>2470</v>
      </c>
      <c r="C119" s="34" t="s">
        <v>16</v>
      </c>
      <c r="D119" s="34" t="s">
        <v>0</v>
      </c>
      <c r="E119" s="34" t="n">
        <v>1</v>
      </c>
      <c r="F119" s="34" t="s">
        <v>1</v>
      </c>
      <c r="G119" s="35" t="n">
        <v>45865</v>
      </c>
      <c r="H119" s="34" t="s">
        <v>92</v>
      </c>
      <c r="I119" s="34" t="s">
        <v>54</v>
      </c>
      <c r="J119" s="34" t="n">
        <v>1086</v>
      </c>
      <c r="K119" s="36" t="n">
        <v>180</v>
      </c>
      <c r="L119" s="36" t="n">
        <v>0</v>
      </c>
      <c r="M119" s="36" t="n">
        <f aca="false">K119-L119</f>
        <v>180</v>
      </c>
      <c r="N119" s="36" t="n">
        <f aca="false">M119*C2</f>
        <v>7.2</v>
      </c>
      <c r="O119" s="37" t="n">
        <f aca="false">M119*0.75%</f>
        <v>1.35</v>
      </c>
      <c r="P119" s="61" t="s">
        <v>5</v>
      </c>
      <c r="Q119" s="61" t="s">
        <v>6</v>
      </c>
      <c r="R119" s="37" t="n">
        <f aca="false">M119-N119-O119</f>
        <v>171.45</v>
      </c>
      <c r="S119" s="37" t="n">
        <f aca="false">R119/E119</f>
        <v>171.45</v>
      </c>
      <c r="T119" s="61" t="s">
        <v>56</v>
      </c>
      <c r="U119" s="37" t="n">
        <f aca="false">M119-O119</f>
        <v>178.65</v>
      </c>
      <c r="V119" s="34" t="s">
        <v>67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customFormat="false" ht="15.75" hidden="false" customHeight="true" outlineLevel="0" collapsed="false">
      <c r="A120" s="1"/>
      <c r="B120" s="33" t="n">
        <v>2470</v>
      </c>
      <c r="C120" s="34" t="s">
        <v>16</v>
      </c>
      <c r="D120" s="34" t="s">
        <v>0</v>
      </c>
      <c r="E120" s="34" t="n">
        <v>3</v>
      </c>
      <c r="F120" s="34" t="s">
        <v>1</v>
      </c>
      <c r="G120" s="35" t="n">
        <v>45866</v>
      </c>
      <c r="H120" s="34" t="s">
        <v>77</v>
      </c>
      <c r="I120" s="34" t="s">
        <v>54</v>
      </c>
      <c r="J120" s="33" t="n">
        <v>1087</v>
      </c>
      <c r="K120" s="36" t="n">
        <v>540</v>
      </c>
      <c r="L120" s="36" t="n">
        <v>0</v>
      </c>
      <c r="M120" s="36" t="n">
        <f aca="false">K120-L120</f>
        <v>540</v>
      </c>
      <c r="N120" s="36" t="n">
        <f aca="false">M120*C2</f>
        <v>21.6</v>
      </c>
      <c r="O120" s="37" t="n">
        <f aca="false">M120*2.9%</f>
        <v>15.66</v>
      </c>
      <c r="P120" s="38" t="s">
        <v>10</v>
      </c>
      <c r="Q120" s="38" t="s">
        <v>62</v>
      </c>
      <c r="R120" s="38" t="n">
        <f aca="false">M120-N120-O120</f>
        <v>502.74</v>
      </c>
      <c r="S120" s="42" t="n">
        <f aca="false">R120/E120</f>
        <v>167.58</v>
      </c>
      <c r="T120" s="43" t="s">
        <v>66</v>
      </c>
      <c r="U120" s="44" t="n">
        <f aca="false">M120/2-O120/2</f>
        <v>262.17</v>
      </c>
      <c r="V120" s="45" t="s">
        <v>67</v>
      </c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customFormat="false" ht="15.75" hidden="false" customHeight="true" outlineLevel="0" collapsed="false">
      <c r="A121" s="1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42"/>
      <c r="T121" s="39" t="s">
        <v>70</v>
      </c>
      <c r="U121" s="38" t="n">
        <f aca="false">U120</f>
        <v>262.17</v>
      </c>
      <c r="V121" s="4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customFormat="false" ht="15.75" hidden="false" customHeight="true" outlineLevel="0" collapsed="false">
      <c r="A122" s="1"/>
      <c r="B122" s="27" t="n">
        <v>2470</v>
      </c>
      <c r="C122" s="27" t="s">
        <v>16</v>
      </c>
      <c r="D122" s="27" t="s">
        <v>0</v>
      </c>
      <c r="E122" s="27" t="n">
        <v>2</v>
      </c>
      <c r="F122" s="27" t="s">
        <v>1</v>
      </c>
      <c r="G122" s="28" t="n">
        <v>45867</v>
      </c>
      <c r="H122" s="27" t="s">
        <v>6</v>
      </c>
      <c r="I122" s="27" t="s">
        <v>54</v>
      </c>
      <c r="J122" s="27" t="n">
        <v>1088</v>
      </c>
      <c r="K122" s="29" t="n">
        <v>360</v>
      </c>
      <c r="L122" s="29" t="n">
        <v>72</v>
      </c>
      <c r="M122" s="29" t="n">
        <f aca="false">K122-L122</f>
        <v>288</v>
      </c>
      <c r="N122" s="29" t="n">
        <f aca="false">M122*C2</f>
        <v>11.52</v>
      </c>
      <c r="O122" s="30" t="n">
        <f aca="false">M122*1.9%</f>
        <v>5.472</v>
      </c>
      <c r="P122" s="62" t="s">
        <v>7</v>
      </c>
      <c r="Q122" s="62" t="s">
        <v>62</v>
      </c>
      <c r="R122" s="30" t="n">
        <f aca="false">M122-N122-O122</f>
        <v>271.008</v>
      </c>
      <c r="S122" s="30" t="n">
        <f aca="false">R122/E122</f>
        <v>135.504</v>
      </c>
      <c r="T122" s="62" t="s">
        <v>56</v>
      </c>
      <c r="U122" s="30" t="n">
        <f aca="false">M122-O122</f>
        <v>282.528</v>
      </c>
      <c r="V122" s="27" t="s">
        <v>93</v>
      </c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customFormat="false" ht="15.75" hidden="false" customHeight="true" outlineLevel="0" collapsed="false">
      <c r="A123" s="1"/>
      <c r="B123" s="27" t="n">
        <v>2470</v>
      </c>
      <c r="C123" s="27" t="s">
        <v>16</v>
      </c>
      <c r="D123" s="27" t="s">
        <v>0</v>
      </c>
      <c r="E123" s="27" t="n">
        <v>1</v>
      </c>
      <c r="F123" s="27" t="s">
        <v>1</v>
      </c>
      <c r="G123" s="28" t="n">
        <v>45867</v>
      </c>
      <c r="H123" s="27" t="s">
        <v>6</v>
      </c>
      <c r="I123" s="27" t="s">
        <v>54</v>
      </c>
      <c r="J123" s="27" t="n">
        <v>1090</v>
      </c>
      <c r="K123" s="29" t="n">
        <v>180</v>
      </c>
      <c r="L123" s="29" t="n">
        <v>36</v>
      </c>
      <c r="M123" s="29" t="n">
        <f aca="false">K123-L123</f>
        <v>144</v>
      </c>
      <c r="N123" s="29" t="n">
        <f aca="false">M123*C2</f>
        <v>5.76</v>
      </c>
      <c r="O123" s="30" t="n">
        <v>0</v>
      </c>
      <c r="P123" s="62" t="s">
        <v>5</v>
      </c>
      <c r="Q123" s="62" t="s">
        <v>6</v>
      </c>
      <c r="R123" s="30" t="n">
        <f aca="false">M123-N123-O123</f>
        <v>138.24</v>
      </c>
      <c r="S123" s="30" t="n">
        <f aca="false">R123/E123</f>
        <v>138.24</v>
      </c>
      <c r="T123" s="62" t="s">
        <v>56</v>
      </c>
      <c r="U123" s="30" t="n">
        <f aca="false">M123-O123</f>
        <v>144</v>
      </c>
      <c r="V123" s="27" t="s">
        <v>94</v>
      </c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customFormat="false" ht="15.75" hidden="false" customHeight="true" outlineLevel="0" collapsed="false">
      <c r="A124" s="1"/>
      <c r="B124" s="27" t="n">
        <v>2550</v>
      </c>
      <c r="C124" s="27" t="s">
        <v>58</v>
      </c>
      <c r="D124" s="27" t="s">
        <v>0</v>
      </c>
      <c r="E124" s="27" t="n">
        <v>2</v>
      </c>
      <c r="F124" s="27" t="s">
        <v>1</v>
      </c>
      <c r="G124" s="28" t="n">
        <v>45867</v>
      </c>
      <c r="H124" s="27" t="s">
        <v>6</v>
      </c>
      <c r="I124" s="27" t="s">
        <v>54</v>
      </c>
      <c r="J124" s="27" t="n">
        <v>1091</v>
      </c>
      <c r="K124" s="29" t="n">
        <v>120</v>
      </c>
      <c r="L124" s="29" t="n">
        <v>0</v>
      </c>
      <c r="M124" s="29" t="n">
        <f aca="false">K124-L124</f>
        <v>120</v>
      </c>
      <c r="N124" s="29" t="n">
        <f aca="false">M124*C2</f>
        <v>4.8</v>
      </c>
      <c r="O124" s="30" t="n">
        <v>0</v>
      </c>
      <c r="P124" s="62" t="s">
        <v>5</v>
      </c>
      <c r="Q124" s="62" t="s">
        <v>6</v>
      </c>
      <c r="R124" s="30" t="n">
        <f aca="false">M124-N124-O124</f>
        <v>115.2</v>
      </c>
      <c r="S124" s="30" t="n">
        <f aca="false">R124/E124</f>
        <v>57.6</v>
      </c>
      <c r="T124" s="62" t="s">
        <v>56</v>
      </c>
      <c r="U124" s="30" t="n">
        <f aca="false">M124-O124</f>
        <v>120</v>
      </c>
      <c r="V124" s="27" t="s">
        <v>95</v>
      </c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customFormat="false" ht="15.75" hidden="false" customHeight="true" outlineLevel="0" collapsed="false">
      <c r="A125" s="1"/>
      <c r="B125" s="27" t="n">
        <v>2470</v>
      </c>
      <c r="C125" s="27" t="s">
        <v>16</v>
      </c>
      <c r="D125" s="27" t="s">
        <v>0</v>
      </c>
      <c r="E125" s="27" t="n">
        <v>1</v>
      </c>
      <c r="F125" s="27" t="s">
        <v>1</v>
      </c>
      <c r="G125" s="28" t="n">
        <v>45867</v>
      </c>
      <c r="H125" s="27" t="s">
        <v>6</v>
      </c>
      <c r="I125" s="27" t="s">
        <v>54</v>
      </c>
      <c r="J125" s="27" t="n">
        <v>1092</v>
      </c>
      <c r="K125" s="29" t="n">
        <v>180</v>
      </c>
      <c r="L125" s="29" t="n">
        <v>80</v>
      </c>
      <c r="M125" s="29" t="n">
        <f aca="false">K125-L125</f>
        <v>100</v>
      </c>
      <c r="N125" s="29" t="n">
        <f aca="false">M125*C2</f>
        <v>4</v>
      </c>
      <c r="O125" s="30" t="n">
        <f aca="false">M125*3.29%</f>
        <v>3.29</v>
      </c>
      <c r="P125" s="62" t="s">
        <v>9</v>
      </c>
      <c r="Q125" s="62" t="s">
        <v>62</v>
      </c>
      <c r="R125" s="30" t="n">
        <f aca="false">M125-N125-O125</f>
        <v>92.71</v>
      </c>
      <c r="S125" s="30" t="n">
        <f aca="false">R125/E125</f>
        <v>92.71</v>
      </c>
      <c r="T125" s="62" t="s">
        <v>56</v>
      </c>
      <c r="U125" s="30" t="n">
        <f aca="false">M125-O125</f>
        <v>96.71</v>
      </c>
      <c r="V125" s="27" t="s">
        <v>96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customFormat="false" ht="15.75" hidden="false" customHeight="true" outlineLevel="0" collapsed="false">
      <c r="A126" s="1"/>
      <c r="B126" s="27" t="n">
        <v>2550</v>
      </c>
      <c r="C126" s="27" t="s">
        <v>58</v>
      </c>
      <c r="D126" s="27" t="s">
        <v>0</v>
      </c>
      <c r="E126" s="27" t="n">
        <v>1</v>
      </c>
      <c r="F126" s="27" t="s">
        <v>1</v>
      </c>
      <c r="G126" s="28" t="n">
        <v>45867</v>
      </c>
      <c r="H126" s="27" t="s">
        <v>6</v>
      </c>
      <c r="I126" s="27" t="s">
        <v>54</v>
      </c>
      <c r="J126" s="27" t="n">
        <v>1093</v>
      </c>
      <c r="K126" s="29" t="n">
        <v>60</v>
      </c>
      <c r="L126" s="29" t="n">
        <v>0</v>
      </c>
      <c r="M126" s="29" t="n">
        <f aca="false">K126-L126</f>
        <v>60</v>
      </c>
      <c r="N126" s="29" t="n">
        <f aca="false">M126*C2</f>
        <v>2.4</v>
      </c>
      <c r="O126" s="30" t="n">
        <f aca="false">M126*3.29%</f>
        <v>1.974</v>
      </c>
      <c r="P126" s="62" t="s">
        <v>9</v>
      </c>
      <c r="Q126" s="62" t="s">
        <v>55</v>
      </c>
      <c r="R126" s="30" t="n">
        <f aca="false">M126-N126-O126</f>
        <v>55.626</v>
      </c>
      <c r="S126" s="30" t="n">
        <f aca="false">R126/E126</f>
        <v>55.626</v>
      </c>
      <c r="T126" s="62" t="s">
        <v>56</v>
      </c>
      <c r="U126" s="30" t="n">
        <f aca="false">M126-O126</f>
        <v>58.026</v>
      </c>
      <c r="V126" s="27" t="s">
        <v>96</v>
      </c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customFormat="false" ht="15.75" hidden="false" customHeight="true" outlineLevel="0" collapsed="false">
      <c r="A127" s="1"/>
      <c r="B127" s="27" t="n">
        <v>2470</v>
      </c>
      <c r="C127" s="27" t="s">
        <v>16</v>
      </c>
      <c r="D127" s="27" t="s">
        <v>0</v>
      </c>
      <c r="E127" s="27" t="n">
        <v>2</v>
      </c>
      <c r="F127" s="27" t="s">
        <v>1</v>
      </c>
      <c r="G127" s="28" t="n">
        <v>45867</v>
      </c>
      <c r="H127" s="27" t="s">
        <v>6</v>
      </c>
      <c r="I127" s="27" t="s">
        <v>54</v>
      </c>
      <c r="J127" s="27" t="n">
        <v>1094</v>
      </c>
      <c r="K127" s="29" t="n">
        <v>360</v>
      </c>
      <c r="L127" s="29" t="n">
        <v>80</v>
      </c>
      <c r="M127" s="29" t="n">
        <f aca="false">K127-L127</f>
        <v>280</v>
      </c>
      <c r="N127" s="29" t="n">
        <f aca="false">M127*C2</f>
        <v>11.2</v>
      </c>
      <c r="O127" s="30" t="n">
        <f aca="false">M127*3.98%+0.03</f>
        <v>11.174</v>
      </c>
      <c r="P127" s="62" t="s">
        <v>9</v>
      </c>
      <c r="Q127" s="62" t="s">
        <v>79</v>
      </c>
      <c r="R127" s="30" t="n">
        <f aca="false">M127-N127-O127</f>
        <v>257.626</v>
      </c>
      <c r="S127" s="30" t="n">
        <f aca="false">R127/E127</f>
        <v>128.813</v>
      </c>
      <c r="T127" s="63" t="s">
        <v>56</v>
      </c>
      <c r="U127" s="53" t="n">
        <f aca="false">M127-O127</f>
        <v>268.826</v>
      </c>
      <c r="V127" s="27" t="s">
        <v>96</v>
      </c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customFormat="false" ht="15.75" hidden="false" customHeight="true" outlineLevel="0" collapsed="false">
      <c r="A128" s="1"/>
      <c r="B128" s="27" t="n">
        <v>2470</v>
      </c>
      <c r="C128" s="27" t="s">
        <v>16</v>
      </c>
      <c r="D128" s="27" t="s">
        <v>0</v>
      </c>
      <c r="E128" s="27" t="n">
        <v>1</v>
      </c>
      <c r="F128" s="27" t="s">
        <v>1</v>
      </c>
      <c r="G128" s="28" t="n">
        <v>45867</v>
      </c>
      <c r="H128" s="27" t="s">
        <v>6</v>
      </c>
      <c r="I128" s="27" t="s">
        <v>54</v>
      </c>
      <c r="J128" s="27" t="n">
        <v>1095</v>
      </c>
      <c r="K128" s="29" t="n">
        <v>180</v>
      </c>
      <c r="L128" s="29" t="n">
        <v>0</v>
      </c>
      <c r="M128" s="29" t="n">
        <f aca="false">K128-L128</f>
        <v>180</v>
      </c>
      <c r="N128" s="29" t="n">
        <f aca="false">M128*C2</f>
        <v>7.2</v>
      </c>
      <c r="O128" s="30" t="n">
        <f aca="false">M128*3.78%</f>
        <v>6.804</v>
      </c>
      <c r="P128" s="62" t="s">
        <v>10</v>
      </c>
      <c r="Q128" s="62" t="s">
        <v>62</v>
      </c>
      <c r="R128" s="30" t="n">
        <f aca="false">M128-N128-O128</f>
        <v>165.996</v>
      </c>
      <c r="S128" s="64" t="n">
        <f aca="false">R128/E128</f>
        <v>165.996</v>
      </c>
      <c r="T128" s="63" t="s">
        <v>56</v>
      </c>
      <c r="U128" s="53" t="n">
        <f aca="false">M128/2-O128/2</f>
        <v>86.598</v>
      </c>
      <c r="V128" s="65" t="s">
        <v>97</v>
      </c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customFormat="false" ht="15.75" hidden="false" customHeight="true" outlineLevel="0" collapsed="false">
      <c r="A129" s="1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64"/>
      <c r="T129" s="66" t="s">
        <v>66</v>
      </c>
      <c r="U129" s="31" t="n">
        <f aca="false">U128</f>
        <v>86.598</v>
      </c>
      <c r="V129" s="6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customFormat="false" ht="15.75" hidden="false" customHeight="true" outlineLevel="0" collapsed="false">
      <c r="A130" s="1"/>
      <c r="B130" s="27" t="n">
        <v>2470</v>
      </c>
      <c r="C130" s="27" t="s">
        <v>16</v>
      </c>
      <c r="D130" s="27" t="s">
        <v>0</v>
      </c>
      <c r="E130" s="27" t="n">
        <v>2</v>
      </c>
      <c r="F130" s="27" t="s">
        <v>1</v>
      </c>
      <c r="G130" s="28" t="n">
        <v>45867</v>
      </c>
      <c r="H130" s="27" t="s">
        <v>6</v>
      </c>
      <c r="I130" s="27" t="s">
        <v>54</v>
      </c>
      <c r="J130" s="27" t="n">
        <v>1096</v>
      </c>
      <c r="K130" s="29" t="n">
        <v>360</v>
      </c>
      <c r="L130" s="29" t="n">
        <v>80</v>
      </c>
      <c r="M130" s="29" t="n">
        <f aca="false">K130-L130</f>
        <v>280</v>
      </c>
      <c r="N130" s="29" t="n">
        <f aca="false">M130*C2</f>
        <v>11.2</v>
      </c>
      <c r="O130" s="30" t="n">
        <f aca="false">M130*3.29%</f>
        <v>9.212</v>
      </c>
      <c r="P130" s="62" t="s">
        <v>9</v>
      </c>
      <c r="Q130" s="62" t="s">
        <v>62</v>
      </c>
      <c r="R130" s="30" t="n">
        <f aca="false">M130-N130-O130</f>
        <v>259.588</v>
      </c>
      <c r="S130" s="30" t="n">
        <f aca="false">R130/E130</f>
        <v>129.794</v>
      </c>
      <c r="T130" s="66" t="s">
        <v>56</v>
      </c>
      <c r="U130" s="31" t="n">
        <f aca="false">M130-O130</f>
        <v>270.788</v>
      </c>
      <c r="V130" s="27" t="s">
        <v>98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customFormat="false" ht="15.75" hidden="false" customHeight="true" outlineLevel="0" collapsed="false">
      <c r="A131" s="67"/>
      <c r="B131" s="68" t="n">
        <v>3049</v>
      </c>
      <c r="C131" s="68" t="s">
        <v>99</v>
      </c>
      <c r="D131" s="68" t="s">
        <v>100</v>
      </c>
      <c r="E131" s="68" t="n">
        <v>400</v>
      </c>
      <c r="F131" s="68" t="s">
        <v>3</v>
      </c>
      <c r="G131" s="69" t="n">
        <v>45867</v>
      </c>
      <c r="H131" s="68" t="s">
        <v>64</v>
      </c>
      <c r="I131" s="68" t="s">
        <v>101</v>
      </c>
      <c r="J131" s="68" t="n">
        <v>2898</v>
      </c>
      <c r="K131" s="70" t="n">
        <v>51960</v>
      </c>
      <c r="L131" s="70" t="n">
        <v>0</v>
      </c>
      <c r="M131" s="70" t="n">
        <f aca="false">K131-L131</f>
        <v>51960</v>
      </c>
      <c r="N131" s="70" t="n">
        <v>0</v>
      </c>
      <c r="O131" s="71" t="s">
        <v>6</v>
      </c>
      <c r="P131" s="72" t="s">
        <v>6</v>
      </c>
      <c r="Q131" s="72" t="s">
        <v>6</v>
      </c>
      <c r="R131" s="71" t="s">
        <v>6</v>
      </c>
      <c r="S131" s="73" t="s">
        <v>6</v>
      </c>
      <c r="T131" s="74" t="s">
        <v>6</v>
      </c>
      <c r="U131" s="75" t="s">
        <v>6</v>
      </c>
      <c r="V131" s="76" t="s">
        <v>6</v>
      </c>
      <c r="W131" s="67"/>
      <c r="X131" s="67"/>
      <c r="Y131" s="67"/>
      <c r="Z131" s="67"/>
      <c r="AA131" s="67"/>
      <c r="AB131" s="67"/>
      <c r="AC131" s="67"/>
      <c r="AD131" s="67"/>
      <c r="AE131" s="67"/>
      <c r="AF131" s="67"/>
      <c r="AG131" s="67"/>
      <c r="AH131" s="67"/>
      <c r="AI131" s="67"/>
      <c r="AJ131" s="67"/>
      <c r="AK131" s="67"/>
      <c r="AL131" s="67"/>
      <c r="AM131" s="67"/>
      <c r="AN131" s="67"/>
      <c r="AO131" s="67"/>
      <c r="AP131" s="67"/>
      <c r="AQ131" s="67"/>
      <c r="AR131" s="67"/>
    </row>
    <row r="132" customFormat="false" ht="15.75" hidden="false" customHeight="true" outlineLevel="0" collapsed="false">
      <c r="A132" s="1"/>
      <c r="B132" s="77" t="n">
        <v>3007</v>
      </c>
      <c r="C132" s="77" t="s">
        <v>27</v>
      </c>
      <c r="D132" s="77" t="s">
        <v>0</v>
      </c>
      <c r="E132" s="77" t="n">
        <v>1</v>
      </c>
      <c r="F132" s="77" t="s">
        <v>1</v>
      </c>
      <c r="G132" s="78" t="n">
        <v>45868</v>
      </c>
      <c r="H132" s="77" t="s">
        <v>6</v>
      </c>
      <c r="I132" s="77" t="s">
        <v>102</v>
      </c>
      <c r="J132" s="77" t="n">
        <v>1097</v>
      </c>
      <c r="K132" s="79" t="n">
        <v>160</v>
      </c>
      <c r="L132" s="79" t="n">
        <v>0</v>
      </c>
      <c r="M132" s="79" t="n">
        <f aca="false">K132-L132</f>
        <v>160</v>
      </c>
      <c r="N132" s="79" t="n">
        <v>0</v>
      </c>
      <c r="O132" s="80" t="s">
        <v>6</v>
      </c>
      <c r="P132" s="81" t="s">
        <v>6</v>
      </c>
      <c r="Q132" s="81" t="s">
        <v>6</v>
      </c>
      <c r="R132" s="81" t="n">
        <v>0</v>
      </c>
      <c r="S132" s="81" t="n">
        <f aca="false">R132/E132</f>
        <v>0</v>
      </c>
      <c r="T132" s="81" t="s">
        <v>6</v>
      </c>
      <c r="U132" s="81" t="n">
        <v>0</v>
      </c>
      <c r="V132" s="77" t="s">
        <v>103</v>
      </c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customFormat="false" ht="15.75" hidden="false" customHeight="true" outlineLevel="0" collapsed="false">
      <c r="A133" s="1"/>
      <c r="B133" s="77" t="n">
        <v>2470</v>
      </c>
      <c r="C133" s="77" t="s">
        <v>16</v>
      </c>
      <c r="D133" s="77" t="s">
        <v>0</v>
      </c>
      <c r="E133" s="77" t="n">
        <v>4</v>
      </c>
      <c r="F133" s="77" t="s">
        <v>1</v>
      </c>
      <c r="G133" s="78" t="n">
        <v>45868</v>
      </c>
      <c r="H133" s="77" t="s">
        <v>6</v>
      </c>
      <c r="I133" s="77" t="s">
        <v>102</v>
      </c>
      <c r="J133" s="77" t="n">
        <v>1097</v>
      </c>
      <c r="K133" s="79" t="n">
        <v>100</v>
      </c>
      <c r="L133" s="79" t="n">
        <v>0</v>
      </c>
      <c r="M133" s="79" t="n">
        <f aca="false">K133-L133</f>
        <v>100</v>
      </c>
      <c r="N133" s="79" t="n">
        <v>0</v>
      </c>
      <c r="O133" s="80" t="s">
        <v>6</v>
      </c>
      <c r="P133" s="81" t="s">
        <v>6</v>
      </c>
      <c r="Q133" s="81" t="s">
        <v>6</v>
      </c>
      <c r="R133" s="81" t="n">
        <v>0</v>
      </c>
      <c r="S133" s="81" t="n">
        <v>0</v>
      </c>
      <c r="T133" s="81" t="s">
        <v>6</v>
      </c>
      <c r="U133" s="81" t="n">
        <v>0</v>
      </c>
      <c r="V133" s="77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customFormat="false" ht="15.75" hidden="false" customHeight="true" outlineLevel="0" collapsed="false">
      <c r="A134" s="1"/>
      <c r="B134" s="77" t="n">
        <v>2470</v>
      </c>
      <c r="C134" s="77" t="s">
        <v>16</v>
      </c>
      <c r="D134" s="77" t="s">
        <v>0</v>
      </c>
      <c r="E134" s="77" t="n">
        <v>1</v>
      </c>
      <c r="F134" s="77" t="s">
        <v>1</v>
      </c>
      <c r="G134" s="78" t="n">
        <v>45868</v>
      </c>
      <c r="H134" s="77" t="s">
        <v>6</v>
      </c>
      <c r="I134" s="77" t="s">
        <v>102</v>
      </c>
      <c r="J134" s="77" t="n">
        <v>1097</v>
      </c>
      <c r="K134" s="79" t="n">
        <v>144</v>
      </c>
      <c r="L134" s="79" t="n">
        <v>0</v>
      </c>
      <c r="M134" s="79" t="n">
        <f aca="false">K134-L134</f>
        <v>144</v>
      </c>
      <c r="N134" s="79" t="n">
        <v>0</v>
      </c>
      <c r="O134" s="80" t="s">
        <v>6</v>
      </c>
      <c r="P134" s="81" t="s">
        <v>6</v>
      </c>
      <c r="Q134" s="81" t="s">
        <v>6</v>
      </c>
      <c r="R134" s="81" t="n">
        <v>0</v>
      </c>
      <c r="S134" s="81" t="n">
        <v>0</v>
      </c>
      <c r="T134" s="81" t="s">
        <v>6</v>
      </c>
      <c r="U134" s="81" t="n">
        <v>0</v>
      </c>
      <c r="V134" s="77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customFormat="false" ht="15.75" hidden="false" customHeight="true" outlineLevel="0" collapsed="false">
      <c r="A135" s="1"/>
      <c r="B135" s="27" t="n">
        <v>3010</v>
      </c>
      <c r="C135" s="27" t="s">
        <v>30</v>
      </c>
      <c r="D135" s="27" t="s">
        <v>0</v>
      </c>
      <c r="E135" s="27" t="n">
        <v>1</v>
      </c>
      <c r="F135" s="27" t="s">
        <v>1</v>
      </c>
      <c r="G135" s="28" t="n">
        <v>45868</v>
      </c>
      <c r="H135" s="27" t="s">
        <v>68</v>
      </c>
      <c r="I135" s="27" t="s">
        <v>54</v>
      </c>
      <c r="J135" s="27" t="n">
        <v>1098</v>
      </c>
      <c r="K135" s="29" t="n">
        <v>250</v>
      </c>
      <c r="L135" s="29" t="n">
        <v>0</v>
      </c>
      <c r="M135" s="29" t="n">
        <f aca="false">K135-L135</f>
        <v>250</v>
      </c>
      <c r="N135" s="29" t="n">
        <f aca="false">M135*C2</f>
        <v>10</v>
      </c>
      <c r="O135" s="30" t="n">
        <f aca="false">M135*2.71%</f>
        <v>6.775</v>
      </c>
      <c r="P135" s="62" t="s">
        <v>9</v>
      </c>
      <c r="Q135" s="62" t="s">
        <v>55</v>
      </c>
      <c r="R135" s="30" t="n">
        <f aca="false">M135-N135-O135</f>
        <v>233.225</v>
      </c>
      <c r="S135" s="30" t="n">
        <f aca="false">R135/E135</f>
        <v>233.225</v>
      </c>
      <c r="T135" s="63" t="s">
        <v>66</v>
      </c>
      <c r="U135" s="53" t="n">
        <f aca="false">M135-O135</f>
        <v>243.225</v>
      </c>
      <c r="V135" s="27" t="s">
        <v>104</v>
      </c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customFormat="false" ht="15.75" hidden="false" customHeight="true" outlineLevel="0" collapsed="false">
      <c r="A136" s="1"/>
      <c r="B136" s="27" t="n">
        <v>2470</v>
      </c>
      <c r="C136" s="27" t="s">
        <v>16</v>
      </c>
      <c r="D136" s="27" t="s">
        <v>0</v>
      </c>
      <c r="E136" s="27" t="n">
        <v>2</v>
      </c>
      <c r="F136" s="27" t="s">
        <v>1</v>
      </c>
      <c r="G136" s="28" t="n">
        <v>45868</v>
      </c>
      <c r="H136" s="27" t="s">
        <v>68</v>
      </c>
      <c r="I136" s="27" t="s">
        <v>54</v>
      </c>
      <c r="J136" s="27" t="n">
        <v>1099</v>
      </c>
      <c r="K136" s="29" t="n">
        <v>360</v>
      </c>
      <c r="L136" s="29" t="n">
        <v>0</v>
      </c>
      <c r="M136" s="29" t="n">
        <f aca="false">K136-L136</f>
        <v>360</v>
      </c>
      <c r="N136" s="29" t="n">
        <f aca="false">M136*C2</f>
        <v>14.4</v>
      </c>
      <c r="O136" s="30" t="n">
        <f aca="false">M136*2.9%</f>
        <v>10.44</v>
      </c>
      <c r="P136" s="62" t="s">
        <v>10</v>
      </c>
      <c r="Q136" s="62" t="s">
        <v>62</v>
      </c>
      <c r="R136" s="30" t="n">
        <f aca="false">M136-N136-O136</f>
        <v>335.16</v>
      </c>
      <c r="S136" s="64" t="n">
        <f aca="false">R136/E136</f>
        <v>167.58</v>
      </c>
      <c r="T136" s="63" t="s">
        <v>66</v>
      </c>
      <c r="U136" s="53" t="n">
        <f aca="false">M136/2-O136/2</f>
        <v>174.78</v>
      </c>
      <c r="V136" s="65" t="s">
        <v>104</v>
      </c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customFormat="false" ht="15.75" hidden="false" customHeight="true" outlineLevel="0" collapsed="false">
      <c r="A137" s="1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64"/>
      <c r="T137" s="66" t="s">
        <v>70</v>
      </c>
      <c r="U137" s="31" t="n">
        <f aca="false">U136</f>
        <v>174.78</v>
      </c>
      <c r="V137" s="6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customFormat="false" ht="15.75" hidden="false" customHeight="true" outlineLevel="0" collapsed="false">
      <c r="A138" s="1"/>
      <c r="B138" s="82" t="n">
        <v>2470</v>
      </c>
      <c r="C138" s="82" t="s">
        <v>16</v>
      </c>
      <c r="D138" s="82" t="s">
        <v>0</v>
      </c>
      <c r="E138" s="82" t="n">
        <v>1</v>
      </c>
      <c r="F138" s="82" t="s">
        <v>1</v>
      </c>
      <c r="G138" s="83" t="n">
        <v>45868</v>
      </c>
      <c r="H138" s="82" t="s">
        <v>68</v>
      </c>
      <c r="I138" s="82" t="s">
        <v>54</v>
      </c>
      <c r="J138" s="82" t="n">
        <v>1100</v>
      </c>
      <c r="K138" s="84" t="n">
        <v>100</v>
      </c>
      <c r="L138" s="84" t="n">
        <v>0</v>
      </c>
      <c r="M138" s="84" t="n">
        <f aca="false">K138-L138</f>
        <v>100</v>
      </c>
      <c r="N138" s="84" t="n">
        <v>0</v>
      </c>
      <c r="O138" s="85" t="n">
        <v>0</v>
      </c>
      <c r="P138" s="86" t="s">
        <v>6</v>
      </c>
      <c r="Q138" s="86" t="s">
        <v>6</v>
      </c>
      <c r="R138" s="86" t="n">
        <v>0</v>
      </c>
      <c r="S138" s="86" t="n">
        <v>0</v>
      </c>
      <c r="T138" s="87" t="s">
        <v>6</v>
      </c>
      <c r="U138" s="88" t="n">
        <f aca="false">M138-O138</f>
        <v>100</v>
      </c>
      <c r="V138" s="82" t="s">
        <v>105</v>
      </c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customFormat="false" ht="15.75" hidden="false" customHeight="true" outlineLevel="0" collapsed="false">
      <c r="A139" s="1"/>
      <c r="B139" s="27" t="n">
        <v>3049</v>
      </c>
      <c r="C139" s="27" t="s">
        <v>99</v>
      </c>
      <c r="D139" s="27" t="s">
        <v>0</v>
      </c>
      <c r="E139" s="27" t="n">
        <v>1</v>
      </c>
      <c r="F139" s="27" t="s">
        <v>1</v>
      </c>
      <c r="G139" s="28" t="n">
        <v>45868</v>
      </c>
      <c r="H139" s="27" t="s">
        <v>68</v>
      </c>
      <c r="I139" s="27" t="s">
        <v>54</v>
      </c>
      <c r="J139" s="27" t="n">
        <v>1102</v>
      </c>
      <c r="K139" s="29" t="n">
        <v>180</v>
      </c>
      <c r="L139" s="29" t="n">
        <v>0</v>
      </c>
      <c r="M139" s="29" t="n">
        <f aca="false">K139-L139</f>
        <v>180</v>
      </c>
      <c r="N139" s="29" t="n">
        <f aca="false">M139*C2</f>
        <v>7.2</v>
      </c>
      <c r="O139" s="30" t="n">
        <f aca="false">M139*2.9%</f>
        <v>5.22</v>
      </c>
      <c r="P139" s="62" t="s">
        <v>10</v>
      </c>
      <c r="Q139" s="62" t="s">
        <v>55</v>
      </c>
      <c r="R139" s="30" t="n">
        <f aca="false">M139-N139-O139</f>
        <v>167.58</v>
      </c>
      <c r="S139" s="64" t="n">
        <f aca="false">R139/E139</f>
        <v>167.58</v>
      </c>
      <c r="T139" s="63" t="s">
        <v>66</v>
      </c>
      <c r="U139" s="89" t="n">
        <f aca="false">M139/2-O139/2</f>
        <v>87.39</v>
      </c>
      <c r="V139" s="65" t="s">
        <v>104</v>
      </c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customFormat="false" ht="15.75" hidden="false" customHeight="true" outlineLevel="0" collapsed="false">
      <c r="A140" s="1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64"/>
      <c r="T140" s="66" t="s">
        <v>70</v>
      </c>
      <c r="U140" s="90" t="n">
        <f aca="false">U139</f>
        <v>87.39</v>
      </c>
      <c r="V140" s="6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customFormat="false" ht="15.75" hidden="false" customHeight="true" outlineLevel="0" collapsed="false">
      <c r="A141" s="1"/>
      <c r="B141" s="91" t="n">
        <v>2550</v>
      </c>
      <c r="C141" s="91" t="s">
        <v>58</v>
      </c>
      <c r="D141" s="91" t="s">
        <v>0</v>
      </c>
      <c r="E141" s="91" t="n">
        <v>2</v>
      </c>
      <c r="F141" s="91" t="s">
        <v>1</v>
      </c>
      <c r="G141" s="92" t="n">
        <v>45868</v>
      </c>
      <c r="H141" s="91" t="s">
        <v>68</v>
      </c>
      <c r="I141" s="91" t="s">
        <v>54</v>
      </c>
      <c r="J141" s="91" t="n">
        <v>1103</v>
      </c>
      <c r="K141" s="93" t="n">
        <v>120</v>
      </c>
      <c r="L141" s="93" t="n">
        <v>0</v>
      </c>
      <c r="M141" s="93" t="n">
        <f aca="false">K141-L141</f>
        <v>120</v>
      </c>
      <c r="N141" s="93" t="n">
        <f aca="false">M141*C2</f>
        <v>4.8</v>
      </c>
      <c r="O141" s="94" t="n">
        <f aca="false">(M141+M142)*2.71%</f>
        <v>8.13</v>
      </c>
      <c r="P141" s="94" t="s">
        <v>9</v>
      </c>
      <c r="Q141" s="95" t="s">
        <v>62</v>
      </c>
      <c r="R141" s="94" t="n">
        <f aca="false">M141-N141-O141</f>
        <v>107.07</v>
      </c>
      <c r="S141" s="94" t="n">
        <f aca="false">R141/E141</f>
        <v>53.535</v>
      </c>
      <c r="T141" s="96" t="s">
        <v>66</v>
      </c>
      <c r="U141" s="94" t="n">
        <f aca="false">M141-O141</f>
        <v>111.87</v>
      </c>
      <c r="V141" s="91" t="s">
        <v>67</v>
      </c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customFormat="false" ht="15.75" hidden="false" customHeight="true" outlineLevel="0" collapsed="false">
      <c r="A142" s="1"/>
      <c r="B142" s="91" t="n">
        <v>2470</v>
      </c>
      <c r="C142" s="91" t="s">
        <v>16</v>
      </c>
      <c r="D142" s="91" t="s">
        <v>0</v>
      </c>
      <c r="E142" s="91" t="n">
        <v>1</v>
      </c>
      <c r="F142" s="91" t="s">
        <v>1</v>
      </c>
      <c r="G142" s="92" t="n">
        <v>45868</v>
      </c>
      <c r="H142" s="91" t="s">
        <v>68</v>
      </c>
      <c r="I142" s="91" t="s">
        <v>54</v>
      </c>
      <c r="J142" s="91" t="n">
        <v>1103</v>
      </c>
      <c r="K142" s="93" t="n">
        <v>180</v>
      </c>
      <c r="L142" s="93" t="n">
        <v>0</v>
      </c>
      <c r="M142" s="93" t="n">
        <f aca="false">K142-L142</f>
        <v>180</v>
      </c>
      <c r="N142" s="93" t="n">
        <f aca="false">M142*C2</f>
        <v>7.2</v>
      </c>
      <c r="O142" s="94"/>
      <c r="P142" s="94"/>
      <c r="Q142" s="94"/>
      <c r="R142" s="94" t="n">
        <f aca="false">M142-N142-O142</f>
        <v>172.8</v>
      </c>
      <c r="S142" s="94" t="n">
        <f aca="false">R142/E142</f>
        <v>172.8</v>
      </c>
      <c r="T142" s="96"/>
      <c r="U142" s="94" t="n">
        <f aca="false">M142-O142</f>
        <v>180</v>
      </c>
      <c r="V142" s="9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customFormat="false" ht="15.75" hidden="false" customHeight="true" outlineLevel="0" collapsed="false">
      <c r="A143" s="1"/>
      <c r="B143" s="82" t="n">
        <v>2470</v>
      </c>
      <c r="C143" s="82" t="s">
        <v>16</v>
      </c>
      <c r="D143" s="82" t="s">
        <v>0</v>
      </c>
      <c r="E143" s="82" t="n">
        <v>1</v>
      </c>
      <c r="F143" s="82" t="s">
        <v>1</v>
      </c>
      <c r="G143" s="83" t="n">
        <v>45868</v>
      </c>
      <c r="H143" s="82" t="s">
        <v>68</v>
      </c>
      <c r="I143" s="82" t="s">
        <v>106</v>
      </c>
      <c r="J143" s="82" t="n">
        <v>1104</v>
      </c>
      <c r="K143" s="84" t="n">
        <v>144</v>
      </c>
      <c r="L143" s="84" t="n">
        <v>0</v>
      </c>
      <c r="M143" s="84" t="n">
        <f aca="false">K143-L143</f>
        <v>144</v>
      </c>
      <c r="N143" s="84" t="n">
        <v>0</v>
      </c>
      <c r="O143" s="85" t="n">
        <v>0</v>
      </c>
      <c r="P143" s="86" t="s">
        <v>6</v>
      </c>
      <c r="Q143" s="86" t="s">
        <v>6</v>
      </c>
      <c r="R143" s="85" t="n">
        <v>0</v>
      </c>
      <c r="S143" s="85" t="n">
        <v>0</v>
      </c>
      <c r="T143" s="86" t="s">
        <v>6</v>
      </c>
      <c r="U143" s="85" t="n">
        <v>0</v>
      </c>
      <c r="V143" s="82" t="s">
        <v>107</v>
      </c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customFormat="false" ht="15.75" hidden="false" customHeight="true" outlineLevel="0" collapsed="false">
      <c r="A144" s="1"/>
      <c r="B144" s="34" t="n">
        <v>3008</v>
      </c>
      <c r="C144" s="34" t="s">
        <v>28</v>
      </c>
      <c r="D144" s="34" t="s">
        <v>0</v>
      </c>
      <c r="E144" s="34" t="n">
        <v>1</v>
      </c>
      <c r="F144" s="34" t="s">
        <v>1</v>
      </c>
      <c r="G144" s="35" t="n">
        <v>45869</v>
      </c>
      <c r="H144" s="34" t="s">
        <v>73</v>
      </c>
      <c r="I144" s="34" t="s">
        <v>54</v>
      </c>
      <c r="J144" s="34" t="n">
        <v>1105</v>
      </c>
      <c r="K144" s="36" t="n">
        <v>215</v>
      </c>
      <c r="L144" s="36" t="n">
        <v>0</v>
      </c>
      <c r="M144" s="36" t="n">
        <f aca="false">K144-L144</f>
        <v>215</v>
      </c>
      <c r="N144" s="36" t="n">
        <f aca="false">M144*C2</f>
        <v>8.6</v>
      </c>
      <c r="O144" s="37" t="n">
        <f aca="false">M144*3.78%-0.01</f>
        <v>8.117</v>
      </c>
      <c r="P144" s="61" t="s">
        <v>10</v>
      </c>
      <c r="Q144" s="61" t="s">
        <v>55</v>
      </c>
      <c r="R144" s="37" t="n">
        <f aca="false">M144-N144-O144</f>
        <v>198.283</v>
      </c>
      <c r="S144" s="48" t="n">
        <f aca="false">R144/E144</f>
        <v>198.283</v>
      </c>
      <c r="T144" s="97" t="s">
        <v>70</v>
      </c>
      <c r="U144" s="98" t="n">
        <f aca="false">M144/2-O144/2</f>
        <v>103.4415</v>
      </c>
      <c r="V144" s="99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customFormat="false" ht="15.75" hidden="false" customHeight="true" outlineLevel="0" collapsed="false">
      <c r="A145" s="1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48"/>
      <c r="T145" s="100" t="s">
        <v>70</v>
      </c>
      <c r="U145" s="101" t="n">
        <f aca="false">U144</f>
        <v>103.4415</v>
      </c>
      <c r="V145" s="99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customFormat="false" ht="15.75" hidden="false" customHeight="true" outlineLevel="0" collapsed="false">
      <c r="A146" s="1"/>
      <c r="B146" s="82" t="n">
        <v>2470</v>
      </c>
      <c r="C146" s="82" t="s">
        <v>16</v>
      </c>
      <c r="D146" s="82" t="s">
        <v>0</v>
      </c>
      <c r="E146" s="82" t="n">
        <v>3</v>
      </c>
      <c r="F146" s="82" t="s">
        <v>1</v>
      </c>
      <c r="G146" s="83" t="n">
        <v>45869</v>
      </c>
      <c r="H146" s="82" t="s">
        <v>73</v>
      </c>
      <c r="I146" s="82" t="s">
        <v>108</v>
      </c>
      <c r="J146" s="82" t="n">
        <v>1106</v>
      </c>
      <c r="K146" s="84" t="n">
        <v>432</v>
      </c>
      <c r="L146" s="84" t="n">
        <v>0</v>
      </c>
      <c r="M146" s="84" t="n">
        <f aca="false">K146-L146</f>
        <v>432</v>
      </c>
      <c r="N146" s="84" t="n">
        <v>0</v>
      </c>
      <c r="O146" s="85" t="n">
        <v>0</v>
      </c>
      <c r="P146" s="86" t="s">
        <v>6</v>
      </c>
      <c r="Q146" s="86" t="s">
        <v>6</v>
      </c>
      <c r="R146" s="85" t="n">
        <v>0</v>
      </c>
      <c r="S146" s="85" t="n">
        <v>0</v>
      </c>
      <c r="T146" s="86" t="s">
        <v>6</v>
      </c>
      <c r="U146" s="85" t="n">
        <v>0</v>
      </c>
      <c r="V146" s="82" t="s">
        <v>109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customFormat="false" ht="15.75" hidden="false" customHeight="true" outlineLevel="0" collapsed="false">
      <c r="A147" s="1"/>
      <c r="B147" s="27" t="n">
        <v>2470</v>
      </c>
      <c r="C147" s="27" t="s">
        <v>16</v>
      </c>
      <c r="D147" s="27" t="s">
        <v>0</v>
      </c>
      <c r="E147" s="27" t="n">
        <v>50</v>
      </c>
      <c r="F147" s="27" t="s">
        <v>1</v>
      </c>
      <c r="G147" s="28" t="n">
        <v>45869</v>
      </c>
      <c r="H147" s="27" t="s">
        <v>73</v>
      </c>
      <c r="I147" s="27" t="s">
        <v>54</v>
      </c>
      <c r="J147" s="27" t="n">
        <v>1107</v>
      </c>
      <c r="K147" s="29" t="n">
        <v>9000</v>
      </c>
      <c r="L147" s="29" t="n">
        <v>2500</v>
      </c>
      <c r="M147" s="29" t="n">
        <f aca="false">K147-L147</f>
        <v>6500</v>
      </c>
      <c r="N147" s="29" t="n">
        <f aca="false">M147*C2</f>
        <v>260</v>
      </c>
      <c r="O147" s="30" t="n">
        <v>0</v>
      </c>
      <c r="P147" s="62" t="s">
        <v>5</v>
      </c>
      <c r="Q147" s="62" t="s">
        <v>6</v>
      </c>
      <c r="R147" s="30" t="n">
        <f aca="false">M147-N147-O147</f>
        <v>6240</v>
      </c>
      <c r="S147" s="30" t="n">
        <f aca="false">R147/E147</f>
        <v>124.8</v>
      </c>
      <c r="T147" s="62" t="s">
        <v>56</v>
      </c>
      <c r="U147" s="30" t="n">
        <f aca="false">M147-O147</f>
        <v>6500</v>
      </c>
      <c r="V147" s="27" t="s">
        <v>110</v>
      </c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customFormat="false" ht="15.75" hidden="false" customHeight="true" outlineLevel="0" collapsed="false">
      <c r="A148" s="1"/>
      <c r="B148" s="27" t="n">
        <v>2470</v>
      </c>
      <c r="C148" s="27" t="s">
        <v>16</v>
      </c>
      <c r="D148" s="27" t="s">
        <v>0</v>
      </c>
      <c r="E148" s="27" t="n">
        <v>34</v>
      </c>
      <c r="F148" s="27" t="s">
        <v>1</v>
      </c>
      <c r="G148" s="28" t="n">
        <v>45869</v>
      </c>
      <c r="H148" s="27" t="s">
        <v>73</v>
      </c>
      <c r="I148" s="27" t="s">
        <v>54</v>
      </c>
      <c r="J148" s="27" t="n">
        <v>1108</v>
      </c>
      <c r="K148" s="29" t="n">
        <v>6120</v>
      </c>
      <c r="L148" s="29" t="n">
        <v>1700</v>
      </c>
      <c r="M148" s="29" t="n">
        <f aca="false">K148-L148</f>
        <v>4420</v>
      </c>
      <c r="N148" s="29" t="n">
        <f aca="false">M148*C2</f>
        <v>176.8</v>
      </c>
      <c r="O148" s="30" t="n">
        <v>0</v>
      </c>
      <c r="P148" s="62" t="s">
        <v>5</v>
      </c>
      <c r="Q148" s="62" t="s">
        <v>6</v>
      </c>
      <c r="R148" s="30" t="n">
        <f aca="false">M148-N148-O148</f>
        <v>4243.2</v>
      </c>
      <c r="S148" s="30" t="n">
        <f aca="false">R148/E148</f>
        <v>124.8</v>
      </c>
      <c r="T148" s="62" t="s">
        <v>56</v>
      </c>
      <c r="U148" s="30" t="n">
        <f aca="false">M148-O148</f>
        <v>4420</v>
      </c>
      <c r="V148" s="27" t="s">
        <v>111</v>
      </c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customFormat="false" ht="15.75" hidden="false" customHeight="true" outlineLevel="0" collapsed="false">
      <c r="A149" s="1"/>
      <c r="B149" s="27" t="n">
        <v>2470</v>
      </c>
      <c r="C149" s="27" t="s">
        <v>16</v>
      </c>
      <c r="D149" s="27" t="s">
        <v>0</v>
      </c>
      <c r="E149" s="27" t="n">
        <v>4</v>
      </c>
      <c r="F149" s="27" t="s">
        <v>1</v>
      </c>
      <c r="G149" s="28" t="n">
        <v>45869</v>
      </c>
      <c r="H149" s="27" t="s">
        <v>73</v>
      </c>
      <c r="I149" s="27" t="s">
        <v>54</v>
      </c>
      <c r="J149" s="27" t="n">
        <v>1109</v>
      </c>
      <c r="K149" s="29" t="n">
        <v>720</v>
      </c>
      <c r="L149" s="29" t="n">
        <v>200</v>
      </c>
      <c r="M149" s="29" t="n">
        <f aca="false">K149-L149</f>
        <v>520</v>
      </c>
      <c r="N149" s="29" t="n">
        <f aca="false">M149*C2</f>
        <v>20.8</v>
      </c>
      <c r="O149" s="30" t="n">
        <v>0</v>
      </c>
      <c r="P149" s="62" t="s">
        <v>5</v>
      </c>
      <c r="Q149" s="62" t="s">
        <v>6</v>
      </c>
      <c r="R149" s="30" t="n">
        <f aca="false">M149-N149-O149</f>
        <v>499.2</v>
      </c>
      <c r="S149" s="30" t="n">
        <f aca="false">R149/E149</f>
        <v>124.8</v>
      </c>
      <c r="T149" s="62" t="s">
        <v>56</v>
      </c>
      <c r="U149" s="30" t="n">
        <f aca="false">M149-O149</f>
        <v>520</v>
      </c>
      <c r="V149" s="27" t="s">
        <v>110</v>
      </c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customFormat="false" ht="15.75" hidden="false" customHeight="true" outlineLevel="0" collapsed="false">
      <c r="A150" s="1"/>
      <c r="B150" s="27" t="n">
        <v>3049</v>
      </c>
      <c r="C150" s="27" t="s">
        <v>99</v>
      </c>
      <c r="D150" s="27" t="s">
        <v>0</v>
      </c>
      <c r="E150" s="27" t="n">
        <v>21</v>
      </c>
      <c r="F150" s="27" t="s">
        <v>1</v>
      </c>
      <c r="G150" s="28" t="n">
        <v>45869</v>
      </c>
      <c r="H150" s="27" t="s">
        <v>73</v>
      </c>
      <c r="I150" s="27" t="s">
        <v>54</v>
      </c>
      <c r="J150" s="27" t="n">
        <v>1109</v>
      </c>
      <c r="K150" s="29" t="n">
        <v>3780</v>
      </c>
      <c r="L150" s="29" t="n">
        <v>0</v>
      </c>
      <c r="M150" s="29" t="n">
        <f aca="false">K150-L150</f>
        <v>3780</v>
      </c>
      <c r="N150" s="29" t="n">
        <f aca="false">M150*C2</f>
        <v>151.2</v>
      </c>
      <c r="O150" s="30" t="n">
        <v>0</v>
      </c>
      <c r="P150" s="62" t="s">
        <v>5</v>
      </c>
      <c r="Q150" s="62" t="s">
        <v>6</v>
      </c>
      <c r="R150" s="30" t="n">
        <f aca="false">M150-N150-O150</f>
        <v>3628.8</v>
      </c>
      <c r="S150" s="30" t="n">
        <f aca="false">R150/E150</f>
        <v>172.8</v>
      </c>
      <c r="T150" s="62" t="s">
        <v>56</v>
      </c>
      <c r="U150" s="30" t="n">
        <f aca="false">M150-O150</f>
        <v>3780</v>
      </c>
      <c r="V150" s="27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customFormat="false" ht="15.75" hidden="false" customHeight="true" outlineLevel="0" collapsed="false">
      <c r="A151" s="1"/>
      <c r="B151" s="34" t="n">
        <v>2470</v>
      </c>
      <c r="C151" s="34" t="s">
        <v>16</v>
      </c>
      <c r="D151" s="34" t="s">
        <v>0</v>
      </c>
      <c r="E151" s="34" t="n">
        <v>2</v>
      </c>
      <c r="F151" s="34" t="s">
        <v>1</v>
      </c>
      <c r="G151" s="35" t="n">
        <v>45869</v>
      </c>
      <c r="H151" s="34" t="s">
        <v>73</v>
      </c>
      <c r="I151" s="34" t="s">
        <v>54</v>
      </c>
      <c r="J151" s="34" t="n">
        <v>1110</v>
      </c>
      <c r="K151" s="36" t="n">
        <v>360</v>
      </c>
      <c r="L151" s="36" t="n">
        <v>0</v>
      </c>
      <c r="M151" s="36" t="n">
        <f aca="false">K151-L151</f>
        <v>360</v>
      </c>
      <c r="N151" s="36" t="n">
        <f aca="false">M151*C2</f>
        <v>14.4</v>
      </c>
      <c r="O151" s="37" t="n">
        <f aca="false">M151*3.78%</f>
        <v>13.608</v>
      </c>
      <c r="P151" s="61" t="s">
        <v>10</v>
      </c>
      <c r="Q151" s="61" t="s">
        <v>55</v>
      </c>
      <c r="R151" s="37" t="n">
        <f aca="false">M151-N151-O151</f>
        <v>331.992</v>
      </c>
      <c r="S151" s="48" t="n">
        <f aca="false">R151/E151</f>
        <v>165.996</v>
      </c>
      <c r="T151" s="97" t="s">
        <v>70</v>
      </c>
      <c r="U151" s="98" t="n">
        <f aca="false">M151/2-O151/2</f>
        <v>173.196</v>
      </c>
      <c r="V151" s="99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customFormat="false" ht="15.75" hidden="false" customHeight="true" outlineLevel="0" collapsed="false">
      <c r="A152" s="1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48"/>
      <c r="T152" s="100" t="s">
        <v>70</v>
      </c>
      <c r="U152" s="101" t="n">
        <f aca="false">U151</f>
        <v>173.196</v>
      </c>
      <c r="V152" s="99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customFormat="false" ht="15.75" hidden="false" customHeight="true" outlineLevel="0" collapsed="false">
      <c r="A153" s="1"/>
      <c r="B153" s="27" t="n">
        <v>2470</v>
      </c>
      <c r="C153" s="27" t="s">
        <v>16</v>
      </c>
      <c r="D153" s="27" t="s">
        <v>0</v>
      </c>
      <c r="E153" s="27" t="n">
        <v>2</v>
      </c>
      <c r="F153" s="27" t="s">
        <v>1</v>
      </c>
      <c r="G153" s="28" t="n">
        <v>45869</v>
      </c>
      <c r="H153" s="27" t="s">
        <v>73</v>
      </c>
      <c r="I153" s="27" t="s">
        <v>54</v>
      </c>
      <c r="J153" s="27" t="n">
        <v>1111</v>
      </c>
      <c r="K153" s="29" t="n">
        <v>360</v>
      </c>
      <c r="L153" s="29" t="n">
        <v>0</v>
      </c>
      <c r="M153" s="29" t="n">
        <f aca="false">K153-L153</f>
        <v>360</v>
      </c>
      <c r="N153" s="29" t="n">
        <v>0</v>
      </c>
      <c r="O153" s="30" t="n">
        <v>10.44</v>
      </c>
      <c r="P153" s="62" t="s">
        <v>10</v>
      </c>
      <c r="Q153" s="62" t="s">
        <v>55</v>
      </c>
      <c r="R153" s="30" t="n">
        <f aca="false">M153-N153-O153</f>
        <v>349.56</v>
      </c>
      <c r="S153" s="64" t="n">
        <f aca="false">R153/E153</f>
        <v>174.78</v>
      </c>
      <c r="T153" s="63" t="s">
        <v>66</v>
      </c>
      <c r="U153" s="89" t="n">
        <f aca="false">M153/2-O153/2</f>
        <v>174.78</v>
      </c>
      <c r="V153" s="65" t="s">
        <v>112</v>
      </c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customFormat="false" ht="15.75" hidden="false" customHeight="true" outlineLevel="0" collapsed="false">
      <c r="A154" s="1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64"/>
      <c r="T154" s="66" t="s">
        <v>70</v>
      </c>
      <c r="U154" s="90" t="n">
        <f aca="false">U153</f>
        <v>174.78</v>
      </c>
      <c r="V154" s="6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customFormat="false" ht="15.75" hidden="false" customHeight="true" outlineLevel="0" collapsed="false">
      <c r="A155" s="1"/>
      <c r="B155" s="102" t="n">
        <v>2470</v>
      </c>
      <c r="C155" s="102" t="s">
        <v>16</v>
      </c>
      <c r="D155" s="102" t="s">
        <v>0</v>
      </c>
      <c r="E155" s="102" t="n">
        <v>1</v>
      </c>
      <c r="F155" s="102" t="s">
        <v>1</v>
      </c>
      <c r="G155" s="103" t="n">
        <v>45870</v>
      </c>
      <c r="H155" s="102" t="s">
        <v>75</v>
      </c>
      <c r="I155" s="102" t="s">
        <v>54</v>
      </c>
      <c r="J155" s="102" t="n">
        <v>1112</v>
      </c>
      <c r="K155" s="104" t="n">
        <v>180</v>
      </c>
      <c r="L155" s="104" t="n">
        <v>0</v>
      </c>
      <c r="M155" s="104" t="n">
        <f aca="false">K155-L155</f>
        <v>180</v>
      </c>
      <c r="N155" s="104" t="n">
        <f aca="false">M155*C2</f>
        <v>7.2</v>
      </c>
      <c r="O155" s="105" t="n">
        <f aca="false">M155*3.78%</f>
        <v>6.804</v>
      </c>
      <c r="P155" s="106" t="s">
        <v>10</v>
      </c>
      <c r="Q155" s="106" t="s">
        <v>55</v>
      </c>
      <c r="R155" s="105" t="n">
        <f aca="false">M155-N155-O155</f>
        <v>165.996</v>
      </c>
      <c r="S155" s="107" t="n">
        <f aca="false">R155/E155</f>
        <v>165.996</v>
      </c>
      <c r="T155" s="108" t="s">
        <v>70</v>
      </c>
      <c r="U155" s="109" t="n">
        <f aca="false">M155/2-O155/2</f>
        <v>86.598</v>
      </c>
      <c r="V155" s="110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customFormat="false" ht="15.75" hidden="false" customHeight="true" outlineLevel="0" collapsed="false">
      <c r="A156" s="1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7"/>
      <c r="T156" s="111" t="s">
        <v>70</v>
      </c>
      <c r="U156" s="112" t="n">
        <f aca="false">U155</f>
        <v>86.598</v>
      </c>
      <c r="V156" s="110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customFormat="false" ht="15.75" hidden="false" customHeight="true" outlineLevel="0" collapsed="false">
      <c r="A157" s="1"/>
      <c r="B157" s="102" t="n">
        <v>2470</v>
      </c>
      <c r="C157" s="102" t="s">
        <v>16</v>
      </c>
      <c r="D157" s="102" t="s">
        <v>0</v>
      </c>
      <c r="E157" s="102" t="n">
        <v>1</v>
      </c>
      <c r="F157" s="102" t="s">
        <v>1</v>
      </c>
      <c r="G157" s="103" t="n">
        <v>45870</v>
      </c>
      <c r="H157" s="102" t="s">
        <v>75</v>
      </c>
      <c r="I157" s="102" t="s">
        <v>113</v>
      </c>
      <c r="J157" s="102" t="n">
        <v>1113</v>
      </c>
      <c r="K157" s="104" t="n">
        <v>180</v>
      </c>
      <c r="L157" s="104" t="n">
        <v>36</v>
      </c>
      <c r="M157" s="104" t="n">
        <f aca="false">K157-L157</f>
        <v>144</v>
      </c>
      <c r="N157" s="104" t="n">
        <f aca="false">M157*C2</f>
        <v>5.76</v>
      </c>
      <c r="O157" s="105" t="n">
        <f aca="false">M157*3.29%</f>
        <v>4.7376</v>
      </c>
      <c r="P157" s="106" t="s">
        <v>9</v>
      </c>
      <c r="Q157" s="106" t="s">
        <v>55</v>
      </c>
      <c r="R157" s="105" t="n">
        <f aca="false">M157-N157-O157</f>
        <v>133.5024</v>
      </c>
      <c r="S157" s="105" t="n">
        <f aca="false">R157/E157</f>
        <v>133.5024</v>
      </c>
      <c r="T157" s="106" t="s">
        <v>70</v>
      </c>
      <c r="U157" s="105" t="n">
        <f aca="false">M157-O157</f>
        <v>139.2624</v>
      </c>
      <c r="V157" s="102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customFormat="false" ht="15.75" hidden="false" customHeight="true" outlineLevel="0" collapsed="false">
      <c r="A158" s="1"/>
      <c r="B158" s="113" t="n">
        <v>2470</v>
      </c>
      <c r="C158" s="113" t="s">
        <v>16</v>
      </c>
      <c r="D158" s="113" t="s">
        <v>0</v>
      </c>
      <c r="E158" s="113" t="n">
        <v>3</v>
      </c>
      <c r="F158" s="113" t="s">
        <v>1</v>
      </c>
      <c r="G158" s="114" t="n">
        <v>45870</v>
      </c>
      <c r="H158" s="113" t="s">
        <v>75</v>
      </c>
      <c r="I158" s="113" t="s">
        <v>114</v>
      </c>
      <c r="J158" s="113" t="n">
        <v>1114</v>
      </c>
      <c r="K158" s="115" t="n">
        <v>540</v>
      </c>
      <c r="L158" s="115" t="n">
        <v>108</v>
      </c>
      <c r="M158" s="115" t="n">
        <f aca="false">K158-L158</f>
        <v>432</v>
      </c>
      <c r="N158" s="115" t="n">
        <v>0</v>
      </c>
      <c r="O158" s="116"/>
      <c r="P158" s="117"/>
      <c r="Q158" s="117"/>
      <c r="R158" s="116" t="n">
        <f aca="false">M158-N158-O158</f>
        <v>432</v>
      </c>
      <c r="S158" s="116" t="n">
        <f aca="false">R158/E158</f>
        <v>144</v>
      </c>
      <c r="T158" s="117"/>
      <c r="U158" s="116" t="n">
        <f aca="false">M158-O158</f>
        <v>432</v>
      </c>
      <c r="V158" s="113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customFormat="false" ht="15.75" hidden="false" customHeight="true" outlineLevel="0" collapsed="false">
      <c r="A159" s="1"/>
      <c r="B159" s="102" t="n">
        <v>2470</v>
      </c>
      <c r="C159" s="102" t="s">
        <v>16</v>
      </c>
      <c r="D159" s="102" t="s">
        <v>0</v>
      </c>
      <c r="E159" s="102" t="n">
        <v>1</v>
      </c>
      <c r="F159" s="102" t="s">
        <v>1</v>
      </c>
      <c r="G159" s="103" t="n">
        <v>45870</v>
      </c>
      <c r="H159" s="102" t="s">
        <v>75</v>
      </c>
      <c r="I159" s="102" t="s">
        <v>54</v>
      </c>
      <c r="J159" s="102" t="n">
        <v>1115</v>
      </c>
      <c r="K159" s="104" t="n">
        <v>180</v>
      </c>
      <c r="L159" s="104" t="n">
        <v>0</v>
      </c>
      <c r="M159" s="104" t="n">
        <f aca="false">K159-L159</f>
        <v>180</v>
      </c>
      <c r="N159" s="104" t="n">
        <f aca="false">M159*C2</f>
        <v>7.2</v>
      </c>
      <c r="O159" s="105" t="n">
        <f aca="false">M159*3.78%</f>
        <v>6.804</v>
      </c>
      <c r="P159" s="106" t="s">
        <v>10</v>
      </c>
      <c r="Q159" s="106" t="s">
        <v>62</v>
      </c>
      <c r="R159" s="105" t="n">
        <f aca="false">M159-N159-O159</f>
        <v>165.996</v>
      </c>
      <c r="S159" s="107" t="n">
        <f aca="false">R159/E159</f>
        <v>165.996</v>
      </c>
      <c r="T159" s="108" t="s">
        <v>70</v>
      </c>
      <c r="U159" s="109" t="n">
        <f aca="false">M159/2-O159/2</f>
        <v>86.598</v>
      </c>
      <c r="V159" s="110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customFormat="false" ht="15.75" hidden="false" customHeight="true" outlineLevel="0" collapsed="false">
      <c r="A160" s="1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7"/>
      <c r="T160" s="111" t="s">
        <v>70</v>
      </c>
      <c r="U160" s="112" t="n">
        <f aca="false">U159</f>
        <v>86.598</v>
      </c>
      <c r="V160" s="110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customFormat="false" ht="15.75" hidden="false" customHeight="true" outlineLevel="0" collapsed="false">
      <c r="A161" s="1"/>
      <c r="B161" s="102" t="n">
        <v>2470</v>
      </c>
      <c r="C161" s="102" t="s">
        <v>16</v>
      </c>
      <c r="D161" s="102" t="s">
        <v>0</v>
      </c>
      <c r="E161" s="102" t="n">
        <v>1</v>
      </c>
      <c r="F161" s="102" t="s">
        <v>1</v>
      </c>
      <c r="G161" s="103" t="n">
        <v>45870</v>
      </c>
      <c r="H161" s="102" t="s">
        <v>75</v>
      </c>
      <c r="I161" s="102" t="s">
        <v>54</v>
      </c>
      <c r="J161" s="102" t="n">
        <v>1116</v>
      </c>
      <c r="K161" s="104" t="n">
        <v>180</v>
      </c>
      <c r="L161" s="104" t="n">
        <v>0</v>
      </c>
      <c r="M161" s="104" t="n">
        <f aca="false">K161-L161</f>
        <v>180</v>
      </c>
      <c r="N161" s="104" t="n">
        <f aca="false">M161*C2</f>
        <v>7.2</v>
      </c>
      <c r="O161" s="105" t="n">
        <v>0</v>
      </c>
      <c r="P161" s="106" t="s">
        <v>5</v>
      </c>
      <c r="Q161" s="106" t="s">
        <v>6</v>
      </c>
      <c r="R161" s="105" t="n">
        <f aca="false">M161-N161-O161</f>
        <v>172.8</v>
      </c>
      <c r="S161" s="105" t="n">
        <f aca="false">R161/E161</f>
        <v>172.8</v>
      </c>
      <c r="T161" s="106" t="s">
        <v>66</v>
      </c>
      <c r="U161" s="105" t="n">
        <f aca="false">M161-O161</f>
        <v>180</v>
      </c>
      <c r="V161" s="102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customFormat="false" ht="15.75" hidden="false" customHeight="true" outlineLevel="0" collapsed="false">
      <c r="A162" s="1"/>
      <c r="B162" s="102" t="n">
        <v>2470</v>
      </c>
      <c r="C162" s="102" t="s">
        <v>16</v>
      </c>
      <c r="D162" s="102" t="s">
        <v>0</v>
      </c>
      <c r="E162" s="102" t="n">
        <v>1</v>
      </c>
      <c r="F162" s="102" t="s">
        <v>1</v>
      </c>
      <c r="G162" s="103" t="n">
        <v>45871</v>
      </c>
      <c r="H162" s="102" t="s">
        <v>76</v>
      </c>
      <c r="I162" s="102" t="s">
        <v>54</v>
      </c>
      <c r="J162" s="102" t="n">
        <v>1117</v>
      </c>
      <c r="K162" s="104" t="n">
        <v>180</v>
      </c>
      <c r="L162" s="104" t="n">
        <v>0</v>
      </c>
      <c r="M162" s="104" t="n">
        <f aca="false">K162-L162</f>
        <v>180</v>
      </c>
      <c r="N162" s="104" t="n">
        <f aca="false">M162*C2</f>
        <v>7.2</v>
      </c>
      <c r="O162" s="105" t="n">
        <v>5.34</v>
      </c>
      <c r="P162" s="106" t="s">
        <v>7</v>
      </c>
      <c r="Q162" s="106" t="s">
        <v>79</v>
      </c>
      <c r="R162" s="105" t="n">
        <f aca="false">M162-N162-O162</f>
        <v>167.46</v>
      </c>
      <c r="S162" s="105" t="n">
        <f aca="false">R162/E162</f>
        <v>167.46</v>
      </c>
      <c r="T162" s="106" t="s">
        <v>66</v>
      </c>
      <c r="U162" s="105" t="n">
        <f aca="false">M162-O162</f>
        <v>174.66</v>
      </c>
      <c r="V162" s="102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customFormat="false" ht="15.75" hidden="false" customHeight="true" outlineLevel="0" collapsed="false">
      <c r="A163" s="1"/>
      <c r="B163" s="102" t="n">
        <v>2470</v>
      </c>
      <c r="C163" s="102" t="s">
        <v>16</v>
      </c>
      <c r="D163" s="102" t="s">
        <v>0</v>
      </c>
      <c r="E163" s="102" t="n">
        <v>1</v>
      </c>
      <c r="F163" s="102" t="s">
        <v>1</v>
      </c>
      <c r="G163" s="103" t="n">
        <v>45871</v>
      </c>
      <c r="H163" s="102" t="s">
        <v>76</v>
      </c>
      <c r="I163" s="102" t="s">
        <v>54</v>
      </c>
      <c r="J163" s="102" t="n">
        <v>1119</v>
      </c>
      <c r="K163" s="104" t="n">
        <v>180</v>
      </c>
      <c r="L163" s="104" t="n">
        <v>0</v>
      </c>
      <c r="M163" s="104" t="n">
        <f aca="false">K163-L163</f>
        <v>180</v>
      </c>
      <c r="N163" s="104" t="n">
        <f aca="false">M163*C2</f>
        <v>7.2</v>
      </c>
      <c r="O163" s="105" t="n">
        <v>0</v>
      </c>
      <c r="P163" s="106" t="s">
        <v>5</v>
      </c>
      <c r="Q163" s="106" t="s">
        <v>6</v>
      </c>
      <c r="R163" s="105" t="n">
        <f aca="false">M163-N163-O163</f>
        <v>172.8</v>
      </c>
      <c r="S163" s="105" t="n">
        <f aca="false">R163/E163</f>
        <v>172.8</v>
      </c>
      <c r="T163" s="106" t="s">
        <v>66</v>
      </c>
      <c r="U163" s="105" t="n">
        <f aca="false">M163-O163</f>
        <v>180</v>
      </c>
      <c r="V163" s="102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customFormat="false" ht="15.75" hidden="false" customHeight="true" outlineLevel="0" collapsed="false">
      <c r="A164" s="1"/>
      <c r="B164" s="102" t="n">
        <v>3006</v>
      </c>
      <c r="C164" s="102" t="s">
        <v>25</v>
      </c>
      <c r="D164" s="102" t="s">
        <v>0</v>
      </c>
      <c r="E164" s="102" t="n">
        <v>1</v>
      </c>
      <c r="F164" s="102" t="s">
        <v>1</v>
      </c>
      <c r="G164" s="103" t="n">
        <v>45871</v>
      </c>
      <c r="H164" s="102" t="s">
        <v>76</v>
      </c>
      <c r="I164" s="102" t="s">
        <v>54</v>
      </c>
      <c r="J164" s="102" t="n">
        <v>1120</v>
      </c>
      <c r="K164" s="104" t="n">
        <v>170</v>
      </c>
      <c r="L164" s="104" t="n">
        <v>0</v>
      </c>
      <c r="M164" s="104" t="n">
        <f aca="false">K164-L164</f>
        <v>170</v>
      </c>
      <c r="N164" s="104" t="n">
        <f aca="false">M164*C2</f>
        <v>6.8</v>
      </c>
      <c r="O164" s="105" t="n">
        <f aca="false">M164*1.9%</f>
        <v>3.23</v>
      </c>
      <c r="P164" s="106" t="s">
        <v>7</v>
      </c>
      <c r="Q164" s="106" t="s">
        <v>62</v>
      </c>
      <c r="R164" s="105" t="n">
        <f aca="false">M164-N164-O164</f>
        <v>159.97</v>
      </c>
      <c r="S164" s="105" t="n">
        <f aca="false">R164/E164</f>
        <v>159.97</v>
      </c>
      <c r="T164" s="106" t="s">
        <v>66</v>
      </c>
      <c r="U164" s="105" t="n">
        <f aca="false">M164-O164</f>
        <v>166.77</v>
      </c>
      <c r="V164" s="102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customFormat="false" ht="15.75" hidden="false" customHeight="true" outlineLevel="0" collapsed="false">
      <c r="A165" s="1"/>
      <c r="B165" s="102" t="n">
        <v>3006</v>
      </c>
      <c r="C165" s="102" t="s">
        <v>25</v>
      </c>
      <c r="D165" s="102" t="s">
        <v>0</v>
      </c>
      <c r="E165" s="102" t="n">
        <v>1</v>
      </c>
      <c r="F165" s="102" t="s">
        <v>1</v>
      </c>
      <c r="G165" s="103" t="n">
        <v>45871</v>
      </c>
      <c r="H165" s="102" t="s">
        <v>76</v>
      </c>
      <c r="I165" s="102" t="s">
        <v>115</v>
      </c>
      <c r="J165" s="102" t="n">
        <v>1121</v>
      </c>
      <c r="K165" s="104" t="n">
        <v>170</v>
      </c>
      <c r="L165" s="104" t="n">
        <v>34</v>
      </c>
      <c r="M165" s="104" t="n">
        <f aca="false">K165-L165</f>
        <v>136</v>
      </c>
      <c r="N165" s="104" t="n">
        <f aca="false">M165*C2</f>
        <v>5.44</v>
      </c>
      <c r="O165" s="105" t="n">
        <f aca="false">M165*3.29%</f>
        <v>4.4744</v>
      </c>
      <c r="P165" s="106" t="s">
        <v>9</v>
      </c>
      <c r="Q165" s="106" t="s">
        <v>62</v>
      </c>
      <c r="R165" s="105" t="n">
        <f aca="false">M165-N165-O165</f>
        <v>126.0856</v>
      </c>
      <c r="S165" s="105" t="n">
        <f aca="false">R165/E165</f>
        <v>126.0856</v>
      </c>
      <c r="T165" s="106" t="s">
        <v>70</v>
      </c>
      <c r="U165" s="105" t="n">
        <f aca="false">M165-O165</f>
        <v>131.5256</v>
      </c>
      <c r="V165" s="102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customFormat="false" ht="15.75" hidden="false" customHeight="true" outlineLevel="0" collapsed="false">
      <c r="A166" s="1"/>
      <c r="B166" s="102" t="n">
        <v>2470</v>
      </c>
      <c r="C166" s="102" t="s">
        <v>16</v>
      </c>
      <c r="D166" s="102" t="s">
        <v>0</v>
      </c>
      <c r="E166" s="102" t="n">
        <v>1</v>
      </c>
      <c r="F166" s="102" t="s">
        <v>1</v>
      </c>
      <c r="G166" s="103" t="n">
        <v>45871</v>
      </c>
      <c r="H166" s="102" t="s">
        <v>76</v>
      </c>
      <c r="I166" s="102" t="s">
        <v>115</v>
      </c>
      <c r="J166" s="102" t="n">
        <v>1121</v>
      </c>
      <c r="K166" s="104" t="n">
        <v>180</v>
      </c>
      <c r="L166" s="104" t="n">
        <v>36</v>
      </c>
      <c r="M166" s="104" t="n">
        <f aca="false">K166-L166</f>
        <v>144</v>
      </c>
      <c r="N166" s="104" t="n">
        <f aca="false">M166*C2</f>
        <v>5.76</v>
      </c>
      <c r="O166" s="105" t="n">
        <f aca="false">M166*2.95%+0.01</f>
        <v>4.258</v>
      </c>
      <c r="P166" s="106" t="s">
        <v>7</v>
      </c>
      <c r="Q166" s="106" t="s">
        <v>79</v>
      </c>
      <c r="R166" s="105" t="n">
        <f aca="false">M166-N166-O166</f>
        <v>133.982</v>
      </c>
      <c r="S166" s="105" t="n">
        <f aca="false">R166/E166</f>
        <v>133.982</v>
      </c>
      <c r="T166" s="106" t="s">
        <v>66</v>
      </c>
      <c r="U166" s="105" t="n">
        <f aca="false">M166-O166</f>
        <v>139.742</v>
      </c>
      <c r="V166" s="102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customFormat="false" ht="15.75" hidden="false" customHeight="true" outlineLevel="0" collapsed="false">
      <c r="A167" s="1"/>
      <c r="B167" s="102" t="n">
        <v>3049</v>
      </c>
      <c r="C167" s="102" t="s">
        <v>99</v>
      </c>
      <c r="D167" s="102" t="s">
        <v>0</v>
      </c>
      <c r="E167" s="102" t="n">
        <v>1</v>
      </c>
      <c r="F167" s="102" t="s">
        <v>1</v>
      </c>
      <c r="G167" s="103" t="n">
        <v>45871</v>
      </c>
      <c r="H167" s="102" t="s">
        <v>76</v>
      </c>
      <c r="I167" s="102" t="s">
        <v>54</v>
      </c>
      <c r="J167" s="102" t="n">
        <v>1122</v>
      </c>
      <c r="K167" s="104" t="n">
        <v>180</v>
      </c>
      <c r="L167" s="104" t="n">
        <v>0</v>
      </c>
      <c r="M167" s="104" t="n">
        <f aca="false">K167-L167</f>
        <v>180</v>
      </c>
      <c r="N167" s="104" t="n">
        <f aca="false">M167*C2</f>
        <v>7.2</v>
      </c>
      <c r="O167" s="105" t="n">
        <v>0</v>
      </c>
      <c r="P167" s="106" t="s">
        <v>5</v>
      </c>
      <c r="Q167" s="106" t="s">
        <v>6</v>
      </c>
      <c r="R167" s="105" t="n">
        <f aca="false">M167-N167-O167</f>
        <v>172.8</v>
      </c>
      <c r="S167" s="105" t="n">
        <f aca="false">R167/E167</f>
        <v>172.8</v>
      </c>
      <c r="T167" s="106" t="s">
        <v>66</v>
      </c>
      <c r="U167" s="105" t="n">
        <f aca="false">M167-O167</f>
        <v>180</v>
      </c>
      <c r="V167" s="102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customFormat="false" ht="15.75" hidden="false" customHeight="true" outlineLevel="0" collapsed="false">
      <c r="A168" s="1"/>
      <c r="B168" s="102" t="n">
        <v>2470</v>
      </c>
      <c r="C168" s="102" t="s">
        <v>16</v>
      </c>
      <c r="D168" s="102" t="s">
        <v>0</v>
      </c>
      <c r="E168" s="102" t="n">
        <v>2</v>
      </c>
      <c r="F168" s="102" t="s">
        <v>1</v>
      </c>
      <c r="G168" s="103" t="n">
        <v>45871</v>
      </c>
      <c r="H168" s="102" t="s">
        <v>76</v>
      </c>
      <c r="I168" s="102" t="s">
        <v>116</v>
      </c>
      <c r="J168" s="102" t="n">
        <v>1123</v>
      </c>
      <c r="K168" s="104" t="n">
        <v>360</v>
      </c>
      <c r="L168" s="104" t="n">
        <v>0</v>
      </c>
      <c r="M168" s="104" t="n">
        <f aca="false">K168-L168</f>
        <v>360</v>
      </c>
      <c r="N168" s="104" t="n">
        <f aca="false">M168*C2</f>
        <v>14.4</v>
      </c>
      <c r="O168" s="105" t="n">
        <f aca="false">M168*2.95%</f>
        <v>10.62</v>
      </c>
      <c r="P168" s="106" t="s">
        <v>7</v>
      </c>
      <c r="Q168" s="106" t="s">
        <v>79</v>
      </c>
      <c r="R168" s="105" t="n">
        <f aca="false">M168-N168-O168</f>
        <v>334.98</v>
      </c>
      <c r="S168" s="105" t="n">
        <f aca="false">R168/E168</f>
        <v>167.49</v>
      </c>
      <c r="T168" s="106" t="s">
        <v>66</v>
      </c>
      <c r="U168" s="105" t="n">
        <f aca="false">M168-O168</f>
        <v>349.38</v>
      </c>
      <c r="V168" s="102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customFormat="false" ht="15.75" hidden="false" customHeight="true" outlineLevel="0" collapsed="false">
      <c r="A169" s="1"/>
      <c r="B169" s="102" t="n">
        <v>2946</v>
      </c>
      <c r="C169" s="102" t="s">
        <v>91</v>
      </c>
      <c r="D169" s="102" t="s">
        <v>0</v>
      </c>
      <c r="E169" s="102" t="n">
        <v>1</v>
      </c>
      <c r="F169" s="102" t="s">
        <v>1</v>
      </c>
      <c r="G169" s="103" t="n">
        <v>45871</v>
      </c>
      <c r="H169" s="102" t="s">
        <v>76</v>
      </c>
      <c r="I169" s="102" t="s">
        <v>116</v>
      </c>
      <c r="J169" s="102" t="n">
        <v>1123</v>
      </c>
      <c r="K169" s="104" t="n">
        <v>100</v>
      </c>
      <c r="L169" s="104" t="n">
        <v>80</v>
      </c>
      <c r="M169" s="104" t="n">
        <f aca="false">K169-L169</f>
        <v>20</v>
      </c>
      <c r="N169" s="104" t="n">
        <f aca="false">M169*C2</f>
        <v>0.8</v>
      </c>
      <c r="O169" s="105" t="n">
        <v>0.6</v>
      </c>
      <c r="P169" s="106" t="s">
        <v>7</v>
      </c>
      <c r="Q169" s="106" t="s">
        <v>79</v>
      </c>
      <c r="R169" s="105" t="n">
        <f aca="false">M169-N169-O169</f>
        <v>18.6</v>
      </c>
      <c r="S169" s="105" t="n">
        <f aca="false">R169/E169</f>
        <v>18.6</v>
      </c>
      <c r="T169" s="106" t="s">
        <v>66</v>
      </c>
      <c r="U169" s="105" t="n">
        <f aca="false">M169-O169</f>
        <v>19.4</v>
      </c>
      <c r="V169" s="102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customFormat="false" ht="15.75" hidden="false" customHeight="true" outlineLevel="0" collapsed="false">
      <c r="A170" s="1"/>
      <c r="B170" s="102" t="n">
        <v>2470</v>
      </c>
      <c r="C170" s="102" t="s">
        <v>16</v>
      </c>
      <c r="D170" s="102" t="s">
        <v>0</v>
      </c>
      <c r="E170" s="102" t="n">
        <v>1</v>
      </c>
      <c r="F170" s="102" t="s">
        <v>1</v>
      </c>
      <c r="G170" s="103" t="n">
        <v>45871</v>
      </c>
      <c r="H170" s="102" t="s">
        <v>76</v>
      </c>
      <c r="I170" s="102" t="s">
        <v>117</v>
      </c>
      <c r="J170" s="102" t="n">
        <v>1124</v>
      </c>
      <c r="K170" s="104" t="n">
        <v>180</v>
      </c>
      <c r="L170" s="104" t="n">
        <v>36</v>
      </c>
      <c r="M170" s="104" t="n">
        <f aca="false">K170-L170</f>
        <v>144</v>
      </c>
      <c r="N170" s="104" t="n">
        <f aca="false">M170*C2</f>
        <v>5.76</v>
      </c>
      <c r="O170" s="105" t="n">
        <v>0</v>
      </c>
      <c r="P170" s="106" t="s">
        <v>5</v>
      </c>
      <c r="Q170" s="106" t="s">
        <v>6</v>
      </c>
      <c r="R170" s="105" t="n">
        <f aca="false">M170-N170-O170</f>
        <v>138.24</v>
      </c>
      <c r="S170" s="105" t="n">
        <f aca="false">R170/E170</f>
        <v>138.24</v>
      </c>
      <c r="T170" s="108" t="s">
        <v>66</v>
      </c>
      <c r="U170" s="118" t="n">
        <f aca="false">M170-O170</f>
        <v>144</v>
      </c>
      <c r="V170" s="102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customFormat="false" ht="15.75" hidden="false" customHeight="true" outlineLevel="0" collapsed="false">
      <c r="A171" s="1"/>
      <c r="B171" s="102" t="n">
        <v>3049</v>
      </c>
      <c r="C171" s="102" t="s">
        <v>99</v>
      </c>
      <c r="D171" s="102" t="s">
        <v>0</v>
      </c>
      <c r="E171" s="102" t="n">
        <v>1</v>
      </c>
      <c r="F171" s="102" t="s">
        <v>1</v>
      </c>
      <c r="G171" s="103" t="n">
        <v>45871</v>
      </c>
      <c r="H171" s="102" t="s">
        <v>76</v>
      </c>
      <c r="I171" s="102" t="s">
        <v>54</v>
      </c>
      <c r="J171" s="102" t="n">
        <v>1125</v>
      </c>
      <c r="K171" s="104" t="n">
        <v>180</v>
      </c>
      <c r="L171" s="104" t="n">
        <v>0</v>
      </c>
      <c r="M171" s="104" t="n">
        <f aca="false">K171-L171</f>
        <v>180</v>
      </c>
      <c r="N171" s="104" t="n">
        <f aca="false">M171*C2</f>
        <v>7.2</v>
      </c>
      <c r="O171" s="105" t="n">
        <f aca="false">M171*3.78%</f>
        <v>6.804</v>
      </c>
      <c r="P171" s="106" t="s">
        <v>10</v>
      </c>
      <c r="Q171" s="106" t="s">
        <v>55</v>
      </c>
      <c r="R171" s="105" t="n">
        <f aca="false">M171-N171-O171</f>
        <v>165.996</v>
      </c>
      <c r="S171" s="107" t="n">
        <f aca="false">R171/E171</f>
        <v>165.996</v>
      </c>
      <c r="T171" s="108" t="s">
        <v>70</v>
      </c>
      <c r="U171" s="118" t="n">
        <f aca="false">M171/2-O171/2</f>
        <v>86.598</v>
      </c>
      <c r="V171" s="110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customFormat="false" ht="15.75" hidden="false" customHeight="true" outlineLevel="0" collapsed="false">
      <c r="A172" s="1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7"/>
      <c r="T172" s="111" t="s">
        <v>71</v>
      </c>
      <c r="U172" s="119" t="n">
        <f aca="false">U171</f>
        <v>86.598</v>
      </c>
      <c r="V172" s="110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customFormat="false" ht="15.75" hidden="false" customHeight="true" outlineLevel="0" collapsed="false">
      <c r="A173" s="1"/>
      <c r="B173" s="102" t="n">
        <v>2953</v>
      </c>
      <c r="C173" s="102" t="s">
        <v>118</v>
      </c>
      <c r="D173" s="102" t="s">
        <v>0</v>
      </c>
      <c r="E173" s="102" t="n">
        <v>1</v>
      </c>
      <c r="F173" s="102" t="s">
        <v>1</v>
      </c>
      <c r="G173" s="103" t="n">
        <v>45871</v>
      </c>
      <c r="H173" s="102" t="s">
        <v>76</v>
      </c>
      <c r="I173" s="102" t="s">
        <v>54</v>
      </c>
      <c r="J173" s="102" t="n">
        <v>1126</v>
      </c>
      <c r="K173" s="104" t="n">
        <v>150</v>
      </c>
      <c r="L173" s="104" t="n">
        <v>0</v>
      </c>
      <c r="M173" s="104" t="n">
        <f aca="false">K173-L173</f>
        <v>150</v>
      </c>
      <c r="N173" s="104" t="n">
        <f aca="false">M173*C2</f>
        <v>6</v>
      </c>
      <c r="O173" s="105" t="n">
        <f aca="false">M173*3.78%</f>
        <v>5.67</v>
      </c>
      <c r="P173" s="106" t="s">
        <v>10</v>
      </c>
      <c r="Q173" s="106" t="s">
        <v>62</v>
      </c>
      <c r="R173" s="105" t="n">
        <f aca="false">M173-N173-O173</f>
        <v>138.33</v>
      </c>
      <c r="S173" s="107" t="n">
        <f aca="false">R173/E173</f>
        <v>138.33</v>
      </c>
      <c r="T173" s="108" t="s">
        <v>70</v>
      </c>
      <c r="U173" s="118" t="n">
        <f aca="false">M173/2-O173/2</f>
        <v>72.165</v>
      </c>
      <c r="V173" s="110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customFormat="false" ht="15.75" hidden="false" customHeight="true" outlineLevel="0" collapsed="false">
      <c r="A174" s="1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7"/>
      <c r="T174" s="111" t="s">
        <v>71</v>
      </c>
      <c r="U174" s="119" t="n">
        <f aca="false">U173</f>
        <v>72.165</v>
      </c>
      <c r="V174" s="110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customFormat="false" ht="15.75" hidden="false" customHeight="true" outlineLevel="0" collapsed="false">
      <c r="A175" s="1"/>
      <c r="B175" s="102" t="n">
        <v>2550</v>
      </c>
      <c r="C175" s="102" t="s">
        <v>58</v>
      </c>
      <c r="D175" s="102" t="s">
        <v>0</v>
      </c>
      <c r="E175" s="102" t="n">
        <v>1</v>
      </c>
      <c r="F175" s="102" t="s">
        <v>1</v>
      </c>
      <c r="G175" s="103" t="n">
        <v>45871</v>
      </c>
      <c r="H175" s="102" t="s">
        <v>76</v>
      </c>
      <c r="I175" s="102" t="s">
        <v>54</v>
      </c>
      <c r="J175" s="102" t="n">
        <v>1126</v>
      </c>
      <c r="K175" s="104" t="n">
        <v>60</v>
      </c>
      <c r="L175" s="104" t="n">
        <v>0</v>
      </c>
      <c r="M175" s="104" t="n">
        <f aca="false">K175-L175</f>
        <v>60</v>
      </c>
      <c r="N175" s="104" t="n">
        <f aca="false">M175*C2</f>
        <v>2.4</v>
      </c>
      <c r="O175" s="105" t="n">
        <f aca="false">M175*3.78%</f>
        <v>2.268</v>
      </c>
      <c r="P175" s="106" t="s">
        <v>10</v>
      </c>
      <c r="Q175" s="106" t="s">
        <v>62</v>
      </c>
      <c r="R175" s="105" t="n">
        <f aca="false">M175-N175-O175</f>
        <v>55.332</v>
      </c>
      <c r="S175" s="107" t="n">
        <f aca="false">R175/E175</f>
        <v>55.332</v>
      </c>
      <c r="T175" s="108" t="s">
        <v>70</v>
      </c>
      <c r="U175" s="118" t="n">
        <f aca="false">M175/2-O175/2</f>
        <v>28.866</v>
      </c>
      <c r="V175" s="110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customFormat="false" ht="15.75" hidden="false" customHeight="true" outlineLevel="0" collapsed="false">
      <c r="A176" s="1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7"/>
      <c r="T176" s="111" t="s">
        <v>71</v>
      </c>
      <c r="U176" s="119" t="n">
        <f aca="false">U175</f>
        <v>28.866</v>
      </c>
      <c r="V176" s="110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customFormat="false" ht="15.75" hidden="false" customHeight="true" outlineLevel="0" collapsed="false">
      <c r="A177" s="1"/>
      <c r="B177" s="120" t="n">
        <v>2550</v>
      </c>
      <c r="C177" s="120" t="s">
        <v>58</v>
      </c>
      <c r="D177" s="120" t="s">
        <v>0</v>
      </c>
      <c r="E177" s="120" t="n">
        <v>2</v>
      </c>
      <c r="F177" s="120" t="s">
        <v>1</v>
      </c>
      <c r="G177" s="121" t="n">
        <v>45872</v>
      </c>
      <c r="H177" s="120" t="s">
        <v>92</v>
      </c>
      <c r="I177" s="120" t="s">
        <v>54</v>
      </c>
      <c r="J177" s="120" t="n">
        <v>1127</v>
      </c>
      <c r="K177" s="122" t="n">
        <v>120</v>
      </c>
      <c r="L177" s="122" t="n">
        <v>0</v>
      </c>
      <c r="M177" s="122" t="n">
        <f aca="false">K177-L177</f>
        <v>120</v>
      </c>
      <c r="N177" s="122" t="n">
        <v>0</v>
      </c>
      <c r="O177" s="123" t="n">
        <v>0</v>
      </c>
      <c r="P177" s="124" t="s">
        <v>6</v>
      </c>
      <c r="Q177" s="124" t="s">
        <v>6</v>
      </c>
      <c r="R177" s="123" t="n">
        <v>0</v>
      </c>
      <c r="S177" s="123" t="n">
        <f aca="false">R177/E177</f>
        <v>0</v>
      </c>
      <c r="T177" s="124" t="s">
        <v>6</v>
      </c>
      <c r="U177" s="123" t="n">
        <v>0</v>
      </c>
      <c r="V177" s="120" t="s">
        <v>119</v>
      </c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customFormat="false" ht="15.75" hidden="false" customHeight="true" outlineLevel="0" collapsed="false">
      <c r="A178" s="1"/>
      <c r="B178" s="120" t="n">
        <v>2470</v>
      </c>
      <c r="C178" s="120" t="s">
        <v>16</v>
      </c>
      <c r="D178" s="120" t="s">
        <v>0</v>
      </c>
      <c r="E178" s="120" t="n">
        <v>1</v>
      </c>
      <c r="F178" s="120" t="s">
        <v>1</v>
      </c>
      <c r="G178" s="121" t="n">
        <v>45872</v>
      </c>
      <c r="H178" s="120" t="s">
        <v>92</v>
      </c>
      <c r="I178" s="120" t="s">
        <v>54</v>
      </c>
      <c r="J178" s="120" t="n">
        <v>1127</v>
      </c>
      <c r="K178" s="122" t="n">
        <v>100</v>
      </c>
      <c r="L178" s="122" t="n">
        <v>0</v>
      </c>
      <c r="M178" s="122" t="n">
        <f aca="false">K178-L178</f>
        <v>100</v>
      </c>
      <c r="N178" s="122" t="n">
        <v>0</v>
      </c>
      <c r="O178" s="123" t="n">
        <v>0</v>
      </c>
      <c r="P178" s="124"/>
      <c r="Q178" s="124"/>
      <c r="R178" s="123" t="n">
        <v>0</v>
      </c>
      <c r="S178" s="123" t="n">
        <v>0</v>
      </c>
      <c r="T178" s="124"/>
      <c r="U178" s="123" t="n">
        <v>0</v>
      </c>
      <c r="V178" s="120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customFormat="false" ht="15.75" hidden="false" customHeight="true" outlineLevel="0" collapsed="false">
      <c r="A179" s="1"/>
      <c r="B179" s="120" t="n">
        <v>2470</v>
      </c>
      <c r="C179" s="120" t="s">
        <v>16</v>
      </c>
      <c r="D179" s="120" t="s">
        <v>0</v>
      </c>
      <c r="E179" s="120" t="n">
        <v>1</v>
      </c>
      <c r="F179" s="120" t="s">
        <v>1</v>
      </c>
      <c r="G179" s="121" t="n">
        <v>45872</v>
      </c>
      <c r="H179" s="120" t="s">
        <v>92</v>
      </c>
      <c r="I179" s="120" t="s">
        <v>54</v>
      </c>
      <c r="J179" s="120" t="n">
        <v>1128</v>
      </c>
      <c r="K179" s="122" t="n">
        <v>100</v>
      </c>
      <c r="L179" s="122" t="n">
        <v>0</v>
      </c>
      <c r="M179" s="122" t="n">
        <f aca="false">K179-L179</f>
        <v>100</v>
      </c>
      <c r="N179" s="122" t="n">
        <v>0</v>
      </c>
      <c r="O179" s="123" t="n">
        <v>0</v>
      </c>
      <c r="P179" s="124" t="s">
        <v>6</v>
      </c>
      <c r="Q179" s="124" t="s">
        <v>6</v>
      </c>
      <c r="R179" s="123" t="n">
        <v>0</v>
      </c>
      <c r="S179" s="123" t="n">
        <v>0</v>
      </c>
      <c r="T179" s="124" t="s">
        <v>6</v>
      </c>
      <c r="U179" s="123" t="n">
        <v>0</v>
      </c>
      <c r="V179" s="120" t="s">
        <v>120</v>
      </c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customFormat="false" ht="15.75" hidden="false" customHeight="true" outlineLevel="0" collapsed="false">
      <c r="A180" s="1"/>
      <c r="B180" s="120" t="n">
        <v>2470</v>
      </c>
      <c r="C180" s="120" t="s">
        <v>16</v>
      </c>
      <c r="D180" s="120" t="s">
        <v>0</v>
      </c>
      <c r="E180" s="120" t="n">
        <v>1</v>
      </c>
      <c r="F180" s="120" t="s">
        <v>1</v>
      </c>
      <c r="G180" s="121" t="n">
        <v>45872</v>
      </c>
      <c r="H180" s="120" t="s">
        <v>92</v>
      </c>
      <c r="I180" s="120" t="s">
        <v>121</v>
      </c>
      <c r="J180" s="120" t="n">
        <v>1129</v>
      </c>
      <c r="K180" s="122" t="n">
        <v>144</v>
      </c>
      <c r="L180" s="122" t="n">
        <v>0</v>
      </c>
      <c r="M180" s="122" t="n">
        <f aca="false">K180-L180</f>
        <v>144</v>
      </c>
      <c r="N180" s="122" t="n">
        <v>0</v>
      </c>
      <c r="O180" s="123" t="n">
        <v>0</v>
      </c>
      <c r="P180" s="124" t="s">
        <v>6</v>
      </c>
      <c r="Q180" s="124" t="s">
        <v>6</v>
      </c>
      <c r="R180" s="123" t="n">
        <v>0</v>
      </c>
      <c r="S180" s="123" t="n">
        <v>0</v>
      </c>
      <c r="T180" s="124" t="s">
        <v>6</v>
      </c>
      <c r="U180" s="123" t="n">
        <v>0</v>
      </c>
      <c r="V180" s="120" t="s">
        <v>122</v>
      </c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customFormat="false" ht="15.75" hidden="false" customHeight="true" outlineLevel="0" collapsed="false">
      <c r="A181" s="1"/>
      <c r="B181" s="120" t="n">
        <v>2550</v>
      </c>
      <c r="C181" s="120" t="s">
        <v>58</v>
      </c>
      <c r="D181" s="120" t="s">
        <v>0</v>
      </c>
      <c r="E181" s="120" t="n">
        <v>2</v>
      </c>
      <c r="F181" s="120" t="s">
        <v>1</v>
      </c>
      <c r="G181" s="121" t="n">
        <v>45872</v>
      </c>
      <c r="H181" s="120" t="s">
        <v>92</v>
      </c>
      <c r="I181" s="120" t="s">
        <v>123</v>
      </c>
      <c r="J181" s="120" t="n">
        <v>1130</v>
      </c>
      <c r="K181" s="122" t="n">
        <v>96</v>
      </c>
      <c r="L181" s="122" t="n">
        <v>0</v>
      </c>
      <c r="M181" s="122" t="n">
        <f aca="false">K181-L181</f>
        <v>96</v>
      </c>
      <c r="N181" s="122" t="n">
        <v>0</v>
      </c>
      <c r="O181" s="123" t="n">
        <v>0</v>
      </c>
      <c r="P181" s="124" t="s">
        <v>6</v>
      </c>
      <c r="Q181" s="124" t="s">
        <v>6</v>
      </c>
      <c r="R181" s="123" t="n">
        <f aca="false">M181-N181-O181</f>
        <v>96</v>
      </c>
      <c r="S181" s="123" t="n">
        <f aca="false">R181/E181</f>
        <v>48</v>
      </c>
      <c r="T181" s="124" t="s">
        <v>6</v>
      </c>
      <c r="U181" s="123" t="n">
        <f aca="false">M181-O181</f>
        <v>96</v>
      </c>
      <c r="V181" s="120" t="s">
        <v>124</v>
      </c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customFormat="false" ht="15.75" hidden="false" customHeight="true" outlineLevel="0" collapsed="false">
      <c r="A182" s="1"/>
      <c r="B182" s="120" t="n">
        <v>3049</v>
      </c>
      <c r="C182" s="120" t="s">
        <v>99</v>
      </c>
      <c r="D182" s="120" t="s">
        <v>0</v>
      </c>
      <c r="E182" s="120" t="n">
        <v>1</v>
      </c>
      <c r="F182" s="120" t="s">
        <v>1</v>
      </c>
      <c r="G182" s="121" t="n">
        <v>45872</v>
      </c>
      <c r="H182" s="120" t="s">
        <v>92</v>
      </c>
      <c r="I182" s="120" t="s">
        <v>123</v>
      </c>
      <c r="J182" s="120" t="n">
        <v>1130</v>
      </c>
      <c r="K182" s="122" t="n">
        <v>144</v>
      </c>
      <c r="L182" s="122" t="n">
        <v>0</v>
      </c>
      <c r="M182" s="122" t="n">
        <f aca="false">K182-L182</f>
        <v>144</v>
      </c>
      <c r="N182" s="122" t="n">
        <v>0</v>
      </c>
      <c r="O182" s="123" t="n">
        <v>0</v>
      </c>
      <c r="P182" s="124" t="s">
        <v>6</v>
      </c>
      <c r="Q182" s="124" t="s">
        <v>6</v>
      </c>
      <c r="R182" s="123" t="n">
        <f aca="false">M182-N182-O182</f>
        <v>144</v>
      </c>
      <c r="S182" s="123" t="n">
        <f aca="false">R182/E182</f>
        <v>144</v>
      </c>
      <c r="T182" s="124" t="s">
        <v>6</v>
      </c>
      <c r="U182" s="123" t="n">
        <f aca="false">M182-O182</f>
        <v>144</v>
      </c>
      <c r="V182" s="120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customFormat="false" ht="15.75" hidden="false" customHeight="true" outlineLevel="0" collapsed="false">
      <c r="A183" s="1"/>
      <c r="B183" s="102" t="n">
        <v>2470</v>
      </c>
      <c r="C183" s="102" t="s">
        <v>16</v>
      </c>
      <c r="D183" s="102" t="s">
        <v>0</v>
      </c>
      <c r="E183" s="102" t="n">
        <v>1</v>
      </c>
      <c r="F183" s="102" t="s">
        <v>1</v>
      </c>
      <c r="G183" s="103" t="n">
        <v>45873</v>
      </c>
      <c r="H183" s="102" t="s">
        <v>77</v>
      </c>
      <c r="I183" s="102" t="s">
        <v>125</v>
      </c>
      <c r="J183" s="102" t="n">
        <v>1132</v>
      </c>
      <c r="K183" s="104" t="n">
        <v>180</v>
      </c>
      <c r="L183" s="104" t="n">
        <v>36</v>
      </c>
      <c r="M183" s="104" t="n">
        <f aca="false">K183-L183</f>
        <v>144</v>
      </c>
      <c r="N183" s="104" t="n">
        <f aca="false">M183*C2</f>
        <v>5.76</v>
      </c>
      <c r="O183" s="105" t="n">
        <f aca="false">M183*3.29%</f>
        <v>4.7376</v>
      </c>
      <c r="P183" s="106" t="s">
        <v>9</v>
      </c>
      <c r="Q183" s="106" t="s">
        <v>62</v>
      </c>
      <c r="R183" s="105" t="n">
        <f aca="false">M183-N183-O183</f>
        <v>133.5024</v>
      </c>
      <c r="S183" s="105" t="n">
        <f aca="false">R183/E183</f>
        <v>133.5024</v>
      </c>
      <c r="T183" s="108" t="s">
        <v>70</v>
      </c>
      <c r="U183" s="118" t="n">
        <f aca="false">M183-O183</f>
        <v>139.2624</v>
      </c>
      <c r="V183" s="102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customFormat="false" ht="15.75" hidden="false" customHeight="true" outlineLevel="0" collapsed="false">
      <c r="A184" s="1"/>
      <c r="B184" s="102" t="n">
        <v>2470</v>
      </c>
      <c r="C184" s="102" t="s">
        <v>16</v>
      </c>
      <c r="D184" s="102" t="s">
        <v>0</v>
      </c>
      <c r="E184" s="102" t="n">
        <v>3</v>
      </c>
      <c r="F184" s="102" t="s">
        <v>1</v>
      </c>
      <c r="G184" s="103" t="n">
        <v>45874</v>
      </c>
      <c r="H184" s="102" t="s">
        <v>64</v>
      </c>
      <c r="I184" s="102" t="s">
        <v>126</v>
      </c>
      <c r="J184" s="102" t="n">
        <v>1133</v>
      </c>
      <c r="K184" s="104" t="n">
        <v>540</v>
      </c>
      <c r="L184" s="104" t="n">
        <v>108</v>
      </c>
      <c r="M184" s="104" t="n">
        <f aca="false">K184-L184</f>
        <v>432</v>
      </c>
      <c r="N184" s="104" t="n">
        <f aca="false">M184*C2</f>
        <v>17.28</v>
      </c>
      <c r="O184" s="105" t="n">
        <f aca="false">M184*3.78%</f>
        <v>16.3296</v>
      </c>
      <c r="P184" s="106" t="s">
        <v>87</v>
      </c>
      <c r="Q184" s="106" t="s">
        <v>62</v>
      </c>
      <c r="R184" s="105" t="n">
        <f aca="false">M184-N184-O184</f>
        <v>398.3904</v>
      </c>
      <c r="S184" s="107" t="n">
        <f aca="false">R184/E184</f>
        <v>132.7968</v>
      </c>
      <c r="T184" s="108" t="s">
        <v>70</v>
      </c>
      <c r="U184" s="118" t="n">
        <f aca="false">M184/3-O184/3</f>
        <v>138.5568</v>
      </c>
      <c r="V184" s="110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customFormat="false" ht="15.75" hidden="false" customHeight="true" outlineLevel="0" collapsed="false">
      <c r="A185" s="1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7"/>
      <c r="T185" s="125" t="s">
        <v>71</v>
      </c>
      <c r="U185" s="126" t="n">
        <f aca="false">U184</f>
        <v>138.5568</v>
      </c>
      <c r="V185" s="11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customFormat="false" ht="15.75" hidden="false" customHeight="true" outlineLevel="0" collapsed="false">
      <c r="A186" s="1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7"/>
      <c r="T186" s="111" t="s">
        <v>72</v>
      </c>
      <c r="U186" s="119" t="n">
        <f aca="false">U185</f>
        <v>138.5568</v>
      </c>
      <c r="V186" s="110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customFormat="false" ht="15.75" hidden="false" customHeight="true" outlineLevel="0" collapsed="false">
      <c r="A187" s="1"/>
      <c r="B187" s="102" t="n">
        <v>2470</v>
      </c>
      <c r="C187" s="102" t="s">
        <v>16</v>
      </c>
      <c r="D187" s="102" t="s">
        <v>0</v>
      </c>
      <c r="E187" s="102" t="n">
        <v>2</v>
      </c>
      <c r="F187" s="102" t="s">
        <v>1</v>
      </c>
      <c r="G187" s="103" t="n">
        <v>45874</v>
      </c>
      <c r="H187" s="102" t="s">
        <v>64</v>
      </c>
      <c r="I187" s="102" t="s">
        <v>127</v>
      </c>
      <c r="J187" s="102" t="n">
        <v>1134</v>
      </c>
      <c r="K187" s="104" t="n">
        <v>360</v>
      </c>
      <c r="L187" s="104" t="n">
        <v>0</v>
      </c>
      <c r="M187" s="104" t="n">
        <f aca="false">K187-L187</f>
        <v>360</v>
      </c>
      <c r="N187" s="104" t="n">
        <f aca="false">M187*C2</f>
        <v>14.4</v>
      </c>
      <c r="O187" s="105" t="n">
        <f aca="false">6.8*2</f>
        <v>13.6</v>
      </c>
      <c r="P187" s="106" t="s">
        <v>10</v>
      </c>
      <c r="Q187" s="106" t="s">
        <v>55</v>
      </c>
      <c r="R187" s="105" t="n">
        <f aca="false">M187-N187-O187</f>
        <v>332</v>
      </c>
      <c r="S187" s="107" t="n">
        <f aca="false">R187/E187</f>
        <v>166</v>
      </c>
      <c r="T187" s="125" t="s">
        <v>70</v>
      </c>
      <c r="U187" s="126" t="n">
        <f aca="false">M187/2-O187/2</f>
        <v>173.2</v>
      </c>
      <c r="V187" s="11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customFormat="false" ht="15.75" hidden="false" customHeight="true" outlineLevel="0" collapsed="false">
      <c r="A188" s="1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7"/>
      <c r="T188" s="111" t="s">
        <v>71</v>
      </c>
      <c r="U188" s="119" t="n">
        <f aca="false">U187</f>
        <v>173.2</v>
      </c>
      <c r="V188" s="110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customFormat="false" ht="15.75" hidden="false" customHeight="true" outlineLevel="0" collapsed="false">
      <c r="A189" s="1"/>
      <c r="B189" s="27" t="n">
        <v>3049</v>
      </c>
      <c r="C189" s="27" t="s">
        <v>99</v>
      </c>
      <c r="D189" s="27" t="s">
        <v>0</v>
      </c>
      <c r="E189" s="27" t="n">
        <v>1</v>
      </c>
      <c r="F189" s="27" t="s">
        <v>1</v>
      </c>
      <c r="G189" s="28" t="n">
        <v>45874</v>
      </c>
      <c r="H189" s="27" t="s">
        <v>64</v>
      </c>
      <c r="I189" s="27" t="s">
        <v>54</v>
      </c>
      <c r="J189" s="27" t="n">
        <v>1135</v>
      </c>
      <c r="K189" s="29" t="n">
        <v>180</v>
      </c>
      <c r="L189" s="29" t="n">
        <v>0</v>
      </c>
      <c r="M189" s="29" t="n">
        <f aca="false">K189-L189</f>
        <v>180</v>
      </c>
      <c r="N189" s="29" t="n">
        <f aca="false">M189*C2</f>
        <v>7.2</v>
      </c>
      <c r="O189" s="30" t="n">
        <f aca="false">M189*1.65%</f>
        <v>2.97</v>
      </c>
      <c r="P189" s="62" t="s">
        <v>7</v>
      </c>
      <c r="Q189" s="62" t="s">
        <v>55</v>
      </c>
      <c r="R189" s="30" t="n">
        <f aca="false">M189-N189-O189</f>
        <v>169.83</v>
      </c>
      <c r="S189" s="30" t="n">
        <f aca="false">R189/E189</f>
        <v>169.83</v>
      </c>
      <c r="T189" s="63" t="s">
        <v>66</v>
      </c>
      <c r="U189" s="53" t="n">
        <f aca="false">M189-O189</f>
        <v>177.03</v>
      </c>
      <c r="V189" s="27" t="s">
        <v>128</v>
      </c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customFormat="false" ht="15.75" hidden="false" customHeight="true" outlineLevel="0" collapsed="false">
      <c r="A190" s="1"/>
      <c r="B190" s="27" t="n">
        <v>2470</v>
      </c>
      <c r="C190" s="27" t="s">
        <v>16</v>
      </c>
      <c r="D190" s="27" t="s">
        <v>0</v>
      </c>
      <c r="E190" s="27" t="n">
        <v>1</v>
      </c>
      <c r="F190" s="27" t="s">
        <v>1</v>
      </c>
      <c r="G190" s="28" t="n">
        <v>45874</v>
      </c>
      <c r="H190" s="27" t="s">
        <v>64</v>
      </c>
      <c r="I190" s="27" t="s">
        <v>54</v>
      </c>
      <c r="J190" s="27" t="n">
        <v>1136</v>
      </c>
      <c r="K190" s="29" t="n">
        <v>180</v>
      </c>
      <c r="L190" s="29" t="n">
        <v>0</v>
      </c>
      <c r="M190" s="29" t="n">
        <f aca="false">K190-L190</f>
        <v>180</v>
      </c>
      <c r="N190" s="29" t="n">
        <f aca="false">M190*C2</f>
        <v>7.2</v>
      </c>
      <c r="O190" s="30" t="n">
        <f aca="false">M190*2.9%</f>
        <v>5.22</v>
      </c>
      <c r="P190" s="62" t="s">
        <v>10</v>
      </c>
      <c r="Q190" s="62" t="s">
        <v>55</v>
      </c>
      <c r="R190" s="30" t="n">
        <f aca="false">M190-N190-O190</f>
        <v>167.58</v>
      </c>
      <c r="S190" s="64" t="n">
        <f aca="false">R190/E190</f>
        <v>167.58</v>
      </c>
      <c r="T190" s="63" t="s">
        <v>70</v>
      </c>
      <c r="U190" s="89" t="n">
        <f aca="false">M190/2-O190/2</f>
        <v>87.39</v>
      </c>
      <c r="V190" s="65" t="s">
        <v>128</v>
      </c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customFormat="false" ht="15.75" hidden="false" customHeight="true" outlineLevel="0" collapsed="false">
      <c r="A191" s="1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64"/>
      <c r="T191" s="66" t="s">
        <v>71</v>
      </c>
      <c r="U191" s="90" t="n">
        <f aca="false">U190</f>
        <v>87.39</v>
      </c>
      <c r="V191" s="6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customFormat="false" ht="15.75" hidden="false" customHeight="true" outlineLevel="0" collapsed="false">
      <c r="A192" s="1"/>
      <c r="B192" s="27" t="n">
        <v>2953</v>
      </c>
      <c r="C192" s="27" t="s">
        <v>118</v>
      </c>
      <c r="D192" s="27" t="s">
        <v>0</v>
      </c>
      <c r="E192" s="27" t="n">
        <v>1</v>
      </c>
      <c r="F192" s="27" t="s">
        <v>1</v>
      </c>
      <c r="G192" s="28" t="n">
        <v>45874</v>
      </c>
      <c r="H192" s="27" t="s">
        <v>64</v>
      </c>
      <c r="I192" s="27" t="s">
        <v>54</v>
      </c>
      <c r="J192" s="27" t="n">
        <v>1137</v>
      </c>
      <c r="K192" s="29" t="n">
        <v>150</v>
      </c>
      <c r="L192" s="29" t="n">
        <v>0</v>
      </c>
      <c r="M192" s="29" t="n">
        <f aca="false">K192-L192</f>
        <v>150</v>
      </c>
      <c r="N192" s="29" t="n">
        <f aca="false">M192*C2</f>
        <v>6</v>
      </c>
      <c r="O192" s="30" t="n">
        <f aca="false">M192*2.05%</f>
        <v>3.075</v>
      </c>
      <c r="P192" s="62" t="s">
        <v>7</v>
      </c>
      <c r="Q192" s="62" t="s">
        <v>79</v>
      </c>
      <c r="R192" s="30" t="n">
        <f aca="false">M192-N192-O192</f>
        <v>140.925</v>
      </c>
      <c r="S192" s="30" t="n">
        <f aca="false">R192/E192</f>
        <v>140.925</v>
      </c>
      <c r="T192" s="63" t="s">
        <v>66</v>
      </c>
      <c r="U192" s="53" t="n">
        <f aca="false">M192-O192</f>
        <v>146.925</v>
      </c>
      <c r="V192" s="27" t="s">
        <v>128</v>
      </c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customFormat="false" ht="15.75" hidden="false" customHeight="true" outlineLevel="0" collapsed="false">
      <c r="A193" s="1"/>
      <c r="B193" s="27" t="n">
        <v>2470</v>
      </c>
      <c r="C193" s="27" t="s">
        <v>16</v>
      </c>
      <c r="D193" s="27" t="s">
        <v>0</v>
      </c>
      <c r="E193" s="27" t="n">
        <v>1</v>
      </c>
      <c r="F193" s="27" t="s">
        <v>1</v>
      </c>
      <c r="G193" s="28" t="n">
        <v>45874</v>
      </c>
      <c r="H193" s="27" t="s">
        <v>64</v>
      </c>
      <c r="I193" s="27" t="s">
        <v>54</v>
      </c>
      <c r="J193" s="27" t="n">
        <v>1138</v>
      </c>
      <c r="K193" s="29" t="n">
        <v>180</v>
      </c>
      <c r="L193" s="29" t="n">
        <v>80</v>
      </c>
      <c r="M193" s="29" t="n">
        <f aca="false">K193-L193</f>
        <v>100</v>
      </c>
      <c r="N193" s="29" t="n">
        <f aca="false">M193*C2</f>
        <v>4</v>
      </c>
      <c r="O193" s="30" t="n">
        <v>2.9</v>
      </c>
      <c r="P193" s="62" t="s">
        <v>10</v>
      </c>
      <c r="Q193" s="62" t="s">
        <v>62</v>
      </c>
      <c r="R193" s="30" t="n">
        <f aca="false">M193-N193-O193</f>
        <v>93.1</v>
      </c>
      <c r="S193" s="64" t="n">
        <f aca="false">R193/E193</f>
        <v>93.1</v>
      </c>
      <c r="T193" s="63" t="s">
        <v>70</v>
      </c>
      <c r="U193" s="89" t="n">
        <f aca="false">M193/2-O193/2</f>
        <v>48.55</v>
      </c>
      <c r="V193" s="65" t="s">
        <v>128</v>
      </c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customFormat="false" ht="15.75" hidden="false" customHeight="true" outlineLevel="0" collapsed="false">
      <c r="A194" s="1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64"/>
      <c r="T194" s="66" t="s">
        <v>71</v>
      </c>
      <c r="U194" s="90" t="n">
        <f aca="false">U193</f>
        <v>48.55</v>
      </c>
      <c r="V194" s="6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customFormat="false" ht="15.75" hidden="false" customHeight="true" outlineLevel="0" collapsed="false">
      <c r="A195" s="1"/>
      <c r="B195" s="27" t="n">
        <v>2953</v>
      </c>
      <c r="C195" s="27" t="s">
        <v>118</v>
      </c>
      <c r="D195" s="27" t="s">
        <v>0</v>
      </c>
      <c r="E195" s="27" t="n">
        <v>1</v>
      </c>
      <c r="F195" s="27" t="s">
        <v>1</v>
      </c>
      <c r="G195" s="28" t="n">
        <v>45874</v>
      </c>
      <c r="H195" s="27" t="s">
        <v>64</v>
      </c>
      <c r="I195" s="27" t="s">
        <v>54</v>
      </c>
      <c r="J195" s="27" t="n">
        <v>1139</v>
      </c>
      <c r="K195" s="29" t="n">
        <v>150</v>
      </c>
      <c r="L195" s="29" t="n">
        <v>0</v>
      </c>
      <c r="M195" s="29" t="n">
        <f aca="false">K195-L195</f>
        <v>150</v>
      </c>
      <c r="N195" s="29" t="n">
        <f aca="false">M195*C2</f>
        <v>6</v>
      </c>
      <c r="O195" s="30" t="n">
        <f aca="false">M195*1.65%</f>
        <v>2.475</v>
      </c>
      <c r="P195" s="62" t="s">
        <v>7</v>
      </c>
      <c r="Q195" s="62" t="s">
        <v>55</v>
      </c>
      <c r="R195" s="30" t="n">
        <f aca="false">M195-N195-O195</f>
        <v>141.525</v>
      </c>
      <c r="S195" s="30" t="n">
        <f aca="false">R195/E195</f>
        <v>141.525</v>
      </c>
      <c r="T195" s="66" t="s">
        <v>66</v>
      </c>
      <c r="U195" s="31" t="n">
        <f aca="false">M195-O195</f>
        <v>147.525</v>
      </c>
      <c r="V195" s="27" t="s">
        <v>128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customFormat="false" ht="15.75" hidden="false" customHeight="true" outlineLevel="0" collapsed="false">
      <c r="A196" s="1"/>
      <c r="B196" s="27" t="n">
        <v>2550</v>
      </c>
      <c r="C196" s="27" t="s">
        <v>58</v>
      </c>
      <c r="D196" s="27" t="s">
        <v>0</v>
      </c>
      <c r="E196" s="27" t="n">
        <v>1</v>
      </c>
      <c r="F196" s="27" t="s">
        <v>1</v>
      </c>
      <c r="G196" s="28" t="n">
        <v>45874</v>
      </c>
      <c r="H196" s="27" t="s">
        <v>64</v>
      </c>
      <c r="I196" s="27" t="s">
        <v>54</v>
      </c>
      <c r="J196" s="27" t="n">
        <v>1139</v>
      </c>
      <c r="K196" s="29" t="n">
        <v>60</v>
      </c>
      <c r="L196" s="29" t="n">
        <v>0</v>
      </c>
      <c r="M196" s="29" t="n">
        <f aca="false">K196-L196</f>
        <v>60</v>
      </c>
      <c r="N196" s="29" t="n">
        <f aca="false">M196*C2</f>
        <v>2.4</v>
      </c>
      <c r="O196" s="30" t="n">
        <f aca="false">M196*1.65%</f>
        <v>0.99</v>
      </c>
      <c r="P196" s="62" t="s">
        <v>7</v>
      </c>
      <c r="Q196" s="62" t="s">
        <v>55</v>
      </c>
      <c r="R196" s="30" t="n">
        <f aca="false">M196-N196-O196</f>
        <v>56.61</v>
      </c>
      <c r="S196" s="30" t="n">
        <f aca="false">R196/E196</f>
        <v>56.61</v>
      </c>
      <c r="T196" s="62" t="s">
        <v>66</v>
      </c>
      <c r="U196" s="30" t="n">
        <f aca="false">M196-O196</f>
        <v>59.01</v>
      </c>
      <c r="V196" s="27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customFormat="false" ht="15.75" hidden="false" customHeight="true" outlineLevel="0" collapsed="false">
      <c r="A197" s="1"/>
      <c r="B197" s="27" t="n">
        <v>2470</v>
      </c>
      <c r="C197" s="27" t="s">
        <v>16</v>
      </c>
      <c r="D197" s="27" t="s">
        <v>0</v>
      </c>
      <c r="E197" s="27" t="n">
        <v>3</v>
      </c>
      <c r="F197" s="27" t="s">
        <v>1</v>
      </c>
      <c r="G197" s="28" t="n">
        <v>45874</v>
      </c>
      <c r="H197" s="27" t="s">
        <v>64</v>
      </c>
      <c r="I197" s="27" t="s">
        <v>54</v>
      </c>
      <c r="J197" s="27" t="n">
        <v>1140</v>
      </c>
      <c r="K197" s="29" t="n">
        <v>540</v>
      </c>
      <c r="L197" s="29" t="n">
        <v>160</v>
      </c>
      <c r="M197" s="29" t="n">
        <f aca="false">K197-L197</f>
        <v>380</v>
      </c>
      <c r="N197" s="29" t="n">
        <f aca="false">M197*C2</f>
        <v>15.2</v>
      </c>
      <c r="O197" s="30" t="n">
        <f aca="false">M197*1.65%</f>
        <v>6.27</v>
      </c>
      <c r="P197" s="62" t="s">
        <v>7</v>
      </c>
      <c r="Q197" s="62" t="s">
        <v>55</v>
      </c>
      <c r="R197" s="30" t="n">
        <f aca="false">M197-N197-O197</f>
        <v>358.53</v>
      </c>
      <c r="S197" s="30" t="n">
        <f aca="false">R197/E197</f>
        <v>119.51</v>
      </c>
      <c r="T197" s="62" t="s">
        <v>66</v>
      </c>
      <c r="U197" s="30" t="n">
        <f aca="false">M197-O197</f>
        <v>373.73</v>
      </c>
      <c r="V197" s="27" t="s">
        <v>129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customFormat="false" ht="15.75" hidden="false" customHeight="true" outlineLevel="0" collapsed="false">
      <c r="A198" s="1"/>
      <c r="B198" s="102" t="n">
        <v>2470</v>
      </c>
      <c r="C198" s="102" t="s">
        <v>16</v>
      </c>
      <c r="D198" s="102" t="s">
        <v>0</v>
      </c>
      <c r="E198" s="102" t="n">
        <v>1</v>
      </c>
      <c r="F198" s="102" t="s">
        <v>1</v>
      </c>
      <c r="G198" s="103" t="n">
        <v>45875</v>
      </c>
      <c r="H198" s="102" t="s">
        <v>68</v>
      </c>
      <c r="I198" s="102" t="s">
        <v>54</v>
      </c>
      <c r="J198" s="102" t="n">
        <v>1141</v>
      </c>
      <c r="K198" s="104" t="n">
        <v>180</v>
      </c>
      <c r="L198" s="104" t="n">
        <v>0</v>
      </c>
      <c r="M198" s="104" t="n">
        <f aca="false">K198-L198</f>
        <v>180</v>
      </c>
      <c r="N198" s="104" t="n">
        <f aca="false">M198*C2</f>
        <v>7.2</v>
      </c>
      <c r="O198" s="105" t="n">
        <f aca="false">M198*1.9%</f>
        <v>3.42</v>
      </c>
      <c r="P198" s="105" t="s">
        <v>7</v>
      </c>
      <c r="Q198" s="106" t="s">
        <v>62</v>
      </c>
      <c r="R198" s="105" t="n">
        <f aca="false">M198-N198-O198</f>
        <v>169.38</v>
      </c>
      <c r="S198" s="105" t="n">
        <f aca="false">R198/E198</f>
        <v>169.38</v>
      </c>
      <c r="T198" s="106" t="s">
        <v>66</v>
      </c>
      <c r="U198" s="105" t="n">
        <f aca="false">M198-O198</f>
        <v>176.58</v>
      </c>
      <c r="V198" s="10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customFormat="false" ht="15.75" hidden="false" customHeight="true" outlineLevel="0" collapsed="false">
      <c r="A199" s="1"/>
      <c r="B199" s="102" t="n">
        <v>2470</v>
      </c>
      <c r="C199" s="102" t="s">
        <v>16</v>
      </c>
      <c r="D199" s="102" t="s">
        <v>0</v>
      </c>
      <c r="E199" s="102" t="n">
        <v>1</v>
      </c>
      <c r="F199" s="102" t="s">
        <v>1</v>
      </c>
      <c r="G199" s="103" t="n">
        <v>45875</v>
      </c>
      <c r="H199" s="102" t="s">
        <v>68</v>
      </c>
      <c r="I199" s="102" t="s">
        <v>54</v>
      </c>
      <c r="J199" s="102" t="n">
        <v>1142</v>
      </c>
      <c r="K199" s="104" t="n">
        <v>180</v>
      </c>
      <c r="L199" s="104" t="n">
        <v>0</v>
      </c>
      <c r="M199" s="104" t="n">
        <f aca="false">K199-L199</f>
        <v>180</v>
      </c>
      <c r="N199" s="104" t="n">
        <f aca="false">M199*C2</f>
        <v>7.2</v>
      </c>
      <c r="O199" s="105" t="n">
        <f aca="false">M199*1.9%</f>
        <v>3.42</v>
      </c>
      <c r="P199" s="106" t="s">
        <v>7</v>
      </c>
      <c r="Q199" s="106" t="s">
        <v>55</v>
      </c>
      <c r="R199" s="105" t="n">
        <f aca="false">M199-N199-O199</f>
        <v>169.38</v>
      </c>
      <c r="S199" s="105" t="n">
        <f aca="false">R199/E199</f>
        <v>169.38</v>
      </c>
      <c r="T199" s="106" t="s">
        <v>66</v>
      </c>
      <c r="U199" s="105" t="n">
        <f aca="false">M199-O199</f>
        <v>176.58</v>
      </c>
      <c r="V199" s="10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customFormat="false" ht="15.75" hidden="false" customHeight="true" outlineLevel="0" collapsed="false">
      <c r="A200" s="1"/>
      <c r="B200" s="27" t="n">
        <v>2470</v>
      </c>
      <c r="C200" s="27" t="s">
        <v>16</v>
      </c>
      <c r="D200" s="27" t="s">
        <v>0</v>
      </c>
      <c r="E200" s="27" t="n">
        <v>2</v>
      </c>
      <c r="F200" s="27" t="s">
        <v>1</v>
      </c>
      <c r="G200" s="28" t="n">
        <v>45875</v>
      </c>
      <c r="H200" s="27" t="s">
        <v>68</v>
      </c>
      <c r="I200" s="27" t="s">
        <v>54</v>
      </c>
      <c r="J200" s="27" t="n">
        <v>1143</v>
      </c>
      <c r="K200" s="29" t="n">
        <v>360</v>
      </c>
      <c r="L200" s="29" t="n">
        <v>160</v>
      </c>
      <c r="M200" s="29" t="n">
        <f aca="false">K200-L200</f>
        <v>200</v>
      </c>
      <c r="N200" s="29" t="n">
        <f aca="false">M200*C2</f>
        <v>8</v>
      </c>
      <c r="O200" s="30" t="n">
        <f aca="false">M200*0.75%</f>
        <v>1.5</v>
      </c>
      <c r="P200" s="62" t="s">
        <v>5</v>
      </c>
      <c r="Q200" s="62" t="s">
        <v>6</v>
      </c>
      <c r="R200" s="30" t="n">
        <f aca="false">M200-N200-O200</f>
        <v>190.5</v>
      </c>
      <c r="S200" s="30" t="n">
        <f aca="false">R200/E200</f>
        <v>95.25</v>
      </c>
      <c r="T200" s="62" t="s">
        <v>66</v>
      </c>
      <c r="U200" s="30" t="n">
        <f aca="false">M200-O200</f>
        <v>198.5</v>
      </c>
      <c r="V200" s="27" t="s">
        <v>130</v>
      </c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customFormat="false" ht="15.75" hidden="false" customHeight="true" outlineLevel="0" collapsed="false">
      <c r="A201" s="1"/>
      <c r="B201" s="27" t="n">
        <v>2470</v>
      </c>
      <c r="C201" s="27" t="s">
        <v>16</v>
      </c>
      <c r="D201" s="27" t="s">
        <v>0</v>
      </c>
      <c r="E201" s="27" t="n">
        <v>1</v>
      </c>
      <c r="F201" s="27" t="s">
        <v>1</v>
      </c>
      <c r="G201" s="28" t="n">
        <v>45875</v>
      </c>
      <c r="H201" s="27" t="s">
        <v>68</v>
      </c>
      <c r="I201" s="27" t="s">
        <v>54</v>
      </c>
      <c r="J201" s="27" t="n">
        <v>1144</v>
      </c>
      <c r="K201" s="29" t="n">
        <v>180</v>
      </c>
      <c r="L201" s="29" t="n">
        <v>0</v>
      </c>
      <c r="M201" s="29" t="n">
        <f aca="false">K201-L201</f>
        <v>180</v>
      </c>
      <c r="N201" s="29" t="n">
        <f aca="false">M201*C2</f>
        <v>7.2</v>
      </c>
      <c r="O201" s="30" t="n">
        <v>1.35</v>
      </c>
      <c r="P201" s="62" t="s">
        <v>5</v>
      </c>
      <c r="Q201" s="62" t="s">
        <v>6</v>
      </c>
      <c r="R201" s="30" t="n">
        <f aca="false">M201-N201-O201</f>
        <v>171.45</v>
      </c>
      <c r="S201" s="30" t="n">
        <f aca="false">R201/E201</f>
        <v>171.45</v>
      </c>
      <c r="T201" s="62" t="s">
        <v>66</v>
      </c>
      <c r="U201" s="30" t="n">
        <f aca="false">M201-O201</f>
        <v>178.65</v>
      </c>
      <c r="V201" s="27" t="s">
        <v>130</v>
      </c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customFormat="false" ht="15.75" hidden="false" customHeight="true" outlineLevel="0" collapsed="false">
      <c r="A202" s="1"/>
      <c r="B202" s="27" t="n">
        <v>2470</v>
      </c>
      <c r="C202" s="27" t="s">
        <v>16</v>
      </c>
      <c r="D202" s="27" t="s">
        <v>0</v>
      </c>
      <c r="E202" s="27" t="n">
        <v>1</v>
      </c>
      <c r="F202" s="27" t="s">
        <v>1</v>
      </c>
      <c r="G202" s="28" t="n">
        <v>45875</v>
      </c>
      <c r="H202" s="27" t="s">
        <v>68</v>
      </c>
      <c r="I202" s="27" t="s">
        <v>54</v>
      </c>
      <c r="J202" s="27" t="n">
        <v>1145</v>
      </c>
      <c r="K202" s="29" t="n">
        <v>180</v>
      </c>
      <c r="L202" s="29" t="n">
        <v>80</v>
      </c>
      <c r="M202" s="29" t="n">
        <f aca="false">K202-L202</f>
        <v>100</v>
      </c>
      <c r="N202" s="29" t="n">
        <f aca="false">M202*C2</f>
        <v>4</v>
      </c>
      <c r="O202" s="30" t="n">
        <v>0.75</v>
      </c>
      <c r="P202" s="62" t="s">
        <v>5</v>
      </c>
      <c r="Q202" s="62" t="s">
        <v>6</v>
      </c>
      <c r="R202" s="30" t="n">
        <f aca="false">M202-N202-O202</f>
        <v>95.25</v>
      </c>
      <c r="S202" s="30" t="n">
        <f aca="false">R202/E202</f>
        <v>95.25</v>
      </c>
      <c r="T202" s="62" t="s">
        <v>66</v>
      </c>
      <c r="U202" s="30" t="n">
        <f aca="false">M202-O202</f>
        <v>99.25</v>
      </c>
      <c r="V202" s="27" t="s">
        <v>130</v>
      </c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customFormat="false" ht="15.75" hidden="false" customHeight="true" outlineLevel="0" collapsed="false">
      <c r="A203" s="1"/>
      <c r="B203" s="27" t="n">
        <v>2470</v>
      </c>
      <c r="C203" s="27" t="s">
        <v>16</v>
      </c>
      <c r="D203" s="27" t="s">
        <v>0</v>
      </c>
      <c r="E203" s="27" t="n">
        <v>1</v>
      </c>
      <c r="F203" s="27" t="s">
        <v>1</v>
      </c>
      <c r="G203" s="28" t="n">
        <v>45875</v>
      </c>
      <c r="H203" s="27" t="s">
        <v>68</v>
      </c>
      <c r="I203" s="27" t="s">
        <v>54</v>
      </c>
      <c r="J203" s="27" t="n">
        <v>1146</v>
      </c>
      <c r="K203" s="29" t="n">
        <v>180</v>
      </c>
      <c r="L203" s="29" t="n">
        <v>80</v>
      </c>
      <c r="M203" s="29" t="n">
        <f aca="false">K203-L203</f>
        <v>100</v>
      </c>
      <c r="N203" s="29" t="n">
        <f aca="false">M203*C2</f>
        <v>4</v>
      </c>
      <c r="O203" s="30" t="n">
        <v>0.75</v>
      </c>
      <c r="P203" s="62" t="s">
        <v>5</v>
      </c>
      <c r="Q203" s="62" t="s">
        <v>6</v>
      </c>
      <c r="R203" s="30" t="n">
        <f aca="false">M203-N203-O203</f>
        <v>95.25</v>
      </c>
      <c r="S203" s="30" t="n">
        <f aca="false">R203/E203</f>
        <v>95.25</v>
      </c>
      <c r="T203" s="62" t="s">
        <v>66</v>
      </c>
      <c r="U203" s="30" t="n">
        <f aca="false">M203-O203</f>
        <v>99.25</v>
      </c>
      <c r="V203" s="27" t="s">
        <v>130</v>
      </c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customFormat="false" ht="15.75" hidden="false" customHeight="true" outlineLevel="0" collapsed="false">
      <c r="A204" s="1"/>
      <c r="B204" s="27" t="n">
        <v>3008</v>
      </c>
      <c r="C204" s="27" t="s">
        <v>28</v>
      </c>
      <c r="D204" s="27" t="s">
        <v>0</v>
      </c>
      <c r="E204" s="27" t="n">
        <v>1</v>
      </c>
      <c r="F204" s="27" t="s">
        <v>1</v>
      </c>
      <c r="G204" s="28" t="n">
        <v>45875</v>
      </c>
      <c r="H204" s="27" t="s">
        <v>68</v>
      </c>
      <c r="I204" s="27" t="s">
        <v>54</v>
      </c>
      <c r="J204" s="27" t="n">
        <v>1147</v>
      </c>
      <c r="K204" s="29" t="n">
        <v>215</v>
      </c>
      <c r="L204" s="29" t="n">
        <v>0</v>
      </c>
      <c r="M204" s="29" t="n">
        <f aca="false">K204-L204</f>
        <v>215</v>
      </c>
      <c r="N204" s="29" t="n">
        <f aca="false">M204*C2</f>
        <v>8.6</v>
      </c>
      <c r="O204" s="30" t="n">
        <v>1.61</v>
      </c>
      <c r="P204" s="62" t="s">
        <v>5</v>
      </c>
      <c r="Q204" s="62" t="s">
        <v>6</v>
      </c>
      <c r="R204" s="30" t="n">
        <f aca="false">M204-N204-O204</f>
        <v>204.79</v>
      </c>
      <c r="S204" s="30" t="n">
        <f aca="false">R204/E204</f>
        <v>204.79</v>
      </c>
      <c r="T204" s="62" t="s">
        <v>66</v>
      </c>
      <c r="U204" s="30" t="n">
        <f aca="false">M204-O204</f>
        <v>213.39</v>
      </c>
      <c r="V204" s="27" t="s">
        <v>130</v>
      </c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customFormat="false" ht="15.75" hidden="false" customHeight="true" outlineLevel="0" collapsed="false">
      <c r="A205" s="1"/>
      <c r="B205" s="27" t="n">
        <v>2470</v>
      </c>
      <c r="C205" s="27" t="s">
        <v>16</v>
      </c>
      <c r="D205" s="27" t="s">
        <v>0</v>
      </c>
      <c r="E205" s="27" t="n">
        <v>2</v>
      </c>
      <c r="F205" s="27" t="s">
        <v>1</v>
      </c>
      <c r="G205" s="28" t="n">
        <v>45875</v>
      </c>
      <c r="H205" s="27" t="s">
        <v>68</v>
      </c>
      <c r="I205" s="27" t="s">
        <v>54</v>
      </c>
      <c r="J205" s="27" t="n">
        <v>1148</v>
      </c>
      <c r="K205" s="29" t="n">
        <v>360</v>
      </c>
      <c r="L205" s="29" t="n">
        <v>0</v>
      </c>
      <c r="M205" s="29" t="n">
        <f aca="false">K205-L205</f>
        <v>360</v>
      </c>
      <c r="N205" s="29" t="n">
        <f aca="false">M205*C2</f>
        <v>14.4</v>
      </c>
      <c r="O205" s="30" t="n">
        <v>2.7</v>
      </c>
      <c r="P205" s="62" t="s">
        <v>5</v>
      </c>
      <c r="Q205" s="62" t="s">
        <v>6</v>
      </c>
      <c r="R205" s="30" t="n">
        <f aca="false">M205-N205-O205</f>
        <v>342.9</v>
      </c>
      <c r="S205" s="30" t="n">
        <f aca="false">R205/E205</f>
        <v>171.45</v>
      </c>
      <c r="T205" s="62"/>
      <c r="U205" s="30" t="n">
        <f aca="false">M205-O205</f>
        <v>357.3</v>
      </c>
      <c r="V205" s="27" t="s">
        <v>130</v>
      </c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customFormat="false" ht="15.75" hidden="false" customHeight="true" outlineLevel="0" collapsed="false">
      <c r="A206" s="1"/>
      <c r="B206" s="27" t="n">
        <v>3008</v>
      </c>
      <c r="C206" s="27" t="s">
        <v>28</v>
      </c>
      <c r="D206" s="27" t="s">
        <v>0</v>
      </c>
      <c r="E206" s="27" t="n">
        <v>1</v>
      </c>
      <c r="F206" s="27" t="s">
        <v>1</v>
      </c>
      <c r="G206" s="28" t="n">
        <v>45875</v>
      </c>
      <c r="H206" s="27" t="s">
        <v>68</v>
      </c>
      <c r="I206" s="27" t="s">
        <v>54</v>
      </c>
      <c r="J206" s="27" t="n">
        <v>1149</v>
      </c>
      <c r="K206" s="29" t="n">
        <v>215</v>
      </c>
      <c r="L206" s="29" t="n">
        <v>0</v>
      </c>
      <c r="M206" s="29" t="n">
        <f aca="false">K206-L206</f>
        <v>215</v>
      </c>
      <c r="N206" s="29" t="n">
        <f aca="false">M206*C2</f>
        <v>8.6</v>
      </c>
      <c r="O206" s="30" t="n">
        <f aca="false">M206*0.75%</f>
        <v>1.6125</v>
      </c>
      <c r="P206" s="62" t="s">
        <v>5</v>
      </c>
      <c r="Q206" s="62" t="s">
        <v>6</v>
      </c>
      <c r="R206" s="30" t="n">
        <f aca="false">M206-N206-O206</f>
        <v>204.7875</v>
      </c>
      <c r="S206" s="30" t="n">
        <f aca="false">R206/E206</f>
        <v>204.7875</v>
      </c>
      <c r="T206" s="62" t="s">
        <v>66</v>
      </c>
      <c r="U206" s="30" t="n">
        <f aca="false">M206-O206</f>
        <v>213.3875</v>
      </c>
      <c r="V206" s="27" t="s">
        <v>130</v>
      </c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customFormat="false" ht="15.75" hidden="false" customHeight="true" outlineLevel="0" collapsed="false">
      <c r="A207" s="1"/>
      <c r="B207" s="27" t="n">
        <v>2470</v>
      </c>
      <c r="C207" s="27" t="s">
        <v>16</v>
      </c>
      <c r="D207" s="27" t="s">
        <v>0</v>
      </c>
      <c r="E207" s="27" t="n">
        <v>2</v>
      </c>
      <c r="F207" s="27" t="s">
        <v>1</v>
      </c>
      <c r="G207" s="28" t="n">
        <v>45875</v>
      </c>
      <c r="H207" s="27" t="s">
        <v>68</v>
      </c>
      <c r="I207" s="27" t="s">
        <v>54</v>
      </c>
      <c r="J207" s="27" t="n">
        <v>1150</v>
      </c>
      <c r="K207" s="29" t="n">
        <v>360</v>
      </c>
      <c r="L207" s="29" t="n">
        <v>80</v>
      </c>
      <c r="M207" s="29" t="n">
        <f aca="false">K207-L207</f>
        <v>280</v>
      </c>
      <c r="N207" s="29" t="n">
        <f aca="false">M207*C2</f>
        <v>11.2</v>
      </c>
      <c r="O207" s="30" t="n">
        <f aca="false">M207*0.75%</f>
        <v>2.1</v>
      </c>
      <c r="P207" s="62" t="s">
        <v>5</v>
      </c>
      <c r="Q207" s="62" t="s">
        <v>6</v>
      </c>
      <c r="R207" s="30" t="n">
        <f aca="false">M207-N207-O207</f>
        <v>266.7</v>
      </c>
      <c r="S207" s="30" t="n">
        <f aca="false">R207/E207</f>
        <v>133.35</v>
      </c>
      <c r="T207" s="62" t="s">
        <v>66</v>
      </c>
      <c r="U207" s="30" t="n">
        <f aca="false">M207-O207</f>
        <v>277.9</v>
      </c>
      <c r="V207" s="27" t="s">
        <v>130</v>
      </c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customFormat="false" ht="15.75" hidden="false" customHeight="true" outlineLevel="0" collapsed="false">
      <c r="A208" s="1"/>
      <c r="B208" s="27" t="n">
        <v>2946</v>
      </c>
      <c r="C208" s="27" t="s">
        <v>91</v>
      </c>
      <c r="D208" s="27" t="s">
        <v>0</v>
      </c>
      <c r="E208" s="27" t="n">
        <v>1</v>
      </c>
      <c r="F208" s="28" t="s">
        <v>1</v>
      </c>
      <c r="G208" s="28" t="n">
        <v>45875</v>
      </c>
      <c r="H208" s="27" t="s">
        <v>68</v>
      </c>
      <c r="I208" s="27" t="s">
        <v>54</v>
      </c>
      <c r="J208" s="27" t="n">
        <v>1151</v>
      </c>
      <c r="K208" s="29" t="n">
        <v>100</v>
      </c>
      <c r="L208" s="29" t="n">
        <v>0</v>
      </c>
      <c r="M208" s="29" t="n">
        <f aca="false">K208-L208</f>
        <v>100</v>
      </c>
      <c r="N208" s="29" t="n">
        <f aca="false">M208*C2</f>
        <v>4</v>
      </c>
      <c r="O208" s="30" t="n">
        <f aca="false">M208*2.9%</f>
        <v>2.9</v>
      </c>
      <c r="P208" s="62" t="s">
        <v>10</v>
      </c>
      <c r="Q208" s="30" t="s">
        <v>62</v>
      </c>
      <c r="R208" s="64" t="n">
        <f aca="false">M208-N208-O208</f>
        <v>93.1</v>
      </c>
      <c r="S208" s="53" t="n">
        <f aca="false">R208/E208</f>
        <v>93.1</v>
      </c>
      <c r="T208" s="89" t="s">
        <v>70</v>
      </c>
      <c r="U208" s="127" t="n">
        <f aca="false">M208/2-O208/2</f>
        <v>48.55</v>
      </c>
      <c r="V208" s="65" t="s">
        <v>130</v>
      </c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customFormat="false" ht="15.75" hidden="false" customHeight="true" outlineLevel="0" collapsed="false">
      <c r="A209" s="1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64"/>
      <c r="S209" s="66"/>
      <c r="T209" s="90" t="s">
        <v>71</v>
      </c>
      <c r="U209" s="127"/>
      <c r="V209" s="127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customFormat="false" ht="15.75" hidden="false" customHeight="true" outlineLevel="0" collapsed="false">
      <c r="A210" s="1"/>
      <c r="B210" s="27" t="n">
        <v>2470</v>
      </c>
      <c r="C210" s="27" t="s">
        <v>16</v>
      </c>
      <c r="D210" s="27" t="s">
        <v>0</v>
      </c>
      <c r="E210" s="27" t="n">
        <v>1</v>
      </c>
      <c r="F210" s="27" t="s">
        <v>1</v>
      </c>
      <c r="G210" s="28" t="n">
        <v>45875</v>
      </c>
      <c r="H210" s="27" t="s">
        <v>68</v>
      </c>
      <c r="I210" s="27" t="s">
        <v>54</v>
      </c>
      <c r="J210" s="27" t="n">
        <v>1152</v>
      </c>
      <c r="K210" s="29" t="n">
        <v>180</v>
      </c>
      <c r="L210" s="29" t="n">
        <v>0</v>
      </c>
      <c r="M210" s="29" t="n">
        <f aca="false">K210-L210</f>
        <v>180</v>
      </c>
      <c r="N210" s="29" t="n">
        <f aca="false">M210*C2</f>
        <v>7.2</v>
      </c>
      <c r="O210" s="30" t="n">
        <f aca="false">M210*2.9%</f>
        <v>5.22</v>
      </c>
      <c r="P210" s="62" t="s">
        <v>10</v>
      </c>
      <c r="Q210" s="62" t="s">
        <v>55</v>
      </c>
      <c r="R210" s="30" t="n">
        <f aca="false">M210-N210-O210</f>
        <v>167.58</v>
      </c>
      <c r="S210" s="30" t="n">
        <f aca="false">R210/E210</f>
        <v>167.58</v>
      </c>
      <c r="T210" s="89" t="s">
        <v>70</v>
      </c>
      <c r="U210" s="53" t="n">
        <f aca="false">M210/2-O210/2</f>
        <v>87.39</v>
      </c>
      <c r="V210" s="27" t="s">
        <v>130</v>
      </c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customFormat="false" ht="15.75" hidden="false" customHeight="true" outlineLevel="0" collapsed="false">
      <c r="A211" s="1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90" t="s">
        <v>71</v>
      </c>
      <c r="U211" s="31" t="n">
        <f aca="false">U210</f>
        <v>87.39</v>
      </c>
      <c r="V211" s="27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customFormat="false" ht="15.75" hidden="false" customHeight="true" outlineLevel="0" collapsed="false">
      <c r="A212" s="1"/>
      <c r="B212" s="128" t="n">
        <v>2470</v>
      </c>
      <c r="C212" s="128" t="s">
        <v>16</v>
      </c>
      <c r="D212" s="128" t="s">
        <v>0</v>
      </c>
      <c r="E212" s="128" t="n">
        <v>1</v>
      </c>
      <c r="F212" s="128" t="s">
        <v>1</v>
      </c>
      <c r="G212" s="129" t="n">
        <v>45875</v>
      </c>
      <c r="H212" s="128" t="s">
        <v>68</v>
      </c>
      <c r="I212" s="128" t="s">
        <v>54</v>
      </c>
      <c r="J212" s="128" t="n">
        <v>1153</v>
      </c>
      <c r="K212" s="130" t="n">
        <v>180</v>
      </c>
      <c r="L212" s="130" t="n">
        <v>0</v>
      </c>
      <c r="M212" s="130" t="n">
        <f aca="false">K212-L212</f>
        <v>180</v>
      </c>
      <c r="N212" s="130" t="n">
        <v>0</v>
      </c>
      <c r="O212" s="131"/>
      <c r="P212" s="132"/>
      <c r="Q212" s="132"/>
      <c r="R212" s="131" t="n">
        <f aca="false">M212-N212-O212</f>
        <v>180</v>
      </c>
      <c r="S212" s="131" t="n">
        <f aca="false">R212/E212</f>
        <v>180</v>
      </c>
      <c r="T212" s="132"/>
      <c r="U212" s="131" t="n">
        <f aca="false">M212-O212</f>
        <v>180</v>
      </c>
      <c r="V212" s="128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customFormat="false" ht="15.75" hidden="false" customHeight="true" outlineLevel="0" collapsed="false">
      <c r="A213" s="1"/>
      <c r="B213" s="27" t="n">
        <v>3006</v>
      </c>
      <c r="C213" s="27" t="s">
        <v>25</v>
      </c>
      <c r="D213" s="27" t="s">
        <v>0</v>
      </c>
      <c r="E213" s="27" t="n">
        <v>1</v>
      </c>
      <c r="F213" s="27" t="s">
        <v>1</v>
      </c>
      <c r="G213" s="28" t="n">
        <v>45875</v>
      </c>
      <c r="H213" s="27" t="s">
        <v>68</v>
      </c>
      <c r="I213" s="27" t="s">
        <v>54</v>
      </c>
      <c r="J213" s="27" t="n">
        <v>1154</v>
      </c>
      <c r="K213" s="29" t="n">
        <v>170</v>
      </c>
      <c r="L213" s="29" t="n">
        <v>0</v>
      </c>
      <c r="M213" s="29" t="n">
        <f aca="false">K213-L213</f>
        <v>170</v>
      </c>
      <c r="N213" s="29" t="n">
        <f aca="false">M213*C2</f>
        <v>6.8</v>
      </c>
      <c r="O213" s="30" t="n">
        <f aca="false">M213*2.9%</f>
        <v>4.93</v>
      </c>
      <c r="P213" s="62" t="s">
        <v>10</v>
      </c>
      <c r="Q213" s="62" t="s">
        <v>55</v>
      </c>
      <c r="R213" s="30" t="n">
        <f aca="false">M213-N213-O213</f>
        <v>158.27</v>
      </c>
      <c r="S213" s="30" t="n">
        <f aca="false">R213/E213</f>
        <v>158.27</v>
      </c>
      <c r="T213" s="89" t="s">
        <v>70</v>
      </c>
      <c r="U213" s="53" t="n">
        <f aca="false">M213/2-O213/2</f>
        <v>82.535</v>
      </c>
      <c r="V213" s="27" t="s">
        <v>130</v>
      </c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customFormat="false" ht="15.75" hidden="false" customHeight="true" outlineLevel="0" collapsed="false">
      <c r="A214" s="1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90" t="s">
        <v>71</v>
      </c>
      <c r="U214" s="31" t="n">
        <f aca="false">U213</f>
        <v>82.535</v>
      </c>
      <c r="V214" s="27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customFormat="false" ht="15.75" hidden="false" customHeight="true" outlineLevel="0" collapsed="false">
      <c r="A215" s="1"/>
      <c r="B215" s="27" t="n">
        <v>2470</v>
      </c>
      <c r="C215" s="27" t="s">
        <v>16</v>
      </c>
      <c r="D215" s="27" t="s">
        <v>0</v>
      </c>
      <c r="E215" s="27" t="n">
        <v>1</v>
      </c>
      <c r="F215" s="27" t="s">
        <v>1</v>
      </c>
      <c r="G215" s="28" t="n">
        <v>45875</v>
      </c>
      <c r="H215" s="27" t="s">
        <v>68</v>
      </c>
      <c r="I215" s="27" t="s">
        <v>54</v>
      </c>
      <c r="J215" s="27" t="n">
        <v>1155</v>
      </c>
      <c r="K215" s="29" t="n">
        <v>180</v>
      </c>
      <c r="L215" s="29" t="n">
        <v>0</v>
      </c>
      <c r="M215" s="29" t="n">
        <f aca="false">K215-L215</f>
        <v>180</v>
      </c>
      <c r="N215" s="29" t="n">
        <f aca="false">M215*C2</f>
        <v>7.2</v>
      </c>
      <c r="O215" s="30" t="n">
        <f aca="false">M215*3.63%</f>
        <v>6.534</v>
      </c>
      <c r="P215" s="62" t="s">
        <v>9</v>
      </c>
      <c r="Q215" s="62" t="s">
        <v>131</v>
      </c>
      <c r="R215" s="30" t="n">
        <f aca="false">M215-N215-O215</f>
        <v>166.266</v>
      </c>
      <c r="S215" s="30" t="n">
        <f aca="false">R215/E215</f>
        <v>166.266</v>
      </c>
      <c r="T215" s="62" t="s">
        <v>70</v>
      </c>
      <c r="U215" s="30" t="n">
        <f aca="false">M215-O215</f>
        <v>173.466</v>
      </c>
      <c r="V215" s="27" t="s">
        <v>130</v>
      </c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customFormat="false" ht="15.75" hidden="false" customHeight="true" outlineLevel="0" collapsed="false">
      <c r="A216" s="1"/>
      <c r="B216" s="27" t="n">
        <v>2470</v>
      </c>
      <c r="C216" s="27" t="s">
        <v>16</v>
      </c>
      <c r="D216" s="27" t="s">
        <v>0</v>
      </c>
      <c r="E216" s="27" t="n">
        <v>1</v>
      </c>
      <c r="F216" s="27" t="s">
        <v>1</v>
      </c>
      <c r="G216" s="28" t="n">
        <v>45875</v>
      </c>
      <c r="H216" s="27" t="s">
        <v>68</v>
      </c>
      <c r="I216" s="27" t="s">
        <v>54</v>
      </c>
      <c r="J216" s="27" t="n">
        <v>1156</v>
      </c>
      <c r="K216" s="29" t="n">
        <v>180</v>
      </c>
      <c r="L216" s="29" t="n">
        <v>0</v>
      </c>
      <c r="M216" s="29" t="n">
        <f aca="false">K216-L216</f>
        <v>180</v>
      </c>
      <c r="N216" s="29" t="n">
        <f aca="false">M216*C2</f>
        <v>7.2</v>
      </c>
      <c r="O216" s="30" t="n">
        <f aca="false">M216*2.9%</f>
        <v>5.22</v>
      </c>
      <c r="P216" s="62" t="s">
        <v>10</v>
      </c>
      <c r="Q216" s="62" t="s">
        <v>55</v>
      </c>
      <c r="R216" s="30" t="n">
        <f aca="false">M216-N216-O216</f>
        <v>167.58</v>
      </c>
      <c r="S216" s="64" t="n">
        <f aca="false">R216/E216</f>
        <v>167.58</v>
      </c>
      <c r="T216" s="63" t="s">
        <v>70</v>
      </c>
      <c r="U216" s="53" t="n">
        <f aca="false">M216/2-O216/2</f>
        <v>87.39</v>
      </c>
      <c r="V216" s="65" t="s">
        <v>130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customFormat="false" ht="15.75" hidden="false" customHeight="true" outlineLevel="0" collapsed="false">
      <c r="A217" s="1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62"/>
      <c r="Q217" s="62"/>
      <c r="R217" s="30"/>
      <c r="S217" s="64"/>
      <c r="T217" s="66" t="s">
        <v>71</v>
      </c>
      <c r="U217" s="31" t="n">
        <f aca="false">U216</f>
        <v>87.39</v>
      </c>
      <c r="V217" s="6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customFormat="false" ht="15.75" hidden="false" customHeight="true" outlineLevel="0" collapsed="false">
      <c r="A218" s="1"/>
      <c r="B218" s="27" t="n">
        <v>3049</v>
      </c>
      <c r="C218" s="27" t="s">
        <v>99</v>
      </c>
      <c r="D218" s="27" t="s">
        <v>0</v>
      </c>
      <c r="E218" s="27" t="n">
        <v>1</v>
      </c>
      <c r="F218" s="27" t="s">
        <v>1</v>
      </c>
      <c r="G218" s="28" t="n">
        <v>45875</v>
      </c>
      <c r="H218" s="27" t="s">
        <v>68</v>
      </c>
      <c r="I218" s="27" t="s">
        <v>54</v>
      </c>
      <c r="J218" s="27" t="n">
        <v>1156</v>
      </c>
      <c r="K218" s="29" t="n">
        <v>180</v>
      </c>
      <c r="L218" s="29" t="n">
        <v>0</v>
      </c>
      <c r="M218" s="29" t="n">
        <f aca="false">K218-L218</f>
        <v>180</v>
      </c>
      <c r="N218" s="29" t="n">
        <f aca="false">M218*C2</f>
        <v>7.2</v>
      </c>
      <c r="O218" s="30" t="n">
        <f aca="false">M218*2.9%</f>
        <v>5.22</v>
      </c>
      <c r="P218" s="62"/>
      <c r="Q218" s="62"/>
      <c r="R218" s="30" t="n">
        <f aca="false">M218-N218-O218</f>
        <v>167.58</v>
      </c>
      <c r="S218" s="64" t="n">
        <f aca="false">R218/E218</f>
        <v>167.58</v>
      </c>
      <c r="T218" s="63" t="s">
        <v>70</v>
      </c>
      <c r="U218" s="53" t="n">
        <f aca="false">M218/2-O218/2</f>
        <v>87.39</v>
      </c>
      <c r="V218" s="6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customFormat="false" ht="15.75" hidden="false" customHeight="true" outlineLevel="0" collapsed="false">
      <c r="A219" s="1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64"/>
      <c r="T219" s="66" t="s">
        <v>71</v>
      </c>
      <c r="U219" s="31" t="n">
        <f aca="false">U218</f>
        <v>87.39</v>
      </c>
      <c r="V219" s="6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customFormat="false" ht="15.75" hidden="false" customHeight="true" outlineLevel="0" collapsed="false">
      <c r="A220" s="1"/>
      <c r="B220" s="27" t="n">
        <v>2470</v>
      </c>
      <c r="C220" s="27" t="s">
        <v>16</v>
      </c>
      <c r="D220" s="27" t="s">
        <v>0</v>
      </c>
      <c r="E220" s="27" t="n">
        <v>1</v>
      </c>
      <c r="F220" s="27" t="s">
        <v>1</v>
      </c>
      <c r="G220" s="28" t="n">
        <v>45875</v>
      </c>
      <c r="H220" s="27" t="s">
        <v>68</v>
      </c>
      <c r="I220" s="27" t="s">
        <v>54</v>
      </c>
      <c r="J220" s="27" t="n">
        <v>1157</v>
      </c>
      <c r="K220" s="29" t="n">
        <v>180</v>
      </c>
      <c r="L220" s="29" t="n">
        <v>80</v>
      </c>
      <c r="M220" s="29" t="n">
        <f aca="false">K220-L220</f>
        <v>100</v>
      </c>
      <c r="N220" s="29" t="n">
        <f aca="false">M220*C2</f>
        <v>4</v>
      </c>
      <c r="O220" s="30" t="n">
        <f aca="false">M220*1.65%</f>
        <v>1.65</v>
      </c>
      <c r="P220" s="30" t="s">
        <v>7</v>
      </c>
      <c r="Q220" s="62" t="s">
        <v>62</v>
      </c>
      <c r="R220" s="30" t="n">
        <f aca="false">M220-N220-O220</f>
        <v>94.35</v>
      </c>
      <c r="S220" s="30" t="n">
        <f aca="false">R220/E220</f>
        <v>94.35</v>
      </c>
      <c r="T220" s="63" t="s">
        <v>66</v>
      </c>
      <c r="U220" s="53" t="n">
        <f aca="false">M220-O220</f>
        <v>98.35</v>
      </c>
      <c r="V220" s="27" t="s">
        <v>130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customFormat="false" ht="15.75" hidden="false" customHeight="true" outlineLevel="0" collapsed="false">
      <c r="A221" s="1"/>
      <c r="B221" s="27" t="n">
        <v>2470</v>
      </c>
      <c r="C221" s="27" t="s">
        <v>16</v>
      </c>
      <c r="D221" s="27" t="s">
        <v>0</v>
      </c>
      <c r="E221" s="27" t="n">
        <v>1</v>
      </c>
      <c r="F221" s="27" t="s">
        <v>1</v>
      </c>
      <c r="G221" s="28" t="n">
        <v>45875</v>
      </c>
      <c r="H221" s="27" t="s">
        <v>68</v>
      </c>
      <c r="I221" s="27" t="s">
        <v>54</v>
      </c>
      <c r="J221" s="27" t="n">
        <v>1158</v>
      </c>
      <c r="K221" s="29" t="n">
        <v>180</v>
      </c>
      <c r="L221" s="29" t="n">
        <v>0</v>
      </c>
      <c r="M221" s="29" t="n">
        <f aca="false">K221-L221</f>
        <v>180</v>
      </c>
      <c r="N221" s="29" t="n">
        <f aca="false">M221*C2</f>
        <v>7.2</v>
      </c>
      <c r="O221" s="30" t="n">
        <f aca="false">M221*2.9%</f>
        <v>5.22</v>
      </c>
      <c r="P221" s="62" t="s">
        <v>10</v>
      </c>
      <c r="Q221" s="62" t="s">
        <v>62</v>
      </c>
      <c r="R221" s="30" t="n">
        <f aca="false">M221-N221-O221</f>
        <v>167.58</v>
      </c>
      <c r="S221" s="30" t="n">
        <f aca="false">R221/E221</f>
        <v>167.58</v>
      </c>
      <c r="T221" s="63" t="s">
        <v>70</v>
      </c>
      <c r="U221" s="53" t="n">
        <f aca="false">M221/2-O221/2</f>
        <v>87.39</v>
      </c>
      <c r="V221" s="27" t="s">
        <v>130</v>
      </c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customFormat="false" ht="15.75" hidden="false" customHeight="true" outlineLevel="0" collapsed="false">
      <c r="A222" s="1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66" t="s">
        <v>71</v>
      </c>
      <c r="U222" s="31" t="n">
        <f aca="false">U221</f>
        <v>87.39</v>
      </c>
      <c r="V222" s="27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customFormat="false" ht="15.75" hidden="false" customHeight="true" outlineLevel="0" collapsed="false">
      <c r="A223" s="1"/>
      <c r="B223" s="27" t="n">
        <v>2470</v>
      </c>
      <c r="C223" s="27" t="s">
        <v>16</v>
      </c>
      <c r="D223" s="27" t="s">
        <v>0</v>
      </c>
      <c r="E223" s="27" t="n">
        <v>1</v>
      </c>
      <c r="F223" s="27" t="s">
        <v>1</v>
      </c>
      <c r="G223" s="28" t="n">
        <v>45875</v>
      </c>
      <c r="H223" s="27" t="s">
        <v>68</v>
      </c>
      <c r="I223" s="27" t="s">
        <v>54</v>
      </c>
      <c r="J223" s="27" t="n">
        <v>1159</v>
      </c>
      <c r="K223" s="29" t="n">
        <v>180</v>
      </c>
      <c r="L223" s="29" t="n">
        <v>80</v>
      </c>
      <c r="M223" s="29" t="n">
        <f aca="false">K223-L223</f>
        <v>100</v>
      </c>
      <c r="N223" s="29" t="n">
        <f aca="false">M223*C2</f>
        <v>4</v>
      </c>
      <c r="O223" s="30" t="n">
        <v>2.71</v>
      </c>
      <c r="P223" s="30" t="s">
        <v>9</v>
      </c>
      <c r="Q223" s="62" t="s">
        <v>62</v>
      </c>
      <c r="R223" s="30" t="n">
        <f aca="false">M223-N223-O223</f>
        <v>93.29</v>
      </c>
      <c r="S223" s="30" t="n">
        <f aca="false">R223/E223</f>
        <v>93.29</v>
      </c>
      <c r="T223" s="63" t="s">
        <v>70</v>
      </c>
      <c r="U223" s="53" t="n">
        <f aca="false">M223-O223</f>
        <v>97.29</v>
      </c>
      <c r="V223" s="27" t="s">
        <v>130</v>
      </c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customFormat="false" ht="15.75" hidden="false" customHeight="true" outlineLevel="0" collapsed="false">
      <c r="A224" s="1"/>
      <c r="B224" s="27" t="n">
        <v>2470</v>
      </c>
      <c r="C224" s="27" t="s">
        <v>16</v>
      </c>
      <c r="D224" s="27" t="s">
        <v>0</v>
      </c>
      <c r="E224" s="27" t="n">
        <v>1</v>
      </c>
      <c r="F224" s="27" t="s">
        <v>1</v>
      </c>
      <c r="G224" s="28" t="n">
        <v>45875</v>
      </c>
      <c r="H224" s="27" t="s">
        <v>68</v>
      </c>
      <c r="I224" s="27" t="s">
        <v>54</v>
      </c>
      <c r="J224" s="27" t="n">
        <v>1160</v>
      </c>
      <c r="K224" s="29" t="n">
        <v>180</v>
      </c>
      <c r="L224" s="29" t="n">
        <v>80</v>
      </c>
      <c r="M224" s="29" t="n">
        <f aca="false">K224-L224</f>
        <v>100</v>
      </c>
      <c r="N224" s="29" t="n">
        <f aca="false">M224*C2</f>
        <v>4</v>
      </c>
      <c r="O224" s="30" t="n">
        <v>2.9</v>
      </c>
      <c r="P224" s="62" t="s">
        <v>10</v>
      </c>
      <c r="Q224" s="62" t="s">
        <v>62</v>
      </c>
      <c r="R224" s="30" t="n">
        <f aca="false">M224-N224-O224</f>
        <v>93.1</v>
      </c>
      <c r="S224" s="64" t="n">
        <f aca="false">R224/E224</f>
        <v>93.1</v>
      </c>
      <c r="T224" s="63" t="s">
        <v>70</v>
      </c>
      <c r="U224" s="53" t="n">
        <f aca="false">M224/2-O224/2</f>
        <v>48.55</v>
      </c>
      <c r="V224" s="65" t="s">
        <v>130</v>
      </c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customFormat="false" ht="15.75" hidden="false" customHeight="true" outlineLevel="0" collapsed="false">
      <c r="A225" s="1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64"/>
      <c r="T225" s="66" t="s">
        <v>71</v>
      </c>
      <c r="U225" s="31" t="n">
        <f aca="false">U224</f>
        <v>48.55</v>
      </c>
      <c r="V225" s="6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customFormat="false" ht="15.75" hidden="false" customHeight="true" outlineLevel="0" collapsed="false">
      <c r="A226" s="1"/>
      <c r="B226" s="27" t="n">
        <v>2470</v>
      </c>
      <c r="C226" s="27" t="s">
        <v>16</v>
      </c>
      <c r="D226" s="27" t="s">
        <v>0</v>
      </c>
      <c r="E226" s="27" t="n">
        <v>1</v>
      </c>
      <c r="F226" s="27" t="s">
        <v>1</v>
      </c>
      <c r="G226" s="28" t="n">
        <v>45875</v>
      </c>
      <c r="H226" s="27" t="s">
        <v>68</v>
      </c>
      <c r="I226" s="27" t="s">
        <v>54</v>
      </c>
      <c r="J226" s="27" t="n">
        <v>1161</v>
      </c>
      <c r="K226" s="29" t="n">
        <v>180</v>
      </c>
      <c r="L226" s="29" t="n">
        <v>80</v>
      </c>
      <c r="M226" s="29" t="n">
        <f aca="false">K226-L226</f>
        <v>100</v>
      </c>
      <c r="N226" s="29" t="n">
        <f aca="false">M226*C2</f>
        <v>4</v>
      </c>
      <c r="O226" s="30" t="n">
        <v>2.9</v>
      </c>
      <c r="P226" s="62" t="s">
        <v>10</v>
      </c>
      <c r="Q226" s="62" t="s">
        <v>62</v>
      </c>
      <c r="R226" s="30" t="n">
        <f aca="false">M226-N226-O226</f>
        <v>93.1</v>
      </c>
      <c r="S226" s="64" t="n">
        <f aca="false">R226/E226</f>
        <v>93.1</v>
      </c>
      <c r="T226" s="63" t="s">
        <v>70</v>
      </c>
      <c r="U226" s="53" t="n">
        <f aca="false">M226/2-O226/2</f>
        <v>48.55</v>
      </c>
      <c r="V226" s="65" t="s">
        <v>130</v>
      </c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customFormat="false" ht="15.75" hidden="false" customHeight="true" outlineLevel="0" collapsed="false">
      <c r="A227" s="1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64"/>
      <c r="T227" s="66" t="s">
        <v>71</v>
      </c>
      <c r="U227" s="31" t="n">
        <f aca="false">U226</f>
        <v>48.55</v>
      </c>
      <c r="V227" s="6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customFormat="false" ht="15.75" hidden="false" customHeight="true" outlineLevel="0" collapsed="false">
      <c r="A228" s="1"/>
      <c r="B228" s="27" t="n">
        <v>2550</v>
      </c>
      <c r="C228" s="27" t="s">
        <v>58</v>
      </c>
      <c r="D228" s="27" t="s">
        <v>0</v>
      </c>
      <c r="E228" s="27" t="n">
        <v>1</v>
      </c>
      <c r="F228" s="27" t="s">
        <v>1</v>
      </c>
      <c r="G228" s="28" t="n">
        <v>45875</v>
      </c>
      <c r="H228" s="27" t="s">
        <v>68</v>
      </c>
      <c r="I228" s="27" t="s">
        <v>54</v>
      </c>
      <c r="J228" s="27" t="n">
        <v>1162</v>
      </c>
      <c r="K228" s="29" t="n">
        <v>60</v>
      </c>
      <c r="L228" s="29" t="n">
        <v>0</v>
      </c>
      <c r="M228" s="29" t="n">
        <f aca="false">K228-L228</f>
        <v>60</v>
      </c>
      <c r="N228" s="29" t="n">
        <f aca="false">M228*C2</f>
        <v>2.4</v>
      </c>
      <c r="O228" s="30" t="n">
        <v>2.13</v>
      </c>
      <c r="P228" s="62" t="s">
        <v>9</v>
      </c>
      <c r="Q228" s="62" t="s">
        <v>62</v>
      </c>
      <c r="R228" s="30" t="n">
        <f aca="false">M228-N228-O228</f>
        <v>55.47</v>
      </c>
      <c r="S228" s="30" t="n">
        <f aca="false">R228/E228</f>
        <v>55.47</v>
      </c>
      <c r="T228" s="62" t="s">
        <v>70</v>
      </c>
      <c r="U228" s="30" t="n">
        <f aca="false">M228-O228</f>
        <v>57.87</v>
      </c>
      <c r="V228" s="27" t="s">
        <v>130</v>
      </c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customFormat="false" ht="15.75" hidden="false" customHeight="true" outlineLevel="0" collapsed="false">
      <c r="A229" s="1"/>
      <c r="B229" s="27" t="n">
        <v>3008</v>
      </c>
      <c r="C229" s="27" t="s">
        <v>28</v>
      </c>
      <c r="D229" s="27" t="s">
        <v>0</v>
      </c>
      <c r="E229" s="27" t="n">
        <v>1</v>
      </c>
      <c r="F229" s="27" t="s">
        <v>1</v>
      </c>
      <c r="G229" s="28" t="n">
        <v>45875</v>
      </c>
      <c r="H229" s="27" t="s">
        <v>68</v>
      </c>
      <c r="I229" s="27" t="s">
        <v>54</v>
      </c>
      <c r="J229" s="27" t="n">
        <v>1163</v>
      </c>
      <c r="K229" s="29" t="n">
        <v>215</v>
      </c>
      <c r="L229" s="29" t="n">
        <v>0</v>
      </c>
      <c r="M229" s="29" t="n">
        <f aca="false">K229-L229</f>
        <v>215</v>
      </c>
      <c r="N229" s="29" t="n">
        <f aca="false">M229*C2</f>
        <v>8.6</v>
      </c>
      <c r="O229" s="30" t="n">
        <f aca="false">M229*2.9%</f>
        <v>6.235</v>
      </c>
      <c r="P229" s="62" t="s">
        <v>10</v>
      </c>
      <c r="Q229" s="62" t="s">
        <v>62</v>
      </c>
      <c r="R229" s="30" t="n">
        <f aca="false">M229-N229-O229</f>
        <v>200.165</v>
      </c>
      <c r="S229" s="64" t="n">
        <f aca="false">R229/E229</f>
        <v>200.165</v>
      </c>
      <c r="T229" s="63" t="s">
        <v>70</v>
      </c>
      <c r="U229" s="53" t="n">
        <f aca="false">S229/2-O229/2</f>
        <v>96.965</v>
      </c>
      <c r="V229" s="65" t="s">
        <v>130</v>
      </c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customFormat="false" ht="15.75" hidden="false" customHeight="true" outlineLevel="0" collapsed="false">
      <c r="A230" s="1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64"/>
      <c r="T230" s="66" t="s">
        <v>71</v>
      </c>
      <c r="U230" s="31" t="n">
        <f aca="false">U229</f>
        <v>96.965</v>
      </c>
      <c r="V230" s="6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customFormat="false" ht="15.75" hidden="false" customHeight="true" outlineLevel="0" collapsed="false">
      <c r="A231" s="1"/>
      <c r="B231" s="27" t="n">
        <v>2470</v>
      </c>
      <c r="C231" s="27" t="s">
        <v>16</v>
      </c>
      <c r="D231" s="27" t="s">
        <v>0</v>
      </c>
      <c r="E231" s="27" t="n">
        <v>2</v>
      </c>
      <c r="F231" s="27" t="s">
        <v>1</v>
      </c>
      <c r="G231" s="28" t="n">
        <v>45875</v>
      </c>
      <c r="H231" s="27" t="s">
        <v>68</v>
      </c>
      <c r="I231" s="27" t="s">
        <v>54</v>
      </c>
      <c r="J231" s="27" t="n">
        <v>1164</v>
      </c>
      <c r="K231" s="29" t="n">
        <v>360</v>
      </c>
      <c r="L231" s="29" t="n">
        <v>0</v>
      </c>
      <c r="M231" s="29" t="n">
        <f aca="false">K231-L231</f>
        <v>360</v>
      </c>
      <c r="N231" s="29" t="n">
        <f aca="false">M231*C2</f>
        <v>14.4</v>
      </c>
      <c r="O231" s="30" t="n">
        <f aca="false">M231*2.9%</f>
        <v>10.44</v>
      </c>
      <c r="P231" s="62" t="s">
        <v>10</v>
      </c>
      <c r="Q231" s="62" t="s">
        <v>62</v>
      </c>
      <c r="R231" s="30" t="n">
        <f aca="false">M231-N231-O231</f>
        <v>335.16</v>
      </c>
      <c r="S231" s="64" t="n">
        <f aca="false">R231/E231</f>
        <v>167.58</v>
      </c>
      <c r="T231" s="63" t="s">
        <v>70</v>
      </c>
      <c r="U231" s="53" t="n">
        <f aca="false">M231/2-O231/2</f>
        <v>174.78</v>
      </c>
      <c r="V231" s="65" t="s">
        <v>130</v>
      </c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customFormat="false" ht="15.75" hidden="false" customHeight="true" outlineLevel="0" collapsed="false">
      <c r="A232" s="1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64"/>
      <c r="T232" s="66" t="s">
        <v>71</v>
      </c>
      <c r="U232" s="31" t="n">
        <f aca="false">U231</f>
        <v>174.78</v>
      </c>
      <c r="V232" s="6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customFormat="false" ht="15.75" hidden="false" customHeight="true" outlineLevel="0" collapsed="false">
      <c r="A233" s="1"/>
      <c r="B233" s="27" t="n">
        <v>2470</v>
      </c>
      <c r="C233" s="27" t="s">
        <v>16</v>
      </c>
      <c r="D233" s="27" t="s">
        <v>0</v>
      </c>
      <c r="E233" s="27" t="n">
        <v>2</v>
      </c>
      <c r="F233" s="27" t="s">
        <v>1</v>
      </c>
      <c r="G233" s="28" t="n">
        <v>45875</v>
      </c>
      <c r="H233" s="27" t="s">
        <v>68</v>
      </c>
      <c r="I233" s="27" t="s">
        <v>54</v>
      </c>
      <c r="J233" s="27" t="n">
        <v>1165</v>
      </c>
      <c r="K233" s="29" t="n">
        <v>360</v>
      </c>
      <c r="L233" s="29" t="n">
        <v>160</v>
      </c>
      <c r="M233" s="29" t="n">
        <f aca="false">K233-L233</f>
        <v>200</v>
      </c>
      <c r="N233" s="29" t="n">
        <f aca="false">M233*C2</f>
        <v>8</v>
      </c>
      <c r="O233" s="30" t="n">
        <v>5.8</v>
      </c>
      <c r="P233" s="62" t="s">
        <v>87</v>
      </c>
      <c r="Q233" s="62" t="s">
        <v>62</v>
      </c>
      <c r="R233" s="30" t="n">
        <f aca="false">M233-N233-O233</f>
        <v>186.2</v>
      </c>
      <c r="S233" s="64" t="n">
        <f aca="false">R233/E233</f>
        <v>93.1</v>
      </c>
      <c r="T233" s="63" t="s">
        <v>70</v>
      </c>
      <c r="U233" s="53" t="n">
        <f aca="false">M233/3-O233/3</f>
        <v>64.7333333333333</v>
      </c>
      <c r="V233" s="65" t="s">
        <v>130</v>
      </c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customFormat="false" ht="15.75" hidden="false" customHeight="true" outlineLevel="0" collapsed="false">
      <c r="A234" s="1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64"/>
      <c r="T234" s="133" t="s">
        <v>71</v>
      </c>
      <c r="U234" s="56" t="n">
        <f aca="false">U233</f>
        <v>64.7333333333333</v>
      </c>
      <c r="V234" s="6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customFormat="false" ht="15.75" hidden="false" customHeight="true" outlineLevel="0" collapsed="false">
      <c r="A235" s="1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64"/>
      <c r="T235" s="66" t="s">
        <v>72</v>
      </c>
      <c r="U235" s="31" t="n">
        <f aca="false">U233</f>
        <v>64.7333333333333</v>
      </c>
      <c r="V235" s="6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customFormat="false" ht="15.75" hidden="false" customHeight="true" outlineLevel="0" collapsed="false">
      <c r="A236" s="1"/>
      <c r="B236" s="27" t="n">
        <v>2470</v>
      </c>
      <c r="C236" s="27" t="s">
        <v>16</v>
      </c>
      <c r="D236" s="27" t="s">
        <v>0</v>
      </c>
      <c r="E236" s="27" t="n">
        <v>2</v>
      </c>
      <c r="F236" s="27" t="s">
        <v>1</v>
      </c>
      <c r="G236" s="28" t="n">
        <v>45875</v>
      </c>
      <c r="H236" s="27" t="s">
        <v>68</v>
      </c>
      <c r="I236" s="27" t="s">
        <v>54</v>
      </c>
      <c r="J236" s="27" t="n">
        <v>1166</v>
      </c>
      <c r="K236" s="29" t="n">
        <v>360</v>
      </c>
      <c r="L236" s="29" t="n">
        <v>160</v>
      </c>
      <c r="M236" s="29" t="n">
        <f aca="false">K236-L236</f>
        <v>200</v>
      </c>
      <c r="N236" s="29" t="n">
        <f aca="false">M236*C2</f>
        <v>8</v>
      </c>
      <c r="O236" s="30" t="n">
        <f aca="false">M236*2.9%</f>
        <v>5.8</v>
      </c>
      <c r="P236" s="62" t="s">
        <v>10</v>
      </c>
      <c r="Q236" s="62" t="s">
        <v>62</v>
      </c>
      <c r="R236" s="30" t="n">
        <f aca="false">M236-N236-O236</f>
        <v>186.2</v>
      </c>
      <c r="S236" s="64" t="n">
        <f aca="false">R236/E236</f>
        <v>93.1</v>
      </c>
      <c r="T236" s="63" t="s">
        <v>70</v>
      </c>
      <c r="U236" s="53" t="n">
        <f aca="false">M236/2-O236/2</f>
        <v>97.1</v>
      </c>
      <c r="V236" s="65" t="s">
        <v>130</v>
      </c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customFormat="false" ht="15.75" hidden="false" customHeight="true" outlineLevel="0" collapsed="false">
      <c r="A237" s="1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64"/>
      <c r="T237" s="66" t="s">
        <v>71</v>
      </c>
      <c r="U237" s="31" t="n">
        <f aca="false">U236</f>
        <v>97.1</v>
      </c>
      <c r="V237" s="6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customFormat="false" ht="15.75" hidden="false" customHeight="true" outlineLevel="0" collapsed="false">
      <c r="A238" s="1"/>
      <c r="B238" s="27" t="n">
        <v>2470</v>
      </c>
      <c r="C238" s="27" t="s">
        <v>16</v>
      </c>
      <c r="D238" s="27" t="s">
        <v>0</v>
      </c>
      <c r="E238" s="27" t="n">
        <v>1</v>
      </c>
      <c r="F238" s="27" t="s">
        <v>1</v>
      </c>
      <c r="G238" s="28" t="n">
        <v>45875</v>
      </c>
      <c r="H238" s="27" t="s">
        <v>68</v>
      </c>
      <c r="I238" s="27" t="s">
        <v>54</v>
      </c>
      <c r="J238" s="27" t="n">
        <v>1167</v>
      </c>
      <c r="K238" s="29" t="n">
        <v>180</v>
      </c>
      <c r="L238" s="29" t="n">
        <v>0</v>
      </c>
      <c r="M238" s="29" t="n">
        <f aca="false">K238-L238</f>
        <v>180</v>
      </c>
      <c r="N238" s="29" t="n">
        <f aca="false">M238*C2</f>
        <v>7.2</v>
      </c>
      <c r="O238" s="30" t="n">
        <f aca="false">M238*2.9%</f>
        <v>5.22</v>
      </c>
      <c r="P238" s="62" t="s">
        <v>10</v>
      </c>
      <c r="Q238" s="62" t="s">
        <v>62</v>
      </c>
      <c r="R238" s="30" t="n">
        <f aca="false">M238-N238-O238</f>
        <v>167.58</v>
      </c>
      <c r="S238" s="64" t="n">
        <f aca="false">R238/E238</f>
        <v>167.58</v>
      </c>
      <c r="T238" s="63" t="s">
        <v>70</v>
      </c>
      <c r="U238" s="53" t="n">
        <f aca="false">M238/2-O238/2</f>
        <v>87.39</v>
      </c>
      <c r="V238" s="65" t="s">
        <v>130</v>
      </c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customFormat="false" ht="15.75" hidden="false" customHeight="true" outlineLevel="0" collapsed="false">
      <c r="A239" s="1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64"/>
      <c r="T239" s="66" t="s">
        <v>71</v>
      </c>
      <c r="U239" s="31" t="n">
        <f aca="false">U238</f>
        <v>87.39</v>
      </c>
      <c r="V239" s="6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customFormat="false" ht="15.75" hidden="false" customHeight="true" outlineLevel="0" collapsed="false">
      <c r="A240" s="1"/>
      <c r="B240" s="27" t="n">
        <v>2470</v>
      </c>
      <c r="C240" s="27" t="s">
        <v>16</v>
      </c>
      <c r="D240" s="27" t="s">
        <v>0</v>
      </c>
      <c r="E240" s="27" t="n">
        <v>1</v>
      </c>
      <c r="F240" s="27" t="s">
        <v>1</v>
      </c>
      <c r="G240" s="28" t="n">
        <v>45875</v>
      </c>
      <c r="H240" s="27" t="s">
        <v>68</v>
      </c>
      <c r="I240" s="27" t="s">
        <v>54</v>
      </c>
      <c r="J240" s="27" t="n">
        <v>1168</v>
      </c>
      <c r="K240" s="29" t="n">
        <v>180</v>
      </c>
      <c r="L240" s="29" t="n">
        <v>0</v>
      </c>
      <c r="M240" s="29" t="n">
        <f aca="false">K240-L240</f>
        <v>180</v>
      </c>
      <c r="N240" s="29" t="n">
        <f aca="false">M240*C2</f>
        <v>7.2</v>
      </c>
      <c r="O240" s="30" t="n">
        <f aca="false">M240*2.9%</f>
        <v>5.22</v>
      </c>
      <c r="P240" s="62" t="s">
        <v>10</v>
      </c>
      <c r="Q240" s="62" t="s">
        <v>62</v>
      </c>
      <c r="R240" s="30" t="n">
        <f aca="false">M240-N240-O240</f>
        <v>167.58</v>
      </c>
      <c r="S240" s="64" t="n">
        <f aca="false">R240/E240</f>
        <v>167.58</v>
      </c>
      <c r="T240" s="63" t="s">
        <v>70</v>
      </c>
      <c r="U240" s="53" t="n">
        <f aca="false">M240/2-O240/2</f>
        <v>87.39</v>
      </c>
      <c r="V240" s="65" t="s">
        <v>130</v>
      </c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customFormat="false" ht="15.75" hidden="false" customHeight="true" outlineLevel="0" collapsed="false">
      <c r="A241" s="1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64"/>
      <c r="T241" s="66" t="s">
        <v>71</v>
      </c>
      <c r="U241" s="31" t="n">
        <f aca="false">U240</f>
        <v>87.39</v>
      </c>
      <c r="V241" s="6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customFormat="false" ht="15.75" hidden="false" customHeight="true" outlineLevel="0" collapsed="false">
      <c r="A242" s="1"/>
      <c r="B242" s="27" t="n">
        <v>3049</v>
      </c>
      <c r="C242" s="27" t="s">
        <v>99</v>
      </c>
      <c r="D242" s="27" t="s">
        <v>0</v>
      </c>
      <c r="E242" s="27" t="n">
        <v>1</v>
      </c>
      <c r="F242" s="27" t="s">
        <v>1</v>
      </c>
      <c r="G242" s="28" t="n">
        <v>45875</v>
      </c>
      <c r="H242" s="27" t="s">
        <v>68</v>
      </c>
      <c r="I242" s="27" t="s">
        <v>54</v>
      </c>
      <c r="J242" s="27" t="n">
        <v>1169</v>
      </c>
      <c r="K242" s="29" t="n">
        <v>180</v>
      </c>
      <c r="L242" s="29" t="n">
        <v>0</v>
      </c>
      <c r="M242" s="29" t="n">
        <f aca="false">K242-L242</f>
        <v>180</v>
      </c>
      <c r="N242" s="29" t="n">
        <f aca="false">M242*C2</f>
        <v>7.2</v>
      </c>
      <c r="O242" s="30" t="n">
        <f aca="false">M242*2.71%</f>
        <v>4.878</v>
      </c>
      <c r="P242" s="62" t="s">
        <v>9</v>
      </c>
      <c r="Q242" s="62" t="s">
        <v>62</v>
      </c>
      <c r="R242" s="30" t="n">
        <f aca="false">M242-N242-O242</f>
        <v>167.922</v>
      </c>
      <c r="S242" s="30" t="n">
        <f aca="false">R242/E242</f>
        <v>167.922</v>
      </c>
      <c r="T242" s="62" t="s">
        <v>70</v>
      </c>
      <c r="U242" s="30" t="n">
        <f aca="false">M242-O242</f>
        <v>175.122</v>
      </c>
      <c r="V242" s="27" t="s">
        <v>130</v>
      </c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customFormat="false" ht="15.75" hidden="false" customHeight="true" outlineLevel="0" collapsed="false">
      <c r="A243" s="1"/>
      <c r="B243" s="102" t="n">
        <v>2470</v>
      </c>
      <c r="C243" s="102" t="s">
        <v>16</v>
      </c>
      <c r="D243" s="102" t="s">
        <v>0</v>
      </c>
      <c r="E243" s="102" t="n">
        <v>1</v>
      </c>
      <c r="F243" s="102" t="s">
        <v>1</v>
      </c>
      <c r="G243" s="103" t="n">
        <v>45876</v>
      </c>
      <c r="H243" s="102" t="s">
        <v>73</v>
      </c>
      <c r="I243" s="102" t="s">
        <v>54</v>
      </c>
      <c r="J243" s="102" t="n">
        <v>1170</v>
      </c>
      <c r="K243" s="104" t="n">
        <v>180</v>
      </c>
      <c r="L243" s="104" t="n">
        <v>0</v>
      </c>
      <c r="M243" s="104" t="n">
        <f aca="false">K243-L243</f>
        <v>180</v>
      </c>
      <c r="N243" s="104" t="n">
        <f aca="false">M243*C2</f>
        <v>7.2</v>
      </c>
      <c r="O243" s="105" t="n">
        <v>0</v>
      </c>
      <c r="P243" s="106" t="s">
        <v>5</v>
      </c>
      <c r="Q243" s="106" t="s">
        <v>6</v>
      </c>
      <c r="R243" s="105" t="n">
        <f aca="false">M243-N243-O243</f>
        <v>172.8</v>
      </c>
      <c r="S243" s="105" t="n">
        <f aca="false">R243/E243</f>
        <v>172.8</v>
      </c>
      <c r="T243" s="106" t="s">
        <v>66</v>
      </c>
      <c r="U243" s="105" t="n">
        <f aca="false">M243-O243</f>
        <v>180</v>
      </c>
      <c r="V243" s="10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customFormat="false" ht="15.75" hidden="false" customHeight="true" outlineLevel="0" collapsed="false">
      <c r="A244" s="1"/>
      <c r="B244" s="27" t="n">
        <v>2470</v>
      </c>
      <c r="C244" s="27" t="s">
        <v>16</v>
      </c>
      <c r="D244" s="27" t="s">
        <v>0</v>
      </c>
      <c r="E244" s="27" t="n">
        <v>2</v>
      </c>
      <c r="F244" s="27" t="s">
        <v>1</v>
      </c>
      <c r="G244" s="28" t="n">
        <v>45876</v>
      </c>
      <c r="H244" s="27" t="s">
        <v>73</v>
      </c>
      <c r="I244" s="27" t="s">
        <v>132</v>
      </c>
      <c r="J244" s="27" t="n">
        <v>1171</v>
      </c>
      <c r="K244" s="29" t="n">
        <v>360</v>
      </c>
      <c r="L244" s="29" t="n">
        <v>72</v>
      </c>
      <c r="M244" s="29" t="n">
        <f aca="false">K244-L244</f>
        <v>288</v>
      </c>
      <c r="N244" s="29" t="n">
        <f aca="false">M244*C2</f>
        <v>11.52</v>
      </c>
      <c r="O244" s="30" t="n">
        <f aca="false">M244*1.65%</f>
        <v>4.752</v>
      </c>
      <c r="P244" s="62" t="s">
        <v>7</v>
      </c>
      <c r="Q244" s="62" t="s">
        <v>62</v>
      </c>
      <c r="R244" s="30" t="n">
        <f aca="false">M244-N244-O244</f>
        <v>271.728</v>
      </c>
      <c r="S244" s="30" t="n">
        <f aca="false">R244/E244</f>
        <v>135.864</v>
      </c>
      <c r="T244" s="62" t="s">
        <v>66</v>
      </c>
      <c r="U244" s="30" t="n">
        <f aca="false">M244-O244</f>
        <v>283.248</v>
      </c>
      <c r="V244" s="27" t="s">
        <v>130</v>
      </c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customFormat="false" ht="15.75" hidden="false" customHeight="true" outlineLevel="0" collapsed="false">
      <c r="A245" s="1"/>
      <c r="B245" s="102" t="n">
        <v>2470</v>
      </c>
      <c r="C245" s="102" t="s">
        <v>16</v>
      </c>
      <c r="D245" s="102" t="s">
        <v>0</v>
      </c>
      <c r="E245" s="102" t="n">
        <v>1</v>
      </c>
      <c r="F245" s="102" t="s">
        <v>1</v>
      </c>
      <c r="G245" s="103" t="n">
        <v>45876</v>
      </c>
      <c r="H245" s="102" t="s">
        <v>73</v>
      </c>
      <c r="I245" s="102" t="s">
        <v>54</v>
      </c>
      <c r="J245" s="102" t="n">
        <v>1172</v>
      </c>
      <c r="K245" s="104" t="n">
        <v>180</v>
      </c>
      <c r="L245" s="104" t="n">
        <v>0</v>
      </c>
      <c r="M245" s="104" t="n">
        <f aca="false">K245-L245</f>
        <v>180</v>
      </c>
      <c r="N245" s="104" t="n">
        <f aca="false">M245*C2</f>
        <v>7.2</v>
      </c>
      <c r="O245" s="105" t="n">
        <f aca="false">M245*3.78%</f>
        <v>6.804</v>
      </c>
      <c r="P245" s="106" t="s">
        <v>10</v>
      </c>
      <c r="Q245" s="106" t="s">
        <v>62</v>
      </c>
      <c r="R245" s="105" t="n">
        <f aca="false">M245-N245-O245</f>
        <v>165.996</v>
      </c>
      <c r="S245" s="107" t="n">
        <f aca="false">R245/E245</f>
        <v>165.996</v>
      </c>
      <c r="T245" s="108" t="s">
        <v>70</v>
      </c>
      <c r="U245" s="118" t="n">
        <f aca="false">M245/2-O245/2</f>
        <v>86.598</v>
      </c>
      <c r="V245" s="110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customFormat="false" ht="15.75" hidden="false" customHeight="true" outlineLevel="0" collapsed="false">
      <c r="A246" s="1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7"/>
      <c r="T246" s="125" t="s">
        <v>71</v>
      </c>
      <c r="U246" s="126" t="n">
        <f aca="false">U245</f>
        <v>86.598</v>
      </c>
      <c r="V246" s="110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customFormat="false" ht="15.75" hidden="false" customHeight="true" outlineLevel="0" collapsed="false">
      <c r="A247" s="1"/>
      <c r="B247" s="27" t="n">
        <v>3049</v>
      </c>
      <c r="C247" s="27" t="s">
        <v>99</v>
      </c>
      <c r="D247" s="27" t="s">
        <v>0</v>
      </c>
      <c r="E247" s="27" t="n">
        <v>1</v>
      </c>
      <c r="F247" s="27" t="s">
        <v>1</v>
      </c>
      <c r="G247" s="28" t="n">
        <v>45876</v>
      </c>
      <c r="H247" s="27" t="s">
        <v>73</v>
      </c>
      <c r="I247" s="27" t="s">
        <v>54</v>
      </c>
      <c r="J247" s="27" t="n">
        <v>1173</v>
      </c>
      <c r="K247" s="29" t="n">
        <v>180</v>
      </c>
      <c r="L247" s="29" t="n">
        <v>0</v>
      </c>
      <c r="M247" s="29" t="n">
        <f aca="false">K247-L247</f>
        <v>180</v>
      </c>
      <c r="N247" s="29" t="n">
        <f aca="false">M247*C2</f>
        <v>7.2</v>
      </c>
      <c r="O247" s="30" t="n">
        <f aca="false">M247*2.9%</f>
        <v>5.22</v>
      </c>
      <c r="P247" s="62" t="s">
        <v>87</v>
      </c>
      <c r="Q247" s="62" t="s">
        <v>55</v>
      </c>
      <c r="R247" s="30" t="n">
        <f aca="false">M247-N247-O247</f>
        <v>167.58</v>
      </c>
      <c r="S247" s="64" t="n">
        <f aca="false">R247/E247</f>
        <v>167.58</v>
      </c>
      <c r="T247" s="63" t="s">
        <v>70</v>
      </c>
      <c r="U247" s="53" t="n">
        <f aca="false">M247/3-O247/3</f>
        <v>58.26</v>
      </c>
      <c r="V247" s="65" t="s">
        <v>130</v>
      </c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customFormat="false" ht="15.75" hidden="false" customHeight="true" outlineLevel="0" collapsed="false">
      <c r="A248" s="1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64"/>
      <c r="T248" s="133" t="s">
        <v>71</v>
      </c>
      <c r="U248" s="56" t="n">
        <f aca="false">U247</f>
        <v>58.26</v>
      </c>
      <c r="V248" s="6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customFormat="false" ht="15.75" hidden="false" customHeight="true" outlineLevel="0" collapsed="false">
      <c r="A249" s="1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64"/>
      <c r="T249" s="66" t="s">
        <v>72</v>
      </c>
      <c r="U249" s="31" t="n">
        <f aca="false">U247</f>
        <v>58.26</v>
      </c>
      <c r="V249" s="6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customFormat="false" ht="15.75" hidden="false" customHeight="true" outlineLevel="0" collapsed="false">
      <c r="A250" s="1"/>
      <c r="B250" s="27" t="n">
        <v>2470</v>
      </c>
      <c r="C250" s="27" t="s">
        <v>16</v>
      </c>
      <c r="D250" s="27" t="s">
        <v>0</v>
      </c>
      <c r="E250" s="27" t="n">
        <v>1</v>
      </c>
      <c r="F250" s="27" t="s">
        <v>1</v>
      </c>
      <c r="G250" s="28" t="n">
        <v>45876</v>
      </c>
      <c r="H250" s="27" t="s">
        <v>73</v>
      </c>
      <c r="I250" s="27" t="s">
        <v>54</v>
      </c>
      <c r="J250" s="27" t="n">
        <v>1173</v>
      </c>
      <c r="K250" s="29" t="n">
        <v>180</v>
      </c>
      <c r="L250" s="29" t="n">
        <v>0</v>
      </c>
      <c r="M250" s="29" t="n">
        <f aca="false">K250-L250</f>
        <v>180</v>
      </c>
      <c r="N250" s="29" t="n">
        <f aca="false">M250*C2</f>
        <v>7.2</v>
      </c>
      <c r="O250" s="30" t="n">
        <f aca="false">M250*2.9%</f>
        <v>5.22</v>
      </c>
      <c r="P250" s="62" t="s">
        <v>87</v>
      </c>
      <c r="Q250" s="62" t="s">
        <v>55</v>
      </c>
      <c r="R250" s="30" t="n">
        <f aca="false">M250-N250-O250</f>
        <v>167.58</v>
      </c>
      <c r="S250" s="64" t="n">
        <f aca="false">R250/E250</f>
        <v>167.58</v>
      </c>
      <c r="T250" s="63" t="s">
        <v>70</v>
      </c>
      <c r="U250" s="53" t="n">
        <f aca="false">M250/3-O250/3</f>
        <v>58.26</v>
      </c>
      <c r="V250" s="6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customFormat="false" ht="15.75" hidden="false" customHeight="true" outlineLevel="0" collapsed="false">
      <c r="A251" s="1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64"/>
      <c r="T251" s="133" t="s">
        <v>71</v>
      </c>
      <c r="U251" s="56" t="n">
        <f aca="false">U250</f>
        <v>58.26</v>
      </c>
      <c r="V251" s="6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customFormat="false" ht="15.75" hidden="false" customHeight="true" outlineLevel="0" collapsed="false">
      <c r="A252" s="1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64"/>
      <c r="T252" s="66" t="s">
        <v>72</v>
      </c>
      <c r="U252" s="31" t="n">
        <f aca="false">U250</f>
        <v>58.26</v>
      </c>
      <c r="V252" s="6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customFormat="false" ht="15.75" hidden="false" customHeight="true" outlineLevel="0" collapsed="false">
      <c r="A253" s="1"/>
      <c r="B253" s="27" t="n">
        <v>2946</v>
      </c>
      <c r="C253" s="27" t="s">
        <v>91</v>
      </c>
      <c r="D253" s="27" t="s">
        <v>0</v>
      </c>
      <c r="E253" s="27" t="n">
        <v>2</v>
      </c>
      <c r="F253" s="27" t="s">
        <v>1</v>
      </c>
      <c r="G253" s="28" t="n">
        <v>45876</v>
      </c>
      <c r="H253" s="27" t="s">
        <v>73</v>
      </c>
      <c r="I253" s="27" t="s">
        <v>54</v>
      </c>
      <c r="J253" s="27" t="n">
        <v>1173</v>
      </c>
      <c r="K253" s="29" t="n">
        <v>200</v>
      </c>
      <c r="L253" s="29" t="n">
        <v>0</v>
      </c>
      <c r="M253" s="29" t="n">
        <f aca="false">K253-L253</f>
        <v>200</v>
      </c>
      <c r="N253" s="29" t="n">
        <f aca="false">M253*C2</f>
        <v>8</v>
      </c>
      <c r="O253" s="30" t="n">
        <f aca="false">M253*2.9%</f>
        <v>5.8</v>
      </c>
      <c r="P253" s="62" t="s">
        <v>87</v>
      </c>
      <c r="Q253" s="62" t="s">
        <v>55</v>
      </c>
      <c r="R253" s="30" t="n">
        <f aca="false">M253-N253-O253</f>
        <v>186.2</v>
      </c>
      <c r="S253" s="64" t="n">
        <f aca="false">R253/E253</f>
        <v>93.1</v>
      </c>
      <c r="T253" s="63" t="s">
        <v>70</v>
      </c>
      <c r="U253" s="53" t="n">
        <f aca="false">M253/3-O253/3</f>
        <v>64.7333333333333</v>
      </c>
      <c r="V253" s="6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customFormat="false" ht="15.75" hidden="false" customHeight="true" outlineLevel="0" collapsed="false">
      <c r="A254" s="1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64"/>
      <c r="T254" s="133" t="s">
        <v>71</v>
      </c>
      <c r="U254" s="56" t="n">
        <f aca="false">U253</f>
        <v>64.7333333333333</v>
      </c>
      <c r="V254" s="6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customFormat="false" ht="15.75" hidden="false" customHeight="true" outlineLevel="0" collapsed="false">
      <c r="A255" s="1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64"/>
      <c r="T255" s="66" t="s">
        <v>72</v>
      </c>
      <c r="U255" s="31" t="n">
        <f aca="false">U253</f>
        <v>64.7333333333333</v>
      </c>
      <c r="V255" s="6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customFormat="false" ht="15.75" hidden="false" customHeight="true" outlineLevel="0" collapsed="false">
      <c r="A256" s="1"/>
      <c r="B256" s="27" t="n">
        <v>2470</v>
      </c>
      <c r="C256" s="27" t="s">
        <v>16</v>
      </c>
      <c r="D256" s="27" t="s">
        <v>0</v>
      </c>
      <c r="E256" s="27" t="n">
        <v>2</v>
      </c>
      <c r="F256" s="27" t="s">
        <v>1</v>
      </c>
      <c r="G256" s="28" t="n">
        <v>45876</v>
      </c>
      <c r="H256" s="27" t="s">
        <v>73</v>
      </c>
      <c r="I256" s="27" t="s">
        <v>54</v>
      </c>
      <c r="J256" s="27" t="n">
        <v>1174</v>
      </c>
      <c r="K256" s="29" t="n">
        <v>360</v>
      </c>
      <c r="L256" s="29" t="n">
        <v>0</v>
      </c>
      <c r="M256" s="29" t="n">
        <f aca="false">K256-L256</f>
        <v>360</v>
      </c>
      <c r="N256" s="29" t="n">
        <f aca="false">M256*C2</f>
        <v>14.4</v>
      </c>
      <c r="O256" s="30" t="n">
        <f aca="false">M256*2.9%</f>
        <v>10.44</v>
      </c>
      <c r="P256" s="62" t="s">
        <v>10</v>
      </c>
      <c r="Q256" s="62" t="s">
        <v>62</v>
      </c>
      <c r="R256" s="30" t="n">
        <f aca="false">M256-N256-O256</f>
        <v>335.16</v>
      </c>
      <c r="S256" s="64" t="n">
        <f aca="false">R256/E256</f>
        <v>167.58</v>
      </c>
      <c r="T256" s="63" t="s">
        <v>70</v>
      </c>
      <c r="U256" s="53" t="n">
        <f aca="false">M256/2-O256/2</f>
        <v>174.78</v>
      </c>
      <c r="V256" s="65" t="s">
        <v>130</v>
      </c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customFormat="false" ht="15.75" hidden="false" customHeight="true" outlineLevel="0" collapsed="false">
      <c r="A257" s="1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64"/>
      <c r="T257" s="133" t="s">
        <v>71</v>
      </c>
      <c r="U257" s="56" t="n">
        <f aca="false">U256</f>
        <v>174.78</v>
      </c>
      <c r="V257" s="6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customFormat="false" ht="15.75" hidden="false" customHeight="true" outlineLevel="0" collapsed="false">
      <c r="A258" s="1"/>
      <c r="B258" s="27" t="n">
        <v>3049</v>
      </c>
      <c r="C258" s="27" t="s">
        <v>99</v>
      </c>
      <c r="D258" s="27" t="s">
        <v>0</v>
      </c>
      <c r="E258" s="27" t="n">
        <v>5</v>
      </c>
      <c r="F258" s="27" t="s">
        <v>1</v>
      </c>
      <c r="G258" s="28" t="n">
        <v>45876</v>
      </c>
      <c r="H258" s="27" t="s">
        <v>73</v>
      </c>
      <c r="I258" s="27" t="s">
        <v>54</v>
      </c>
      <c r="J258" s="27" t="n">
        <v>1175</v>
      </c>
      <c r="K258" s="29" t="n">
        <v>900</v>
      </c>
      <c r="L258" s="29" t="n">
        <v>0</v>
      </c>
      <c r="M258" s="29" t="n">
        <f aca="false">K258-L258</f>
        <v>900</v>
      </c>
      <c r="N258" s="29" t="n">
        <f aca="false">M258*C2</f>
        <v>36</v>
      </c>
      <c r="O258" s="30" t="n">
        <f aca="false">M258*3.64%</f>
        <v>32.76</v>
      </c>
      <c r="P258" s="62" t="s">
        <v>69</v>
      </c>
      <c r="Q258" s="62" t="s">
        <v>131</v>
      </c>
      <c r="R258" s="30" t="n">
        <f aca="false">M258-N258-O258</f>
        <v>831.24</v>
      </c>
      <c r="S258" s="64" t="n">
        <f aca="false">R258/E258</f>
        <v>166.248</v>
      </c>
      <c r="T258" s="63" t="s">
        <v>70</v>
      </c>
      <c r="U258" s="89" t="n">
        <f aca="false">M258/4-O258/4</f>
        <v>216.81</v>
      </c>
      <c r="V258" s="65" t="s">
        <v>130</v>
      </c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customFormat="false" ht="15.75" hidden="false" customHeight="true" outlineLevel="0" collapsed="false">
      <c r="A259" s="1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64"/>
      <c r="T259" s="133" t="s">
        <v>71</v>
      </c>
      <c r="U259" s="134" t="n">
        <f aca="false">U258</f>
        <v>216.81</v>
      </c>
      <c r="V259" s="6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customFormat="false" ht="15.75" hidden="false" customHeight="true" outlineLevel="0" collapsed="false">
      <c r="A260" s="1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64"/>
      <c r="T260" s="133" t="s">
        <v>72</v>
      </c>
      <c r="U260" s="134" t="n">
        <f aca="false">U259</f>
        <v>216.81</v>
      </c>
      <c r="V260" s="6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customFormat="false" ht="15.75" hidden="false" customHeight="true" outlineLevel="0" collapsed="false">
      <c r="A261" s="1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64"/>
      <c r="T261" s="66" t="s">
        <v>133</v>
      </c>
      <c r="U261" s="90" t="n">
        <f aca="false">U259</f>
        <v>216.81</v>
      </c>
      <c r="V261" s="6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customFormat="false" ht="15.75" hidden="false" customHeight="true" outlineLevel="0" collapsed="false">
      <c r="A262" s="1"/>
      <c r="B262" s="27" t="n">
        <v>3006</v>
      </c>
      <c r="C262" s="27" t="s">
        <v>25</v>
      </c>
      <c r="D262" s="27" t="s">
        <v>0</v>
      </c>
      <c r="E262" s="27" t="n">
        <v>1</v>
      </c>
      <c r="F262" s="27" t="s">
        <v>1</v>
      </c>
      <c r="G262" s="28" t="n">
        <v>45876</v>
      </c>
      <c r="H262" s="27" t="s">
        <v>73</v>
      </c>
      <c r="I262" s="27" t="s">
        <v>54</v>
      </c>
      <c r="J262" s="27" t="n">
        <v>1175</v>
      </c>
      <c r="K262" s="29" t="n">
        <v>170</v>
      </c>
      <c r="L262" s="29" t="n">
        <v>0</v>
      </c>
      <c r="M262" s="29" t="n">
        <f aca="false">K262-L262</f>
        <v>170</v>
      </c>
      <c r="N262" s="29" t="n">
        <f aca="false">M262*C2</f>
        <v>6.8</v>
      </c>
      <c r="O262" s="30" t="n">
        <f aca="false">M262*3.64%</f>
        <v>6.188</v>
      </c>
      <c r="P262" s="62" t="s">
        <v>69</v>
      </c>
      <c r="Q262" s="62" t="s">
        <v>131</v>
      </c>
      <c r="R262" s="30" t="n">
        <f aca="false">M262-N262-O262</f>
        <v>157.012</v>
      </c>
      <c r="S262" s="64" t="n">
        <f aca="false">R262/E262</f>
        <v>157.012</v>
      </c>
      <c r="T262" s="63" t="s">
        <v>70</v>
      </c>
      <c r="U262" s="89" t="n">
        <f aca="false">M262/4-O262/4</f>
        <v>40.953</v>
      </c>
      <c r="V262" s="6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customFormat="false" ht="15.75" hidden="false" customHeight="true" outlineLevel="0" collapsed="false">
      <c r="A263" s="1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64"/>
      <c r="T263" s="133" t="s">
        <v>71</v>
      </c>
      <c r="U263" s="134" t="n">
        <f aca="false">U262</f>
        <v>40.953</v>
      </c>
      <c r="V263" s="6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customFormat="false" ht="15.75" hidden="false" customHeight="true" outlineLevel="0" collapsed="false">
      <c r="A264" s="1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64"/>
      <c r="T264" s="133" t="s">
        <v>72</v>
      </c>
      <c r="U264" s="134" t="n">
        <f aca="false">U262</f>
        <v>40.953</v>
      </c>
      <c r="V264" s="6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customFormat="false" ht="15.75" hidden="false" customHeight="true" outlineLevel="0" collapsed="false">
      <c r="A265" s="1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64"/>
      <c r="T265" s="66" t="s">
        <v>133</v>
      </c>
      <c r="U265" s="90" t="n">
        <f aca="false">U262</f>
        <v>40.953</v>
      </c>
      <c r="V265" s="6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customFormat="false" ht="15.75" hidden="false" customHeight="true" outlineLevel="0" collapsed="false">
      <c r="A266" s="1"/>
      <c r="B266" s="27" t="n">
        <v>2550</v>
      </c>
      <c r="C266" s="27" t="s">
        <v>58</v>
      </c>
      <c r="D266" s="27" t="s">
        <v>0</v>
      </c>
      <c r="E266" s="27" t="n">
        <v>1</v>
      </c>
      <c r="F266" s="27" t="s">
        <v>1</v>
      </c>
      <c r="G266" s="28" t="n">
        <v>45876</v>
      </c>
      <c r="H266" s="27" t="s">
        <v>73</v>
      </c>
      <c r="I266" s="27" t="s">
        <v>54</v>
      </c>
      <c r="J266" s="27" t="n">
        <v>1175</v>
      </c>
      <c r="K266" s="29" t="n">
        <v>60</v>
      </c>
      <c r="L266" s="29" t="n">
        <v>0</v>
      </c>
      <c r="M266" s="29" t="n">
        <f aca="false">K266-L266</f>
        <v>60</v>
      </c>
      <c r="N266" s="29" t="n">
        <f aca="false">M266*C2</f>
        <v>2.4</v>
      </c>
      <c r="O266" s="30" t="n">
        <f aca="false">M266*3.64%</f>
        <v>2.184</v>
      </c>
      <c r="P266" s="62" t="s">
        <v>69</v>
      </c>
      <c r="Q266" s="62" t="s">
        <v>131</v>
      </c>
      <c r="R266" s="30" t="n">
        <f aca="false">M266-N266-O266</f>
        <v>55.416</v>
      </c>
      <c r="S266" s="64" t="n">
        <f aca="false">R266/E266</f>
        <v>55.416</v>
      </c>
      <c r="T266" s="63" t="s">
        <v>70</v>
      </c>
      <c r="U266" s="89" t="n">
        <f aca="false">M266/4-O266/4</f>
        <v>14.454</v>
      </c>
      <c r="V266" s="6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customFormat="false" ht="15.75" hidden="false" customHeight="true" outlineLevel="0" collapsed="false">
      <c r="A267" s="1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64"/>
      <c r="T267" s="133" t="s">
        <v>71</v>
      </c>
      <c r="U267" s="134" t="n">
        <f aca="false">U266</f>
        <v>14.454</v>
      </c>
      <c r="V267" s="6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customFormat="false" ht="15.75" hidden="false" customHeight="true" outlineLevel="0" collapsed="false">
      <c r="A268" s="1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64"/>
      <c r="T268" s="133" t="s">
        <v>72</v>
      </c>
      <c r="U268" s="134" t="n">
        <f aca="false">U266</f>
        <v>14.454</v>
      </c>
      <c r="V268" s="6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customFormat="false" ht="15.75" hidden="false" customHeight="true" outlineLevel="0" collapsed="false">
      <c r="A269" s="1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64"/>
      <c r="T269" s="66" t="s">
        <v>133</v>
      </c>
      <c r="U269" s="90" t="n">
        <f aca="false">U266</f>
        <v>14.454</v>
      </c>
      <c r="V269" s="6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customFormat="false" ht="15.75" hidden="false" customHeight="true" outlineLevel="0" collapsed="false">
      <c r="A270" s="1"/>
      <c r="B270" s="27" t="n">
        <v>2946</v>
      </c>
      <c r="C270" s="27" t="s">
        <v>91</v>
      </c>
      <c r="D270" s="27" t="s">
        <v>0</v>
      </c>
      <c r="E270" s="27" t="n">
        <v>1</v>
      </c>
      <c r="F270" s="27" t="s">
        <v>1</v>
      </c>
      <c r="G270" s="28" t="n">
        <v>45876</v>
      </c>
      <c r="H270" s="27" t="s">
        <v>73</v>
      </c>
      <c r="I270" s="27" t="s">
        <v>54</v>
      </c>
      <c r="J270" s="27" t="n">
        <v>1175</v>
      </c>
      <c r="K270" s="29" t="n">
        <v>100</v>
      </c>
      <c r="L270" s="29" t="n">
        <v>80</v>
      </c>
      <c r="M270" s="29" t="n">
        <f aca="false">K270-L270</f>
        <v>20</v>
      </c>
      <c r="N270" s="29" t="n">
        <f aca="false">M270*C2</f>
        <v>0.8</v>
      </c>
      <c r="O270" s="30" t="n">
        <f aca="false">M270*3.64%</f>
        <v>0.728</v>
      </c>
      <c r="P270" s="62" t="s">
        <v>69</v>
      </c>
      <c r="Q270" s="62" t="s">
        <v>131</v>
      </c>
      <c r="R270" s="30" t="n">
        <f aca="false">M270-N270-O270</f>
        <v>18.472</v>
      </c>
      <c r="S270" s="64" t="n">
        <f aca="false">R270/E270</f>
        <v>18.472</v>
      </c>
      <c r="T270" s="63" t="s">
        <v>70</v>
      </c>
      <c r="U270" s="89" t="n">
        <f aca="false">M270/4-O270/4</f>
        <v>4.818</v>
      </c>
      <c r="V270" s="6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customFormat="false" ht="15.75" hidden="false" customHeight="true" outlineLevel="0" collapsed="false">
      <c r="A271" s="1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64"/>
      <c r="T271" s="133" t="s">
        <v>71</v>
      </c>
      <c r="U271" s="134" t="n">
        <f aca="false">U270</f>
        <v>4.818</v>
      </c>
      <c r="V271" s="6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customFormat="false" ht="15.75" hidden="false" customHeight="true" outlineLevel="0" collapsed="false">
      <c r="A272" s="1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64"/>
      <c r="T272" s="133" t="s">
        <v>72</v>
      </c>
      <c r="U272" s="134" t="n">
        <f aca="false">U271</f>
        <v>4.818</v>
      </c>
      <c r="V272" s="6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customFormat="false" ht="15.75" hidden="false" customHeight="true" outlineLevel="0" collapsed="false">
      <c r="A273" s="1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64"/>
      <c r="T273" s="66" t="s">
        <v>133</v>
      </c>
      <c r="U273" s="90" t="n">
        <f aca="false">U271</f>
        <v>4.818</v>
      </c>
      <c r="V273" s="6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customFormat="false" ht="15.75" hidden="false" customHeight="true" outlineLevel="0" collapsed="false">
      <c r="A274" s="1"/>
      <c r="B274" s="102" t="n">
        <v>3049</v>
      </c>
      <c r="C274" s="102" t="s">
        <v>99</v>
      </c>
      <c r="D274" s="102" t="s">
        <v>0</v>
      </c>
      <c r="E274" s="102" t="n">
        <v>1</v>
      </c>
      <c r="F274" s="102" t="s">
        <v>1</v>
      </c>
      <c r="G274" s="103" t="n">
        <v>45876</v>
      </c>
      <c r="H274" s="102" t="s">
        <v>73</v>
      </c>
      <c r="I274" s="102" t="s">
        <v>54</v>
      </c>
      <c r="J274" s="102" t="n">
        <v>1176</v>
      </c>
      <c r="K274" s="104" t="n">
        <v>180</v>
      </c>
      <c r="L274" s="104" t="n">
        <v>0</v>
      </c>
      <c r="M274" s="104" t="n">
        <f aca="false">K274-L274</f>
        <v>180</v>
      </c>
      <c r="N274" s="104" t="n">
        <f aca="false">M274*C2</f>
        <v>7.2</v>
      </c>
      <c r="O274" s="105"/>
      <c r="P274" s="106"/>
      <c r="Q274" s="106"/>
      <c r="R274" s="105" t="n">
        <f aca="false">M274-N274-O274</f>
        <v>172.8</v>
      </c>
      <c r="S274" s="105" t="n">
        <f aca="false">R274/E274</f>
        <v>172.8</v>
      </c>
      <c r="T274" s="106"/>
      <c r="U274" s="105" t="n">
        <f aca="false">M274-O274</f>
        <v>180</v>
      </c>
      <c r="V274" s="10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customFormat="false" ht="15.75" hidden="false" customHeight="true" outlineLevel="0" collapsed="false">
      <c r="A275" s="1"/>
      <c r="B275" s="102" t="n">
        <v>2470</v>
      </c>
      <c r="C275" s="102" t="s">
        <v>16</v>
      </c>
      <c r="D275" s="102" t="s">
        <v>0</v>
      </c>
      <c r="E275" s="102" t="n">
        <v>1</v>
      </c>
      <c r="F275" s="102" t="s">
        <v>1</v>
      </c>
      <c r="G275" s="103" t="n">
        <v>45876</v>
      </c>
      <c r="H275" s="102" t="s">
        <v>73</v>
      </c>
      <c r="I275" s="102" t="s">
        <v>54</v>
      </c>
      <c r="J275" s="102" t="n">
        <v>1177</v>
      </c>
      <c r="K275" s="104" t="n">
        <v>180</v>
      </c>
      <c r="L275" s="104" t="n">
        <v>80</v>
      </c>
      <c r="M275" s="104" t="n">
        <f aca="false">K275-L275</f>
        <v>100</v>
      </c>
      <c r="N275" s="104" t="n">
        <f aca="false">M275*C2</f>
        <v>4</v>
      </c>
      <c r="O275" s="105"/>
      <c r="P275" s="106"/>
      <c r="Q275" s="106"/>
      <c r="R275" s="105" t="n">
        <f aca="false">M275-N275-O275</f>
        <v>96</v>
      </c>
      <c r="S275" s="105" t="n">
        <f aca="false">R275/E275</f>
        <v>96</v>
      </c>
      <c r="T275" s="106"/>
      <c r="U275" s="105" t="n">
        <f aca="false">M275-O275</f>
        <v>100</v>
      </c>
      <c r="V275" s="10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customFormat="false" ht="15.75" hidden="false" customHeight="true" outlineLevel="0" collapsed="false">
      <c r="A276" s="1"/>
      <c r="B276" s="27" t="n">
        <v>2470</v>
      </c>
      <c r="C276" s="27" t="s">
        <v>16</v>
      </c>
      <c r="D276" s="27" t="s">
        <v>0</v>
      </c>
      <c r="E276" s="27" t="n">
        <v>2</v>
      </c>
      <c r="F276" s="27" t="s">
        <v>1</v>
      </c>
      <c r="G276" s="28" t="n">
        <v>45876</v>
      </c>
      <c r="H276" s="27" t="s">
        <v>73</v>
      </c>
      <c r="I276" s="27" t="s">
        <v>54</v>
      </c>
      <c r="J276" s="27" t="n">
        <v>1178</v>
      </c>
      <c r="K276" s="29" t="n">
        <v>360</v>
      </c>
      <c r="L276" s="29" t="n">
        <v>160</v>
      </c>
      <c r="M276" s="29" t="n">
        <f aca="false">K276-L276</f>
        <v>200</v>
      </c>
      <c r="N276" s="29" t="n">
        <f aca="false">M276*C2</f>
        <v>8</v>
      </c>
      <c r="O276" s="30" t="n">
        <v>0</v>
      </c>
      <c r="P276" s="62" t="s">
        <v>134</v>
      </c>
      <c r="Q276" s="62" t="s">
        <v>6</v>
      </c>
      <c r="R276" s="30" t="n">
        <f aca="false">M276-N276-O276</f>
        <v>192</v>
      </c>
      <c r="S276" s="30" t="n">
        <f aca="false">R276/E276</f>
        <v>96</v>
      </c>
      <c r="T276" s="62" t="s">
        <v>66</v>
      </c>
      <c r="U276" s="30" t="n">
        <f aca="false">M276-O276</f>
        <v>200</v>
      </c>
      <c r="V276" s="27" t="s">
        <v>135</v>
      </c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customFormat="false" ht="15.75" hidden="false" customHeight="true" outlineLevel="0" collapsed="false">
      <c r="A277" s="1"/>
      <c r="B277" s="27" t="n">
        <v>2470</v>
      </c>
      <c r="C277" s="27" t="s">
        <v>16</v>
      </c>
      <c r="D277" s="27" t="s">
        <v>0</v>
      </c>
      <c r="E277" s="27" t="n">
        <v>1</v>
      </c>
      <c r="F277" s="27" t="s">
        <v>1</v>
      </c>
      <c r="G277" s="28" t="n">
        <v>45876</v>
      </c>
      <c r="H277" s="27" t="s">
        <v>73</v>
      </c>
      <c r="I277" s="27" t="s">
        <v>54</v>
      </c>
      <c r="J277" s="27" t="n">
        <v>1179</v>
      </c>
      <c r="K277" s="29" t="n">
        <v>180</v>
      </c>
      <c r="L277" s="29" t="n">
        <v>65</v>
      </c>
      <c r="M277" s="29" t="n">
        <f aca="false">K277-L277</f>
        <v>115</v>
      </c>
      <c r="N277" s="29" t="n">
        <f aca="false">M277*C2</f>
        <v>4.6</v>
      </c>
      <c r="O277" s="30" t="n">
        <v>0</v>
      </c>
      <c r="P277" s="62" t="s">
        <v>134</v>
      </c>
      <c r="Q277" s="62" t="s">
        <v>6</v>
      </c>
      <c r="R277" s="30" t="n">
        <f aca="false">M277-N277-O277</f>
        <v>110.4</v>
      </c>
      <c r="S277" s="30" t="n">
        <f aca="false">R277/E277</f>
        <v>110.4</v>
      </c>
      <c r="T277" s="62" t="s">
        <v>66</v>
      </c>
      <c r="U277" s="30" t="n">
        <f aca="false">M277-O277</f>
        <v>115</v>
      </c>
      <c r="V277" s="27" t="s">
        <v>135</v>
      </c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customFormat="false" ht="15.75" hidden="false" customHeight="true" outlineLevel="0" collapsed="false">
      <c r="A278" s="1"/>
      <c r="B278" s="27" t="n">
        <v>2470</v>
      </c>
      <c r="C278" s="27" t="s">
        <v>16</v>
      </c>
      <c r="D278" s="27" t="s">
        <v>0</v>
      </c>
      <c r="E278" s="27" t="n">
        <v>1</v>
      </c>
      <c r="F278" s="27" t="s">
        <v>1</v>
      </c>
      <c r="G278" s="28" t="n">
        <v>45876</v>
      </c>
      <c r="H278" s="27" t="s">
        <v>73</v>
      </c>
      <c r="I278" s="27" t="s">
        <v>54</v>
      </c>
      <c r="J278" s="27" t="n">
        <v>1180</v>
      </c>
      <c r="K278" s="29" t="n">
        <v>180</v>
      </c>
      <c r="L278" s="29" t="n">
        <v>80</v>
      </c>
      <c r="M278" s="29" t="n">
        <f aca="false">K278-L278</f>
        <v>100</v>
      </c>
      <c r="N278" s="29" t="n">
        <f aca="false">M278*C2</f>
        <v>4</v>
      </c>
      <c r="O278" s="30" t="n">
        <v>0</v>
      </c>
      <c r="P278" s="62" t="s">
        <v>134</v>
      </c>
      <c r="Q278" s="62" t="s">
        <v>6</v>
      </c>
      <c r="R278" s="30" t="n">
        <f aca="false">M278-N278-O278</f>
        <v>96</v>
      </c>
      <c r="S278" s="30" t="n">
        <f aca="false">R278/E278</f>
        <v>96</v>
      </c>
      <c r="T278" s="62" t="s">
        <v>66</v>
      </c>
      <c r="U278" s="30" t="n">
        <f aca="false">M278-O278</f>
        <v>100</v>
      </c>
      <c r="V278" s="27" t="s">
        <v>136</v>
      </c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customFormat="false" ht="15.75" hidden="false" customHeight="true" outlineLevel="0" collapsed="false">
      <c r="A279" s="1"/>
      <c r="B279" s="102" t="n">
        <v>2470</v>
      </c>
      <c r="C279" s="102" t="s">
        <v>16</v>
      </c>
      <c r="D279" s="102" t="s">
        <v>0</v>
      </c>
      <c r="E279" s="102" t="n">
        <v>1</v>
      </c>
      <c r="F279" s="102" t="s">
        <v>1</v>
      </c>
      <c r="G279" s="103" t="n">
        <v>45877</v>
      </c>
      <c r="H279" s="102" t="s">
        <v>75</v>
      </c>
      <c r="I279" s="102" t="s">
        <v>102</v>
      </c>
      <c r="J279" s="102" t="n">
        <v>1181</v>
      </c>
      <c r="K279" s="104" t="n">
        <v>180</v>
      </c>
      <c r="L279" s="104" t="n">
        <v>36</v>
      </c>
      <c r="M279" s="104" t="n">
        <f aca="false">K279-L279</f>
        <v>144</v>
      </c>
      <c r="N279" s="104" t="n">
        <f aca="false">M279*C2</f>
        <v>5.76</v>
      </c>
      <c r="O279" s="105" t="n">
        <f aca="false">M279*3.29%</f>
        <v>4.7376</v>
      </c>
      <c r="P279" s="106" t="s">
        <v>9</v>
      </c>
      <c r="Q279" s="106" t="s">
        <v>55</v>
      </c>
      <c r="R279" s="105" t="n">
        <f aca="false">M279-N279-O279</f>
        <v>133.5024</v>
      </c>
      <c r="S279" s="105" t="n">
        <f aca="false">R279/E279</f>
        <v>133.5024</v>
      </c>
      <c r="T279" s="106" t="s">
        <v>70</v>
      </c>
      <c r="U279" s="105" t="n">
        <f aca="false">M279-O279</f>
        <v>139.2624</v>
      </c>
      <c r="V279" s="10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customFormat="false" ht="15.75" hidden="false" customHeight="true" outlineLevel="0" collapsed="false">
      <c r="A280" s="1"/>
      <c r="B280" s="102" t="n">
        <v>2470</v>
      </c>
      <c r="C280" s="102" t="s">
        <v>16</v>
      </c>
      <c r="D280" s="102" t="s">
        <v>0</v>
      </c>
      <c r="E280" s="102" t="n">
        <v>1</v>
      </c>
      <c r="F280" s="102" t="s">
        <v>1</v>
      </c>
      <c r="G280" s="103" t="n">
        <v>45877</v>
      </c>
      <c r="H280" s="102" t="s">
        <v>75</v>
      </c>
      <c r="I280" s="102" t="s">
        <v>102</v>
      </c>
      <c r="J280" s="102" t="n">
        <v>1181</v>
      </c>
      <c r="K280" s="104" t="n">
        <v>180</v>
      </c>
      <c r="L280" s="104" t="n">
        <v>80</v>
      </c>
      <c r="M280" s="104" t="n">
        <f aca="false">K280-L280</f>
        <v>100</v>
      </c>
      <c r="N280" s="104" t="n">
        <f aca="false">M280*C2</f>
        <v>4</v>
      </c>
      <c r="O280" s="105" t="n">
        <f aca="false">M280*3.29%</f>
        <v>3.29</v>
      </c>
      <c r="P280" s="106" t="s">
        <v>9</v>
      </c>
      <c r="Q280" s="106" t="s">
        <v>55</v>
      </c>
      <c r="R280" s="105" t="n">
        <f aca="false">M280-N280-O280</f>
        <v>92.71</v>
      </c>
      <c r="S280" s="105" t="n">
        <f aca="false">R280/E280</f>
        <v>92.71</v>
      </c>
      <c r="T280" s="106" t="s">
        <v>70</v>
      </c>
      <c r="U280" s="105" t="n">
        <f aca="false">M280-O280</f>
        <v>96.71</v>
      </c>
      <c r="V280" s="10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customFormat="false" ht="15.75" hidden="false" customHeight="true" outlineLevel="0" collapsed="false">
      <c r="A281" s="1"/>
      <c r="B281" s="102" t="n">
        <v>2470</v>
      </c>
      <c r="C281" s="102" t="s">
        <v>16</v>
      </c>
      <c r="D281" s="102" t="s">
        <v>0</v>
      </c>
      <c r="E281" s="102" t="n">
        <v>1</v>
      </c>
      <c r="F281" s="102" t="s">
        <v>1</v>
      </c>
      <c r="G281" s="103" t="n">
        <v>45877</v>
      </c>
      <c r="H281" s="102" t="s">
        <v>75</v>
      </c>
      <c r="I281" s="102" t="s">
        <v>137</v>
      </c>
      <c r="J281" s="102" t="n">
        <v>1182</v>
      </c>
      <c r="K281" s="104" t="n">
        <v>180</v>
      </c>
      <c r="L281" s="104" t="n">
        <v>36</v>
      </c>
      <c r="M281" s="104" t="n">
        <f aca="false">K281-L281</f>
        <v>144</v>
      </c>
      <c r="N281" s="104" t="n">
        <f aca="false">M281*C2</f>
        <v>5.76</v>
      </c>
      <c r="O281" s="105" t="n">
        <f aca="false">M281*1.9%</f>
        <v>2.736</v>
      </c>
      <c r="P281" s="106" t="s">
        <v>7</v>
      </c>
      <c r="Q281" s="106" t="s">
        <v>62</v>
      </c>
      <c r="R281" s="105" t="n">
        <f aca="false">M281-N281-O281</f>
        <v>135.504</v>
      </c>
      <c r="S281" s="105" t="n">
        <f aca="false">R281/E281</f>
        <v>135.504</v>
      </c>
      <c r="T281" s="106" t="s">
        <v>66</v>
      </c>
      <c r="U281" s="105" t="n">
        <f aca="false">M281-O281</f>
        <v>141.264</v>
      </c>
      <c r="V281" s="10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customFormat="false" ht="15.75" hidden="false" customHeight="true" outlineLevel="0" collapsed="false">
      <c r="A282" s="1"/>
      <c r="B282" s="102" t="n">
        <v>2946</v>
      </c>
      <c r="C282" s="102" t="s">
        <v>91</v>
      </c>
      <c r="D282" s="102" t="s">
        <v>0</v>
      </c>
      <c r="E282" s="102" t="n">
        <v>1</v>
      </c>
      <c r="F282" s="102" t="s">
        <v>1</v>
      </c>
      <c r="G282" s="103" t="n">
        <v>45877</v>
      </c>
      <c r="H282" s="102" t="s">
        <v>75</v>
      </c>
      <c r="I282" s="102" t="s">
        <v>137</v>
      </c>
      <c r="J282" s="102" t="n">
        <v>1182</v>
      </c>
      <c r="K282" s="104" t="n">
        <v>100</v>
      </c>
      <c r="L282" s="104" t="n">
        <v>20</v>
      </c>
      <c r="M282" s="104" t="n">
        <f aca="false">K282-L282</f>
        <v>80</v>
      </c>
      <c r="N282" s="104" t="n">
        <f aca="false">M282*C2</f>
        <v>3.2</v>
      </c>
      <c r="O282" s="105" t="n">
        <f aca="false">M282*1.9%</f>
        <v>1.52</v>
      </c>
      <c r="P282" s="106" t="s">
        <v>7</v>
      </c>
      <c r="Q282" s="106" t="s">
        <v>62</v>
      </c>
      <c r="R282" s="105" t="n">
        <f aca="false">M282-N282-O282</f>
        <v>75.28</v>
      </c>
      <c r="S282" s="105" t="n">
        <f aca="false">R282/E282</f>
        <v>75.28</v>
      </c>
      <c r="T282" s="106" t="s">
        <v>66</v>
      </c>
      <c r="U282" s="105" t="n">
        <f aca="false">M282-O282</f>
        <v>78.48</v>
      </c>
      <c r="V282" s="10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customFormat="false" ht="15.75" hidden="false" customHeight="true" outlineLevel="0" collapsed="false">
      <c r="A283" s="1"/>
      <c r="B283" s="102" t="n">
        <v>3049</v>
      </c>
      <c r="C283" s="102" t="s">
        <v>99</v>
      </c>
      <c r="D283" s="102" t="s">
        <v>0</v>
      </c>
      <c r="E283" s="102" t="n">
        <v>1</v>
      </c>
      <c r="F283" s="102" t="s">
        <v>1</v>
      </c>
      <c r="G283" s="103" t="n">
        <v>45877</v>
      </c>
      <c r="H283" s="102" t="s">
        <v>75</v>
      </c>
      <c r="I283" s="102" t="s">
        <v>138</v>
      </c>
      <c r="J283" s="102" t="n">
        <v>1183</v>
      </c>
      <c r="K283" s="104" t="n">
        <v>180</v>
      </c>
      <c r="L283" s="104" t="n">
        <v>36</v>
      </c>
      <c r="M283" s="104" t="n">
        <f aca="false">K283-L283</f>
        <v>144</v>
      </c>
      <c r="N283" s="104" t="n">
        <f aca="false">M283*C2</f>
        <v>5.76</v>
      </c>
      <c r="O283" s="105" t="n">
        <f aca="false">M283*3.78%</f>
        <v>5.4432</v>
      </c>
      <c r="P283" s="106" t="s">
        <v>10</v>
      </c>
      <c r="Q283" s="106" t="s">
        <v>62</v>
      </c>
      <c r="R283" s="105" t="n">
        <f aca="false">M283-N283-O283</f>
        <v>132.7968</v>
      </c>
      <c r="S283" s="107" t="n">
        <f aca="false">R283/E283</f>
        <v>132.7968</v>
      </c>
      <c r="T283" s="108" t="s">
        <v>70</v>
      </c>
      <c r="U283" s="118" t="n">
        <f aca="false">M283/2-O283/2</f>
        <v>69.2784</v>
      </c>
      <c r="V283" s="110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customFormat="false" ht="15.75" hidden="false" customHeight="true" outlineLevel="0" collapsed="false">
      <c r="A284" s="1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7"/>
      <c r="T284" s="111" t="s">
        <v>71</v>
      </c>
      <c r="U284" s="119" t="n">
        <f aca="false">U283</f>
        <v>69.2784</v>
      </c>
      <c r="V284" s="110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customFormat="false" ht="15.75" hidden="false" customHeight="true" outlineLevel="0" collapsed="false">
      <c r="A285" s="1"/>
      <c r="B285" s="102" t="n">
        <v>2470</v>
      </c>
      <c r="C285" s="102" t="s">
        <v>16</v>
      </c>
      <c r="D285" s="102" t="s">
        <v>0</v>
      </c>
      <c r="E285" s="102" t="n">
        <v>2</v>
      </c>
      <c r="F285" s="102" t="s">
        <v>1</v>
      </c>
      <c r="G285" s="103" t="n">
        <v>45877</v>
      </c>
      <c r="H285" s="102" t="s">
        <v>75</v>
      </c>
      <c r="I285" s="102" t="s">
        <v>139</v>
      </c>
      <c r="J285" s="102" t="n">
        <v>1184</v>
      </c>
      <c r="K285" s="104" t="n">
        <v>360</v>
      </c>
      <c r="L285" s="104" t="n">
        <v>72</v>
      </c>
      <c r="M285" s="104" t="n">
        <f aca="false">K285-L285</f>
        <v>288</v>
      </c>
      <c r="N285" s="104" t="n">
        <f aca="false">M285*C2</f>
        <v>11.52</v>
      </c>
      <c r="O285" s="105" t="n">
        <v>0</v>
      </c>
      <c r="P285" s="106" t="s">
        <v>5</v>
      </c>
      <c r="Q285" s="106" t="s">
        <v>6</v>
      </c>
      <c r="R285" s="105" t="n">
        <f aca="false">M285-N285-O285</f>
        <v>276.48</v>
      </c>
      <c r="S285" s="105" t="n">
        <f aca="false">R285/E285</f>
        <v>138.24</v>
      </c>
      <c r="T285" s="106" t="s">
        <v>66</v>
      </c>
      <c r="U285" s="105" t="n">
        <f aca="false">M285-O285</f>
        <v>288</v>
      </c>
      <c r="V285" s="10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customFormat="false" ht="15.75" hidden="false" customHeight="true" outlineLevel="0" collapsed="false">
      <c r="A286" s="1"/>
      <c r="B286" s="102" t="n">
        <v>3008</v>
      </c>
      <c r="C286" s="102" t="s">
        <v>28</v>
      </c>
      <c r="D286" s="102" t="s">
        <v>0</v>
      </c>
      <c r="E286" s="102" t="n">
        <v>1</v>
      </c>
      <c r="F286" s="102" t="s">
        <v>1</v>
      </c>
      <c r="G286" s="103" t="n">
        <v>45878</v>
      </c>
      <c r="H286" s="102" t="s">
        <v>76</v>
      </c>
      <c r="I286" s="102" t="s">
        <v>140</v>
      </c>
      <c r="J286" s="102" t="n">
        <v>1185</v>
      </c>
      <c r="K286" s="104" t="n">
        <v>215</v>
      </c>
      <c r="L286" s="104" t="n">
        <v>0</v>
      </c>
      <c r="M286" s="104" t="n">
        <f aca="false">K286-L286</f>
        <v>215</v>
      </c>
      <c r="N286" s="104" t="n">
        <f aca="false">M286*C2</f>
        <v>8.6</v>
      </c>
      <c r="O286" s="105" t="n">
        <f aca="false">M286*3.78%</f>
        <v>8.127</v>
      </c>
      <c r="P286" s="106" t="s">
        <v>10</v>
      </c>
      <c r="Q286" s="106" t="s">
        <v>55</v>
      </c>
      <c r="R286" s="105" t="n">
        <f aca="false">M286-N286-O286</f>
        <v>198.273</v>
      </c>
      <c r="S286" s="107" t="n">
        <f aca="false">R286/E286</f>
        <v>198.273</v>
      </c>
      <c r="T286" s="108" t="s">
        <v>70</v>
      </c>
      <c r="U286" s="118" t="n">
        <f aca="false">M286/2-O286/2</f>
        <v>103.4365</v>
      </c>
      <c r="V286" s="110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customFormat="false" ht="15.75" hidden="false" customHeight="true" outlineLevel="0" collapsed="false">
      <c r="A287" s="1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7"/>
      <c r="T287" s="111" t="s">
        <v>71</v>
      </c>
      <c r="U287" s="119" t="n">
        <f aca="false">U286</f>
        <v>103.4365</v>
      </c>
      <c r="V287" s="110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customFormat="false" ht="15.75" hidden="false" customHeight="true" outlineLevel="0" collapsed="false">
      <c r="A288" s="1"/>
      <c r="B288" s="102" t="n">
        <v>2470</v>
      </c>
      <c r="C288" s="102" t="s">
        <v>16</v>
      </c>
      <c r="D288" s="102" t="s">
        <v>0</v>
      </c>
      <c r="E288" s="102" t="n">
        <v>1</v>
      </c>
      <c r="F288" s="102" t="s">
        <v>1</v>
      </c>
      <c r="G288" s="103" t="n">
        <v>45879</v>
      </c>
      <c r="H288" s="102" t="s">
        <v>92</v>
      </c>
      <c r="I288" s="102" t="s">
        <v>141</v>
      </c>
      <c r="J288" s="102" t="n">
        <v>1186</v>
      </c>
      <c r="K288" s="104" t="n">
        <v>180</v>
      </c>
      <c r="L288" s="104" t="n">
        <v>36</v>
      </c>
      <c r="M288" s="104" t="n">
        <f aca="false">K288-L288</f>
        <v>144</v>
      </c>
      <c r="N288" s="104" t="n">
        <f aca="false">M288*C2</f>
        <v>5.76</v>
      </c>
      <c r="O288" s="118" t="n">
        <f aca="false">M288*1.9%</f>
        <v>2.736</v>
      </c>
      <c r="P288" s="108" t="s">
        <v>7</v>
      </c>
      <c r="Q288" s="108" t="s">
        <v>62</v>
      </c>
      <c r="R288" s="105" t="n">
        <f aca="false">M288-N288-O288</f>
        <v>135.504</v>
      </c>
      <c r="S288" s="105" t="n">
        <f aca="false">R288/E288</f>
        <v>135.504</v>
      </c>
      <c r="T288" s="106" t="s">
        <v>66</v>
      </c>
      <c r="U288" s="105" t="n">
        <f aca="false">M288-O288</f>
        <v>141.264</v>
      </c>
      <c r="V288" s="10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customFormat="false" ht="15.75" hidden="false" customHeight="true" outlineLevel="0" collapsed="false">
      <c r="A289" s="1"/>
      <c r="B289" s="102" t="n">
        <v>2470</v>
      </c>
      <c r="C289" s="102" t="s">
        <v>16</v>
      </c>
      <c r="D289" s="102" t="s">
        <v>0</v>
      </c>
      <c r="E289" s="102" t="n">
        <v>1</v>
      </c>
      <c r="F289" s="102" t="s">
        <v>1</v>
      </c>
      <c r="G289" s="103" t="n">
        <v>45881</v>
      </c>
      <c r="H289" s="102" t="s">
        <v>64</v>
      </c>
      <c r="I289" s="102" t="s">
        <v>54</v>
      </c>
      <c r="J289" s="102" t="n">
        <v>1187</v>
      </c>
      <c r="K289" s="104" t="n">
        <v>180</v>
      </c>
      <c r="L289" s="104" t="n">
        <v>0</v>
      </c>
      <c r="M289" s="104" t="n">
        <f aca="false">K289-L289</f>
        <v>180</v>
      </c>
      <c r="N289" s="135" t="n">
        <f aca="false">M289*C2</f>
        <v>7.2</v>
      </c>
      <c r="O289" s="118" t="n">
        <f aca="false">80*3.29%</f>
        <v>2.632</v>
      </c>
      <c r="P289" s="108" t="s">
        <v>9</v>
      </c>
      <c r="Q289" s="108" t="s">
        <v>62</v>
      </c>
      <c r="R289" s="136" t="n">
        <f aca="false">M289-N289-O289</f>
        <v>170.168</v>
      </c>
      <c r="S289" s="107" t="n">
        <f aca="false">R289/E289</f>
        <v>170.168</v>
      </c>
      <c r="T289" s="108" t="s">
        <v>70</v>
      </c>
      <c r="U289" s="118" t="n">
        <f aca="false">80-O289</f>
        <v>77.368</v>
      </c>
      <c r="V289" s="110" t="s">
        <v>142</v>
      </c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customFormat="false" ht="15.75" hidden="false" customHeight="true" outlineLevel="0" collapsed="false">
      <c r="A290" s="1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35"/>
      <c r="O290" s="119" t="n">
        <v>0</v>
      </c>
      <c r="P290" s="111" t="s">
        <v>134</v>
      </c>
      <c r="Q290" s="111" t="s">
        <v>6</v>
      </c>
      <c r="R290" s="136"/>
      <c r="S290" s="107"/>
      <c r="T290" s="111" t="s">
        <v>66</v>
      </c>
      <c r="U290" s="119" t="n">
        <f aca="false">100</f>
        <v>100</v>
      </c>
      <c r="V290" s="110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customFormat="false" ht="15.75" hidden="false" customHeight="true" outlineLevel="0" collapsed="false">
      <c r="A291" s="1"/>
      <c r="B291" s="102" t="n">
        <v>2470</v>
      </c>
      <c r="C291" s="102" t="s">
        <v>16</v>
      </c>
      <c r="D291" s="102" t="s">
        <v>0</v>
      </c>
      <c r="E291" s="102" t="n">
        <v>1</v>
      </c>
      <c r="F291" s="102" t="s">
        <v>1</v>
      </c>
      <c r="G291" s="103" t="n">
        <v>45884</v>
      </c>
      <c r="H291" s="102" t="s">
        <v>75</v>
      </c>
      <c r="I291" s="102" t="s">
        <v>54</v>
      </c>
      <c r="J291" s="102" t="n">
        <v>1188</v>
      </c>
      <c r="K291" s="104" t="n">
        <v>180</v>
      </c>
      <c r="L291" s="104" t="n">
        <v>0</v>
      </c>
      <c r="M291" s="104" t="n">
        <f aca="false">K291-L291</f>
        <v>180</v>
      </c>
      <c r="N291" s="104" t="n">
        <f aca="false">M291*C2</f>
        <v>7.2</v>
      </c>
      <c r="O291" s="119" t="n">
        <v>0</v>
      </c>
      <c r="P291" s="111" t="s">
        <v>5</v>
      </c>
      <c r="Q291" s="111" t="s">
        <v>6</v>
      </c>
      <c r="R291" s="105" t="n">
        <f aca="false">M291-N291-O291</f>
        <v>172.8</v>
      </c>
      <c r="S291" s="105" t="n">
        <f aca="false">R291/E291</f>
        <v>172.8</v>
      </c>
      <c r="T291" s="106" t="s">
        <v>66</v>
      </c>
      <c r="U291" s="105" t="n">
        <f aca="false">M291-O291</f>
        <v>180</v>
      </c>
      <c r="V291" s="10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customFormat="false" ht="15.75" hidden="false" customHeight="true" outlineLevel="0" collapsed="false">
      <c r="A292" s="1"/>
      <c r="B292" s="102" t="n">
        <v>2470</v>
      </c>
      <c r="C292" s="102" t="s">
        <v>16</v>
      </c>
      <c r="D292" s="102" t="s">
        <v>0</v>
      </c>
      <c r="E292" s="102" t="n">
        <v>2</v>
      </c>
      <c r="F292" s="102" t="s">
        <v>1</v>
      </c>
      <c r="G292" s="103" t="n">
        <v>45884</v>
      </c>
      <c r="H292" s="102" t="s">
        <v>75</v>
      </c>
      <c r="I292" s="102" t="s">
        <v>143</v>
      </c>
      <c r="J292" s="102" t="n">
        <v>1189</v>
      </c>
      <c r="K292" s="104" t="n">
        <v>360</v>
      </c>
      <c r="L292" s="104" t="n">
        <v>0</v>
      </c>
      <c r="M292" s="104" t="n">
        <f aca="false">K292-L292</f>
        <v>360</v>
      </c>
      <c r="N292" s="104" t="n">
        <f aca="false">M292*C2</f>
        <v>14.4</v>
      </c>
      <c r="O292" s="105" t="n">
        <f aca="false">M292*3.29%</f>
        <v>11.844</v>
      </c>
      <c r="P292" s="106" t="s">
        <v>9</v>
      </c>
      <c r="Q292" s="106" t="s">
        <v>55</v>
      </c>
      <c r="R292" s="105" t="n">
        <f aca="false">M292-N292-O292</f>
        <v>333.756</v>
      </c>
      <c r="S292" s="105" t="n">
        <f aca="false">R292/E292</f>
        <v>166.878</v>
      </c>
      <c r="T292" s="106" t="s">
        <v>70</v>
      </c>
      <c r="U292" s="105" t="n">
        <f aca="false">M292-O292</f>
        <v>348.156</v>
      </c>
      <c r="V292" s="10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customFormat="false" ht="15.75" hidden="false" customHeight="true" outlineLevel="0" collapsed="false">
      <c r="A293" s="1"/>
      <c r="B293" s="102" t="n">
        <v>2470</v>
      </c>
      <c r="C293" s="102" t="s">
        <v>16</v>
      </c>
      <c r="D293" s="102" t="s">
        <v>0</v>
      </c>
      <c r="E293" s="102" t="n">
        <v>1</v>
      </c>
      <c r="F293" s="102" t="s">
        <v>1</v>
      </c>
      <c r="G293" s="103" t="n">
        <v>45884</v>
      </c>
      <c r="H293" s="102" t="s">
        <v>75</v>
      </c>
      <c r="I293" s="102" t="s">
        <v>54</v>
      </c>
      <c r="J293" s="102" t="n">
        <v>1190</v>
      </c>
      <c r="K293" s="104" t="n">
        <v>180</v>
      </c>
      <c r="L293" s="104" t="n">
        <v>0</v>
      </c>
      <c r="M293" s="104" t="n">
        <f aca="false">K293-L293</f>
        <v>180</v>
      </c>
      <c r="N293" s="104" t="n">
        <f aca="false">M293*C2</f>
        <v>7.2</v>
      </c>
      <c r="O293" s="105" t="n">
        <f aca="false">M293*3.29%</f>
        <v>5.922</v>
      </c>
      <c r="P293" s="106" t="s">
        <v>9</v>
      </c>
      <c r="Q293" s="106" t="s">
        <v>55</v>
      </c>
      <c r="R293" s="105" t="n">
        <f aca="false">M293-N293-O293</f>
        <v>166.878</v>
      </c>
      <c r="S293" s="105" t="n">
        <f aca="false">R293/E293</f>
        <v>166.878</v>
      </c>
      <c r="T293" s="106" t="s">
        <v>70</v>
      </c>
      <c r="U293" s="105" t="n">
        <f aca="false">M293-O293</f>
        <v>174.078</v>
      </c>
      <c r="V293" s="10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customFormat="false" ht="15.75" hidden="false" customHeight="true" outlineLevel="0" collapsed="false">
      <c r="A294" s="1"/>
      <c r="B294" s="102" t="n">
        <v>2470</v>
      </c>
      <c r="C294" s="102" t="s">
        <v>16</v>
      </c>
      <c r="D294" s="102" t="s">
        <v>0</v>
      </c>
      <c r="E294" s="102" t="n">
        <v>1</v>
      </c>
      <c r="F294" s="102" t="s">
        <v>1</v>
      </c>
      <c r="G294" s="103" t="n">
        <v>45884</v>
      </c>
      <c r="H294" s="102" t="s">
        <v>75</v>
      </c>
      <c r="I294" s="102" t="s">
        <v>54</v>
      </c>
      <c r="J294" s="102" t="n">
        <v>1191</v>
      </c>
      <c r="K294" s="104" t="n">
        <v>180</v>
      </c>
      <c r="L294" s="104" t="n">
        <v>0</v>
      </c>
      <c r="M294" s="104" t="n">
        <f aca="false">K294-L294</f>
        <v>180</v>
      </c>
      <c r="N294" s="104" t="n">
        <f aca="false">M294*C2</f>
        <v>7.2</v>
      </c>
      <c r="O294" s="105" t="n">
        <f aca="false">M294*1.9%</f>
        <v>3.42</v>
      </c>
      <c r="P294" s="106" t="s">
        <v>7</v>
      </c>
      <c r="Q294" s="106" t="s">
        <v>62</v>
      </c>
      <c r="R294" s="105" t="n">
        <f aca="false">M294-N294-O294</f>
        <v>169.38</v>
      </c>
      <c r="S294" s="105" t="n">
        <f aca="false">R294/E294</f>
        <v>169.38</v>
      </c>
      <c r="T294" s="106" t="s">
        <v>66</v>
      </c>
      <c r="U294" s="105" t="n">
        <f aca="false">M294-O294</f>
        <v>176.58</v>
      </c>
      <c r="V294" s="10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customFormat="false" ht="15.75" hidden="false" customHeight="true" outlineLevel="0" collapsed="false">
      <c r="A295" s="1"/>
      <c r="B295" s="102" t="n">
        <v>2470</v>
      </c>
      <c r="C295" s="102" t="s">
        <v>16</v>
      </c>
      <c r="D295" s="102" t="s">
        <v>0</v>
      </c>
      <c r="E295" s="102" t="n">
        <v>1</v>
      </c>
      <c r="F295" s="102" t="s">
        <v>1</v>
      </c>
      <c r="G295" s="103" t="n">
        <v>45885</v>
      </c>
      <c r="H295" s="102" t="s">
        <v>76</v>
      </c>
      <c r="I295" s="102" t="s">
        <v>54</v>
      </c>
      <c r="J295" s="102" t="n">
        <v>1192</v>
      </c>
      <c r="K295" s="104" t="n">
        <v>180</v>
      </c>
      <c r="L295" s="104" t="n">
        <v>0</v>
      </c>
      <c r="M295" s="104" t="n">
        <f aca="false">K295-L295</f>
        <v>180</v>
      </c>
      <c r="N295" s="104" t="n">
        <f aca="false">M295*C2</f>
        <v>7.2</v>
      </c>
      <c r="O295" s="105" t="n">
        <f aca="false">M295*3.78%</f>
        <v>6.804</v>
      </c>
      <c r="P295" s="106" t="s">
        <v>10</v>
      </c>
      <c r="Q295" s="106" t="s">
        <v>62</v>
      </c>
      <c r="R295" s="105" t="n">
        <f aca="false">M295-N295-O295</f>
        <v>165.996</v>
      </c>
      <c r="S295" s="107" t="n">
        <f aca="false">R295/E295</f>
        <v>165.996</v>
      </c>
      <c r="T295" s="108" t="s">
        <v>70</v>
      </c>
      <c r="U295" s="118" t="n">
        <f aca="false">M295/2-O295/2</f>
        <v>86.598</v>
      </c>
      <c r="V295" s="110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customFormat="false" ht="15.75" hidden="false" customHeight="true" outlineLevel="0" collapsed="false">
      <c r="A296" s="1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7"/>
      <c r="T296" s="125" t="s">
        <v>71</v>
      </c>
      <c r="U296" s="126" t="n">
        <f aca="false">U295</f>
        <v>86.598</v>
      </c>
      <c r="V296" s="110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customFormat="false" ht="15.75" hidden="false" customHeight="true" outlineLevel="0" collapsed="false">
      <c r="A297" s="1"/>
      <c r="B297" s="102" t="n">
        <v>2470</v>
      </c>
      <c r="C297" s="102" t="s">
        <v>16</v>
      </c>
      <c r="D297" s="102" t="s">
        <v>0</v>
      </c>
      <c r="E297" s="102" t="n">
        <v>1</v>
      </c>
      <c r="F297" s="102" t="s">
        <v>1</v>
      </c>
      <c r="G297" s="103" t="n">
        <v>45886</v>
      </c>
      <c r="H297" s="102" t="s">
        <v>92</v>
      </c>
      <c r="I297" s="102" t="s">
        <v>54</v>
      </c>
      <c r="J297" s="102" t="n">
        <v>1193</v>
      </c>
      <c r="K297" s="104" t="n">
        <v>180</v>
      </c>
      <c r="L297" s="104" t="n">
        <v>0</v>
      </c>
      <c r="M297" s="104" t="n">
        <v>180</v>
      </c>
      <c r="N297" s="104" t="n">
        <f aca="false">M298*C2</f>
        <v>0</v>
      </c>
      <c r="O297" s="105" t="n">
        <f aca="false">M297*3.83%</f>
        <v>6.894</v>
      </c>
      <c r="P297" s="106" t="s">
        <v>10</v>
      </c>
      <c r="Q297" s="106" t="s">
        <v>131</v>
      </c>
      <c r="R297" s="105" t="n">
        <f aca="false">M297-N297-O297</f>
        <v>173.106</v>
      </c>
      <c r="S297" s="107" t="n">
        <f aca="false">R297/E297</f>
        <v>173.106</v>
      </c>
      <c r="T297" s="108" t="s">
        <v>70</v>
      </c>
      <c r="U297" s="118" t="n">
        <f aca="false">M297/2-O297/2</f>
        <v>86.553</v>
      </c>
      <c r="V297" s="110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customFormat="false" ht="15.75" hidden="false" customHeight="true" outlineLevel="0" collapsed="false">
      <c r="A298" s="1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7"/>
      <c r="T298" s="125" t="s">
        <v>71</v>
      </c>
      <c r="U298" s="126" t="n">
        <f aca="false">U297</f>
        <v>86.553</v>
      </c>
      <c r="V298" s="110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customFormat="false" ht="15.75" hidden="false" customHeight="true" outlineLevel="0" collapsed="false">
      <c r="A299" s="1"/>
      <c r="B299" s="102" t="n">
        <v>2470</v>
      </c>
      <c r="C299" s="102" t="s">
        <v>16</v>
      </c>
      <c r="D299" s="102" t="s">
        <v>0</v>
      </c>
      <c r="E299" s="102" t="n">
        <v>1</v>
      </c>
      <c r="F299" s="102" t="s">
        <v>1</v>
      </c>
      <c r="G299" s="103" t="n">
        <v>45886</v>
      </c>
      <c r="H299" s="102" t="s">
        <v>92</v>
      </c>
      <c r="I299" s="102" t="s">
        <v>54</v>
      </c>
      <c r="J299" s="102" t="n">
        <v>1194</v>
      </c>
      <c r="K299" s="104" t="n">
        <v>180</v>
      </c>
      <c r="L299" s="104" t="n">
        <v>0</v>
      </c>
      <c r="M299" s="104" t="n">
        <v>180</v>
      </c>
      <c r="N299" s="104" t="n">
        <f aca="false">M300*C2</f>
        <v>0</v>
      </c>
      <c r="O299" s="105" t="n">
        <f aca="false">M299*3.78%</f>
        <v>6.804</v>
      </c>
      <c r="P299" s="106" t="s">
        <v>10</v>
      </c>
      <c r="Q299" s="106" t="s">
        <v>55</v>
      </c>
      <c r="R299" s="105" t="n">
        <f aca="false">M299-N299-O299</f>
        <v>173.196</v>
      </c>
      <c r="S299" s="107" t="n">
        <f aca="false">R299/E299</f>
        <v>173.196</v>
      </c>
      <c r="T299" s="108" t="s">
        <v>70</v>
      </c>
      <c r="U299" s="118" t="n">
        <f aca="false">M299/2-O299/2</f>
        <v>86.598</v>
      </c>
      <c r="V299" s="110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customFormat="false" ht="15.75" hidden="false" customHeight="true" outlineLevel="0" collapsed="false">
      <c r="A300" s="1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7"/>
      <c r="T300" s="111" t="s">
        <v>71</v>
      </c>
      <c r="U300" s="119" t="n">
        <f aca="false">U299</f>
        <v>86.598</v>
      </c>
      <c r="V300" s="110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customFormat="false" ht="15.75" hidden="false" customHeight="true" outlineLevel="0" collapsed="false">
      <c r="A301" s="1"/>
      <c r="B301" s="102" t="n">
        <v>2470</v>
      </c>
      <c r="C301" s="102" t="s">
        <v>16</v>
      </c>
      <c r="D301" s="102" t="s">
        <v>0</v>
      </c>
      <c r="E301" s="102" t="n">
        <v>1</v>
      </c>
      <c r="F301" s="102" t="s">
        <v>1</v>
      </c>
      <c r="G301" s="103" t="n">
        <v>45887</v>
      </c>
      <c r="H301" s="102" t="s">
        <v>77</v>
      </c>
      <c r="I301" s="102" t="s">
        <v>54</v>
      </c>
      <c r="J301" s="102" t="n">
        <v>1195</v>
      </c>
      <c r="K301" s="104" t="n">
        <v>180</v>
      </c>
      <c r="L301" s="104" t="n">
        <v>0</v>
      </c>
      <c r="M301" s="104" t="n">
        <f aca="false">K301-L301</f>
        <v>180</v>
      </c>
      <c r="N301" s="104" t="n">
        <f aca="false">M301*C2</f>
        <v>7.2</v>
      </c>
      <c r="O301" s="105"/>
      <c r="P301" s="106"/>
      <c r="Q301" s="106"/>
      <c r="R301" s="105" t="n">
        <f aca="false">M301-N301-O301</f>
        <v>172.8</v>
      </c>
      <c r="S301" s="105" t="n">
        <f aca="false">R301/E301</f>
        <v>172.8</v>
      </c>
      <c r="T301" s="111"/>
      <c r="U301" s="119" t="n">
        <f aca="false">M301-O301</f>
        <v>180</v>
      </c>
      <c r="V301" s="10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customFormat="false" ht="15.75" hidden="false" customHeight="true" outlineLevel="0" collapsed="false">
      <c r="A302" s="1"/>
      <c r="B302" s="102" t="n">
        <v>2470</v>
      </c>
      <c r="C302" s="102" t="s">
        <v>16</v>
      </c>
      <c r="D302" s="102" t="s">
        <v>0</v>
      </c>
      <c r="E302" s="102" t="n">
        <v>1</v>
      </c>
      <c r="F302" s="102" t="s">
        <v>1</v>
      </c>
      <c r="G302" s="103" t="n">
        <v>45887</v>
      </c>
      <c r="H302" s="102" t="s">
        <v>77</v>
      </c>
      <c r="I302" s="102" t="s">
        <v>144</v>
      </c>
      <c r="J302" s="102" t="n">
        <v>1196</v>
      </c>
      <c r="K302" s="104" t="n">
        <v>180</v>
      </c>
      <c r="L302" s="104" t="n">
        <v>36</v>
      </c>
      <c r="M302" s="104" t="n">
        <f aca="false">K302-L302</f>
        <v>144</v>
      </c>
      <c r="N302" s="104" t="n">
        <f aca="false">M302*C2</f>
        <v>5.76</v>
      </c>
      <c r="O302" s="105" t="n">
        <v>0</v>
      </c>
      <c r="P302" s="106" t="s">
        <v>5</v>
      </c>
      <c r="Q302" s="106" t="s">
        <v>6</v>
      </c>
      <c r="R302" s="105" t="n">
        <f aca="false">M302-N302-O302</f>
        <v>138.24</v>
      </c>
      <c r="S302" s="105" t="n">
        <f aca="false">R302/E302</f>
        <v>138.24</v>
      </c>
      <c r="T302" s="108" t="s">
        <v>66</v>
      </c>
      <c r="U302" s="118" t="n">
        <f aca="false">M302-O302</f>
        <v>144</v>
      </c>
      <c r="V302" s="10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customFormat="false" ht="15.75" hidden="false" customHeight="true" outlineLevel="0" collapsed="false">
      <c r="A303" s="1"/>
      <c r="B303" s="102" t="n">
        <v>3008</v>
      </c>
      <c r="C303" s="102" t="s">
        <v>28</v>
      </c>
      <c r="D303" s="102" t="s">
        <v>0</v>
      </c>
      <c r="E303" s="102" t="n">
        <v>1</v>
      </c>
      <c r="F303" s="102" t="s">
        <v>1</v>
      </c>
      <c r="G303" s="103" t="n">
        <v>45887</v>
      </c>
      <c r="H303" s="102" t="s">
        <v>77</v>
      </c>
      <c r="I303" s="102" t="s">
        <v>54</v>
      </c>
      <c r="J303" s="102" t="n">
        <v>1197</v>
      </c>
      <c r="K303" s="104" t="n">
        <v>215</v>
      </c>
      <c r="L303" s="104" t="n">
        <v>43</v>
      </c>
      <c r="M303" s="104" t="n">
        <f aca="false">K305-L305</f>
        <v>0</v>
      </c>
      <c r="N303" s="104" t="n">
        <f aca="false">M305*C2</f>
        <v>0</v>
      </c>
      <c r="O303" s="105" t="n">
        <f aca="false">28*2.96%</f>
        <v>0.8288</v>
      </c>
      <c r="P303" s="106" t="s">
        <v>7</v>
      </c>
      <c r="Q303" s="106" t="s">
        <v>79</v>
      </c>
      <c r="R303" s="107" t="n">
        <f aca="false">K303-O303-(10.88/2)</f>
        <v>208.7312</v>
      </c>
      <c r="S303" s="107" t="n">
        <f aca="false">R303+R304</f>
        <v>208.7312</v>
      </c>
      <c r="T303" s="118" t="s">
        <v>70</v>
      </c>
      <c r="U303" s="118" t="n">
        <f aca="false">28-O303</f>
        <v>27.1712</v>
      </c>
      <c r="V303" s="110" t="s">
        <v>145</v>
      </c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customFormat="false" ht="15.75" hidden="false" customHeight="true" outlineLevel="0" collapsed="false">
      <c r="A304" s="1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5" t="n">
        <v>10.88</v>
      </c>
      <c r="P304" s="106" t="s">
        <v>10</v>
      </c>
      <c r="Q304" s="106" t="s">
        <v>55</v>
      </c>
      <c r="R304" s="107"/>
      <c r="S304" s="107"/>
      <c r="T304" s="119" t="s">
        <v>70</v>
      </c>
      <c r="U304" s="119" t="n">
        <f aca="false">144-O304/2</f>
        <v>138.56</v>
      </c>
      <c r="V304" s="110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customFormat="false" ht="15.75" hidden="false" customHeight="true" outlineLevel="0" collapsed="false">
      <c r="A305" s="1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5"/>
      <c r="P305" s="105"/>
      <c r="Q305" s="105"/>
      <c r="R305" s="107"/>
      <c r="S305" s="107"/>
      <c r="T305" s="119"/>
      <c r="U305" s="119"/>
      <c r="V305" s="110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customFormat="false" ht="15.75" hidden="false" customHeight="true" outlineLevel="0" collapsed="false">
      <c r="A306" s="1"/>
      <c r="B306" s="102" t="n">
        <v>3049</v>
      </c>
      <c r="C306" s="102" t="s">
        <v>99</v>
      </c>
      <c r="D306" s="102" t="s">
        <v>0</v>
      </c>
      <c r="E306" s="102" t="n">
        <v>1</v>
      </c>
      <c r="F306" s="102" t="s">
        <v>1</v>
      </c>
      <c r="G306" s="103" t="n">
        <v>45887</v>
      </c>
      <c r="H306" s="102" t="s">
        <v>77</v>
      </c>
      <c r="I306" s="102" t="s">
        <v>54</v>
      </c>
      <c r="J306" s="102" t="n">
        <v>1197</v>
      </c>
      <c r="K306" s="104" t="n">
        <v>180</v>
      </c>
      <c r="L306" s="104" t="n">
        <v>36</v>
      </c>
      <c r="M306" s="104" t="n">
        <f aca="false">K306-L306</f>
        <v>144</v>
      </c>
      <c r="N306" s="104" t="n">
        <f aca="false">M306*C2</f>
        <v>5.76</v>
      </c>
      <c r="O306" s="105"/>
      <c r="P306" s="105"/>
      <c r="Q306" s="105"/>
      <c r="R306" s="119" t="n">
        <f aca="false">M306-(10.88/2)</f>
        <v>138.56</v>
      </c>
      <c r="S306" s="105" t="n">
        <f aca="false">R306/E306</f>
        <v>138.56</v>
      </c>
      <c r="T306" s="111" t="s">
        <v>71</v>
      </c>
      <c r="U306" s="119" t="n">
        <f aca="false">U304</f>
        <v>138.56</v>
      </c>
      <c r="V306" s="10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customFormat="false" ht="15.75" hidden="false" customHeight="true" outlineLevel="0" collapsed="false">
      <c r="A307" s="1"/>
      <c r="B307" s="120" t="n">
        <v>2470</v>
      </c>
      <c r="C307" s="120" t="s">
        <v>16</v>
      </c>
      <c r="D307" s="120" t="s">
        <v>0</v>
      </c>
      <c r="E307" s="120" t="n">
        <v>3</v>
      </c>
      <c r="F307" s="120" t="s">
        <v>1</v>
      </c>
      <c r="G307" s="121" t="n">
        <v>45889</v>
      </c>
      <c r="H307" s="120" t="s">
        <v>68</v>
      </c>
      <c r="I307" s="120" t="s">
        <v>54</v>
      </c>
      <c r="J307" s="120" t="n">
        <v>1199</v>
      </c>
      <c r="K307" s="122" t="n">
        <v>540</v>
      </c>
      <c r="L307" s="122" t="n">
        <v>0</v>
      </c>
      <c r="M307" s="122" t="n">
        <f aca="false">K307-L307</f>
        <v>540</v>
      </c>
      <c r="N307" s="122" t="n">
        <v>0</v>
      </c>
      <c r="O307" s="123" t="n">
        <v>0</v>
      </c>
      <c r="P307" s="124" t="s">
        <v>6</v>
      </c>
      <c r="Q307" s="124" t="s">
        <v>6</v>
      </c>
      <c r="R307" s="123" t="n">
        <v>0</v>
      </c>
      <c r="S307" s="123" t="n">
        <f aca="false">R307/E307</f>
        <v>0</v>
      </c>
      <c r="T307" s="124" t="s">
        <v>6</v>
      </c>
      <c r="U307" s="123" t="n">
        <v>0</v>
      </c>
      <c r="V307" s="120" t="s">
        <v>146</v>
      </c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customFormat="false" ht="15.75" hidden="false" customHeight="true" outlineLevel="0" collapsed="false">
      <c r="A308" s="1"/>
      <c r="B308" s="120" t="n">
        <v>3049</v>
      </c>
      <c r="C308" s="120" t="s">
        <v>99</v>
      </c>
      <c r="D308" s="120" t="s">
        <v>0</v>
      </c>
      <c r="E308" s="120" t="n">
        <v>5</v>
      </c>
      <c r="F308" s="120" t="s">
        <v>1</v>
      </c>
      <c r="G308" s="121" t="n">
        <v>45889</v>
      </c>
      <c r="H308" s="120" t="s">
        <v>68</v>
      </c>
      <c r="I308" s="120" t="s">
        <v>54</v>
      </c>
      <c r="J308" s="120" t="n">
        <v>1200</v>
      </c>
      <c r="K308" s="122" t="n">
        <v>900</v>
      </c>
      <c r="L308" s="122" t="n">
        <v>0</v>
      </c>
      <c r="M308" s="122" t="n">
        <f aca="false">K308-L308</f>
        <v>900</v>
      </c>
      <c r="N308" s="122" t="n">
        <v>0</v>
      </c>
      <c r="O308" s="123" t="n">
        <v>0</v>
      </c>
      <c r="P308" s="124" t="s">
        <v>6</v>
      </c>
      <c r="Q308" s="124" t="s">
        <v>6</v>
      </c>
      <c r="R308" s="123" t="n">
        <v>0</v>
      </c>
      <c r="S308" s="123" t="n">
        <v>0</v>
      </c>
      <c r="T308" s="124" t="s">
        <v>6</v>
      </c>
      <c r="U308" s="123" t="n">
        <v>0</v>
      </c>
      <c r="V308" s="120" t="s">
        <v>147</v>
      </c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customFormat="false" ht="15.75" hidden="false" customHeight="true" outlineLevel="0" collapsed="false">
      <c r="A309" s="1"/>
      <c r="B309" s="102" t="n">
        <v>2470</v>
      </c>
      <c r="C309" s="102" t="s">
        <v>16</v>
      </c>
      <c r="D309" s="102" t="s">
        <v>0</v>
      </c>
      <c r="E309" s="102" t="n">
        <v>1</v>
      </c>
      <c r="F309" s="102" t="s">
        <v>1</v>
      </c>
      <c r="G309" s="103" t="n">
        <v>45889</v>
      </c>
      <c r="H309" s="102" t="s">
        <v>68</v>
      </c>
      <c r="I309" s="102" t="s">
        <v>54</v>
      </c>
      <c r="J309" s="102" t="n">
        <v>1201</v>
      </c>
      <c r="K309" s="104" t="n">
        <v>180</v>
      </c>
      <c r="L309" s="104" t="n">
        <v>0</v>
      </c>
      <c r="M309" s="104" t="n">
        <f aca="false">K309-L309</f>
        <v>180</v>
      </c>
      <c r="N309" s="104" t="n">
        <f aca="false">M309*C2</f>
        <v>7.2</v>
      </c>
      <c r="O309" s="105" t="n">
        <f aca="false">M309*1.9%</f>
        <v>3.42</v>
      </c>
      <c r="P309" s="106" t="s">
        <v>7</v>
      </c>
      <c r="Q309" s="106" t="s">
        <v>55</v>
      </c>
      <c r="R309" s="105" t="n">
        <f aca="false">M309-N309-O309</f>
        <v>169.38</v>
      </c>
      <c r="S309" s="105" t="n">
        <f aca="false">R309/E309</f>
        <v>169.38</v>
      </c>
      <c r="T309" s="106" t="s">
        <v>66</v>
      </c>
      <c r="U309" s="105" t="n">
        <f aca="false">M309-O309</f>
        <v>176.58</v>
      </c>
      <c r="V309" s="10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customFormat="false" ht="15.75" hidden="false" customHeight="true" outlineLevel="0" collapsed="false">
      <c r="A310" s="1"/>
      <c r="B310" s="27" t="n">
        <v>2470</v>
      </c>
      <c r="C310" s="27" t="s">
        <v>16</v>
      </c>
      <c r="D310" s="27" t="s">
        <v>0</v>
      </c>
      <c r="E310" s="27" t="n">
        <v>85</v>
      </c>
      <c r="F310" s="27" t="s">
        <v>1</v>
      </c>
      <c r="G310" s="28" t="n">
        <v>45889</v>
      </c>
      <c r="H310" s="27" t="s">
        <v>68</v>
      </c>
      <c r="I310" s="27" t="s">
        <v>148</v>
      </c>
      <c r="J310" s="27" t="n">
        <v>1202</v>
      </c>
      <c r="K310" s="29" t="n">
        <v>15300</v>
      </c>
      <c r="L310" s="29" t="n">
        <v>4250</v>
      </c>
      <c r="M310" s="29" t="n">
        <f aca="false">K310-L310</f>
        <v>11050</v>
      </c>
      <c r="N310" s="29" t="n">
        <f aca="false">M310*C2</f>
        <v>442</v>
      </c>
      <c r="O310" s="30" t="n">
        <v>0</v>
      </c>
      <c r="P310" s="62" t="s">
        <v>5</v>
      </c>
      <c r="Q310" s="62" t="s">
        <v>6</v>
      </c>
      <c r="R310" s="30" t="n">
        <f aca="false">M310-N310-O310</f>
        <v>10608</v>
      </c>
      <c r="S310" s="30" t="n">
        <f aca="false">R310/E310</f>
        <v>124.8</v>
      </c>
      <c r="T310" s="62" t="s">
        <v>66</v>
      </c>
      <c r="U310" s="30" t="n">
        <f aca="false">M310-O310</f>
        <v>11050</v>
      </c>
      <c r="V310" s="27" t="s">
        <v>149</v>
      </c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customFormat="false" ht="15.75" hidden="false" customHeight="true" outlineLevel="0" collapsed="false">
      <c r="A311" s="1"/>
      <c r="B311" s="102" t="n">
        <v>3006</v>
      </c>
      <c r="C311" s="102" t="s">
        <v>25</v>
      </c>
      <c r="D311" s="102" t="s">
        <v>0</v>
      </c>
      <c r="E311" s="102" t="n">
        <v>2</v>
      </c>
      <c r="F311" s="102" t="s">
        <v>1</v>
      </c>
      <c r="G311" s="103" t="n">
        <v>45889</v>
      </c>
      <c r="H311" s="102" t="s">
        <v>68</v>
      </c>
      <c r="I311" s="102" t="s">
        <v>150</v>
      </c>
      <c r="J311" s="102" t="n">
        <v>1203</v>
      </c>
      <c r="K311" s="104" t="n">
        <v>340</v>
      </c>
      <c r="L311" s="104" t="n">
        <v>68</v>
      </c>
      <c r="M311" s="104" t="n">
        <f aca="false">K311-L311</f>
        <v>272</v>
      </c>
      <c r="N311" s="104" t="n">
        <f aca="false">M311*C2</f>
        <v>10.88</v>
      </c>
      <c r="O311" s="105" t="n">
        <f aca="false">M311*3.29%</f>
        <v>8.9488</v>
      </c>
      <c r="P311" s="106" t="s">
        <v>151</v>
      </c>
      <c r="Q311" s="106" t="s">
        <v>62</v>
      </c>
      <c r="R311" s="105" t="n">
        <f aca="false">M311-N311-O311</f>
        <v>252.1712</v>
      </c>
      <c r="S311" s="105" t="n">
        <f aca="false">R311/E311</f>
        <v>126.0856</v>
      </c>
      <c r="T311" s="106" t="s">
        <v>70</v>
      </c>
      <c r="U311" s="105" t="n">
        <f aca="false">M311-O311</f>
        <v>263.0512</v>
      </c>
      <c r="V311" s="10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customFormat="false" ht="15.75" hidden="false" customHeight="true" outlineLevel="0" collapsed="false">
      <c r="A312" s="1"/>
      <c r="B312" s="102" t="n">
        <v>2470</v>
      </c>
      <c r="C312" s="102" t="s">
        <v>16</v>
      </c>
      <c r="D312" s="102" t="s">
        <v>0</v>
      </c>
      <c r="E312" s="102" t="n">
        <v>1</v>
      </c>
      <c r="F312" s="102" t="s">
        <v>1</v>
      </c>
      <c r="G312" s="103" t="n">
        <v>45889</v>
      </c>
      <c r="H312" s="102" t="s">
        <v>68</v>
      </c>
      <c r="I312" s="102" t="s">
        <v>54</v>
      </c>
      <c r="J312" s="102" t="n">
        <v>1204</v>
      </c>
      <c r="K312" s="104" t="n">
        <v>180</v>
      </c>
      <c r="L312" s="104" t="n">
        <v>0</v>
      </c>
      <c r="M312" s="104" t="n">
        <f aca="false">K312-L312</f>
        <v>180</v>
      </c>
      <c r="N312" s="104" t="n">
        <f aca="false">M312*C2</f>
        <v>7.2</v>
      </c>
      <c r="O312" s="105" t="n">
        <f aca="false">M312*1.9%</f>
        <v>3.42</v>
      </c>
      <c r="P312" s="106" t="s">
        <v>7</v>
      </c>
      <c r="Q312" s="106" t="s">
        <v>55</v>
      </c>
      <c r="R312" s="105" t="n">
        <f aca="false">M312-N312-O312</f>
        <v>169.38</v>
      </c>
      <c r="S312" s="105" t="n">
        <f aca="false">R312/E312</f>
        <v>169.38</v>
      </c>
      <c r="T312" s="106" t="s">
        <v>66</v>
      </c>
      <c r="U312" s="105" t="n">
        <f aca="false">M312-O312</f>
        <v>176.58</v>
      </c>
      <c r="V312" s="10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customFormat="false" ht="15.75" hidden="false" customHeight="true" outlineLevel="0" collapsed="false">
      <c r="A313" s="1"/>
      <c r="B313" s="102" t="n">
        <v>2470</v>
      </c>
      <c r="C313" s="102" t="s">
        <v>16</v>
      </c>
      <c r="D313" s="102" t="s">
        <v>0</v>
      </c>
      <c r="E313" s="102" t="n">
        <v>1</v>
      </c>
      <c r="F313" s="102" t="s">
        <v>1</v>
      </c>
      <c r="G313" s="103" t="n">
        <v>45890</v>
      </c>
      <c r="H313" s="102" t="s">
        <v>73</v>
      </c>
      <c r="I313" s="102" t="s">
        <v>54</v>
      </c>
      <c r="J313" s="102" t="n">
        <v>1205</v>
      </c>
      <c r="K313" s="104" t="n">
        <v>180</v>
      </c>
      <c r="L313" s="104" t="n">
        <v>0</v>
      </c>
      <c r="M313" s="104" t="n">
        <f aca="false">K313-L313</f>
        <v>180</v>
      </c>
      <c r="N313" s="104" t="n">
        <f aca="false">M313*C2</f>
        <v>7.2</v>
      </c>
      <c r="O313" s="105" t="n">
        <f aca="false">M313*3.29%</f>
        <v>5.922</v>
      </c>
      <c r="P313" s="106" t="s">
        <v>9</v>
      </c>
      <c r="Q313" s="106" t="s">
        <v>62</v>
      </c>
      <c r="R313" s="105" t="n">
        <f aca="false">M313-N313-O313</f>
        <v>166.878</v>
      </c>
      <c r="S313" s="105" t="n">
        <f aca="false">R313/E313</f>
        <v>166.878</v>
      </c>
      <c r="T313" s="106" t="s">
        <v>70</v>
      </c>
      <c r="U313" s="105" t="n">
        <f aca="false">M313-O313</f>
        <v>174.078</v>
      </c>
      <c r="V313" s="10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customFormat="false" ht="15.75" hidden="false" customHeight="true" outlineLevel="0" collapsed="false">
      <c r="A314" s="1"/>
      <c r="B314" s="27" t="n">
        <v>2470</v>
      </c>
      <c r="C314" s="27" t="s">
        <v>16</v>
      </c>
      <c r="D314" s="27" t="s">
        <v>0</v>
      </c>
      <c r="E314" s="27" t="n">
        <v>1</v>
      </c>
      <c r="F314" s="27" t="s">
        <v>1</v>
      </c>
      <c r="G314" s="28" t="n">
        <v>45891</v>
      </c>
      <c r="H314" s="27" t="s">
        <v>6</v>
      </c>
      <c r="I314" s="27" t="s">
        <v>54</v>
      </c>
      <c r="J314" s="27" t="n">
        <v>1206</v>
      </c>
      <c r="K314" s="29" t="n">
        <v>180</v>
      </c>
      <c r="L314" s="29" t="n">
        <v>0</v>
      </c>
      <c r="M314" s="29" t="n">
        <f aca="false">K314-L314</f>
        <v>180</v>
      </c>
      <c r="N314" s="29" t="n">
        <f aca="false">M314*C2</f>
        <v>7.2</v>
      </c>
      <c r="O314" s="30" t="n">
        <f aca="false">M314*3.78%</f>
        <v>6.804</v>
      </c>
      <c r="P314" s="62" t="s">
        <v>10</v>
      </c>
      <c r="Q314" s="62" t="s">
        <v>55</v>
      </c>
      <c r="R314" s="30" t="n">
        <f aca="false">M314-N314-O314</f>
        <v>165.996</v>
      </c>
      <c r="S314" s="30" t="n">
        <f aca="false">R314/E314</f>
        <v>165.996</v>
      </c>
      <c r="T314" s="63" t="s">
        <v>56</v>
      </c>
      <c r="U314" s="53" t="n">
        <f aca="false">M314/2-O314/2</f>
        <v>86.598</v>
      </c>
      <c r="V314" s="27" t="s">
        <v>152</v>
      </c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customFormat="false" ht="15.75" hidden="false" customHeight="true" outlineLevel="0" collapsed="false">
      <c r="A315" s="1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66" t="s">
        <v>66</v>
      </c>
      <c r="U315" s="31" t="n">
        <f aca="false">U314</f>
        <v>86.598</v>
      </c>
      <c r="V315" s="27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customFormat="false" ht="15.75" hidden="false" customHeight="true" outlineLevel="0" collapsed="false">
      <c r="A316" s="1"/>
      <c r="B316" s="27" t="n">
        <v>2470</v>
      </c>
      <c r="C316" s="27" t="s">
        <v>16</v>
      </c>
      <c r="D316" s="27" t="s">
        <v>0</v>
      </c>
      <c r="E316" s="27" t="n">
        <v>1</v>
      </c>
      <c r="F316" s="27" t="s">
        <v>1</v>
      </c>
      <c r="G316" s="28" t="n">
        <v>45891</v>
      </c>
      <c r="H316" s="27" t="s">
        <v>6</v>
      </c>
      <c r="I316" s="27" t="s">
        <v>54</v>
      </c>
      <c r="J316" s="27" t="n">
        <v>1207</v>
      </c>
      <c r="K316" s="29" t="n">
        <v>180</v>
      </c>
      <c r="L316" s="29" t="n">
        <v>0</v>
      </c>
      <c r="M316" s="29" t="n">
        <f aca="false">K316-L316</f>
        <v>180</v>
      </c>
      <c r="N316" s="29" t="n">
        <f aca="false">M316*C2</f>
        <v>7.2</v>
      </c>
      <c r="O316" s="30" t="n">
        <f aca="false">M316*1.9%</f>
        <v>3.42</v>
      </c>
      <c r="P316" s="62" t="s">
        <v>7</v>
      </c>
      <c r="Q316" s="62" t="s">
        <v>55</v>
      </c>
      <c r="R316" s="30" t="n">
        <f aca="false">M316-N316-O316</f>
        <v>169.38</v>
      </c>
      <c r="S316" s="30" t="n">
        <f aca="false">R316/E316</f>
        <v>169.38</v>
      </c>
      <c r="T316" s="62" t="s">
        <v>56</v>
      </c>
      <c r="U316" s="30" t="n">
        <f aca="false">M316-O316</f>
        <v>176.58</v>
      </c>
      <c r="V316" s="27" t="s">
        <v>153</v>
      </c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customFormat="false" ht="15.75" hidden="false" customHeight="true" outlineLevel="0" collapsed="false">
      <c r="A317" s="1"/>
      <c r="B317" s="27" t="n">
        <v>2470</v>
      </c>
      <c r="C317" s="27" t="s">
        <v>16</v>
      </c>
      <c r="D317" s="27" t="s">
        <v>0</v>
      </c>
      <c r="E317" s="27" t="n">
        <v>2</v>
      </c>
      <c r="F317" s="27" t="s">
        <v>1</v>
      </c>
      <c r="G317" s="28" t="n">
        <v>45891</v>
      </c>
      <c r="H317" s="27" t="s">
        <v>6</v>
      </c>
      <c r="I317" s="27" t="s">
        <v>54</v>
      </c>
      <c r="J317" s="27" t="n">
        <v>1208</v>
      </c>
      <c r="K317" s="29" t="n">
        <v>360</v>
      </c>
      <c r="L317" s="29" t="n">
        <v>100</v>
      </c>
      <c r="M317" s="29" t="n">
        <f aca="false">K317-L317</f>
        <v>260</v>
      </c>
      <c r="N317" s="29" t="n">
        <f aca="false">M317*C2</f>
        <v>10.4</v>
      </c>
      <c r="O317" s="30" t="n">
        <v>0</v>
      </c>
      <c r="P317" s="62" t="s">
        <v>5</v>
      </c>
      <c r="Q317" s="62" t="s">
        <v>6</v>
      </c>
      <c r="R317" s="30" t="n">
        <f aca="false">M317-N317-O317</f>
        <v>249.6</v>
      </c>
      <c r="S317" s="30" t="n">
        <f aca="false">R317/E317</f>
        <v>124.8</v>
      </c>
      <c r="T317" s="62" t="s">
        <v>56</v>
      </c>
      <c r="U317" s="30" t="n">
        <f aca="false">M317-O317</f>
        <v>260</v>
      </c>
      <c r="V317" s="27" t="s">
        <v>154</v>
      </c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customFormat="false" ht="15.75" hidden="false" customHeight="true" outlineLevel="0" collapsed="false">
      <c r="A318" s="137"/>
      <c r="B318" s="138" t="n">
        <v>3010</v>
      </c>
      <c r="C318" s="138" t="s">
        <v>30</v>
      </c>
      <c r="D318" s="138" t="s">
        <v>0</v>
      </c>
      <c r="E318" s="138" t="n">
        <v>1</v>
      </c>
      <c r="F318" s="138" t="s">
        <v>1</v>
      </c>
      <c r="G318" s="139" t="n">
        <v>45891</v>
      </c>
      <c r="H318" s="138" t="s">
        <v>6</v>
      </c>
      <c r="I318" s="138" t="s">
        <v>54</v>
      </c>
      <c r="J318" s="138" t="n">
        <v>1209</v>
      </c>
      <c r="K318" s="140" t="n">
        <v>215</v>
      </c>
      <c r="L318" s="140" t="n">
        <v>0</v>
      </c>
      <c r="M318" s="140" t="n">
        <v>250</v>
      </c>
      <c r="N318" s="140" t="n">
        <f aca="false">M318*C2</f>
        <v>10</v>
      </c>
      <c r="O318" s="141" t="n">
        <v>8.82</v>
      </c>
      <c r="P318" s="142" t="s">
        <v>9</v>
      </c>
      <c r="Q318" s="142" t="s">
        <v>55</v>
      </c>
      <c r="R318" s="141" t="n">
        <f aca="false">M318-N318-O318</f>
        <v>231.18</v>
      </c>
      <c r="S318" s="141" t="n">
        <f aca="false">R318/E318</f>
        <v>231.18</v>
      </c>
      <c r="T318" s="142" t="s">
        <v>56</v>
      </c>
      <c r="U318" s="141" t="n">
        <f aca="false">M318-O318</f>
        <v>241.18</v>
      </c>
      <c r="V318" s="138" t="s">
        <v>155</v>
      </c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</row>
    <row r="319" customFormat="false" ht="15.75" hidden="false" customHeight="true" outlineLevel="0" collapsed="false">
      <c r="A319" s="1"/>
      <c r="B319" s="82" t="n">
        <v>2470</v>
      </c>
      <c r="C319" s="82" t="s">
        <v>16</v>
      </c>
      <c r="D319" s="82" t="s">
        <v>4</v>
      </c>
      <c r="E319" s="82" t="n">
        <v>1</v>
      </c>
      <c r="F319" s="82" t="s">
        <v>3</v>
      </c>
      <c r="G319" s="83" t="n">
        <v>45891</v>
      </c>
      <c r="H319" s="82" t="s">
        <v>75</v>
      </c>
      <c r="I319" s="82" t="s">
        <v>106</v>
      </c>
      <c r="J319" s="82" t="n">
        <v>123</v>
      </c>
      <c r="K319" s="84" t="n">
        <v>144</v>
      </c>
      <c r="L319" s="84" t="n">
        <v>0</v>
      </c>
      <c r="M319" s="84" t="n">
        <f aca="false">K319-L319</f>
        <v>144</v>
      </c>
      <c r="N319" s="84" t="n">
        <v>0</v>
      </c>
      <c r="O319" s="85" t="n">
        <v>0</v>
      </c>
      <c r="P319" s="86" t="s">
        <v>6</v>
      </c>
      <c r="Q319" s="86" t="s">
        <v>6</v>
      </c>
      <c r="R319" s="85" t="n">
        <v>0</v>
      </c>
      <c r="S319" s="85" t="n">
        <v>0</v>
      </c>
      <c r="T319" s="86" t="s">
        <v>6</v>
      </c>
      <c r="U319" s="85" t="n">
        <v>0</v>
      </c>
      <c r="V319" s="82" t="s">
        <v>156</v>
      </c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customFormat="false" ht="15.75" hidden="false" customHeight="true" outlineLevel="0" collapsed="false">
      <c r="A320" s="1"/>
      <c r="B320" s="27" t="n">
        <v>2470</v>
      </c>
      <c r="C320" s="27" t="s">
        <v>16</v>
      </c>
      <c r="D320" s="27" t="s">
        <v>0</v>
      </c>
      <c r="E320" s="27" t="n">
        <v>1</v>
      </c>
      <c r="F320" s="27" t="s">
        <v>1</v>
      </c>
      <c r="G320" s="28" t="n">
        <v>45891</v>
      </c>
      <c r="H320" s="27" t="s">
        <v>6</v>
      </c>
      <c r="I320" s="27" t="s">
        <v>106</v>
      </c>
      <c r="J320" s="27" t="n">
        <v>1210</v>
      </c>
      <c r="K320" s="29" t="n">
        <v>180</v>
      </c>
      <c r="L320" s="29" t="n">
        <v>36</v>
      </c>
      <c r="M320" s="29" t="n">
        <f aca="false">K320-L320</f>
        <v>144</v>
      </c>
      <c r="N320" s="29" t="n">
        <f aca="false">M320*C2</f>
        <v>5.76</v>
      </c>
      <c r="O320" s="30" t="n">
        <v>3.9</v>
      </c>
      <c r="P320" s="62" t="s">
        <v>9</v>
      </c>
      <c r="Q320" s="62" t="s">
        <v>55</v>
      </c>
      <c r="R320" s="30" t="n">
        <f aca="false">M320-N320-O320</f>
        <v>134.34</v>
      </c>
      <c r="S320" s="30" t="n">
        <f aca="false">R320/E320</f>
        <v>134.34</v>
      </c>
      <c r="T320" s="62" t="s">
        <v>66</v>
      </c>
      <c r="U320" s="30" t="n">
        <f aca="false">M320-O320</f>
        <v>140.1</v>
      </c>
      <c r="V320" s="27" t="s">
        <v>157</v>
      </c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customFormat="false" ht="15.75" hidden="false" customHeight="true" outlineLevel="0" collapsed="false">
      <c r="A321" s="1"/>
      <c r="B321" s="82" t="n">
        <v>2470</v>
      </c>
      <c r="C321" s="82" t="s">
        <v>16</v>
      </c>
      <c r="D321" s="82" t="s">
        <v>4</v>
      </c>
      <c r="E321" s="82" t="n">
        <v>1</v>
      </c>
      <c r="F321" s="82" t="s">
        <v>3</v>
      </c>
      <c r="G321" s="83" t="n">
        <v>45891</v>
      </c>
      <c r="H321" s="82" t="s">
        <v>75</v>
      </c>
      <c r="I321" s="82" t="s">
        <v>54</v>
      </c>
      <c r="J321" s="82" t="n">
        <v>124</v>
      </c>
      <c r="K321" s="84" t="n">
        <v>100</v>
      </c>
      <c r="L321" s="84" t="n">
        <v>0</v>
      </c>
      <c r="M321" s="84" t="n">
        <f aca="false">K321-L321</f>
        <v>100</v>
      </c>
      <c r="N321" s="84" t="n">
        <v>0</v>
      </c>
      <c r="O321" s="85" t="n">
        <v>0</v>
      </c>
      <c r="P321" s="86" t="s">
        <v>6</v>
      </c>
      <c r="Q321" s="86" t="s">
        <v>6</v>
      </c>
      <c r="R321" s="85" t="n">
        <v>0</v>
      </c>
      <c r="S321" s="85" t="n">
        <v>0</v>
      </c>
      <c r="T321" s="86" t="s">
        <v>6</v>
      </c>
      <c r="U321" s="85" t="n">
        <v>0</v>
      </c>
      <c r="V321" s="82" t="s">
        <v>158</v>
      </c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customFormat="false" ht="15.75" hidden="false" customHeight="true" outlineLevel="0" collapsed="false">
      <c r="A322" s="1"/>
      <c r="B322" s="27" t="n">
        <v>2470</v>
      </c>
      <c r="C322" s="27" t="s">
        <v>16</v>
      </c>
      <c r="D322" s="27" t="s">
        <v>0</v>
      </c>
      <c r="E322" s="27" t="n">
        <v>1</v>
      </c>
      <c r="F322" s="27" t="s">
        <v>1</v>
      </c>
      <c r="G322" s="28" t="n">
        <v>45891</v>
      </c>
      <c r="H322" s="27" t="s">
        <v>6</v>
      </c>
      <c r="I322" s="27" t="s">
        <v>54</v>
      </c>
      <c r="J322" s="27" t="n">
        <v>1211</v>
      </c>
      <c r="K322" s="29" t="n">
        <v>180</v>
      </c>
      <c r="L322" s="29" t="n">
        <v>80</v>
      </c>
      <c r="M322" s="29" t="n">
        <f aca="false">K322-L322</f>
        <v>100</v>
      </c>
      <c r="N322" s="29" t="n">
        <f aca="false">M322*C2</f>
        <v>4</v>
      </c>
      <c r="O322" s="30" t="n">
        <v>3.9</v>
      </c>
      <c r="P322" s="62" t="s">
        <v>9</v>
      </c>
      <c r="Q322" s="62" t="s">
        <v>55</v>
      </c>
      <c r="R322" s="30" t="n">
        <f aca="false">M322-N322-O322</f>
        <v>92.1</v>
      </c>
      <c r="S322" s="30" t="n">
        <f aca="false">R322/E322</f>
        <v>92.1</v>
      </c>
      <c r="T322" s="62" t="s">
        <v>66</v>
      </c>
      <c r="U322" s="30" t="n">
        <f aca="false">M322-O322</f>
        <v>96.1</v>
      </c>
      <c r="V322" s="27" t="s">
        <v>159</v>
      </c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customFormat="false" ht="15.75" hidden="false" customHeight="true" outlineLevel="0" collapsed="false">
      <c r="A323" s="1"/>
      <c r="B323" s="91" t="n">
        <v>2470</v>
      </c>
      <c r="C323" s="91" t="s">
        <v>16</v>
      </c>
      <c r="D323" s="91" t="s">
        <v>0</v>
      </c>
      <c r="E323" s="91" t="n">
        <v>2</v>
      </c>
      <c r="F323" s="91" t="s">
        <v>1</v>
      </c>
      <c r="G323" s="92" t="n">
        <v>45891</v>
      </c>
      <c r="H323" s="91" t="s">
        <v>75</v>
      </c>
      <c r="I323" s="91" t="s">
        <v>160</v>
      </c>
      <c r="J323" s="91" t="n">
        <v>1212</v>
      </c>
      <c r="K323" s="93" t="n">
        <v>360</v>
      </c>
      <c r="L323" s="93" t="n">
        <f aca="false">36+36</f>
        <v>72</v>
      </c>
      <c r="M323" s="93" t="n">
        <f aca="false">K323-L323</f>
        <v>288</v>
      </c>
      <c r="N323" s="93" t="n">
        <f aca="false">M323*C2</f>
        <v>11.52</v>
      </c>
      <c r="O323" s="94" t="n">
        <f aca="false">M323*3.78%</f>
        <v>10.8864</v>
      </c>
      <c r="P323" s="95" t="s">
        <v>10</v>
      </c>
      <c r="Q323" s="95" t="s">
        <v>55</v>
      </c>
      <c r="R323" s="94" t="n">
        <f aca="false">M323-N323-O323</f>
        <v>265.5936</v>
      </c>
      <c r="S323" s="143" t="n">
        <f aca="false">R323/E323</f>
        <v>132.7968</v>
      </c>
      <c r="T323" s="144" t="s">
        <v>70</v>
      </c>
      <c r="U323" s="145" t="n">
        <f aca="false">M323/2-O323/2</f>
        <v>138.5568</v>
      </c>
      <c r="V323" s="146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customFormat="false" ht="15.75" hidden="false" customHeight="true" outlineLevel="0" collapsed="false">
      <c r="A324" s="1"/>
      <c r="B324" s="91"/>
      <c r="C324" s="91"/>
      <c r="D324" s="91"/>
      <c r="E324" s="91"/>
      <c r="F324" s="91"/>
      <c r="G324" s="91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143"/>
      <c r="T324" s="147" t="s">
        <v>71</v>
      </c>
      <c r="U324" s="148" t="n">
        <f aca="false">U323</f>
        <v>138.5568</v>
      </c>
      <c r="V324" s="146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customFormat="false" ht="15.75" hidden="false" customHeight="true" outlineLevel="0" collapsed="false">
      <c r="A325" s="1"/>
      <c r="B325" s="91" t="n">
        <v>2550</v>
      </c>
      <c r="C325" s="91" t="s">
        <v>58</v>
      </c>
      <c r="D325" s="91" t="s">
        <v>0</v>
      </c>
      <c r="E325" s="91" t="n">
        <v>1</v>
      </c>
      <c r="F325" s="91" t="s">
        <v>1</v>
      </c>
      <c r="G325" s="92" t="n">
        <v>45891</v>
      </c>
      <c r="H325" s="91" t="s">
        <v>75</v>
      </c>
      <c r="I325" s="91" t="s">
        <v>160</v>
      </c>
      <c r="J325" s="91" t="n">
        <v>1212</v>
      </c>
      <c r="K325" s="93" t="n">
        <v>60</v>
      </c>
      <c r="L325" s="93" t="n">
        <v>12</v>
      </c>
      <c r="M325" s="93" t="n">
        <f aca="false">K325-L325</f>
        <v>48</v>
      </c>
      <c r="N325" s="93" t="n">
        <f aca="false">M325*C2</f>
        <v>1.92</v>
      </c>
      <c r="O325" s="94" t="n">
        <f aca="false">M325*3.78%</f>
        <v>1.8144</v>
      </c>
      <c r="P325" s="95" t="s">
        <v>10</v>
      </c>
      <c r="Q325" s="95" t="s">
        <v>55</v>
      </c>
      <c r="R325" s="94" t="n">
        <f aca="false">M325-N325-O325</f>
        <v>44.2656</v>
      </c>
      <c r="S325" s="143" t="n">
        <f aca="false">R325/E325</f>
        <v>44.2656</v>
      </c>
      <c r="T325" s="144" t="s">
        <v>70</v>
      </c>
      <c r="U325" s="145" t="n">
        <f aca="false">M325/2-O325/2</f>
        <v>23.0928</v>
      </c>
      <c r="V325" s="146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customFormat="false" ht="15.75" hidden="false" customHeight="true" outlineLevel="0" collapsed="false">
      <c r="A326" s="1"/>
      <c r="B326" s="91"/>
      <c r="C326" s="91"/>
      <c r="D326" s="91"/>
      <c r="E326" s="91"/>
      <c r="F326" s="91"/>
      <c r="G326" s="91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143"/>
      <c r="T326" s="147" t="s">
        <v>71</v>
      </c>
      <c r="U326" s="148" t="n">
        <f aca="false">U325</f>
        <v>23.0928</v>
      </c>
      <c r="V326" s="146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customFormat="false" ht="15.75" hidden="false" customHeight="true" outlineLevel="0" collapsed="false">
      <c r="A327" s="1"/>
      <c r="B327" s="91" t="n">
        <v>2946</v>
      </c>
      <c r="C327" s="91" t="s">
        <v>91</v>
      </c>
      <c r="D327" s="91" t="s">
        <v>0</v>
      </c>
      <c r="E327" s="91" t="n">
        <v>1</v>
      </c>
      <c r="F327" s="91" t="s">
        <v>1</v>
      </c>
      <c r="G327" s="92" t="n">
        <v>45891</v>
      </c>
      <c r="H327" s="91" t="s">
        <v>75</v>
      </c>
      <c r="I327" s="91" t="s">
        <v>160</v>
      </c>
      <c r="J327" s="91" t="n">
        <v>1212</v>
      </c>
      <c r="K327" s="93" t="n">
        <v>100</v>
      </c>
      <c r="L327" s="93" t="n">
        <v>20</v>
      </c>
      <c r="M327" s="93" t="n">
        <f aca="false">K327-L327</f>
        <v>80</v>
      </c>
      <c r="N327" s="93" t="n">
        <f aca="false">M327*C2</f>
        <v>3.2</v>
      </c>
      <c r="O327" s="94" t="n">
        <f aca="false">M327*3.78%</f>
        <v>3.024</v>
      </c>
      <c r="P327" s="95" t="s">
        <v>10</v>
      </c>
      <c r="Q327" s="95" t="s">
        <v>55</v>
      </c>
      <c r="R327" s="94" t="n">
        <f aca="false">M327-N327-O327</f>
        <v>73.776</v>
      </c>
      <c r="S327" s="143" t="n">
        <f aca="false">R327/E327</f>
        <v>73.776</v>
      </c>
      <c r="T327" s="144" t="s">
        <v>70</v>
      </c>
      <c r="U327" s="145" t="n">
        <f aca="false">M327/2-O327/2</f>
        <v>38.488</v>
      </c>
      <c r="V327" s="146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customFormat="false" ht="15.75" hidden="false" customHeight="true" outlineLevel="0" collapsed="false">
      <c r="A328" s="1"/>
      <c r="B328" s="91"/>
      <c r="C328" s="91"/>
      <c r="D328" s="91"/>
      <c r="E328" s="91"/>
      <c r="F328" s="91"/>
      <c r="G328" s="91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143"/>
      <c r="T328" s="147" t="s">
        <v>71</v>
      </c>
      <c r="U328" s="148" t="n">
        <f aca="false">U327</f>
        <v>38.488</v>
      </c>
      <c r="V328" s="146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customFormat="false" ht="15.75" hidden="false" customHeight="true" outlineLevel="0" collapsed="false">
      <c r="A329" s="1"/>
      <c r="B329" s="91" t="n">
        <v>2470</v>
      </c>
      <c r="C329" s="91" t="s">
        <v>16</v>
      </c>
      <c r="D329" s="91" t="s">
        <v>0</v>
      </c>
      <c r="E329" s="91" t="n">
        <v>2</v>
      </c>
      <c r="F329" s="91" t="s">
        <v>1</v>
      </c>
      <c r="G329" s="92" t="n">
        <v>45891</v>
      </c>
      <c r="H329" s="91" t="s">
        <v>75</v>
      </c>
      <c r="I329" s="91" t="s">
        <v>54</v>
      </c>
      <c r="J329" s="91" t="n">
        <v>1213</v>
      </c>
      <c r="K329" s="93" t="n">
        <v>360</v>
      </c>
      <c r="L329" s="93" t="n">
        <v>0</v>
      </c>
      <c r="M329" s="93" t="n">
        <f aca="false">K329-L329</f>
        <v>360</v>
      </c>
      <c r="N329" s="93" t="n">
        <f aca="false">M329*C2</f>
        <v>14.4</v>
      </c>
      <c r="O329" s="94" t="n">
        <f aca="false">M329*3.78%</f>
        <v>13.608</v>
      </c>
      <c r="P329" s="95" t="s">
        <v>10</v>
      </c>
      <c r="Q329" s="95" t="s">
        <v>55</v>
      </c>
      <c r="R329" s="94" t="n">
        <f aca="false">M329-N329-O329</f>
        <v>331.992</v>
      </c>
      <c r="S329" s="143" t="n">
        <f aca="false">R329/E329</f>
        <v>165.996</v>
      </c>
      <c r="T329" s="144" t="s">
        <v>70</v>
      </c>
      <c r="U329" s="145" t="n">
        <f aca="false">M329/2-O329/2</f>
        <v>173.196</v>
      </c>
      <c r="V329" s="146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customFormat="false" ht="15.75" hidden="false" customHeight="true" outlineLevel="0" collapsed="false">
      <c r="A330" s="1"/>
      <c r="B330" s="91"/>
      <c r="C330" s="91"/>
      <c r="D330" s="91"/>
      <c r="E330" s="91"/>
      <c r="F330" s="91"/>
      <c r="G330" s="91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143"/>
      <c r="T330" s="147" t="s">
        <v>71</v>
      </c>
      <c r="U330" s="148" t="n">
        <f aca="false">U329</f>
        <v>173.196</v>
      </c>
      <c r="V330" s="146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customFormat="false" ht="15.75" hidden="false" customHeight="true" outlineLevel="0" collapsed="false">
      <c r="A331" s="1"/>
      <c r="B331" s="91" t="n">
        <v>2470</v>
      </c>
      <c r="C331" s="91" t="s">
        <v>16</v>
      </c>
      <c r="D331" s="91" t="s">
        <v>0</v>
      </c>
      <c r="E331" s="91" t="n">
        <v>1</v>
      </c>
      <c r="F331" s="91" t="s">
        <v>1</v>
      </c>
      <c r="G331" s="92" t="n">
        <v>45894</v>
      </c>
      <c r="H331" s="91" t="s">
        <v>6</v>
      </c>
      <c r="I331" s="91" t="s">
        <v>54</v>
      </c>
      <c r="J331" s="91" t="n">
        <v>1214</v>
      </c>
      <c r="K331" s="93" t="n">
        <v>180</v>
      </c>
      <c r="L331" s="93" t="n">
        <v>0</v>
      </c>
      <c r="M331" s="93" t="n">
        <f aca="false">K331-L331</f>
        <v>180</v>
      </c>
      <c r="N331" s="93" t="n">
        <f aca="false">M331*C2</f>
        <v>7.2</v>
      </c>
      <c r="O331" s="94" t="n">
        <f aca="false">M331*3.78%</f>
        <v>6.804</v>
      </c>
      <c r="P331" s="95" t="s">
        <v>10</v>
      </c>
      <c r="Q331" s="95" t="s">
        <v>62</v>
      </c>
      <c r="R331" s="94" t="n">
        <f aca="false">M331-N331-O331</f>
        <v>165.996</v>
      </c>
      <c r="S331" s="143" t="n">
        <f aca="false">R331/E331</f>
        <v>165.996</v>
      </c>
      <c r="T331" s="144" t="s">
        <v>70</v>
      </c>
      <c r="U331" s="145" t="n">
        <f aca="false">M331/2-O331/2</f>
        <v>86.598</v>
      </c>
      <c r="V331" s="146" t="s">
        <v>161</v>
      </c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customFormat="false" ht="15.75" hidden="false" customHeight="true" outlineLevel="0" collapsed="false">
      <c r="A332" s="1"/>
      <c r="B332" s="91"/>
      <c r="C332" s="91"/>
      <c r="D332" s="91"/>
      <c r="E332" s="91"/>
      <c r="F332" s="91"/>
      <c r="G332" s="91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143"/>
      <c r="T332" s="147" t="s">
        <v>71</v>
      </c>
      <c r="U332" s="148" t="n">
        <f aca="false">U331</f>
        <v>86.598</v>
      </c>
      <c r="V332" s="146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customFormat="false" ht="15.75" hidden="false" customHeight="true" outlineLevel="0" collapsed="false">
      <c r="A333" s="1"/>
      <c r="B333" s="91" t="n">
        <v>2470</v>
      </c>
      <c r="C333" s="91" t="s">
        <v>16</v>
      </c>
      <c r="D333" s="91" t="s">
        <v>0</v>
      </c>
      <c r="E333" s="91" t="n">
        <v>1</v>
      </c>
      <c r="F333" s="91" t="s">
        <v>1</v>
      </c>
      <c r="G333" s="92" t="n">
        <v>45892</v>
      </c>
      <c r="H333" s="91" t="s">
        <v>76</v>
      </c>
      <c r="I333" s="91" t="s">
        <v>54</v>
      </c>
      <c r="J333" s="91" t="n">
        <v>1215</v>
      </c>
      <c r="K333" s="93" t="n">
        <v>180</v>
      </c>
      <c r="L333" s="93" t="n">
        <v>0</v>
      </c>
      <c r="M333" s="93" t="n">
        <v>180</v>
      </c>
      <c r="N333" s="93" t="n">
        <f aca="false">M335*C2</f>
        <v>0</v>
      </c>
      <c r="O333" s="145" t="n">
        <v>0</v>
      </c>
      <c r="P333" s="144" t="s">
        <v>134</v>
      </c>
      <c r="Q333" s="144" t="s">
        <v>6</v>
      </c>
      <c r="R333" s="95" t="n">
        <f aca="false">180-6.05</f>
        <v>173.95</v>
      </c>
      <c r="S333" s="149" t="n">
        <f aca="false">R333/E333</f>
        <v>173.95</v>
      </c>
      <c r="T333" s="144" t="s">
        <v>66</v>
      </c>
      <c r="U333" s="145" t="n">
        <v>20</v>
      </c>
      <c r="V333" s="146" t="s">
        <v>162</v>
      </c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customFormat="false" ht="15.75" hidden="false" customHeight="true" outlineLevel="0" collapsed="false">
      <c r="A334" s="1"/>
      <c r="B334" s="91"/>
      <c r="C334" s="91"/>
      <c r="D334" s="91"/>
      <c r="E334" s="91"/>
      <c r="F334" s="91"/>
      <c r="G334" s="91"/>
      <c r="H334" s="91"/>
      <c r="I334" s="91"/>
      <c r="J334" s="91"/>
      <c r="K334" s="91"/>
      <c r="L334" s="91"/>
      <c r="M334" s="91"/>
      <c r="N334" s="91"/>
      <c r="O334" s="150" t="n">
        <f aca="false">(K333-20)*3.78%</f>
        <v>6.048</v>
      </c>
      <c r="P334" s="96" t="s">
        <v>10</v>
      </c>
      <c r="Q334" s="96" t="s">
        <v>62</v>
      </c>
      <c r="R334" s="95"/>
      <c r="S334" s="149"/>
      <c r="T334" s="147" t="s">
        <v>70</v>
      </c>
      <c r="U334" s="148" t="n">
        <f aca="false">160/2-6.05/2</f>
        <v>76.975</v>
      </c>
      <c r="V334" s="146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customFormat="false" ht="15.75" hidden="false" customHeight="true" outlineLevel="0" collapsed="false">
      <c r="A335" s="1"/>
      <c r="B335" s="91"/>
      <c r="C335" s="91"/>
      <c r="D335" s="91"/>
      <c r="E335" s="91"/>
      <c r="F335" s="91"/>
      <c r="G335" s="91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149"/>
      <c r="T335" s="96" t="s">
        <v>71</v>
      </c>
      <c r="U335" s="150" t="n">
        <f aca="false">U334</f>
        <v>76.975</v>
      </c>
      <c r="V335" s="146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customFormat="false" ht="15.75" hidden="false" customHeight="true" outlineLevel="0" collapsed="false">
      <c r="A336" s="1"/>
      <c r="B336" s="91" t="n">
        <v>2470</v>
      </c>
      <c r="C336" s="91" t="s">
        <v>16</v>
      </c>
      <c r="D336" s="91" t="s">
        <v>0</v>
      </c>
      <c r="E336" s="91" t="n">
        <v>1</v>
      </c>
      <c r="F336" s="91" t="s">
        <v>1</v>
      </c>
      <c r="G336" s="92" t="n">
        <v>45892</v>
      </c>
      <c r="H336" s="91" t="s">
        <v>76</v>
      </c>
      <c r="I336" s="91" t="s">
        <v>54</v>
      </c>
      <c r="J336" s="91" t="n">
        <v>1216</v>
      </c>
      <c r="K336" s="93" t="n">
        <v>180</v>
      </c>
      <c r="L336" s="93" t="n">
        <v>0</v>
      </c>
      <c r="M336" s="93" t="n">
        <f aca="false">K336-L336</f>
        <v>180</v>
      </c>
      <c r="N336" s="93" t="n">
        <f aca="false">M336*C2</f>
        <v>7.2</v>
      </c>
      <c r="O336" s="95" t="n">
        <v>0</v>
      </c>
      <c r="P336" s="95" t="s">
        <v>5</v>
      </c>
      <c r="Q336" s="95" t="s">
        <v>6</v>
      </c>
      <c r="R336" s="94" t="n">
        <f aca="false">M336-N336-O336</f>
        <v>172.8</v>
      </c>
      <c r="S336" s="94" t="n">
        <f aca="false">R336/E336</f>
        <v>172.8</v>
      </c>
      <c r="T336" s="96" t="s">
        <v>66</v>
      </c>
      <c r="U336" s="150" t="n">
        <f aca="false">M336-O336</f>
        <v>180</v>
      </c>
      <c r="V336" s="9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customFormat="false" ht="15.75" hidden="false" customHeight="true" outlineLevel="0" collapsed="false">
      <c r="A337" s="1"/>
      <c r="B337" s="91" t="n">
        <v>2470</v>
      </c>
      <c r="C337" s="91" t="s">
        <v>16</v>
      </c>
      <c r="D337" s="91" t="s">
        <v>0</v>
      </c>
      <c r="E337" s="91" t="n">
        <v>1</v>
      </c>
      <c r="F337" s="91" t="s">
        <v>1</v>
      </c>
      <c r="G337" s="92" t="n">
        <v>45892</v>
      </c>
      <c r="H337" s="91" t="s">
        <v>76</v>
      </c>
      <c r="I337" s="91" t="s">
        <v>54</v>
      </c>
      <c r="J337" s="91" t="n">
        <v>1217</v>
      </c>
      <c r="K337" s="93" t="n">
        <v>180</v>
      </c>
      <c r="L337" s="93" t="n">
        <v>0</v>
      </c>
      <c r="M337" s="93" t="n">
        <f aca="false">K337-L337</f>
        <v>180</v>
      </c>
      <c r="N337" s="93" t="n">
        <f aca="false">M337*C2</f>
        <v>7.2</v>
      </c>
      <c r="O337" s="95" t="n">
        <v>0</v>
      </c>
      <c r="P337" s="95" t="s">
        <v>5</v>
      </c>
      <c r="Q337" s="95" t="s">
        <v>6</v>
      </c>
      <c r="R337" s="94" t="n">
        <f aca="false">M337-N337-O337</f>
        <v>172.8</v>
      </c>
      <c r="S337" s="94" t="n">
        <f aca="false">R337/E337</f>
        <v>172.8</v>
      </c>
      <c r="T337" s="95" t="s">
        <v>66</v>
      </c>
      <c r="U337" s="94" t="n">
        <f aca="false">M337-O337</f>
        <v>180</v>
      </c>
      <c r="V337" s="9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customFormat="false" ht="15.75" hidden="false" customHeight="true" outlineLevel="0" collapsed="false">
      <c r="A338" s="1"/>
      <c r="B338" s="91" t="n">
        <v>3008</v>
      </c>
      <c r="C338" s="91" t="s">
        <v>28</v>
      </c>
      <c r="D338" s="91" t="s">
        <v>0</v>
      </c>
      <c r="E338" s="91" t="n">
        <v>1</v>
      </c>
      <c r="F338" s="91" t="s">
        <v>1</v>
      </c>
      <c r="G338" s="92" t="n">
        <v>45894</v>
      </c>
      <c r="H338" s="91" t="s">
        <v>77</v>
      </c>
      <c r="I338" s="91" t="s">
        <v>54</v>
      </c>
      <c r="J338" s="91" t="n">
        <v>1218</v>
      </c>
      <c r="K338" s="93" t="n">
        <v>215</v>
      </c>
      <c r="L338" s="93" t="n">
        <v>0</v>
      </c>
      <c r="M338" s="93" t="n">
        <f aca="false">K338-L338</f>
        <v>215</v>
      </c>
      <c r="N338" s="93" t="n">
        <f aca="false">M338*C2</f>
        <v>8.6</v>
      </c>
      <c r="O338" s="94" t="n">
        <f aca="false">M338*3.29%</f>
        <v>7.0735</v>
      </c>
      <c r="P338" s="95" t="s">
        <v>9</v>
      </c>
      <c r="Q338" s="95" t="s">
        <v>62</v>
      </c>
      <c r="R338" s="94" t="n">
        <f aca="false">M338-N338-O338</f>
        <v>199.3265</v>
      </c>
      <c r="S338" s="94" t="n">
        <f aca="false">R338/J338</f>
        <v>0.16365065681445</v>
      </c>
      <c r="T338" s="95" t="s">
        <v>70</v>
      </c>
      <c r="U338" s="94" t="n">
        <f aca="false">M338-O338</f>
        <v>207.9265</v>
      </c>
      <c r="V338" s="9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customFormat="false" ht="15.75" hidden="false" customHeight="true" outlineLevel="0" collapsed="false">
      <c r="A339" s="1"/>
      <c r="B339" s="82" t="n">
        <v>2550</v>
      </c>
      <c r="C339" s="82" t="s">
        <v>58</v>
      </c>
      <c r="D339" s="82" t="s">
        <v>4</v>
      </c>
      <c r="E339" s="82" t="n">
        <v>2</v>
      </c>
      <c r="F339" s="82" t="s">
        <v>3</v>
      </c>
      <c r="G339" s="83" t="n">
        <v>45895</v>
      </c>
      <c r="H339" s="82" t="s">
        <v>6</v>
      </c>
      <c r="I339" s="82" t="s">
        <v>123</v>
      </c>
      <c r="J339" s="82" t="n">
        <v>125</v>
      </c>
      <c r="K339" s="84" t="n">
        <v>96</v>
      </c>
      <c r="L339" s="84" t="n">
        <v>0</v>
      </c>
      <c r="M339" s="84" t="n">
        <f aca="false">K339-L339</f>
        <v>96</v>
      </c>
      <c r="N339" s="84" t="n">
        <v>0</v>
      </c>
      <c r="O339" s="85" t="n">
        <v>0</v>
      </c>
      <c r="P339" s="86" t="s">
        <v>6</v>
      </c>
      <c r="Q339" s="86" t="s">
        <v>6</v>
      </c>
      <c r="R339" s="85" t="n">
        <v>0</v>
      </c>
      <c r="S339" s="85" t="n">
        <v>0</v>
      </c>
      <c r="T339" s="86" t="s">
        <v>6</v>
      </c>
      <c r="U339" s="85" t="n">
        <v>0</v>
      </c>
      <c r="V339" s="82" t="s">
        <v>163</v>
      </c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customFormat="false" ht="15.75" hidden="false" customHeight="true" outlineLevel="0" collapsed="false">
      <c r="A340" s="1"/>
      <c r="B340" s="82" t="n">
        <v>3049</v>
      </c>
      <c r="C340" s="82" t="s">
        <v>99</v>
      </c>
      <c r="D340" s="82"/>
      <c r="E340" s="82" t="n">
        <v>1</v>
      </c>
      <c r="F340" s="82"/>
      <c r="G340" s="82"/>
      <c r="H340" s="82"/>
      <c r="I340" s="82"/>
      <c r="J340" s="82"/>
      <c r="K340" s="84" t="n">
        <v>144</v>
      </c>
      <c r="L340" s="84" t="n">
        <v>0</v>
      </c>
      <c r="M340" s="84" t="n">
        <f aca="false">K340-L340</f>
        <v>144</v>
      </c>
      <c r="N340" s="84" t="n">
        <v>0</v>
      </c>
      <c r="O340" s="85" t="n">
        <v>0</v>
      </c>
      <c r="P340" s="86"/>
      <c r="Q340" s="86"/>
      <c r="R340" s="85" t="n">
        <v>0</v>
      </c>
      <c r="S340" s="85" t="n">
        <v>0</v>
      </c>
      <c r="T340" s="86"/>
      <c r="U340" s="85" t="n">
        <v>0</v>
      </c>
      <c r="V340" s="8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customFormat="false" ht="15.75" hidden="false" customHeight="true" outlineLevel="0" collapsed="false">
      <c r="A341" s="1"/>
      <c r="B341" s="27" t="n">
        <v>2550</v>
      </c>
      <c r="C341" s="27" t="s">
        <v>58</v>
      </c>
      <c r="D341" s="27" t="s">
        <v>0</v>
      </c>
      <c r="E341" s="27" t="n">
        <v>2</v>
      </c>
      <c r="F341" s="27" t="s">
        <v>1</v>
      </c>
      <c r="G341" s="28" t="n">
        <v>45895</v>
      </c>
      <c r="H341" s="27" t="s">
        <v>6</v>
      </c>
      <c r="I341" s="27" t="s">
        <v>123</v>
      </c>
      <c r="J341" s="27" t="n">
        <v>1220</v>
      </c>
      <c r="K341" s="29" t="n">
        <v>96</v>
      </c>
      <c r="L341" s="29" t="n">
        <v>0</v>
      </c>
      <c r="M341" s="29" t="n">
        <f aca="false">K341-L341</f>
        <v>96</v>
      </c>
      <c r="N341" s="29" t="n">
        <f aca="false">M341*C2</f>
        <v>3.84</v>
      </c>
      <c r="O341" s="30" t="n">
        <v>0</v>
      </c>
      <c r="P341" s="62" t="s">
        <v>5</v>
      </c>
      <c r="Q341" s="62" t="s">
        <v>6</v>
      </c>
      <c r="R341" s="30" t="n">
        <f aca="false">M341-N341-O341</f>
        <v>92.16</v>
      </c>
      <c r="S341" s="30" t="n">
        <f aca="false">R341/E341</f>
        <v>46.08</v>
      </c>
      <c r="T341" s="62" t="s">
        <v>66</v>
      </c>
      <c r="U341" s="30" t="n">
        <f aca="false">M341-O341</f>
        <v>96</v>
      </c>
      <c r="V341" s="27" t="s">
        <v>164</v>
      </c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customFormat="false" ht="15.75" hidden="false" customHeight="true" outlineLevel="0" collapsed="false">
      <c r="A342" s="1"/>
      <c r="B342" s="27" t="n">
        <v>3049</v>
      </c>
      <c r="C342" s="27" t="s">
        <v>99</v>
      </c>
      <c r="D342" s="27" t="s">
        <v>0</v>
      </c>
      <c r="E342" s="27" t="n">
        <v>1</v>
      </c>
      <c r="F342" s="27"/>
      <c r="G342" s="27"/>
      <c r="H342" s="27"/>
      <c r="I342" s="27"/>
      <c r="J342" s="27"/>
      <c r="K342" s="29" t="n">
        <v>144</v>
      </c>
      <c r="L342" s="29" t="n">
        <v>0</v>
      </c>
      <c r="M342" s="29" t="n">
        <f aca="false">K342-L342</f>
        <v>144</v>
      </c>
      <c r="N342" s="29" t="n">
        <f aca="false">M342*C2</f>
        <v>5.76</v>
      </c>
      <c r="O342" s="30" t="n">
        <v>0</v>
      </c>
      <c r="P342" s="62"/>
      <c r="Q342" s="62"/>
      <c r="R342" s="30" t="n">
        <f aca="false">M342-N342-O342</f>
        <v>138.24</v>
      </c>
      <c r="S342" s="30" t="n">
        <f aca="false">R342/E342</f>
        <v>138.24</v>
      </c>
      <c r="T342" s="62"/>
      <c r="U342" s="30" t="n">
        <f aca="false">M342-O342</f>
        <v>144</v>
      </c>
      <c r="V342" s="27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customFormat="false" ht="15.75" hidden="false" customHeight="true" outlineLevel="0" collapsed="false">
      <c r="A343" s="1"/>
      <c r="B343" s="82" t="n">
        <v>2470</v>
      </c>
      <c r="C343" s="82" t="s">
        <v>16</v>
      </c>
      <c r="D343" s="82" t="s">
        <v>4</v>
      </c>
      <c r="E343" s="82" t="n">
        <v>1</v>
      </c>
      <c r="F343" s="82" t="s">
        <v>3</v>
      </c>
      <c r="G343" s="83" t="n">
        <v>45895</v>
      </c>
      <c r="H343" s="82" t="s">
        <v>6</v>
      </c>
      <c r="I343" s="82" t="s">
        <v>54</v>
      </c>
      <c r="J343" s="82" t="n">
        <v>126</v>
      </c>
      <c r="K343" s="84" t="n">
        <v>100</v>
      </c>
      <c r="L343" s="84" t="n">
        <v>0</v>
      </c>
      <c r="M343" s="84" t="n">
        <f aca="false">K343-L343</f>
        <v>100</v>
      </c>
      <c r="N343" s="84" t="n">
        <v>0</v>
      </c>
      <c r="O343" s="85" t="n">
        <v>0</v>
      </c>
      <c r="P343" s="86" t="s">
        <v>6</v>
      </c>
      <c r="Q343" s="86" t="s">
        <v>6</v>
      </c>
      <c r="R343" s="85" t="n">
        <v>0</v>
      </c>
      <c r="S343" s="85" t="n">
        <v>0</v>
      </c>
      <c r="T343" s="86" t="s">
        <v>6</v>
      </c>
      <c r="U343" s="85" t="n">
        <v>0</v>
      </c>
      <c r="V343" s="138" t="s">
        <v>165</v>
      </c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customFormat="false" ht="15.75" hidden="false" customHeight="true" outlineLevel="0" collapsed="false">
      <c r="A344" s="1"/>
      <c r="B344" s="82" t="n">
        <v>2550</v>
      </c>
      <c r="C344" s="82" t="s">
        <v>58</v>
      </c>
      <c r="D344" s="82"/>
      <c r="E344" s="82" t="n">
        <v>2</v>
      </c>
      <c r="F344" s="82"/>
      <c r="G344" s="82"/>
      <c r="H344" s="82"/>
      <c r="I344" s="82"/>
      <c r="J344" s="82"/>
      <c r="K344" s="84" t="n">
        <v>120</v>
      </c>
      <c r="L344" s="84" t="n">
        <v>0</v>
      </c>
      <c r="M344" s="84" t="n">
        <f aca="false">K344-L344</f>
        <v>120</v>
      </c>
      <c r="N344" s="84" t="n">
        <v>0</v>
      </c>
      <c r="O344" s="85" t="n">
        <v>0</v>
      </c>
      <c r="P344" s="86"/>
      <c r="Q344" s="86"/>
      <c r="R344" s="85" t="n">
        <v>0</v>
      </c>
      <c r="S344" s="85" t="n">
        <v>0</v>
      </c>
      <c r="T344" s="86"/>
      <c r="U344" s="85" t="n">
        <v>0</v>
      </c>
      <c r="V344" s="138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customFormat="false" ht="15.75" hidden="false" customHeight="true" outlineLevel="0" collapsed="false">
      <c r="A345" s="1"/>
      <c r="B345" s="27" t="n">
        <v>2550</v>
      </c>
      <c r="C345" s="27" t="s">
        <v>58</v>
      </c>
      <c r="D345" s="27" t="s">
        <v>0</v>
      </c>
      <c r="E345" s="27" t="n">
        <v>1</v>
      </c>
      <c r="F345" s="27" t="s">
        <v>1</v>
      </c>
      <c r="G345" s="28" t="n">
        <v>45895</v>
      </c>
      <c r="H345" s="27" t="s">
        <v>6</v>
      </c>
      <c r="I345" s="27" t="s">
        <v>54</v>
      </c>
      <c r="J345" s="27" t="n">
        <v>1221</v>
      </c>
      <c r="K345" s="29" t="n">
        <v>60</v>
      </c>
      <c r="L345" s="29" t="n">
        <v>0</v>
      </c>
      <c r="M345" s="29" t="n">
        <f aca="false">K345-L345</f>
        <v>60</v>
      </c>
      <c r="N345" s="29" t="n">
        <f aca="false">M345*C2</f>
        <v>2.4</v>
      </c>
      <c r="O345" s="30" t="n">
        <f aca="false">M345*1.9%</f>
        <v>1.14</v>
      </c>
      <c r="P345" s="62" t="s">
        <v>7</v>
      </c>
      <c r="Q345" s="62" t="s">
        <v>62</v>
      </c>
      <c r="R345" s="30" t="n">
        <f aca="false">M345-N345-O345</f>
        <v>56.46</v>
      </c>
      <c r="S345" s="30" t="n">
        <f aca="false">R345/E345</f>
        <v>56.46</v>
      </c>
      <c r="T345" s="62" t="s">
        <v>66</v>
      </c>
      <c r="U345" s="30" t="n">
        <f aca="false">M345-O345</f>
        <v>58.86</v>
      </c>
      <c r="V345" s="27" t="s">
        <v>166</v>
      </c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customFormat="false" ht="15.75" hidden="false" customHeight="true" outlineLevel="0" collapsed="false">
      <c r="A346" s="1"/>
      <c r="B346" s="27" t="n">
        <v>2731</v>
      </c>
      <c r="C346" s="27" t="s">
        <v>18</v>
      </c>
      <c r="D346" s="27"/>
      <c r="E346" s="27" t="n">
        <v>1</v>
      </c>
      <c r="F346" s="27"/>
      <c r="G346" s="27"/>
      <c r="H346" s="27"/>
      <c r="I346" s="27"/>
      <c r="J346" s="27"/>
      <c r="K346" s="29" t="n">
        <v>60</v>
      </c>
      <c r="L346" s="29" t="n">
        <v>0</v>
      </c>
      <c r="M346" s="29" t="n">
        <f aca="false">K346-L346</f>
        <v>60</v>
      </c>
      <c r="N346" s="29" t="n">
        <f aca="false">M346*C2</f>
        <v>2.4</v>
      </c>
      <c r="O346" s="30" t="n">
        <f aca="false">M346*1.9%</f>
        <v>1.14</v>
      </c>
      <c r="P346" s="62"/>
      <c r="Q346" s="62"/>
      <c r="R346" s="30" t="n">
        <f aca="false">M346-N346-O346</f>
        <v>56.46</v>
      </c>
      <c r="S346" s="30" t="n">
        <f aca="false">R346/E346</f>
        <v>56.46</v>
      </c>
      <c r="T346" s="62"/>
      <c r="U346" s="30" t="n">
        <f aca="false">M346-O346</f>
        <v>58.86</v>
      </c>
      <c r="V346" s="27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customFormat="false" ht="15.75" hidden="false" customHeight="true" outlineLevel="0" collapsed="false">
      <c r="A347" s="1"/>
      <c r="B347" s="27" t="n">
        <v>2470</v>
      </c>
      <c r="C347" s="27" t="s">
        <v>16</v>
      </c>
      <c r="D347" s="27"/>
      <c r="E347" s="27" t="n">
        <v>1</v>
      </c>
      <c r="F347" s="27"/>
      <c r="G347" s="27"/>
      <c r="H347" s="27"/>
      <c r="I347" s="27"/>
      <c r="J347" s="27"/>
      <c r="K347" s="29" t="n">
        <v>100</v>
      </c>
      <c r="L347" s="29" t="n">
        <v>0</v>
      </c>
      <c r="M347" s="29" t="n">
        <f aca="false">K347-L347</f>
        <v>100</v>
      </c>
      <c r="N347" s="29" t="n">
        <f aca="false">M347*C2</f>
        <v>4</v>
      </c>
      <c r="O347" s="30" t="n">
        <f aca="false">M347*1.9%</f>
        <v>1.9</v>
      </c>
      <c r="P347" s="62"/>
      <c r="Q347" s="62"/>
      <c r="R347" s="30" t="n">
        <f aca="false">M347-N347-O347</f>
        <v>94.1</v>
      </c>
      <c r="S347" s="30" t="n">
        <f aca="false">R347/E347</f>
        <v>94.1</v>
      </c>
      <c r="T347" s="62"/>
      <c r="U347" s="30" t="n">
        <f aca="false">M347-O347</f>
        <v>98.1</v>
      </c>
      <c r="V347" s="27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customFormat="false" ht="15.75" hidden="false" customHeight="true" outlineLevel="0" collapsed="false">
      <c r="A348" s="1"/>
      <c r="B348" s="82" t="n">
        <v>2470</v>
      </c>
      <c r="C348" s="82" t="s">
        <v>16</v>
      </c>
      <c r="D348" s="82" t="s">
        <v>4</v>
      </c>
      <c r="E348" s="82" t="n">
        <v>3</v>
      </c>
      <c r="F348" s="82" t="s">
        <v>3</v>
      </c>
      <c r="G348" s="83" t="n">
        <v>45896</v>
      </c>
      <c r="H348" s="82" t="s">
        <v>6</v>
      </c>
      <c r="I348" s="82" t="s">
        <v>108</v>
      </c>
      <c r="J348" s="82" t="n">
        <v>127</v>
      </c>
      <c r="K348" s="84" t="n">
        <v>432</v>
      </c>
      <c r="L348" s="84" t="n">
        <v>0</v>
      </c>
      <c r="M348" s="84" t="n">
        <f aca="false">K348-L348</f>
        <v>432</v>
      </c>
      <c r="N348" s="84" t="n">
        <v>0</v>
      </c>
      <c r="O348" s="85" t="n">
        <v>0</v>
      </c>
      <c r="P348" s="86" t="s">
        <v>6</v>
      </c>
      <c r="Q348" s="86" t="s">
        <v>6</v>
      </c>
      <c r="R348" s="85" t="n">
        <v>0</v>
      </c>
      <c r="S348" s="85" t="n">
        <v>0</v>
      </c>
      <c r="T348" s="86" t="s">
        <v>6</v>
      </c>
      <c r="U348" s="85" t="n">
        <v>0</v>
      </c>
      <c r="V348" s="82" t="s">
        <v>167</v>
      </c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customFormat="false" ht="15.75" hidden="false" customHeight="true" outlineLevel="0" collapsed="false">
      <c r="A349" s="1"/>
      <c r="B349" s="27" t="n">
        <v>2470</v>
      </c>
      <c r="C349" s="27" t="s">
        <v>16</v>
      </c>
      <c r="D349" s="27" t="s">
        <v>0</v>
      </c>
      <c r="E349" s="27" t="n">
        <v>3</v>
      </c>
      <c r="F349" s="27" t="s">
        <v>1</v>
      </c>
      <c r="G349" s="28" t="n">
        <v>45896</v>
      </c>
      <c r="H349" s="27" t="s">
        <v>6</v>
      </c>
      <c r="I349" s="27" t="s">
        <v>108</v>
      </c>
      <c r="J349" s="27" t="n">
        <v>1222</v>
      </c>
      <c r="K349" s="29" t="n">
        <v>540</v>
      </c>
      <c r="L349" s="29" t="n">
        <v>108</v>
      </c>
      <c r="M349" s="29" t="n">
        <f aca="false">K349-L349</f>
        <v>432</v>
      </c>
      <c r="N349" s="29" t="n">
        <f aca="false">M349*C2</f>
        <v>17.28</v>
      </c>
      <c r="O349" s="30" t="n">
        <v>14.21</v>
      </c>
      <c r="P349" s="62" t="s">
        <v>9</v>
      </c>
      <c r="Q349" s="62" t="s">
        <v>62</v>
      </c>
      <c r="R349" s="30" t="n">
        <f aca="false">M349-N349-O349</f>
        <v>400.51</v>
      </c>
      <c r="S349" s="30" t="n">
        <f aca="false">R349/E349</f>
        <v>133.503333333333</v>
      </c>
      <c r="T349" s="62" t="s">
        <v>70</v>
      </c>
      <c r="U349" s="30" t="n">
        <f aca="false">M349-O349</f>
        <v>417.79</v>
      </c>
      <c r="V349" s="27" t="s">
        <v>168</v>
      </c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customFormat="false" ht="15.75" hidden="false" customHeight="true" outlineLevel="0" collapsed="false">
      <c r="A350" s="1"/>
      <c r="B350" s="82" t="n">
        <v>2470</v>
      </c>
      <c r="C350" s="82" t="s">
        <v>16</v>
      </c>
      <c r="D350" s="82" t="s">
        <v>4</v>
      </c>
      <c r="E350" s="82" t="n">
        <v>1</v>
      </c>
      <c r="F350" s="82" t="s">
        <v>3</v>
      </c>
      <c r="G350" s="83" t="n">
        <v>45896</v>
      </c>
      <c r="H350" s="82" t="s">
        <v>6</v>
      </c>
      <c r="I350" s="82" t="s">
        <v>54</v>
      </c>
      <c r="J350" s="82" t="n">
        <v>128</v>
      </c>
      <c r="K350" s="84" t="n">
        <v>100</v>
      </c>
      <c r="L350" s="84" t="n">
        <v>0</v>
      </c>
      <c r="M350" s="84" t="n">
        <f aca="false">K350-L350</f>
        <v>100</v>
      </c>
      <c r="N350" s="84" t="n">
        <v>0</v>
      </c>
      <c r="O350" s="85" t="n">
        <v>0</v>
      </c>
      <c r="P350" s="86" t="s">
        <v>6</v>
      </c>
      <c r="Q350" s="86" t="s">
        <v>6</v>
      </c>
      <c r="R350" s="85" t="n">
        <v>0</v>
      </c>
      <c r="S350" s="85" t="n">
        <v>0</v>
      </c>
      <c r="T350" s="86" t="s">
        <v>6</v>
      </c>
      <c r="U350" s="85" t="n">
        <v>0</v>
      </c>
      <c r="V350" s="82" t="s">
        <v>169</v>
      </c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customFormat="false" ht="15.75" hidden="false" customHeight="true" outlineLevel="0" collapsed="false">
      <c r="A351" s="1"/>
      <c r="B351" s="27" t="n">
        <v>2470</v>
      </c>
      <c r="C351" s="27" t="s">
        <v>16</v>
      </c>
      <c r="D351" s="27" t="s">
        <v>0</v>
      </c>
      <c r="E351" s="27" t="n">
        <v>1</v>
      </c>
      <c r="F351" s="27" t="s">
        <v>1</v>
      </c>
      <c r="G351" s="28" t="n">
        <v>45896</v>
      </c>
      <c r="H351" s="27" t="s">
        <v>6</v>
      </c>
      <c r="I351" s="27" t="s">
        <v>54</v>
      </c>
      <c r="J351" s="27" t="n">
        <v>1223</v>
      </c>
      <c r="K351" s="29" t="n">
        <v>180</v>
      </c>
      <c r="L351" s="29" t="n">
        <v>80</v>
      </c>
      <c r="M351" s="29" t="n">
        <f aca="false">K351-L351</f>
        <v>100</v>
      </c>
      <c r="N351" s="29" t="n">
        <f aca="false">M351*C2</f>
        <v>4</v>
      </c>
      <c r="O351" s="30" t="n">
        <f aca="false">M351*3.29%</f>
        <v>3.29</v>
      </c>
      <c r="P351" s="62" t="s">
        <v>9</v>
      </c>
      <c r="Q351" s="62" t="s">
        <v>62</v>
      </c>
      <c r="R351" s="30" t="n">
        <f aca="false">M351-N351-O351</f>
        <v>92.71</v>
      </c>
      <c r="S351" s="30" t="n">
        <f aca="false">R351/E351</f>
        <v>92.71</v>
      </c>
      <c r="T351" s="62" t="s">
        <v>70</v>
      </c>
      <c r="U351" s="30" t="n">
        <f aca="false">M351-O351</f>
        <v>96.71</v>
      </c>
      <c r="V351" s="27" t="s">
        <v>170</v>
      </c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customFormat="false" ht="15.75" hidden="false" customHeight="true" outlineLevel="0" collapsed="false">
      <c r="A352" s="1"/>
      <c r="B352" s="82" t="n">
        <v>2470</v>
      </c>
      <c r="C352" s="82" t="s">
        <v>16</v>
      </c>
      <c r="D352" s="82" t="s">
        <v>4</v>
      </c>
      <c r="E352" s="82" t="n">
        <v>1</v>
      </c>
      <c r="F352" s="82" t="s">
        <v>3</v>
      </c>
      <c r="G352" s="83" t="n">
        <v>45896</v>
      </c>
      <c r="H352" s="82" t="s">
        <v>6</v>
      </c>
      <c r="I352" s="82" t="s">
        <v>121</v>
      </c>
      <c r="J352" s="82" t="n">
        <v>129</v>
      </c>
      <c r="K352" s="84" t="n">
        <v>144</v>
      </c>
      <c r="L352" s="84" t="n">
        <v>0</v>
      </c>
      <c r="M352" s="84" t="n">
        <f aca="false">K352-L352</f>
        <v>144</v>
      </c>
      <c r="N352" s="84" t="n">
        <v>0</v>
      </c>
      <c r="O352" s="85" t="n">
        <v>0</v>
      </c>
      <c r="P352" s="86" t="s">
        <v>6</v>
      </c>
      <c r="Q352" s="86" t="s">
        <v>6</v>
      </c>
      <c r="R352" s="85" t="n">
        <v>0</v>
      </c>
      <c r="S352" s="85" t="n">
        <v>0</v>
      </c>
      <c r="T352" s="86" t="s">
        <v>6</v>
      </c>
      <c r="U352" s="85" t="n">
        <v>0</v>
      </c>
      <c r="V352" s="82" t="s">
        <v>171</v>
      </c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customFormat="false" ht="15.75" hidden="false" customHeight="true" outlineLevel="0" collapsed="false">
      <c r="A353" s="1"/>
      <c r="B353" s="27" t="n">
        <v>2470</v>
      </c>
      <c r="C353" s="27" t="s">
        <v>16</v>
      </c>
      <c r="D353" s="27" t="s">
        <v>0</v>
      </c>
      <c r="E353" s="27" t="n">
        <v>1</v>
      </c>
      <c r="F353" s="27" t="s">
        <v>1</v>
      </c>
      <c r="G353" s="28" t="n">
        <v>45896</v>
      </c>
      <c r="H353" s="27" t="s">
        <v>6</v>
      </c>
      <c r="I353" s="27" t="s">
        <v>54</v>
      </c>
      <c r="J353" s="27" t="n">
        <v>1224</v>
      </c>
      <c r="K353" s="29" t="n">
        <v>180</v>
      </c>
      <c r="L353" s="29" t="n">
        <v>36</v>
      </c>
      <c r="M353" s="29" t="n">
        <f aca="false">K353-L353</f>
        <v>144</v>
      </c>
      <c r="N353" s="29" t="n">
        <f aca="false">M353*C2</f>
        <v>5.76</v>
      </c>
      <c r="O353" s="30" t="n">
        <f aca="false">M353*3.78%</f>
        <v>5.4432</v>
      </c>
      <c r="P353" s="62" t="s">
        <v>10</v>
      </c>
      <c r="Q353" s="62" t="s">
        <v>55</v>
      </c>
      <c r="R353" s="30" t="n">
        <f aca="false">M353-N353-O353</f>
        <v>132.7968</v>
      </c>
      <c r="S353" s="30" t="n">
        <f aca="false">R353/E353</f>
        <v>132.7968</v>
      </c>
      <c r="T353" s="63" t="s">
        <v>70</v>
      </c>
      <c r="U353" s="53" t="n">
        <f aca="false">M353/2-O353/2</f>
        <v>69.2784</v>
      </c>
      <c r="V353" s="27" t="s">
        <v>172</v>
      </c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customFormat="false" ht="15.75" hidden="false" customHeight="true" outlineLevel="0" collapsed="false">
      <c r="A354" s="1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66" t="s">
        <v>71</v>
      </c>
      <c r="U354" s="31" t="n">
        <f aca="false">U353</f>
        <v>69.2784</v>
      </c>
      <c r="V354" s="27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customFormat="false" ht="15.75" hidden="false" customHeight="true" outlineLevel="0" collapsed="false">
      <c r="A355" s="1"/>
      <c r="B355" s="82" t="n">
        <v>2470</v>
      </c>
      <c r="C355" s="82" t="s">
        <v>16</v>
      </c>
      <c r="D355" s="82" t="s">
        <v>4</v>
      </c>
      <c r="E355" s="82" t="n">
        <v>3</v>
      </c>
      <c r="F355" s="82" t="s">
        <v>3</v>
      </c>
      <c r="G355" s="83" t="n">
        <v>45897</v>
      </c>
      <c r="H355" s="82" t="s">
        <v>6</v>
      </c>
      <c r="I355" s="82" t="s">
        <v>54</v>
      </c>
      <c r="J355" s="82" t="n">
        <v>130</v>
      </c>
      <c r="K355" s="84" t="n">
        <v>540</v>
      </c>
      <c r="L355" s="84" t="n">
        <v>0</v>
      </c>
      <c r="M355" s="84" t="n">
        <f aca="false">K355-L355</f>
        <v>540</v>
      </c>
      <c r="N355" s="84" t="n">
        <v>0</v>
      </c>
      <c r="O355" s="85" t="n">
        <v>0</v>
      </c>
      <c r="P355" s="86" t="s">
        <v>6</v>
      </c>
      <c r="Q355" s="86" t="s">
        <v>6</v>
      </c>
      <c r="R355" s="85" t="n">
        <v>0</v>
      </c>
      <c r="S355" s="85" t="n">
        <v>0</v>
      </c>
      <c r="T355" s="86" t="s">
        <v>6</v>
      </c>
      <c r="U355" s="85" t="n">
        <v>0</v>
      </c>
      <c r="V355" s="82" t="s">
        <v>173</v>
      </c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customFormat="false" ht="15.75" hidden="false" customHeight="true" outlineLevel="0" collapsed="false">
      <c r="A356" s="1"/>
      <c r="B356" s="82" t="n">
        <v>3049</v>
      </c>
      <c r="C356" s="82" t="s">
        <v>99</v>
      </c>
      <c r="D356" s="82" t="s">
        <v>4</v>
      </c>
      <c r="E356" s="82" t="n">
        <v>5</v>
      </c>
      <c r="F356" s="82" t="s">
        <v>3</v>
      </c>
      <c r="G356" s="83" t="n">
        <v>45897</v>
      </c>
      <c r="H356" s="82" t="s">
        <v>6</v>
      </c>
      <c r="I356" s="82" t="s">
        <v>54</v>
      </c>
      <c r="J356" s="82" t="n">
        <v>131</v>
      </c>
      <c r="K356" s="84" t="n">
        <v>900</v>
      </c>
      <c r="L356" s="84" t="n">
        <v>0</v>
      </c>
      <c r="M356" s="84" t="n">
        <f aca="false">K356-L356</f>
        <v>900</v>
      </c>
      <c r="N356" s="84" t="n">
        <v>0</v>
      </c>
      <c r="O356" s="85" t="n">
        <v>0</v>
      </c>
      <c r="P356" s="86" t="s">
        <v>6</v>
      </c>
      <c r="Q356" s="86" t="s">
        <v>6</v>
      </c>
      <c r="R356" s="85" t="n">
        <v>0</v>
      </c>
      <c r="S356" s="85" t="n">
        <v>0</v>
      </c>
      <c r="T356" s="86" t="s">
        <v>6</v>
      </c>
      <c r="U356" s="85" t="n">
        <v>0</v>
      </c>
      <c r="V356" s="82" t="s">
        <v>174</v>
      </c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customFormat="false" ht="15.75" hidden="false" customHeight="true" outlineLevel="0" collapsed="false">
      <c r="A357" s="20"/>
      <c r="B357" s="34" t="n">
        <v>3006</v>
      </c>
      <c r="C357" s="34" t="s">
        <v>25</v>
      </c>
      <c r="D357" s="34" t="s">
        <v>0</v>
      </c>
      <c r="E357" s="34" t="n">
        <v>1</v>
      </c>
      <c r="F357" s="34" t="s">
        <v>1</v>
      </c>
      <c r="G357" s="35" t="n">
        <v>45898</v>
      </c>
      <c r="H357" s="34" t="s">
        <v>75</v>
      </c>
      <c r="I357" s="34" t="s">
        <v>54</v>
      </c>
      <c r="J357" s="34" t="n">
        <v>1225</v>
      </c>
      <c r="K357" s="36" t="n">
        <v>170</v>
      </c>
      <c r="L357" s="36" t="n">
        <v>0</v>
      </c>
      <c r="M357" s="36" t="n">
        <f aca="false">K357-L357</f>
        <v>170</v>
      </c>
      <c r="N357" s="36" t="n">
        <f aca="false">M357*C2</f>
        <v>6.8</v>
      </c>
      <c r="O357" s="37" t="n">
        <f aca="false">M357*3.78%</f>
        <v>6.426</v>
      </c>
      <c r="P357" s="61" t="s">
        <v>10</v>
      </c>
      <c r="Q357" s="61" t="s">
        <v>62</v>
      </c>
      <c r="R357" s="37" t="n">
        <f aca="false">M357-N357-O357</f>
        <v>156.774</v>
      </c>
      <c r="S357" s="37" t="n">
        <f aca="false">R357/E357</f>
        <v>156.774</v>
      </c>
      <c r="T357" s="97" t="s">
        <v>70</v>
      </c>
      <c r="U357" s="44" t="n">
        <f aca="false">M357/2-O357/2</f>
        <v>81.787</v>
      </c>
      <c r="V357" s="34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</row>
    <row r="358" customFormat="false" ht="15.75" hidden="false" customHeight="true" outlineLevel="0" collapsed="false">
      <c r="A358" s="20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100" t="s">
        <v>71</v>
      </c>
      <c r="U358" s="38" t="n">
        <f aca="false">U357</f>
        <v>81.787</v>
      </c>
      <c r="V358" s="34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</row>
    <row r="359" customFormat="false" ht="15.75" hidden="false" customHeight="true" outlineLevel="0" collapsed="false">
      <c r="A359" s="20"/>
      <c r="B359" s="34" t="n">
        <v>2470</v>
      </c>
      <c r="C359" s="34" t="s">
        <v>16</v>
      </c>
      <c r="D359" s="34" t="s">
        <v>0</v>
      </c>
      <c r="E359" s="34" t="n">
        <v>1</v>
      </c>
      <c r="F359" s="34" t="s">
        <v>1</v>
      </c>
      <c r="G359" s="35" t="n">
        <v>45898</v>
      </c>
      <c r="H359" s="34" t="s">
        <v>75</v>
      </c>
      <c r="I359" s="34" t="s">
        <v>54</v>
      </c>
      <c r="J359" s="34" t="n">
        <v>1225</v>
      </c>
      <c r="K359" s="36" t="n">
        <v>180</v>
      </c>
      <c r="L359" s="36" t="n">
        <v>0</v>
      </c>
      <c r="M359" s="36" t="n">
        <f aca="false">K359-L359</f>
        <v>180</v>
      </c>
      <c r="N359" s="36" t="n">
        <f aca="false">M359*C2</f>
        <v>7.2</v>
      </c>
      <c r="O359" s="37" t="n">
        <f aca="false">M359*3.78%</f>
        <v>6.804</v>
      </c>
      <c r="P359" s="61" t="s">
        <v>10</v>
      </c>
      <c r="Q359" s="61" t="s">
        <v>62</v>
      </c>
      <c r="R359" s="37" t="n">
        <f aca="false">M359-N359-O359</f>
        <v>165.996</v>
      </c>
      <c r="S359" s="37" t="n">
        <f aca="false">R359/E359</f>
        <v>165.996</v>
      </c>
      <c r="T359" s="97" t="s">
        <v>70</v>
      </c>
      <c r="U359" s="44" t="n">
        <f aca="false">M359/2-O359/2</f>
        <v>86.598</v>
      </c>
      <c r="V359" s="34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</row>
    <row r="360" customFormat="false" ht="15.75" hidden="false" customHeight="true" outlineLevel="0" collapsed="false">
      <c r="A360" s="20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100" t="s">
        <v>71</v>
      </c>
      <c r="U360" s="38" t="n">
        <f aca="false">U359</f>
        <v>86.598</v>
      </c>
      <c r="V360" s="34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</row>
    <row r="361" customFormat="false" ht="15.75" hidden="false" customHeight="true" outlineLevel="0" collapsed="false">
      <c r="A361" s="1"/>
      <c r="B361" s="91" t="n">
        <v>2470</v>
      </c>
      <c r="C361" s="91" t="s">
        <v>16</v>
      </c>
      <c r="D361" s="91" t="s">
        <v>0</v>
      </c>
      <c r="E361" s="91" t="n">
        <v>1</v>
      </c>
      <c r="F361" s="91" t="s">
        <v>1</v>
      </c>
      <c r="G361" s="92" t="n">
        <v>45899</v>
      </c>
      <c r="H361" s="91" t="s">
        <v>76</v>
      </c>
      <c r="I361" s="91" t="s">
        <v>54</v>
      </c>
      <c r="J361" s="91" t="n">
        <v>1226</v>
      </c>
      <c r="K361" s="93" t="n">
        <v>180</v>
      </c>
      <c r="L361" s="93" t="n">
        <v>0</v>
      </c>
      <c r="M361" s="93" t="n">
        <f aca="false">K361-L361</f>
        <v>180</v>
      </c>
      <c r="N361" s="93" t="n">
        <f aca="false">M361*C2</f>
        <v>7.2</v>
      </c>
      <c r="O361" s="94" t="n">
        <f aca="false">M361*1.9%</f>
        <v>3.42</v>
      </c>
      <c r="P361" s="95" t="s">
        <v>7</v>
      </c>
      <c r="Q361" s="95" t="s">
        <v>62</v>
      </c>
      <c r="R361" s="94" t="n">
        <f aca="false">M361-N361-O361</f>
        <v>169.38</v>
      </c>
      <c r="S361" s="94" t="n">
        <f aca="false">R361/E361</f>
        <v>169.38</v>
      </c>
      <c r="T361" s="95" t="s">
        <v>70</v>
      </c>
      <c r="U361" s="94" t="n">
        <f aca="false">M361-O361</f>
        <v>176.58</v>
      </c>
      <c r="V361" s="9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customFormat="false" ht="15.75" hidden="false" customHeight="true" outlineLevel="0" collapsed="false">
      <c r="A362" s="1"/>
      <c r="B362" s="91" t="n">
        <v>2470</v>
      </c>
      <c r="C362" s="91" t="s">
        <v>16</v>
      </c>
      <c r="D362" s="91" t="s">
        <v>0</v>
      </c>
      <c r="E362" s="91" t="n">
        <v>1</v>
      </c>
      <c r="F362" s="91" t="s">
        <v>1</v>
      </c>
      <c r="G362" s="92" t="n">
        <v>45899</v>
      </c>
      <c r="H362" s="91" t="s">
        <v>76</v>
      </c>
      <c r="I362" s="91" t="s">
        <v>54</v>
      </c>
      <c r="J362" s="91" t="n">
        <v>1227</v>
      </c>
      <c r="K362" s="93" t="n">
        <v>180</v>
      </c>
      <c r="L362" s="93" t="n">
        <v>0</v>
      </c>
      <c r="M362" s="93" t="n">
        <f aca="false">K362-L362</f>
        <v>180</v>
      </c>
      <c r="N362" s="93" t="n">
        <f aca="false">M362*C2</f>
        <v>7.2</v>
      </c>
      <c r="O362" s="94" t="n">
        <v>0</v>
      </c>
      <c r="P362" s="95" t="s">
        <v>5</v>
      </c>
      <c r="Q362" s="95" t="s">
        <v>6</v>
      </c>
      <c r="R362" s="94" t="n">
        <f aca="false">M362-N362-O34</f>
        <v>172.8</v>
      </c>
      <c r="S362" s="94" t="n">
        <f aca="false">R362/E362</f>
        <v>172.8</v>
      </c>
      <c r="T362" s="95" t="s">
        <v>70</v>
      </c>
      <c r="U362" s="94" t="n">
        <f aca="false">M362-O362</f>
        <v>180</v>
      </c>
      <c r="V362" s="9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customFormat="false" ht="15.75" hidden="false" customHeight="true" outlineLevel="0" collapsed="false">
      <c r="A363" s="1"/>
      <c r="B363" s="91" t="n">
        <v>2470</v>
      </c>
      <c r="C363" s="91" t="s">
        <v>16</v>
      </c>
      <c r="D363" s="91" t="s">
        <v>0</v>
      </c>
      <c r="E363" s="91" t="n">
        <v>1</v>
      </c>
      <c r="F363" s="91" t="s">
        <v>1</v>
      </c>
      <c r="G363" s="92" t="n">
        <v>45900</v>
      </c>
      <c r="H363" s="91" t="s">
        <v>92</v>
      </c>
      <c r="I363" s="91" t="s">
        <v>54</v>
      </c>
      <c r="J363" s="91" t="n">
        <v>1228</v>
      </c>
      <c r="K363" s="93" t="n">
        <v>180</v>
      </c>
      <c r="L363" s="93" t="n">
        <v>0</v>
      </c>
      <c r="M363" s="93" t="n">
        <f aca="false">K363-L363</f>
        <v>180</v>
      </c>
      <c r="N363" s="93" t="n">
        <f aca="false">M363*C2</f>
        <v>7.2</v>
      </c>
      <c r="O363" s="94" t="n">
        <v>0</v>
      </c>
      <c r="P363" s="95" t="s">
        <v>5</v>
      </c>
      <c r="Q363" s="95" t="s">
        <v>6</v>
      </c>
      <c r="R363" s="94" t="n">
        <f aca="false">M363-N363-O363</f>
        <v>172.8</v>
      </c>
      <c r="S363" s="94" t="n">
        <f aca="false">R363/E363</f>
        <v>172.8</v>
      </c>
      <c r="T363" s="95" t="s">
        <v>70</v>
      </c>
      <c r="U363" s="94" t="n">
        <f aca="false">M363-O363</f>
        <v>180</v>
      </c>
      <c r="V363" s="9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customFormat="false" ht="15.75" hidden="false" customHeight="true" outlineLevel="0" collapsed="false">
      <c r="A364" s="1"/>
      <c r="B364" s="102" t="n">
        <v>3049</v>
      </c>
      <c r="C364" s="102" t="s">
        <v>99</v>
      </c>
      <c r="D364" s="102" t="s">
        <v>0</v>
      </c>
      <c r="E364" s="102" t="n">
        <v>1</v>
      </c>
      <c r="F364" s="102" t="s">
        <v>1</v>
      </c>
      <c r="G364" s="103" t="n">
        <v>45902</v>
      </c>
      <c r="H364" s="102" t="str">
        <f aca="false">TEXT(G364,"dddd")</f>
        <v>terça-feira</v>
      </c>
      <c r="I364" s="102" t="s">
        <v>54</v>
      </c>
      <c r="J364" s="102" t="n">
        <v>1229</v>
      </c>
      <c r="K364" s="104" t="n">
        <v>180</v>
      </c>
      <c r="L364" s="104" t="n">
        <v>0</v>
      </c>
      <c r="M364" s="104" t="n">
        <f aca="false">K364-L364</f>
        <v>180</v>
      </c>
      <c r="N364" s="104" t="n">
        <f aca="false">M364*C2</f>
        <v>7.2</v>
      </c>
      <c r="O364" s="105" t="n">
        <f aca="false">VLOOKUP(P364,FÓRMULAS!$A$8:$B$11,2,FALSE())</f>
        <v>0</v>
      </c>
      <c r="P364" s="106" t="s">
        <v>5</v>
      </c>
      <c r="Q364" s="106" t="str">
        <f aca="false">VLOOKUP(P364,FÓRMULAS!$A$7:$B$7,2,FALSE())</f>
        <v>-</v>
      </c>
      <c r="R364" s="105" t="n">
        <f aca="false">M364-N364-O364</f>
        <v>172.8</v>
      </c>
      <c r="S364" s="105" t="n">
        <f aca="false">R364/E364</f>
        <v>172.8</v>
      </c>
      <c r="T364" s="106" t="s">
        <v>70</v>
      </c>
      <c r="U364" s="105" t="n">
        <f aca="false">M364-O364</f>
        <v>180</v>
      </c>
      <c r="V364" s="10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customFormat="false" ht="15.75" hidden="false" customHeight="true" outlineLevel="0" collapsed="false">
      <c r="A365" s="1"/>
      <c r="B365" s="102" t="n">
        <v>2470</v>
      </c>
      <c r="C365" s="102" t="str">
        <f aca="false">VLOOKUP(B365,ITENS!$B$3:$C$15,2,FALSE())</f>
        <v>CAMISA CHAMPIONS</v>
      </c>
      <c r="D365" s="102" t="s">
        <v>0</v>
      </c>
      <c r="E365" s="102" t="n">
        <v>2</v>
      </c>
      <c r="F365" s="102" t="str">
        <f aca="false">VLOOKUP(D365,FÓRMULAS!$A$2:$B$5,2,FALSE())</f>
        <v>SAÍDA</v>
      </c>
      <c r="G365" s="103" t="n">
        <v>45902</v>
      </c>
      <c r="H365" s="102" t="str">
        <f aca="false">TEXT(G365,"dddd")</f>
        <v>terça-feira</v>
      </c>
      <c r="I365" s="102" t="s">
        <v>139</v>
      </c>
      <c r="J365" s="102" t="n">
        <v>1230</v>
      </c>
      <c r="K365" s="104" t="n">
        <v>360</v>
      </c>
      <c r="L365" s="104" t="n">
        <v>72</v>
      </c>
      <c r="M365" s="104" t="n">
        <f aca="false">K365-L365</f>
        <v>288</v>
      </c>
      <c r="N365" s="104" t="n">
        <f aca="false">M365*C2</f>
        <v>11.52</v>
      </c>
      <c r="O365" s="105" t="n">
        <f aca="false">M365*3.78%</f>
        <v>10.8864</v>
      </c>
      <c r="P365" s="106" t="s">
        <v>10</v>
      </c>
      <c r="Q365" s="106" t="s">
        <v>62</v>
      </c>
      <c r="R365" s="105" t="n">
        <f aca="false">M365-N365-O365</f>
        <v>265.5936</v>
      </c>
      <c r="S365" s="107" t="n">
        <f aca="false">R365/E365</f>
        <v>132.7968</v>
      </c>
      <c r="T365" s="108" t="s">
        <v>71</v>
      </c>
      <c r="U365" s="118" t="n">
        <f aca="false">M365/2-O365/2</f>
        <v>138.5568</v>
      </c>
      <c r="V365" s="110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customFormat="false" ht="15.75" hidden="false" customHeight="true" outlineLevel="0" collapsed="false">
      <c r="A366" s="1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7"/>
      <c r="T366" s="111" t="s">
        <v>72</v>
      </c>
      <c r="U366" s="119" t="n">
        <f aca="false">U365</f>
        <v>138.5568</v>
      </c>
      <c r="V366" s="110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customFormat="false" ht="15.75" hidden="false" customHeight="true" outlineLevel="0" collapsed="false">
      <c r="A367" s="1"/>
      <c r="B367" s="102" t="n">
        <v>3049</v>
      </c>
      <c r="C367" s="102" t="e">
        <f aca="false">VLOOKUP(B367,ITENS!$B$3:$C$15,2,FALSE())</f>
        <v>#N/A</v>
      </c>
      <c r="D367" s="102" t="s">
        <v>0</v>
      </c>
      <c r="E367" s="102" t="n">
        <v>1</v>
      </c>
      <c r="F367" s="102" t="str">
        <f aca="false">VLOOKUP(D367,FÓRMULAS!$A$2:$B$5,2,FALSE())</f>
        <v>SAÍDA</v>
      </c>
      <c r="G367" s="103" t="n">
        <v>45902</v>
      </c>
      <c r="H367" s="102" t="str">
        <f aca="false">TEXT(G367,"dddd")</f>
        <v>terça-feira</v>
      </c>
      <c r="I367" s="102" t="s">
        <v>139</v>
      </c>
      <c r="J367" s="102" t="n">
        <v>1231</v>
      </c>
      <c r="K367" s="104" t="n">
        <v>180</v>
      </c>
      <c r="L367" s="104" t="n">
        <v>0</v>
      </c>
      <c r="M367" s="104" t="n">
        <f aca="false">K367-L367</f>
        <v>180</v>
      </c>
      <c r="N367" s="104" t="n">
        <f aca="false">M367*C2</f>
        <v>7.2</v>
      </c>
      <c r="O367" s="105" t="n">
        <f aca="false">M367*1.9%</f>
        <v>3.42</v>
      </c>
      <c r="P367" s="106" t="s">
        <v>7</v>
      </c>
      <c r="Q367" s="106" t="s">
        <v>55</v>
      </c>
      <c r="R367" s="105" t="n">
        <f aca="false">M367-N367-O367</f>
        <v>169.38</v>
      </c>
      <c r="S367" s="105" t="n">
        <f aca="false">R367/E367</f>
        <v>169.38</v>
      </c>
      <c r="T367" s="106" t="s">
        <v>70</v>
      </c>
      <c r="U367" s="105" t="n">
        <f aca="false">M367-O367</f>
        <v>176.58</v>
      </c>
      <c r="V367" s="10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customFormat="false" ht="15.75" hidden="false" customHeight="true" outlineLevel="0" collapsed="false">
      <c r="A368" s="1"/>
      <c r="B368" s="102" t="n">
        <v>2470</v>
      </c>
      <c r="C368" s="102" t="str">
        <f aca="false">VLOOKUP(B368,ITENS!$B$3:$C$15,2,FALSE())</f>
        <v>CAMISA CHAMPIONS</v>
      </c>
      <c r="D368" s="102" t="s">
        <v>0</v>
      </c>
      <c r="E368" s="102" t="n">
        <v>1</v>
      </c>
      <c r="F368" s="102" t="str">
        <f aca="false">VLOOKUP(D368,FÓRMULAS!$A$2:$B$5,2,FALSE())</f>
        <v>SAÍDA</v>
      </c>
      <c r="G368" s="103" t="n">
        <v>45903</v>
      </c>
      <c r="H368" s="102" t="str">
        <f aca="false">TEXT(G368,"dddd")</f>
        <v>quarta-feira</v>
      </c>
      <c r="I368" s="102" t="s">
        <v>54</v>
      </c>
      <c r="J368" s="102" t="n">
        <v>1232</v>
      </c>
      <c r="K368" s="104" t="n">
        <v>180</v>
      </c>
      <c r="L368" s="104" t="n">
        <v>0</v>
      </c>
      <c r="M368" s="104" t="n">
        <f aca="false">K368-L368</f>
        <v>180</v>
      </c>
      <c r="N368" s="104" t="n">
        <f aca="false">M368*$C$2</f>
        <v>7.2</v>
      </c>
      <c r="O368" s="105" t="n">
        <f aca="false">M368*3.83%</f>
        <v>6.894</v>
      </c>
      <c r="P368" s="106" t="s">
        <v>10</v>
      </c>
      <c r="Q368" s="106" t="s">
        <v>131</v>
      </c>
      <c r="R368" s="105" t="n">
        <f aca="false">M368-N368-O368</f>
        <v>165.906</v>
      </c>
      <c r="S368" s="107" t="n">
        <f aca="false">R368/E368</f>
        <v>165.906</v>
      </c>
      <c r="T368" s="108" t="s">
        <v>71</v>
      </c>
      <c r="U368" s="118" t="n">
        <f aca="false">M368/2-O368/2</f>
        <v>86.553</v>
      </c>
      <c r="V368" s="110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customFormat="false" ht="15.75" hidden="false" customHeight="true" outlineLevel="0" collapsed="false">
      <c r="A369" s="1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7"/>
      <c r="T369" s="111" t="s">
        <v>72</v>
      </c>
      <c r="U369" s="119" t="n">
        <f aca="false">U368</f>
        <v>86.553</v>
      </c>
      <c r="V369" s="110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customFormat="false" ht="15.75" hidden="false" customHeight="true" outlineLevel="0" collapsed="false">
      <c r="A370" s="1"/>
      <c r="B370" s="102" t="n">
        <v>2470</v>
      </c>
      <c r="C370" s="102" t="str">
        <f aca="false">VLOOKUP(B370,ITENS!$B$3:$C$15,2,FALSE())</f>
        <v>CAMISA CHAMPIONS</v>
      </c>
      <c r="D370" s="102" t="s">
        <v>0</v>
      </c>
      <c r="E370" s="102" t="n">
        <v>1</v>
      </c>
      <c r="F370" s="102" t="str">
        <f aca="false">VLOOKUP(D370,FÓRMULAS!$A$2:$B$5,2,FALSE())</f>
        <v>SAÍDA</v>
      </c>
      <c r="G370" s="103" t="n">
        <v>45903</v>
      </c>
      <c r="H370" s="102" t="str">
        <f aca="false">TEXT(G370,"dddd")</f>
        <v>quarta-feira</v>
      </c>
      <c r="I370" s="102" t="s">
        <v>54</v>
      </c>
      <c r="J370" s="102" t="n">
        <v>1233</v>
      </c>
      <c r="K370" s="104" t="n">
        <v>180</v>
      </c>
      <c r="L370" s="104" t="n">
        <v>0</v>
      </c>
      <c r="M370" s="104" t="n">
        <f aca="false">K370-L370</f>
        <v>180</v>
      </c>
      <c r="N370" s="104" t="n">
        <f aca="false">M370*$C$2</f>
        <v>7.2</v>
      </c>
      <c r="O370" s="105" t="n">
        <v>0</v>
      </c>
      <c r="P370" s="106" t="s">
        <v>134</v>
      </c>
      <c r="Q370" s="106" t="s">
        <v>6</v>
      </c>
      <c r="R370" s="105" t="n">
        <f aca="false">M370-N370-O370</f>
        <v>172.8</v>
      </c>
      <c r="S370" s="105" t="n">
        <f aca="false">R370/E370</f>
        <v>172.8</v>
      </c>
      <c r="T370" s="106" t="s">
        <v>70</v>
      </c>
      <c r="U370" s="105" t="n">
        <f aca="false">M370-O370</f>
        <v>180</v>
      </c>
      <c r="V370" s="10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customFormat="false" ht="15.75" hidden="false" customHeight="true" outlineLevel="0" collapsed="false">
      <c r="A371" s="1"/>
      <c r="B371" s="102" t="n">
        <v>3049</v>
      </c>
      <c r="C371" s="102" t="e">
        <f aca="false">VLOOKUP(B371,ITENS!$B$3:$C$15,2,FALSE())</f>
        <v>#N/A</v>
      </c>
      <c r="D371" s="102" t="s">
        <v>0</v>
      </c>
      <c r="E371" s="102" t="n">
        <v>1</v>
      </c>
      <c r="F371" s="102" t="str">
        <f aca="false">VLOOKUP(D371,FÓRMULAS!$A$2:$B$5,2,FALSE())</f>
        <v>SAÍDA</v>
      </c>
      <c r="G371" s="103" t="n">
        <v>45904</v>
      </c>
      <c r="H371" s="102" t="str">
        <f aca="false">TEXT(G371,"dddd")</f>
        <v>quinta-feira</v>
      </c>
      <c r="I371" s="102" t="s">
        <v>54</v>
      </c>
      <c r="J371" s="102" t="n">
        <v>1234</v>
      </c>
      <c r="K371" s="104" t="n">
        <v>180</v>
      </c>
      <c r="L371" s="104" t="n">
        <v>0</v>
      </c>
      <c r="M371" s="104" t="n">
        <f aca="false">K371-L371</f>
        <v>180</v>
      </c>
      <c r="N371" s="104" t="n">
        <f aca="false">M371*$C$2</f>
        <v>7.2</v>
      </c>
      <c r="O371" s="105" t="n">
        <f aca="false">M371*1.9%</f>
        <v>3.42</v>
      </c>
      <c r="P371" s="106" t="s">
        <v>7</v>
      </c>
      <c r="Q371" s="106" t="s">
        <v>55</v>
      </c>
      <c r="R371" s="105" t="n">
        <f aca="false">M371-N371-O371</f>
        <v>169.38</v>
      </c>
      <c r="S371" s="105" t="n">
        <f aca="false">R371/E371</f>
        <v>169.38</v>
      </c>
      <c r="T371" s="106" t="s">
        <v>70</v>
      </c>
      <c r="U371" s="105" t="n">
        <f aca="false">M371-O371</f>
        <v>176.58</v>
      </c>
      <c r="V371" s="10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customFormat="false" ht="15.75" hidden="false" customHeight="true" outlineLevel="0" collapsed="false">
      <c r="A372" s="151"/>
      <c r="B372" s="120" t="n">
        <v>2470</v>
      </c>
      <c r="C372" s="120" t="str">
        <f aca="false">VLOOKUP(B372,ITENS!$B$3:$C$15,2,FALSE())</f>
        <v>CAMISA CHAMPIONS</v>
      </c>
      <c r="D372" s="120" t="s">
        <v>0</v>
      </c>
      <c r="E372" s="120" t="n">
        <v>1</v>
      </c>
      <c r="F372" s="120" t="str">
        <f aca="false">VLOOKUP(D372,FÓRMULAS!$A$2:$B$5,2,FALSE())</f>
        <v>SAÍDA</v>
      </c>
      <c r="G372" s="121" t="n">
        <v>45906</v>
      </c>
      <c r="H372" s="120" t="str">
        <f aca="false">TEXT(G372,"dddd")</f>
        <v>sábado</v>
      </c>
      <c r="I372" s="120" t="s">
        <v>54</v>
      </c>
      <c r="J372" s="120" t="n">
        <v>1235</v>
      </c>
      <c r="K372" s="122" t="n">
        <v>100</v>
      </c>
      <c r="L372" s="122" t="n">
        <v>0</v>
      </c>
      <c r="M372" s="122" t="n">
        <f aca="false">K372-L372</f>
        <v>100</v>
      </c>
      <c r="N372" s="122" t="n">
        <f aca="false">M372*$C$2</f>
        <v>4</v>
      </c>
      <c r="O372" s="123" t="s">
        <v>6</v>
      </c>
      <c r="P372" s="124" t="s">
        <v>6</v>
      </c>
      <c r="Q372" s="124" t="s">
        <v>6</v>
      </c>
      <c r="R372" s="124" t="n">
        <v>0</v>
      </c>
      <c r="S372" s="124" t="n">
        <v>0</v>
      </c>
      <c r="T372" s="124" t="s">
        <v>6</v>
      </c>
      <c r="U372" s="124" t="n">
        <v>0</v>
      </c>
      <c r="V372" s="120" t="s">
        <v>175</v>
      </c>
      <c r="W372" s="151"/>
      <c r="X372" s="151"/>
      <c r="Y372" s="151"/>
      <c r="Z372" s="151"/>
      <c r="AA372" s="151"/>
      <c r="AB372" s="151"/>
      <c r="AC372" s="151"/>
      <c r="AD372" s="151"/>
      <c r="AE372" s="151"/>
      <c r="AF372" s="151"/>
      <c r="AG372" s="151"/>
      <c r="AH372" s="151"/>
      <c r="AI372" s="151"/>
      <c r="AJ372" s="151"/>
      <c r="AK372" s="151"/>
      <c r="AL372" s="151"/>
      <c r="AM372" s="151"/>
      <c r="AN372" s="151"/>
      <c r="AO372" s="151"/>
      <c r="AP372" s="151"/>
      <c r="AQ372" s="151"/>
      <c r="AR372" s="151"/>
    </row>
    <row r="373" customFormat="false" ht="15.75" hidden="false" customHeight="true" outlineLevel="0" collapsed="false">
      <c r="A373" s="1"/>
      <c r="B373" s="102" t="n">
        <v>2470</v>
      </c>
      <c r="C373" s="102" t="str">
        <f aca="false">VLOOKUP(B373,ITENS!$B$3:$C$15,2,FALSE())</f>
        <v>CAMISA CHAMPIONS</v>
      </c>
      <c r="D373" s="102" t="s">
        <v>0</v>
      </c>
      <c r="E373" s="102" t="n">
        <v>1</v>
      </c>
      <c r="F373" s="102" t="str">
        <f aca="false">VLOOKUP(D373,FÓRMULAS!$A$2:$B$5,2,FALSE())</f>
        <v>SAÍDA</v>
      </c>
      <c r="G373" s="103" t="n">
        <v>45906</v>
      </c>
      <c r="H373" s="102" t="str">
        <f aca="false">TEXT(G373,"dddd")</f>
        <v>sábado</v>
      </c>
      <c r="I373" s="102" t="s">
        <v>54</v>
      </c>
      <c r="J373" s="102" t="n">
        <v>1236</v>
      </c>
      <c r="K373" s="104" t="n">
        <v>180</v>
      </c>
      <c r="L373" s="104" t="n">
        <v>0</v>
      </c>
      <c r="M373" s="104" t="n">
        <f aca="false">K373-L373</f>
        <v>180</v>
      </c>
      <c r="N373" s="104" t="n">
        <f aca="false">M373*$C$2</f>
        <v>7.2</v>
      </c>
      <c r="O373" s="105" t="n">
        <f aca="false">M373*3.78%</f>
        <v>6.804</v>
      </c>
      <c r="P373" s="106" t="s">
        <v>10</v>
      </c>
      <c r="Q373" s="106" t="s">
        <v>62</v>
      </c>
      <c r="R373" s="105" t="n">
        <f aca="false">M373-N373-O373</f>
        <v>165.996</v>
      </c>
      <c r="S373" s="107" t="n">
        <f aca="false">R373/E373</f>
        <v>165.996</v>
      </c>
      <c r="T373" s="108" t="s">
        <v>71</v>
      </c>
      <c r="U373" s="118" t="n">
        <f aca="false">M373/2-O373/2</f>
        <v>86.598</v>
      </c>
      <c r="V373" s="110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customFormat="false" ht="15.75" hidden="false" customHeight="true" outlineLevel="0" collapsed="false">
      <c r="A374" s="1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7"/>
      <c r="T374" s="111" t="s">
        <v>72</v>
      </c>
      <c r="U374" s="119" t="n">
        <f aca="false">U373</f>
        <v>86.598</v>
      </c>
      <c r="V374" s="110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customFormat="false" ht="15.75" hidden="false" customHeight="true" outlineLevel="0" collapsed="false">
      <c r="A375" s="1"/>
      <c r="B375" s="102" t="n">
        <v>3049</v>
      </c>
      <c r="C375" s="102" t="e">
        <f aca="false">VLOOKUP(B375,ITENS!$B$3:$C$15,2,FALSE())</f>
        <v>#N/A</v>
      </c>
      <c r="D375" s="102" t="s">
        <v>0</v>
      </c>
      <c r="E375" s="102" t="n">
        <v>1</v>
      </c>
      <c r="F375" s="102" t="str">
        <f aca="false">VLOOKUP(D375,FÓRMULAS!$A$2:$B$5,2,FALSE())</f>
        <v>SAÍDA</v>
      </c>
      <c r="G375" s="103" t="n">
        <v>45906</v>
      </c>
      <c r="H375" s="102" t="str">
        <f aca="false">TEXT(G375,"dddd")</f>
        <v>sábado</v>
      </c>
      <c r="I375" s="102" t="s">
        <v>54</v>
      </c>
      <c r="J375" s="102" t="n">
        <v>1237</v>
      </c>
      <c r="K375" s="104" t="n">
        <v>180</v>
      </c>
      <c r="L375" s="104" t="n">
        <v>0</v>
      </c>
      <c r="M375" s="104" t="n">
        <f aca="false">K375-L375</f>
        <v>180</v>
      </c>
      <c r="N375" s="104" t="n">
        <f aca="false">M375*$C$2</f>
        <v>7.2</v>
      </c>
      <c r="O375" s="105" t="n">
        <f aca="false">M375*3.78%</f>
        <v>6.804</v>
      </c>
      <c r="P375" s="106" t="s">
        <v>10</v>
      </c>
      <c r="Q375" s="106" t="s">
        <v>55</v>
      </c>
      <c r="R375" s="105" t="n">
        <f aca="false">M375-N375-O375</f>
        <v>165.996</v>
      </c>
      <c r="S375" s="107" t="n">
        <f aca="false">R375/E375</f>
        <v>165.996</v>
      </c>
      <c r="T375" s="108" t="s">
        <v>71</v>
      </c>
      <c r="U375" s="118" t="n">
        <f aca="false">M375/2-O375/2</f>
        <v>86.598</v>
      </c>
      <c r="V375" s="110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customFormat="false" ht="15.75" hidden="false" customHeight="true" outlineLevel="0" collapsed="false">
      <c r="A376" s="1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7"/>
      <c r="T376" s="111" t="s">
        <v>72</v>
      </c>
      <c r="U376" s="119" t="n">
        <f aca="false">U375</f>
        <v>86.598</v>
      </c>
      <c r="V376" s="110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customFormat="false" ht="15.75" hidden="false" customHeight="true" outlineLevel="0" collapsed="false">
      <c r="A377" s="1"/>
      <c r="B377" s="102" t="n">
        <v>3049</v>
      </c>
      <c r="C377" s="102" t="e">
        <f aca="false">VLOOKUP(B377,ITENS!$B$3:$C$15,2,FALSE())</f>
        <v>#N/A</v>
      </c>
      <c r="D377" s="102" t="s">
        <v>0</v>
      </c>
      <c r="E377" s="102" t="n">
        <v>1</v>
      </c>
      <c r="F377" s="102" t="str">
        <f aca="false">VLOOKUP(D377,FÓRMULAS!$A$2:$B$5,2,FALSE())</f>
        <v>SAÍDA</v>
      </c>
      <c r="G377" s="103" t="n">
        <v>45906</v>
      </c>
      <c r="H377" s="102" t="str">
        <f aca="false">TEXT(G377,"dddd")</f>
        <v>sábado</v>
      </c>
      <c r="I377" s="102" t="s">
        <v>54</v>
      </c>
      <c r="J377" s="102" t="n">
        <v>1238</v>
      </c>
      <c r="K377" s="104" t="n">
        <v>180</v>
      </c>
      <c r="L377" s="104" t="n">
        <v>0</v>
      </c>
      <c r="M377" s="104" t="n">
        <f aca="false">K377-L377</f>
        <v>180</v>
      </c>
      <c r="N377" s="104" t="n">
        <f aca="false">M377*$C$2</f>
        <v>7.2</v>
      </c>
      <c r="O377" s="105" t="n">
        <v>0</v>
      </c>
      <c r="P377" s="106" t="s">
        <v>5</v>
      </c>
      <c r="Q377" s="106" t="s">
        <v>6</v>
      </c>
      <c r="R377" s="105" t="n">
        <f aca="false">M377-N377-O377</f>
        <v>172.8</v>
      </c>
      <c r="S377" s="105" t="n">
        <f aca="false">R377/E377</f>
        <v>172.8</v>
      </c>
      <c r="T377" s="106" t="s">
        <v>70</v>
      </c>
      <c r="U377" s="105" t="n">
        <f aca="false">M377-O377</f>
        <v>180</v>
      </c>
      <c r="V377" s="10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customFormat="false" ht="15.75" hidden="false" customHeight="true" outlineLevel="0" collapsed="false">
      <c r="A378" s="1"/>
      <c r="B378" s="102" t="n">
        <v>2550</v>
      </c>
      <c r="C378" s="102" t="str">
        <f aca="false">VLOOKUP(B378,ITENS!$B$3:$C$15,2,FALSE())</f>
        <v>BONE LUXO</v>
      </c>
      <c r="D378" s="102" t="s">
        <v>0</v>
      </c>
      <c r="E378" s="102" t="n">
        <v>1</v>
      </c>
      <c r="F378" s="102" t="str">
        <f aca="false">VLOOKUP(D378,FÓRMULAS!$A$2:$B$5,2,FALSE())</f>
        <v>SAÍDA</v>
      </c>
      <c r="G378" s="103" t="n">
        <v>45906</v>
      </c>
      <c r="H378" s="102" t="str">
        <f aca="false">TEXT(G378,"dddd")</f>
        <v>sábado</v>
      </c>
      <c r="I378" s="102" t="s">
        <v>54</v>
      </c>
      <c r="J378" s="102" t="n">
        <v>1239</v>
      </c>
      <c r="K378" s="104" t="n">
        <v>60</v>
      </c>
      <c r="L378" s="104" t="n">
        <v>0</v>
      </c>
      <c r="M378" s="104" t="n">
        <f aca="false">K378-L378</f>
        <v>60</v>
      </c>
      <c r="N378" s="104" t="n">
        <f aca="false">M378*$C$2</f>
        <v>2.4</v>
      </c>
      <c r="O378" s="105" t="n">
        <v>0</v>
      </c>
      <c r="P378" s="106" t="s">
        <v>134</v>
      </c>
      <c r="Q378" s="106" t="s">
        <v>6</v>
      </c>
      <c r="R378" s="105" t="n">
        <f aca="false">M378-N378-O378</f>
        <v>57.6</v>
      </c>
      <c r="S378" s="105" t="n">
        <f aca="false">R378/E378</f>
        <v>57.6</v>
      </c>
      <c r="T378" s="106"/>
      <c r="U378" s="105" t="n">
        <f aca="false">M378-O378</f>
        <v>60</v>
      </c>
      <c r="V378" s="10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customFormat="false" ht="15.75" hidden="false" customHeight="true" outlineLevel="0" collapsed="false">
      <c r="A379" s="151"/>
      <c r="B379" s="120" t="n">
        <v>2470</v>
      </c>
      <c r="C379" s="120" t="str">
        <f aca="false">VLOOKUP(B379,ITENS!$B$3:$C$15,2,FALSE())</f>
        <v>CAMISA CHAMPIONS</v>
      </c>
      <c r="D379" s="120" t="s">
        <v>0</v>
      </c>
      <c r="E379" s="120" t="n">
        <v>1</v>
      </c>
      <c r="F379" s="120" t="str">
        <f aca="false">VLOOKUP(D379,FÓRMULAS!$A$2:$B$5,2,FALSE())</f>
        <v>SAÍDA</v>
      </c>
      <c r="G379" s="121" t="n">
        <v>45909</v>
      </c>
      <c r="H379" s="120" t="str">
        <f aca="false">TEXT(G379,"dddd")</f>
        <v>terça-feira</v>
      </c>
      <c r="I379" s="120" t="s">
        <v>54</v>
      </c>
      <c r="J379" s="120" t="n">
        <v>1240</v>
      </c>
      <c r="K379" s="122" t="n">
        <v>100</v>
      </c>
      <c r="L379" s="122" t="n">
        <v>0</v>
      </c>
      <c r="M379" s="122" t="n">
        <f aca="false">K379-L379</f>
        <v>100</v>
      </c>
      <c r="N379" s="122" t="n">
        <v>0</v>
      </c>
      <c r="O379" s="123" t="s">
        <v>6</v>
      </c>
      <c r="P379" s="124" t="s">
        <v>6</v>
      </c>
      <c r="Q379" s="124" t="s">
        <v>6</v>
      </c>
      <c r="R379" s="124" t="s">
        <v>6</v>
      </c>
      <c r="S379" s="124" t="s">
        <v>6</v>
      </c>
      <c r="T379" s="124" t="s">
        <v>6</v>
      </c>
      <c r="U379" s="124" t="s">
        <v>6</v>
      </c>
      <c r="V379" s="120" t="s">
        <v>176</v>
      </c>
      <c r="W379" s="151"/>
      <c r="X379" s="151"/>
      <c r="Y379" s="151"/>
      <c r="Z379" s="151"/>
      <c r="AA379" s="151"/>
      <c r="AB379" s="151"/>
      <c r="AC379" s="151"/>
      <c r="AD379" s="151"/>
      <c r="AE379" s="151"/>
      <c r="AF379" s="151"/>
      <c r="AG379" s="151"/>
      <c r="AH379" s="151"/>
      <c r="AI379" s="151"/>
      <c r="AJ379" s="151"/>
      <c r="AK379" s="151"/>
      <c r="AL379" s="151"/>
      <c r="AM379" s="151"/>
      <c r="AN379" s="151"/>
      <c r="AO379" s="151"/>
      <c r="AP379" s="151"/>
      <c r="AQ379" s="151"/>
      <c r="AR379" s="151"/>
    </row>
    <row r="380" customFormat="false" ht="15.75" hidden="false" customHeight="true" outlineLevel="0" collapsed="false">
      <c r="A380" s="1"/>
      <c r="B380" s="102" t="n">
        <v>3049</v>
      </c>
      <c r="C380" s="102" t="e">
        <f aca="false">VLOOKUP(B380,ITENS!$B$3:$C$15,2,FALSE())</f>
        <v>#N/A</v>
      </c>
      <c r="D380" s="102" t="s">
        <v>0</v>
      </c>
      <c r="E380" s="102" t="n">
        <v>1</v>
      </c>
      <c r="F380" s="102" t="str">
        <f aca="false">VLOOKUP(D380,FÓRMULAS!$A$2:$B$5,2,FALSE())</f>
        <v>SAÍDA</v>
      </c>
      <c r="G380" s="103" t="n">
        <v>45910</v>
      </c>
      <c r="H380" s="102" t="str">
        <f aca="false">TEXT(G380,"dddd")</f>
        <v>quarta-feira</v>
      </c>
      <c r="I380" s="102" t="s">
        <v>177</v>
      </c>
      <c r="J380" s="102" t="n">
        <v>1242</v>
      </c>
      <c r="K380" s="104" t="n">
        <v>180</v>
      </c>
      <c r="L380" s="104" t="n">
        <v>0</v>
      </c>
      <c r="M380" s="104" t="n">
        <f aca="false">K380-L380</f>
        <v>180</v>
      </c>
      <c r="N380" s="104" t="n">
        <f aca="false">M380*$C$2</f>
        <v>7.2</v>
      </c>
      <c r="O380" s="105" t="n">
        <f aca="false">M380*1.9%</f>
        <v>3.42</v>
      </c>
      <c r="P380" s="106" t="s">
        <v>7</v>
      </c>
      <c r="Q380" s="106" t="s">
        <v>55</v>
      </c>
      <c r="R380" s="105" t="n">
        <f aca="false">M380-N380-O380</f>
        <v>169.38</v>
      </c>
      <c r="S380" s="105" t="n">
        <f aca="false">R380/E380</f>
        <v>169.38</v>
      </c>
      <c r="T380" s="106" t="s">
        <v>70</v>
      </c>
      <c r="U380" s="105" t="n">
        <f aca="false">M380-O380</f>
        <v>176.58</v>
      </c>
      <c r="V380" s="10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customFormat="false" ht="15.75" hidden="false" customHeight="true" outlineLevel="0" collapsed="false">
      <c r="A381" s="1"/>
      <c r="B381" s="102" t="n">
        <v>2470</v>
      </c>
      <c r="C381" s="102" t="str">
        <f aca="false">VLOOKUP(B381,ITENS!$B$3:$C$15,2,FALSE())</f>
        <v>CAMISA CHAMPIONS</v>
      </c>
      <c r="D381" s="102" t="s">
        <v>0</v>
      </c>
      <c r="E381" s="102" t="n">
        <v>1</v>
      </c>
      <c r="F381" s="102" t="str">
        <f aca="false">VLOOKUP(D381,FÓRMULAS!$A$2:$B$5,2,FALSE())</f>
        <v>SAÍDA</v>
      </c>
      <c r="G381" s="103" t="n">
        <v>45911</v>
      </c>
      <c r="H381" s="102" t="str">
        <f aca="false">TEXT(G381,"dddd")</f>
        <v>quinta-feira</v>
      </c>
      <c r="I381" s="102" t="s">
        <v>54</v>
      </c>
      <c r="J381" s="102" t="n">
        <v>1243</v>
      </c>
      <c r="K381" s="104" t="n">
        <v>180</v>
      </c>
      <c r="L381" s="104" t="n">
        <v>0</v>
      </c>
      <c r="M381" s="104" t="n">
        <f aca="false">K381-L381</f>
        <v>180</v>
      </c>
      <c r="N381" s="104" t="n">
        <f aca="false">M381*$C$2</f>
        <v>7.2</v>
      </c>
      <c r="O381" s="105" t="n">
        <f aca="false">M381*2.96%</f>
        <v>5.328</v>
      </c>
      <c r="P381" s="106" t="s">
        <v>7</v>
      </c>
      <c r="Q381" s="106" t="s">
        <v>79</v>
      </c>
      <c r="R381" s="105" t="n">
        <f aca="false">M381-N381-O381</f>
        <v>167.472</v>
      </c>
      <c r="S381" s="105" t="n">
        <f aca="false">R381/E381</f>
        <v>167.472</v>
      </c>
      <c r="T381" s="106" t="s">
        <v>70</v>
      </c>
      <c r="U381" s="105" t="n">
        <f aca="false">M381-O381</f>
        <v>174.672</v>
      </c>
      <c r="V381" s="10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customFormat="false" ht="15.75" hidden="false" customHeight="true" outlineLevel="0" collapsed="false">
      <c r="A382" s="1"/>
      <c r="B382" s="102" t="n">
        <v>2470</v>
      </c>
      <c r="C382" s="102" t="str">
        <f aca="false">VLOOKUP(B382,ITENS!$B$3:$C$15,2,FALSE())</f>
        <v>CAMISA CHAMPIONS</v>
      </c>
      <c r="D382" s="102" t="s">
        <v>0</v>
      </c>
      <c r="E382" s="102" t="n">
        <v>2</v>
      </c>
      <c r="F382" s="102" t="str">
        <f aca="false">VLOOKUP(D382,FÓRMULAS!$A$2:$B$5,2,FALSE())</f>
        <v>SAÍDA</v>
      </c>
      <c r="G382" s="103" t="n">
        <v>45912</v>
      </c>
      <c r="H382" s="102" t="str">
        <f aca="false">TEXT(G382,"dddd")</f>
        <v>sexta-feira</v>
      </c>
      <c r="I382" s="102" t="s">
        <v>54</v>
      </c>
      <c r="J382" s="102" t="n">
        <v>1244</v>
      </c>
      <c r="K382" s="104" t="n">
        <v>360</v>
      </c>
      <c r="L382" s="104" t="n">
        <v>0</v>
      </c>
      <c r="M382" s="104" t="n">
        <f aca="false">K382-L382</f>
        <v>360</v>
      </c>
      <c r="N382" s="104" t="n">
        <f aca="false">M382*$C$2</f>
        <v>14.4</v>
      </c>
      <c r="O382" s="105" t="n">
        <f aca="false">M382*3.78%</f>
        <v>13.608</v>
      </c>
      <c r="P382" s="106" t="s">
        <v>10</v>
      </c>
      <c r="Q382" s="106" t="s">
        <v>62</v>
      </c>
      <c r="R382" s="105" t="n">
        <f aca="false">M382-N382-O382</f>
        <v>331.992</v>
      </c>
      <c r="S382" s="107" t="n">
        <f aca="false">R382/E382</f>
        <v>165.996</v>
      </c>
      <c r="T382" s="108" t="s">
        <v>71</v>
      </c>
      <c r="U382" s="118" t="n">
        <f aca="false">M382/2-O382/2</f>
        <v>173.196</v>
      </c>
      <c r="V382" s="110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customFormat="false" ht="15.75" hidden="false" customHeight="true" outlineLevel="0" collapsed="false">
      <c r="A383" s="1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7"/>
      <c r="T383" s="111" t="s">
        <v>72</v>
      </c>
      <c r="U383" s="119" t="n">
        <f aca="false">U382</f>
        <v>173.196</v>
      </c>
      <c r="V383" s="110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customFormat="false" ht="15.75" hidden="false" customHeight="true" outlineLevel="0" collapsed="false">
      <c r="A384" s="1"/>
      <c r="B384" s="102" t="n">
        <v>2470</v>
      </c>
      <c r="C384" s="102" t="str">
        <f aca="false">VLOOKUP(B384,ITENS!$B$3:$C$15,2,FALSE())</f>
        <v>CAMISA CHAMPIONS</v>
      </c>
      <c r="D384" s="102" t="s">
        <v>0</v>
      </c>
      <c r="E384" s="102" t="n">
        <v>2</v>
      </c>
      <c r="F384" s="102" t="str">
        <f aca="false">VLOOKUP(D384,FÓRMULAS!$A$2:$B$5,2,FALSE())</f>
        <v>SAÍDA</v>
      </c>
      <c r="G384" s="103" t="n">
        <v>45912</v>
      </c>
      <c r="H384" s="102" t="str">
        <f aca="false">TEXT(G384,"dddd")</f>
        <v>sexta-feira</v>
      </c>
      <c r="I384" s="102" t="s">
        <v>178</v>
      </c>
      <c r="J384" s="102" t="n">
        <v>1246</v>
      </c>
      <c r="K384" s="104" t="n">
        <v>360</v>
      </c>
      <c r="L384" s="104" t="n">
        <v>72</v>
      </c>
      <c r="M384" s="104" t="n">
        <f aca="false">K384-L384</f>
        <v>288</v>
      </c>
      <c r="N384" s="104" t="n">
        <f aca="false">M384*$C$2</f>
        <v>11.52</v>
      </c>
      <c r="O384" s="105" t="n">
        <f aca="false">M384*1.9%</f>
        <v>5.472</v>
      </c>
      <c r="P384" s="106" t="s">
        <v>7</v>
      </c>
      <c r="Q384" s="106" t="s">
        <v>55</v>
      </c>
      <c r="R384" s="105" t="n">
        <f aca="false">M384-N384-O384</f>
        <v>271.008</v>
      </c>
      <c r="S384" s="105" t="n">
        <f aca="false">R384/E384</f>
        <v>135.504</v>
      </c>
      <c r="T384" s="106" t="s">
        <v>70</v>
      </c>
      <c r="U384" s="105" t="n">
        <f aca="false">M384-O384</f>
        <v>282.528</v>
      </c>
      <c r="V384" s="10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customFormat="false" ht="15.75" hidden="false" customHeight="true" outlineLevel="0" collapsed="false">
      <c r="A385" s="1"/>
      <c r="B385" s="102" t="n">
        <v>2470</v>
      </c>
      <c r="C385" s="102" t="str">
        <f aca="false">VLOOKUP(B385,ITENS!$B$3:$C$15,2,FALSE())</f>
        <v>CAMISA CHAMPIONS</v>
      </c>
      <c r="D385" s="102" t="s">
        <v>0</v>
      </c>
      <c r="E385" s="102" t="n">
        <v>2</v>
      </c>
      <c r="F385" s="102" t="str">
        <f aca="false">VLOOKUP(D385,FÓRMULAS!$A$2:$B$5,2,FALSE())</f>
        <v>SAÍDA</v>
      </c>
      <c r="G385" s="103" t="n">
        <v>45912</v>
      </c>
      <c r="H385" s="102" t="str">
        <f aca="false">TEXT(G385,"dddd")</f>
        <v>sexta-feira</v>
      </c>
      <c r="I385" s="102" t="s">
        <v>178</v>
      </c>
      <c r="J385" s="102" t="n">
        <v>1246</v>
      </c>
      <c r="K385" s="104" t="n">
        <v>360</v>
      </c>
      <c r="L385" s="104" t="n">
        <v>160</v>
      </c>
      <c r="M385" s="104" t="n">
        <f aca="false">K385-L385</f>
        <v>200</v>
      </c>
      <c r="N385" s="104" t="n">
        <f aca="false">M385*$C$2</f>
        <v>8</v>
      </c>
      <c r="O385" s="105" t="n">
        <f aca="false">M385*1.9%</f>
        <v>3.8</v>
      </c>
      <c r="P385" s="106" t="s">
        <v>7</v>
      </c>
      <c r="Q385" s="106" t="s">
        <v>55</v>
      </c>
      <c r="R385" s="105" t="n">
        <f aca="false">M385-N385-O385</f>
        <v>188.2</v>
      </c>
      <c r="S385" s="105" t="n">
        <f aca="false">R385/E385</f>
        <v>94.1</v>
      </c>
      <c r="T385" s="106" t="s">
        <v>70</v>
      </c>
      <c r="U385" s="105" t="n">
        <f aca="false">M385-O385</f>
        <v>196.2</v>
      </c>
      <c r="V385" s="10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customFormat="false" ht="15.75" hidden="false" customHeight="true" outlineLevel="0" collapsed="false">
      <c r="A386" s="1"/>
      <c r="B386" s="102" t="n">
        <v>2550</v>
      </c>
      <c r="C386" s="102" t="str">
        <f aca="false">VLOOKUP(B386,ITENS!$B$3:$C$15,2,FALSE())</f>
        <v>BONE LUXO</v>
      </c>
      <c r="D386" s="102" t="s">
        <v>0</v>
      </c>
      <c r="E386" s="102" t="n">
        <v>1</v>
      </c>
      <c r="F386" s="102" t="str">
        <f aca="false">VLOOKUP(D386,FÓRMULAS!$A$2:$B$5,2,FALSE())</f>
        <v>SAÍDA</v>
      </c>
      <c r="G386" s="103" t="n">
        <v>45912</v>
      </c>
      <c r="H386" s="102" t="str">
        <f aca="false">TEXT(G386,"dddd")</f>
        <v>sexta-feira</v>
      </c>
      <c r="I386" s="102" t="s">
        <v>178</v>
      </c>
      <c r="J386" s="102" t="n">
        <v>1246</v>
      </c>
      <c r="K386" s="104" t="n">
        <v>60</v>
      </c>
      <c r="L386" s="104" t="n">
        <v>12</v>
      </c>
      <c r="M386" s="104" t="n">
        <f aca="false">K386-L386</f>
        <v>48</v>
      </c>
      <c r="N386" s="104" t="n">
        <f aca="false">M386*$C$2</f>
        <v>1.92</v>
      </c>
      <c r="O386" s="105" t="n">
        <f aca="false">M386*1.9%</f>
        <v>0.912</v>
      </c>
      <c r="P386" s="106" t="s">
        <v>7</v>
      </c>
      <c r="Q386" s="106" t="s">
        <v>55</v>
      </c>
      <c r="R386" s="105" t="n">
        <f aca="false">M386-N386-O386</f>
        <v>45.168</v>
      </c>
      <c r="S386" s="105" t="n">
        <f aca="false">R386/E386</f>
        <v>45.168</v>
      </c>
      <c r="T386" s="106" t="s">
        <v>70</v>
      </c>
      <c r="U386" s="105" t="n">
        <f aca="false">M386-O386</f>
        <v>47.088</v>
      </c>
      <c r="V386" s="10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customFormat="false" ht="15.75" hidden="false" customHeight="true" outlineLevel="0" collapsed="false">
      <c r="A387" s="1"/>
      <c r="B387" s="102" t="n">
        <v>2470</v>
      </c>
      <c r="C387" s="102" t="str">
        <f aca="false">VLOOKUP(B387,ITENS!$B$3:$C$15,2,FALSE())</f>
        <v>CAMISA CHAMPIONS</v>
      </c>
      <c r="D387" s="102" t="s">
        <v>0</v>
      </c>
      <c r="E387" s="102" t="n">
        <v>1</v>
      </c>
      <c r="F387" s="102" t="str">
        <f aca="false">VLOOKUP(D387,FÓRMULAS!$A$2:$B$5,2,FALSE())</f>
        <v>SAÍDA</v>
      </c>
      <c r="G387" s="103" t="n">
        <v>45912</v>
      </c>
      <c r="H387" s="102" t="str">
        <f aca="false">TEXT(G387,"dddd")</f>
        <v>sexta-feira</v>
      </c>
      <c r="I387" s="102" t="s">
        <v>54</v>
      </c>
      <c r="J387" s="102" t="n">
        <v>1247</v>
      </c>
      <c r="K387" s="104" t="n">
        <v>180</v>
      </c>
      <c r="L387" s="104" t="n">
        <v>0</v>
      </c>
      <c r="M387" s="104" t="n">
        <f aca="false">K387-L387</f>
        <v>180</v>
      </c>
      <c r="N387" s="104" t="n">
        <f aca="false">M387*$C$2</f>
        <v>7.2</v>
      </c>
      <c r="O387" s="105" t="n">
        <v>0</v>
      </c>
      <c r="P387" s="106" t="s">
        <v>5</v>
      </c>
      <c r="Q387" s="106" t="str">
        <f aca="false">VLOOKUP(P387,FÓRMULAS!$A$7:$B$7,2,FALSE())</f>
        <v>-</v>
      </c>
      <c r="R387" s="105" t="n">
        <f aca="false">M387-N387-O387</f>
        <v>172.8</v>
      </c>
      <c r="S387" s="105" t="n">
        <f aca="false">R387/E387</f>
        <v>172.8</v>
      </c>
      <c r="T387" s="106" t="s">
        <v>70</v>
      </c>
      <c r="U387" s="105" t="n">
        <f aca="false">M387-O387</f>
        <v>180</v>
      </c>
      <c r="V387" s="10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customFormat="false" ht="15.75" hidden="false" customHeight="true" outlineLevel="0" collapsed="false">
      <c r="A388" s="1"/>
      <c r="B388" s="102" t="n">
        <v>2550</v>
      </c>
      <c r="C388" s="102" t="str">
        <f aca="false">VLOOKUP(B388,ITENS!$B$3:$C$15,2,FALSE())</f>
        <v>BONE LUXO</v>
      </c>
      <c r="D388" s="102" t="s">
        <v>0</v>
      </c>
      <c r="E388" s="102" t="n">
        <v>1</v>
      </c>
      <c r="F388" s="102" t="str">
        <f aca="false">VLOOKUP(D388,FÓRMULAS!$A$2:$B$5,2,FALSE())</f>
        <v>SAÍDA</v>
      </c>
      <c r="G388" s="103" t="n">
        <v>45913</v>
      </c>
      <c r="H388" s="102" t="str">
        <f aca="false">TEXT(G388,"dddd")</f>
        <v>sábado</v>
      </c>
      <c r="I388" s="102" t="s">
        <v>54</v>
      </c>
      <c r="J388" s="102" t="n">
        <v>1248</v>
      </c>
      <c r="K388" s="104" t="n">
        <v>60</v>
      </c>
      <c r="L388" s="104" t="n">
        <v>0</v>
      </c>
      <c r="M388" s="104" t="n">
        <f aca="false">K388-L388</f>
        <v>60</v>
      </c>
      <c r="N388" s="104" t="n">
        <f aca="false">M388*$C$2</f>
        <v>2.4</v>
      </c>
      <c r="O388" s="105" t="n">
        <f aca="false">M388*3.29%</f>
        <v>1.974</v>
      </c>
      <c r="P388" s="106" t="s">
        <v>9</v>
      </c>
      <c r="Q388" s="106" t="s">
        <v>55</v>
      </c>
      <c r="R388" s="105" t="n">
        <f aca="false">M388-N388-O388</f>
        <v>55.626</v>
      </c>
      <c r="S388" s="105" t="n">
        <f aca="false">R388/E388</f>
        <v>55.626</v>
      </c>
      <c r="T388" s="106" t="s">
        <v>71</v>
      </c>
      <c r="U388" s="105" t="n">
        <f aca="false">M388-O388</f>
        <v>58.026</v>
      </c>
      <c r="V388" s="10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customFormat="false" ht="15.75" hidden="false" customHeight="true" outlineLevel="0" collapsed="false">
      <c r="A389" s="1"/>
      <c r="B389" s="102" t="n">
        <v>2470</v>
      </c>
      <c r="C389" s="102" t="str">
        <f aca="false">VLOOKUP(B389,ITENS!$B$3:$C$15,2,FALSE())</f>
        <v>CAMISA CHAMPIONS</v>
      </c>
      <c r="D389" s="102" t="s">
        <v>0</v>
      </c>
      <c r="E389" s="102" t="n">
        <v>2</v>
      </c>
      <c r="F389" s="102" t="str">
        <f aca="false">VLOOKUP(D389,FÓRMULAS!$A$2:$B$5,2,FALSE())</f>
        <v>SAÍDA</v>
      </c>
      <c r="G389" s="103" t="n">
        <v>45913</v>
      </c>
      <c r="H389" s="102" t="str">
        <f aca="false">TEXT(G389,"dddd")</f>
        <v>sábado</v>
      </c>
      <c r="I389" s="102" t="s">
        <v>54</v>
      </c>
      <c r="J389" s="102" t="n">
        <v>1249</v>
      </c>
      <c r="K389" s="104" t="n">
        <v>360</v>
      </c>
      <c r="L389" s="104" t="n">
        <v>0</v>
      </c>
      <c r="M389" s="104" t="n">
        <f aca="false">K389-L389</f>
        <v>360</v>
      </c>
      <c r="N389" s="104" t="n">
        <f aca="false">M389*$C$2</f>
        <v>14.4</v>
      </c>
      <c r="O389" s="105" t="n">
        <f aca="false">M389*3.78%</f>
        <v>13.608</v>
      </c>
      <c r="P389" s="106" t="s">
        <v>10</v>
      </c>
      <c r="Q389" s="106" t="s">
        <v>62</v>
      </c>
      <c r="R389" s="105" t="n">
        <f aca="false">M389-N389-O389</f>
        <v>331.992</v>
      </c>
      <c r="S389" s="107" t="n">
        <f aca="false">R389/E389</f>
        <v>165.996</v>
      </c>
      <c r="T389" s="108" t="s">
        <v>71</v>
      </c>
      <c r="U389" s="118" t="n">
        <f aca="false">M389/2-O389/2</f>
        <v>173.196</v>
      </c>
      <c r="V389" s="110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customFormat="false" ht="15.75" hidden="false" customHeight="true" outlineLevel="0" collapsed="false">
      <c r="A390" s="1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7"/>
      <c r="T390" s="111" t="s">
        <v>72</v>
      </c>
      <c r="U390" s="119" t="n">
        <f aca="false">U389</f>
        <v>173.196</v>
      </c>
      <c r="V390" s="110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customFormat="false" ht="15.75" hidden="false" customHeight="true" outlineLevel="0" collapsed="false">
      <c r="A391" s="1"/>
      <c r="B391" s="102" t="n">
        <v>2470</v>
      </c>
      <c r="C391" s="102" t="str">
        <f aca="false">VLOOKUP(B391,ITENS!$B$3:$C$15,2,FALSE())</f>
        <v>CAMISA CHAMPIONS</v>
      </c>
      <c r="D391" s="102" t="s">
        <v>0</v>
      </c>
      <c r="E391" s="102" t="n">
        <v>1</v>
      </c>
      <c r="F391" s="102" t="str">
        <f aca="false">VLOOKUP(D391,FÓRMULAS!$A$2:$B$5,2,FALSE())</f>
        <v>SAÍDA</v>
      </c>
      <c r="G391" s="103" t="n">
        <v>45913</v>
      </c>
      <c r="H391" s="102" t="str">
        <f aca="false">TEXT(G391,"dddd")</f>
        <v>sábado</v>
      </c>
      <c r="I391" s="102" t="s">
        <v>54</v>
      </c>
      <c r="J391" s="102" t="n">
        <v>1250</v>
      </c>
      <c r="K391" s="104" t="n">
        <v>180</v>
      </c>
      <c r="L391" s="104" t="n">
        <v>0</v>
      </c>
      <c r="M391" s="104" t="n">
        <f aca="false">K391-L391</f>
        <v>180</v>
      </c>
      <c r="N391" s="104" t="n">
        <f aca="false">M391*$C$2</f>
        <v>7.2</v>
      </c>
      <c r="O391" s="105" t="n">
        <f aca="false">M391*3.78%</f>
        <v>6.804</v>
      </c>
      <c r="P391" s="106" t="s">
        <v>10</v>
      </c>
      <c r="Q391" s="106" t="s">
        <v>62</v>
      </c>
      <c r="R391" s="105" t="n">
        <f aca="false">M391-N391-O391</f>
        <v>165.996</v>
      </c>
      <c r="S391" s="107" t="n">
        <f aca="false">R391/E391</f>
        <v>165.996</v>
      </c>
      <c r="T391" s="108" t="s">
        <v>71</v>
      </c>
      <c r="U391" s="118" t="n">
        <f aca="false">M391/2-O391/2</f>
        <v>86.598</v>
      </c>
      <c r="V391" s="110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customFormat="false" ht="15.75" hidden="false" customHeight="true" outlineLevel="0" collapsed="false">
      <c r="A392" s="1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7"/>
      <c r="T392" s="111" t="s">
        <v>72</v>
      </c>
      <c r="U392" s="119" t="n">
        <f aca="false">U391</f>
        <v>86.598</v>
      </c>
      <c r="V392" s="110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customFormat="false" ht="15.75" hidden="false" customHeight="true" outlineLevel="0" collapsed="false">
      <c r="A393" s="1"/>
      <c r="B393" s="102" t="n">
        <v>2470</v>
      </c>
      <c r="C393" s="102" t="str">
        <f aca="false">VLOOKUP(B393,ITENS!$B$3:$C$15,2,FALSE())</f>
        <v>CAMISA CHAMPIONS</v>
      </c>
      <c r="D393" s="102" t="s">
        <v>0</v>
      </c>
      <c r="E393" s="102" t="n">
        <v>2</v>
      </c>
      <c r="F393" s="102" t="str">
        <f aca="false">VLOOKUP(D393,FÓRMULAS!$A$2:$B$5,2,FALSE())</f>
        <v>SAÍDA</v>
      </c>
      <c r="G393" s="103" t="n">
        <v>45916</v>
      </c>
      <c r="H393" s="102" t="str">
        <f aca="false">TEXT(G393,"dddd")</f>
        <v>terça-feira</v>
      </c>
      <c r="I393" s="102" t="s">
        <v>54</v>
      </c>
      <c r="J393" s="102" t="n">
        <v>1251</v>
      </c>
      <c r="K393" s="104" t="n">
        <v>360</v>
      </c>
      <c r="L393" s="104" t="n">
        <v>0</v>
      </c>
      <c r="M393" s="104" t="n">
        <f aca="false">K393-L393</f>
        <v>360</v>
      </c>
      <c r="N393" s="104" t="n">
        <f aca="false">M393*$C$2</f>
        <v>14.4</v>
      </c>
      <c r="O393" s="105" t="n">
        <f aca="false">M393*3.29%</f>
        <v>11.844</v>
      </c>
      <c r="P393" s="106" t="s">
        <v>9</v>
      </c>
      <c r="Q393" s="106" t="s">
        <v>62</v>
      </c>
      <c r="R393" s="105" t="n">
        <f aca="false">M393-N393-O393</f>
        <v>333.756</v>
      </c>
      <c r="S393" s="105" t="n">
        <f aca="false">R393/E393</f>
        <v>166.878</v>
      </c>
      <c r="T393" s="106" t="s">
        <v>71</v>
      </c>
      <c r="U393" s="105" t="n">
        <f aca="false">M393-O393</f>
        <v>348.156</v>
      </c>
      <c r="V393" s="10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customFormat="false" ht="15.75" hidden="false" customHeight="true" outlineLevel="0" collapsed="false">
      <c r="A394" s="1"/>
      <c r="B394" s="102" t="n">
        <v>2470</v>
      </c>
      <c r="C394" s="102" t="str">
        <f aca="false">VLOOKUP(B394,ITENS!$B$3:$C$15,2,FALSE())</f>
        <v>CAMISA CHAMPIONS</v>
      </c>
      <c r="D394" s="102" t="s">
        <v>0</v>
      </c>
      <c r="E394" s="102" t="n">
        <v>2</v>
      </c>
      <c r="F394" s="102" t="str">
        <f aca="false">VLOOKUP(D394,FÓRMULAS!$A$2:$B$5,2,FALSE())</f>
        <v>SAÍDA</v>
      </c>
      <c r="G394" s="103" t="n">
        <v>45919</v>
      </c>
      <c r="H394" s="102" t="str">
        <f aca="false">TEXT(G394,"dddd")</f>
        <v>sexta-feira</v>
      </c>
      <c r="I394" s="102" t="s">
        <v>54</v>
      </c>
      <c r="J394" s="102" t="n">
        <v>1252</v>
      </c>
      <c r="K394" s="104" t="n">
        <v>360</v>
      </c>
      <c r="L394" s="104" t="n">
        <v>72</v>
      </c>
      <c r="M394" s="104" t="n">
        <f aca="false">K394-L394</f>
        <v>288</v>
      </c>
      <c r="N394" s="104" t="n">
        <f aca="false">M394*$C$2</f>
        <v>11.52</v>
      </c>
      <c r="O394" s="105" t="n">
        <f aca="false">M394*3.29%</f>
        <v>9.4752</v>
      </c>
      <c r="P394" s="106" t="s">
        <v>9</v>
      </c>
      <c r="Q394" s="106" t="s">
        <v>55</v>
      </c>
      <c r="R394" s="105" t="n">
        <f aca="false">M394-N394-O394</f>
        <v>267.0048</v>
      </c>
      <c r="S394" s="105" t="n">
        <f aca="false">R394/E394</f>
        <v>133.5024</v>
      </c>
      <c r="T394" s="106" t="s">
        <v>71</v>
      </c>
      <c r="U394" s="105" t="n">
        <f aca="false">M394-O394</f>
        <v>278.5248</v>
      </c>
      <c r="V394" s="10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customFormat="false" ht="15.75" hidden="false" customHeight="true" outlineLevel="0" collapsed="false">
      <c r="A395" s="151"/>
      <c r="B395" s="120" t="n">
        <v>3007</v>
      </c>
      <c r="C395" s="120" t="str">
        <f aca="false">VLOOKUP(B395,ITENS!$B$3:$C$15,2,FALSE())</f>
        <v>CAMISA POLO</v>
      </c>
      <c r="D395" s="120" t="s">
        <v>0</v>
      </c>
      <c r="E395" s="120" t="n">
        <v>1</v>
      </c>
      <c r="F395" s="120" t="str">
        <f aca="false">VLOOKUP(D395,FÓRMULAS!$A$2:$B$5,2,FALSE())</f>
        <v>SAÍDA</v>
      </c>
      <c r="G395" s="121" t="n">
        <v>45920</v>
      </c>
      <c r="H395" s="120" t="str">
        <f aca="false">TEXT(G395,"dddd")</f>
        <v>sábado</v>
      </c>
      <c r="I395" s="120" t="s">
        <v>54</v>
      </c>
      <c r="J395" s="120" t="n">
        <v>1255</v>
      </c>
      <c r="K395" s="122" t="n">
        <v>200</v>
      </c>
      <c r="L395" s="122" t="n">
        <v>0</v>
      </c>
      <c r="M395" s="122" t="n">
        <f aca="false">K395-L395</f>
        <v>200</v>
      </c>
      <c r="N395" s="122" t="n">
        <f aca="false">M395*$C$2</f>
        <v>8</v>
      </c>
      <c r="O395" s="123" t="s">
        <v>6</v>
      </c>
      <c r="P395" s="124" t="s">
        <v>6</v>
      </c>
      <c r="Q395" s="124" t="s">
        <v>6</v>
      </c>
      <c r="R395" s="124" t="s">
        <v>6</v>
      </c>
      <c r="S395" s="124" t="s">
        <v>6</v>
      </c>
      <c r="T395" s="152" t="s">
        <v>6</v>
      </c>
      <c r="U395" s="152" t="s">
        <v>6</v>
      </c>
      <c r="V395" s="120" t="s">
        <v>179</v>
      </c>
      <c r="W395" s="151"/>
      <c r="X395" s="151"/>
      <c r="Y395" s="151"/>
      <c r="Z395" s="151"/>
      <c r="AA395" s="151"/>
      <c r="AB395" s="151"/>
      <c r="AC395" s="151"/>
      <c r="AD395" s="151"/>
      <c r="AE395" s="151"/>
      <c r="AF395" s="151"/>
      <c r="AG395" s="151"/>
      <c r="AH395" s="151"/>
      <c r="AI395" s="151"/>
      <c r="AJ395" s="151"/>
      <c r="AK395" s="151"/>
      <c r="AL395" s="151"/>
      <c r="AM395" s="151"/>
      <c r="AN395" s="151"/>
      <c r="AO395" s="151"/>
      <c r="AP395" s="151"/>
      <c r="AQ395" s="151"/>
      <c r="AR395" s="151"/>
    </row>
    <row r="396" customFormat="false" ht="15.75" hidden="false" customHeight="true" outlineLevel="0" collapsed="false">
      <c r="A396" s="1"/>
      <c r="B396" s="102" t="n">
        <v>2470</v>
      </c>
      <c r="C396" s="102" t="str">
        <f aca="false">VLOOKUP(B396,ITENS!$B$3:$C$15,2,FALSE())</f>
        <v>CAMISA CHAMPIONS</v>
      </c>
      <c r="D396" s="102" t="s">
        <v>0</v>
      </c>
      <c r="E396" s="102" t="n">
        <v>1</v>
      </c>
      <c r="F396" s="102" t="str">
        <f aca="false">VLOOKUP(D396,FÓRMULAS!$A$2:$B$5,2,FALSE())</f>
        <v>SAÍDA</v>
      </c>
      <c r="G396" s="103" t="n">
        <v>45920</v>
      </c>
      <c r="H396" s="102" t="str">
        <f aca="false">TEXT(G396,"dddd")</f>
        <v>sábado</v>
      </c>
      <c r="I396" s="102" t="s">
        <v>54</v>
      </c>
      <c r="J396" s="102" t="n">
        <v>1256</v>
      </c>
      <c r="K396" s="104" t="n">
        <v>180</v>
      </c>
      <c r="L396" s="104" t="n">
        <v>0</v>
      </c>
      <c r="M396" s="104" t="n">
        <f aca="false">K396-L396</f>
        <v>180</v>
      </c>
      <c r="N396" s="104" t="n">
        <f aca="false">M396*$C$2</f>
        <v>7.2</v>
      </c>
      <c r="O396" s="105" t="n">
        <f aca="false">M396*2.9%</f>
        <v>5.22</v>
      </c>
      <c r="P396" s="106" t="s">
        <v>10</v>
      </c>
      <c r="Q396" s="106" t="s">
        <v>55</v>
      </c>
      <c r="R396" s="105" t="n">
        <f aca="false">M396-N396-O396</f>
        <v>167.58</v>
      </c>
      <c r="S396" s="107" t="n">
        <f aca="false">R396/E396</f>
        <v>167.58</v>
      </c>
      <c r="T396" s="108" t="s">
        <v>71</v>
      </c>
      <c r="U396" s="118" t="n">
        <f aca="false">M396/2-O396/2</f>
        <v>87.39</v>
      </c>
      <c r="V396" s="110" t="s">
        <v>180</v>
      </c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customFormat="false" ht="15.75" hidden="false" customHeight="true" outlineLevel="0" collapsed="false">
      <c r="A397" s="1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7"/>
      <c r="T397" s="111" t="s">
        <v>72</v>
      </c>
      <c r="U397" s="119" t="n">
        <f aca="false">U396</f>
        <v>87.39</v>
      </c>
      <c r="V397" s="110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customFormat="false" ht="15.75" hidden="false" customHeight="true" outlineLevel="0" collapsed="false">
      <c r="A398" s="1"/>
      <c r="B398" s="102" t="n">
        <v>2470</v>
      </c>
      <c r="C398" s="102" t="str">
        <f aca="false">VLOOKUP(B398,ITENS!$B$3:$C$15,2,FALSE())</f>
        <v>CAMISA CHAMPIONS</v>
      </c>
      <c r="D398" s="102" t="s">
        <v>0</v>
      </c>
      <c r="E398" s="102" t="n">
        <v>2</v>
      </c>
      <c r="F398" s="102" t="str">
        <f aca="false">VLOOKUP(D398,FÓRMULAS!$A$2:$B$5,2,FALSE())</f>
        <v>SAÍDA</v>
      </c>
      <c r="G398" s="103" t="n">
        <v>45920</v>
      </c>
      <c r="H398" s="102" t="str">
        <f aca="false">TEXT(G398,"dddd")</f>
        <v>sábado</v>
      </c>
      <c r="I398" s="102" t="s">
        <v>54</v>
      </c>
      <c r="J398" s="102" t="n">
        <v>1257</v>
      </c>
      <c r="K398" s="104" t="n">
        <v>360</v>
      </c>
      <c r="L398" s="104" t="n">
        <v>0</v>
      </c>
      <c r="M398" s="104" t="n">
        <f aca="false">K398-L398</f>
        <v>360</v>
      </c>
      <c r="N398" s="104" t="n">
        <f aca="false">M398*$C$2</f>
        <v>14.4</v>
      </c>
      <c r="O398" s="105" t="n">
        <f aca="false">M398*2.9%</f>
        <v>10.44</v>
      </c>
      <c r="P398" s="106" t="s">
        <v>10</v>
      </c>
      <c r="Q398" s="106" t="s">
        <v>55</v>
      </c>
      <c r="R398" s="105" t="n">
        <f aca="false">M398-N398-O398</f>
        <v>335.16</v>
      </c>
      <c r="S398" s="107" t="n">
        <f aca="false">R398/E398</f>
        <v>167.58</v>
      </c>
      <c r="T398" s="108" t="s">
        <v>71</v>
      </c>
      <c r="U398" s="118" t="n">
        <f aca="false">M398/2-O398/2</f>
        <v>174.78</v>
      </c>
      <c r="V398" s="110" t="s">
        <v>180</v>
      </c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customFormat="false" ht="15.75" hidden="false" customHeight="true" outlineLevel="0" collapsed="false">
      <c r="A399" s="1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7"/>
      <c r="T399" s="111" t="s">
        <v>72</v>
      </c>
      <c r="U399" s="119" t="n">
        <f aca="false">U398</f>
        <v>174.78</v>
      </c>
      <c r="V399" s="110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customFormat="false" ht="15.75" hidden="false" customHeight="true" outlineLevel="0" collapsed="false">
      <c r="A400" s="1"/>
      <c r="B400" s="102" t="n">
        <v>2470</v>
      </c>
      <c r="C400" s="102" t="str">
        <f aca="false">VLOOKUP(B400,ITENS!$B$3:$C$15,2,FALSE())</f>
        <v>CAMISA CHAMPIONS</v>
      </c>
      <c r="D400" s="102" t="s">
        <v>0</v>
      </c>
      <c r="E400" s="102" t="n">
        <v>1</v>
      </c>
      <c r="F400" s="102" t="str">
        <f aca="false">VLOOKUP(D400,FÓRMULAS!$A$2:$B$5,2,FALSE())</f>
        <v>SAÍDA</v>
      </c>
      <c r="G400" s="103" t="n">
        <v>45925</v>
      </c>
      <c r="H400" s="102" t="str">
        <f aca="false">TEXT(G400,"dddd")</f>
        <v>quinta-feira</v>
      </c>
      <c r="I400" s="102" t="s">
        <v>181</v>
      </c>
      <c r="J400" s="102" t="n">
        <v>1258</v>
      </c>
      <c r="K400" s="104" t="n">
        <v>180</v>
      </c>
      <c r="L400" s="104" t="n">
        <v>36</v>
      </c>
      <c r="M400" s="104" t="n">
        <f aca="false">K400-L400</f>
        <v>144</v>
      </c>
      <c r="N400" s="104" t="n">
        <f aca="false">M400*$C$2</f>
        <v>5.76</v>
      </c>
      <c r="O400" s="105" t="n">
        <f aca="false">M400*1.65%</f>
        <v>2.376</v>
      </c>
      <c r="P400" s="106" t="s">
        <v>7</v>
      </c>
      <c r="Q400" s="106" t="s">
        <v>55</v>
      </c>
      <c r="R400" s="105" t="n">
        <f aca="false">M400-N400-O400</f>
        <v>135.864</v>
      </c>
      <c r="S400" s="105" t="n">
        <f aca="false">R400/E400</f>
        <v>135.864</v>
      </c>
      <c r="T400" s="106" t="s">
        <v>70</v>
      </c>
      <c r="U400" s="105" t="n">
        <f aca="false">M400-O400</f>
        <v>141.624</v>
      </c>
      <c r="V400" s="102" t="s">
        <v>180</v>
      </c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customFormat="false" ht="15.75" hidden="false" customHeight="true" outlineLevel="0" collapsed="false">
      <c r="A401" s="1"/>
      <c r="B401" s="102" t="n">
        <v>2470</v>
      </c>
      <c r="C401" s="102" t="str">
        <f aca="false">VLOOKUP(B401,ITENS!$B$3:$C$15,2,FALSE())</f>
        <v>CAMISA CHAMPIONS</v>
      </c>
      <c r="D401" s="102" t="s">
        <v>0</v>
      </c>
      <c r="E401" s="102" t="n">
        <v>1</v>
      </c>
      <c r="F401" s="102" t="str">
        <f aca="false">VLOOKUP(D401,FÓRMULAS!$A$2:$B$5,2,FALSE())</f>
        <v>SAÍDA</v>
      </c>
      <c r="G401" s="103" t="n">
        <v>45926</v>
      </c>
      <c r="H401" s="102" t="str">
        <f aca="false">TEXT(G401,"dddd")</f>
        <v>sexta-feira</v>
      </c>
      <c r="I401" s="102" t="s">
        <v>54</v>
      </c>
      <c r="J401" s="102" t="n">
        <v>1259</v>
      </c>
      <c r="K401" s="104" t="n">
        <v>180</v>
      </c>
      <c r="L401" s="104" t="n">
        <v>0</v>
      </c>
      <c r="M401" s="104" t="n">
        <f aca="false">K401-L401</f>
        <v>180</v>
      </c>
      <c r="N401" s="104" t="n">
        <f aca="false">M401*$C$2</f>
        <v>7.2</v>
      </c>
      <c r="O401" s="105" t="n">
        <f aca="false">M401*2.71%</f>
        <v>4.878</v>
      </c>
      <c r="P401" s="106" t="s">
        <v>9</v>
      </c>
      <c r="Q401" s="106" t="s">
        <v>55</v>
      </c>
      <c r="R401" s="105" t="n">
        <f aca="false">M401-N401-O401</f>
        <v>167.922</v>
      </c>
      <c r="S401" s="105" t="n">
        <f aca="false">R401/E401</f>
        <v>167.922</v>
      </c>
      <c r="T401" s="106" t="s">
        <v>71</v>
      </c>
      <c r="U401" s="105" t="n">
        <f aca="false">M401-O401</f>
        <v>175.122</v>
      </c>
      <c r="V401" s="102" t="s">
        <v>180</v>
      </c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customFormat="false" ht="15.75" hidden="false" customHeight="true" outlineLevel="0" collapsed="false">
      <c r="A402" s="1"/>
      <c r="B402" s="102" t="n">
        <v>2470</v>
      </c>
      <c r="C402" s="102" t="str">
        <f aca="false">VLOOKUP(B402,ITENS!$B$3:$C$15,2,FALSE())</f>
        <v>CAMISA CHAMPIONS</v>
      </c>
      <c r="D402" s="102" t="s">
        <v>0</v>
      </c>
      <c r="E402" s="102" t="n">
        <v>1</v>
      </c>
      <c r="F402" s="102" t="str">
        <f aca="false">VLOOKUP(D402,FÓRMULAS!$A$2:$B$5,2,FALSE())</f>
        <v>SAÍDA</v>
      </c>
      <c r="G402" s="103" t="n">
        <v>45926</v>
      </c>
      <c r="H402" s="102" t="str">
        <f aca="false">TEXT(G402,"dddd")</f>
        <v>sexta-feira</v>
      </c>
      <c r="I402" s="102" t="s">
        <v>54</v>
      </c>
      <c r="J402" s="102" t="n">
        <v>1260</v>
      </c>
      <c r="K402" s="104" t="n">
        <v>180</v>
      </c>
      <c r="L402" s="104" t="n">
        <v>0</v>
      </c>
      <c r="M402" s="104" t="n">
        <f aca="false">K402-L402</f>
        <v>180</v>
      </c>
      <c r="N402" s="104" t="n">
        <f aca="false">M402*$C$2</f>
        <v>7.2</v>
      </c>
      <c r="O402" s="105" t="n">
        <f aca="false">M402*1.65%</f>
        <v>2.97</v>
      </c>
      <c r="P402" s="106" t="s">
        <v>7</v>
      </c>
      <c r="Q402" s="106" t="s">
        <v>55</v>
      </c>
      <c r="R402" s="105" t="n">
        <f aca="false">M402-N402-O402</f>
        <v>169.83</v>
      </c>
      <c r="S402" s="105" t="n">
        <f aca="false">R402/E402</f>
        <v>169.83</v>
      </c>
      <c r="T402" s="106" t="s">
        <v>70</v>
      </c>
      <c r="U402" s="105" t="n">
        <f aca="false">M402-O402</f>
        <v>177.03</v>
      </c>
      <c r="V402" s="102" t="s">
        <v>180</v>
      </c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customFormat="false" ht="15.75" hidden="false" customHeight="true" outlineLevel="0" collapsed="false">
      <c r="A403" s="1"/>
      <c r="B403" s="102" t="n">
        <v>2470</v>
      </c>
      <c r="C403" s="102" t="str">
        <f aca="false">VLOOKUP(B403,ITENS!$B$3:$C$15,2,FALSE())</f>
        <v>CAMISA CHAMPIONS</v>
      </c>
      <c r="D403" s="102" t="s">
        <v>0</v>
      </c>
      <c r="E403" s="102" t="n">
        <v>2</v>
      </c>
      <c r="F403" s="102" t="str">
        <f aca="false">VLOOKUP(D403,FÓRMULAS!$A$2:$B$5,2,FALSE())</f>
        <v>SAÍDA</v>
      </c>
      <c r="G403" s="103" t="n">
        <v>45927</v>
      </c>
      <c r="H403" s="102" t="str">
        <f aca="false">TEXT(G403,"dddd")</f>
        <v>sábado</v>
      </c>
      <c r="I403" s="102" t="s">
        <v>54</v>
      </c>
      <c r="J403" s="102" t="n">
        <v>1261</v>
      </c>
      <c r="K403" s="104" t="n">
        <v>360</v>
      </c>
      <c r="L403" s="104" t="n">
        <v>0</v>
      </c>
      <c r="M403" s="104" t="n">
        <f aca="false">K403-L403</f>
        <v>360</v>
      </c>
      <c r="N403" s="104" t="n">
        <f aca="false">M403*$C$2</f>
        <v>14.4</v>
      </c>
      <c r="O403" s="105" t="n">
        <f aca="false">M403*0.75%</f>
        <v>2.7</v>
      </c>
      <c r="P403" s="106" t="s">
        <v>5</v>
      </c>
      <c r="Q403" s="106" t="s">
        <v>6</v>
      </c>
      <c r="R403" s="105" t="n">
        <f aca="false">M403-N403-O403</f>
        <v>342.9</v>
      </c>
      <c r="S403" s="105" t="n">
        <f aca="false">R403/E403</f>
        <v>171.45</v>
      </c>
      <c r="T403" s="106" t="s">
        <v>70</v>
      </c>
      <c r="U403" s="105" t="n">
        <f aca="false">M403-O403</f>
        <v>357.3</v>
      </c>
      <c r="V403" s="102" t="s">
        <v>180</v>
      </c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customFormat="false" ht="15.75" hidden="false" customHeight="true" outlineLevel="0" collapsed="false">
      <c r="A404" s="1"/>
      <c r="B404" s="102" t="n">
        <v>2470</v>
      </c>
      <c r="C404" s="102" t="str">
        <f aca="false">VLOOKUP(B404,ITENS!$B$3:$C$15,2,FALSE())</f>
        <v>CAMISA CHAMPIONS</v>
      </c>
      <c r="D404" s="102" t="s">
        <v>0</v>
      </c>
      <c r="E404" s="102" t="n">
        <v>1</v>
      </c>
      <c r="F404" s="102" t="str">
        <f aca="false">VLOOKUP(D404,FÓRMULAS!$A$2:$B$5,2,FALSE())</f>
        <v>SAÍDA</v>
      </c>
      <c r="G404" s="103" t="n">
        <v>45927</v>
      </c>
      <c r="H404" s="102" t="str">
        <f aca="false">TEXT(G404,"dddd")</f>
        <v>sábado</v>
      </c>
      <c r="I404" s="102" t="s">
        <v>54</v>
      </c>
      <c r="J404" s="102" t="n">
        <v>1262</v>
      </c>
      <c r="K404" s="104" t="n">
        <v>180</v>
      </c>
      <c r="L404" s="104" t="n">
        <v>80</v>
      </c>
      <c r="M404" s="104" t="n">
        <f aca="false">K404-L404</f>
        <v>100</v>
      </c>
      <c r="N404" s="104" t="n">
        <f aca="false">M404*$C$2</f>
        <v>4</v>
      </c>
      <c r="O404" s="105" t="n">
        <f aca="false">M404*1.65%</f>
        <v>1.65</v>
      </c>
      <c r="P404" s="106" t="s">
        <v>7</v>
      </c>
      <c r="Q404" s="106" t="s">
        <v>55</v>
      </c>
      <c r="R404" s="105" t="n">
        <f aca="false">M404-N404-O404</f>
        <v>94.35</v>
      </c>
      <c r="S404" s="105" t="n">
        <f aca="false">R404/E404</f>
        <v>94.35</v>
      </c>
      <c r="T404" s="106" t="s">
        <v>70</v>
      </c>
      <c r="U404" s="105" t="n">
        <f aca="false">M404-O404</f>
        <v>98.35</v>
      </c>
      <c r="V404" s="102" t="s">
        <v>180</v>
      </c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customFormat="false" ht="15.75" hidden="false" customHeight="true" outlineLevel="0" collapsed="false">
      <c r="A405" s="1"/>
      <c r="B405" s="102" t="n">
        <v>2470</v>
      </c>
      <c r="C405" s="102" t="str">
        <f aca="false">VLOOKUP(B405,ITENS!$B$3:$C$15,2,FALSE())</f>
        <v>CAMISA CHAMPIONS</v>
      </c>
      <c r="D405" s="102" t="s">
        <v>0</v>
      </c>
      <c r="E405" s="102" t="n">
        <v>1</v>
      </c>
      <c r="F405" s="102" t="str">
        <f aca="false">VLOOKUP(D405,FÓRMULAS!$A$2:$B$5,2,FALSE())</f>
        <v>SAÍDA</v>
      </c>
      <c r="G405" s="103" t="n">
        <v>45928</v>
      </c>
      <c r="H405" s="102" t="str">
        <f aca="false">TEXT(G405,"dddd")</f>
        <v>domingo</v>
      </c>
      <c r="I405" s="102" t="s">
        <v>54</v>
      </c>
      <c r="J405" s="102" t="n">
        <v>1263</v>
      </c>
      <c r="K405" s="104" t="n">
        <v>180</v>
      </c>
      <c r="L405" s="104" t="n">
        <v>0</v>
      </c>
      <c r="M405" s="104" t="n">
        <f aca="false">K405-L405</f>
        <v>180</v>
      </c>
      <c r="N405" s="104" t="n">
        <f aca="false">M405*$C$2</f>
        <v>7.2</v>
      </c>
      <c r="O405" s="105" t="n">
        <f aca="false">M405*1.65%</f>
        <v>2.97</v>
      </c>
      <c r="P405" s="106" t="s">
        <v>7</v>
      </c>
      <c r="Q405" s="106" t="s">
        <v>55</v>
      </c>
      <c r="R405" s="105" t="n">
        <f aca="false">M405-N405-O405</f>
        <v>169.83</v>
      </c>
      <c r="S405" s="105" t="n">
        <f aca="false">R405/E405</f>
        <v>169.83</v>
      </c>
      <c r="T405" s="106" t="s">
        <v>70</v>
      </c>
      <c r="U405" s="105" t="n">
        <f aca="false">M405-O405</f>
        <v>177.03</v>
      </c>
      <c r="V405" s="102" t="s">
        <v>180</v>
      </c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customFormat="false" ht="15.75" hidden="false" customHeight="true" outlineLevel="0" collapsed="false">
      <c r="A406" s="1"/>
      <c r="B406" s="102" t="n">
        <v>2470</v>
      </c>
      <c r="C406" s="102" t="str">
        <f aca="false">VLOOKUP(B406,ITENS!$B$3:$C$15,2,FALSE())</f>
        <v>CAMISA CHAMPIONS</v>
      </c>
      <c r="D406" s="102" t="s">
        <v>0</v>
      </c>
      <c r="E406" s="102" t="n">
        <v>1</v>
      </c>
      <c r="F406" s="102" t="str">
        <f aca="false">VLOOKUP(D406,FÓRMULAS!$A$2:$B$5,2,FALSE())</f>
        <v>SAÍDA</v>
      </c>
      <c r="G406" s="103" t="n">
        <v>45928</v>
      </c>
      <c r="H406" s="102" t="str">
        <f aca="false">TEXT(G406,"dddd")</f>
        <v>domingo</v>
      </c>
      <c r="I406" s="102" t="s">
        <v>54</v>
      </c>
      <c r="J406" s="102" t="n">
        <v>1264</v>
      </c>
      <c r="K406" s="104" t="n">
        <v>180</v>
      </c>
      <c r="L406" s="104" t="n">
        <v>0</v>
      </c>
      <c r="M406" s="104" t="n">
        <f aca="false">K406-L406</f>
        <v>180</v>
      </c>
      <c r="N406" s="104" t="n">
        <f aca="false">M406*$C$2</f>
        <v>7.2</v>
      </c>
      <c r="O406" s="105" t="n">
        <f aca="false">M406*1.65%</f>
        <v>2.97</v>
      </c>
      <c r="P406" s="106" t="s">
        <v>7</v>
      </c>
      <c r="Q406" s="106" t="s">
        <v>55</v>
      </c>
      <c r="R406" s="105" t="n">
        <f aca="false">M406-N406-O406</f>
        <v>169.83</v>
      </c>
      <c r="S406" s="105" t="n">
        <f aca="false">R406/E406</f>
        <v>169.83</v>
      </c>
      <c r="T406" s="106" t="s">
        <v>70</v>
      </c>
      <c r="U406" s="105" t="n">
        <f aca="false">M406-O406</f>
        <v>177.03</v>
      </c>
      <c r="V406" s="102" t="s">
        <v>180</v>
      </c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customFormat="false" ht="15.75" hidden="false" customHeight="true" outlineLevel="0" collapsed="false">
      <c r="A407" s="1"/>
      <c r="B407" s="102" t="n">
        <v>2470</v>
      </c>
      <c r="C407" s="102" t="str">
        <f aca="false">VLOOKUP(B407,ITENS!$B$3:$C$15,2,FALSE())</f>
        <v>CAMISA CHAMPIONS</v>
      </c>
      <c r="D407" s="102" t="s">
        <v>0</v>
      </c>
      <c r="E407" s="102" t="n">
        <v>1</v>
      </c>
      <c r="F407" s="102" t="str">
        <f aca="false">VLOOKUP(D407,FÓRMULAS!$A$2:$B$5,2,FALSE())</f>
        <v>SAÍDA</v>
      </c>
      <c r="G407" s="103" t="n">
        <v>45928</v>
      </c>
      <c r="H407" s="102" t="str">
        <f aca="false">TEXT(G407,"dddd")</f>
        <v>domingo</v>
      </c>
      <c r="I407" s="102" t="s">
        <v>54</v>
      </c>
      <c r="J407" s="102" t="n">
        <v>1265</v>
      </c>
      <c r="K407" s="104" t="n">
        <v>180</v>
      </c>
      <c r="L407" s="104" t="n">
        <v>0</v>
      </c>
      <c r="M407" s="104" t="n">
        <f aca="false">K407-L407</f>
        <v>180</v>
      </c>
      <c r="N407" s="104" t="n">
        <f aca="false">M407*$C$2</f>
        <v>7.2</v>
      </c>
      <c r="O407" s="105" t="n">
        <f aca="false">M407*2.9%</f>
        <v>5.22</v>
      </c>
      <c r="P407" s="106" t="s">
        <v>10</v>
      </c>
      <c r="Q407" s="106" t="s">
        <v>55</v>
      </c>
      <c r="R407" s="105" t="n">
        <f aca="false">M407-N407-O407</f>
        <v>167.58</v>
      </c>
      <c r="S407" s="107" t="n">
        <f aca="false">R407/E407</f>
        <v>167.58</v>
      </c>
      <c r="T407" s="108" t="s">
        <v>71</v>
      </c>
      <c r="U407" s="118" t="n">
        <f aca="false">M407/2-O407/2</f>
        <v>87.39</v>
      </c>
      <c r="V407" s="102" t="s">
        <v>180</v>
      </c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customFormat="false" ht="15.75" hidden="false" customHeight="true" outlineLevel="0" collapsed="false">
      <c r="A408" s="1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7"/>
      <c r="T408" s="111" t="s">
        <v>72</v>
      </c>
      <c r="U408" s="119" t="n">
        <f aca="false">U407</f>
        <v>87.39</v>
      </c>
      <c r="V408" s="10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customFormat="false" ht="15.75" hidden="false" customHeight="true" outlineLevel="0" collapsed="false">
      <c r="A409" s="1"/>
      <c r="B409" s="102" t="n">
        <v>2470</v>
      </c>
      <c r="C409" s="102" t="str">
        <f aca="false">VLOOKUP(B409,ITENS!$B$3:$C$15,2,FALSE())</f>
        <v>CAMISA CHAMPIONS</v>
      </c>
      <c r="D409" s="102" t="s">
        <v>0</v>
      </c>
      <c r="E409" s="102" t="n">
        <v>1</v>
      </c>
      <c r="F409" s="102" t="str">
        <f aca="false">VLOOKUP(D409,FÓRMULAS!$A$2:$B$5,2,FALSE())</f>
        <v>SAÍDA</v>
      </c>
      <c r="G409" s="103" t="n">
        <v>45928</v>
      </c>
      <c r="H409" s="102" t="str">
        <f aca="false">TEXT(G409,"dddd")</f>
        <v>domingo</v>
      </c>
      <c r="I409" s="102" t="s">
        <v>54</v>
      </c>
      <c r="J409" s="102" t="n">
        <v>1266</v>
      </c>
      <c r="K409" s="104" t="n">
        <v>180</v>
      </c>
      <c r="L409" s="104" t="n">
        <v>0</v>
      </c>
      <c r="M409" s="104" t="n">
        <f aca="false">K409-L409</f>
        <v>180</v>
      </c>
      <c r="N409" s="104" t="n">
        <f aca="false">M409*$C$2</f>
        <v>7.2</v>
      </c>
      <c r="O409" s="105" t="n">
        <f aca="false">M409*2.9%</f>
        <v>5.22</v>
      </c>
      <c r="P409" s="106" t="s">
        <v>10</v>
      </c>
      <c r="Q409" s="106" t="s">
        <v>62</v>
      </c>
      <c r="R409" s="105" t="n">
        <f aca="false">M409-N409-O409</f>
        <v>167.58</v>
      </c>
      <c r="S409" s="107" t="n">
        <f aca="false">R409/E409</f>
        <v>167.58</v>
      </c>
      <c r="T409" s="108" t="s">
        <v>71</v>
      </c>
      <c r="U409" s="118" t="n">
        <f aca="false">M409/2-O409/2</f>
        <v>87.39</v>
      </c>
      <c r="V409" s="102" t="s">
        <v>180</v>
      </c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customFormat="false" ht="15.75" hidden="false" customHeight="true" outlineLevel="0" collapsed="false">
      <c r="A410" s="1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7"/>
      <c r="T410" s="111" t="s">
        <v>72</v>
      </c>
      <c r="U410" s="119" t="n">
        <f aca="false">U409</f>
        <v>87.39</v>
      </c>
      <c r="V410" s="10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customFormat="false" ht="15.75" hidden="false" customHeight="true" outlineLevel="0" collapsed="false">
      <c r="A411" s="1"/>
      <c r="B411" s="102" t="n">
        <v>2470</v>
      </c>
      <c r="C411" s="102" t="str">
        <f aca="false">VLOOKUP(B411,ITENS!$B$3:$C$15,2,FALSE())</f>
        <v>CAMISA CHAMPIONS</v>
      </c>
      <c r="D411" s="102" t="s">
        <v>0</v>
      </c>
      <c r="E411" s="102" t="n">
        <v>1</v>
      </c>
      <c r="F411" s="102" t="str">
        <f aca="false">VLOOKUP(D411,FÓRMULAS!$A$2:$B$5,2,FALSE())</f>
        <v>SAÍDA</v>
      </c>
      <c r="G411" s="103" t="n">
        <v>45929</v>
      </c>
      <c r="H411" s="102" t="str">
        <f aca="false">TEXT(G411,"dddd")</f>
        <v>segunda-feira</v>
      </c>
      <c r="I411" s="102" t="s">
        <v>54</v>
      </c>
      <c r="J411" s="102" t="n">
        <v>1267</v>
      </c>
      <c r="K411" s="104" t="n">
        <v>180</v>
      </c>
      <c r="L411" s="104" t="n">
        <v>80</v>
      </c>
      <c r="M411" s="104" t="n">
        <f aca="false">K411-L411</f>
        <v>100</v>
      </c>
      <c r="N411" s="104" t="n">
        <f aca="false">M411*$C$2</f>
        <v>4</v>
      </c>
      <c r="O411" s="105" t="n">
        <f aca="false">M411*0.75%</f>
        <v>0.75</v>
      </c>
      <c r="P411" s="106" t="s">
        <v>5</v>
      </c>
      <c r="Q411" s="106" t="s">
        <v>6</v>
      </c>
      <c r="R411" s="105" t="n">
        <f aca="false">M411-N411-O411</f>
        <v>95.25</v>
      </c>
      <c r="S411" s="105" t="n">
        <f aca="false">R411/E411</f>
        <v>95.25</v>
      </c>
      <c r="T411" s="106" t="s">
        <v>70</v>
      </c>
      <c r="U411" s="105" t="n">
        <f aca="false">M411-O411</f>
        <v>99.25</v>
      </c>
      <c r="V411" s="102" t="s">
        <v>180</v>
      </c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customFormat="false" ht="15.75" hidden="false" customHeight="true" outlineLevel="0" collapsed="false">
      <c r="A412" s="20"/>
      <c r="B412" s="20"/>
      <c r="C412" s="20"/>
      <c r="D412" s="20"/>
      <c r="E412" s="20"/>
      <c r="F412" s="20"/>
      <c r="G412" s="15"/>
      <c r="H412" s="20"/>
      <c r="I412" s="20"/>
      <c r="J412" s="20"/>
      <c r="K412" s="20"/>
      <c r="L412" s="13"/>
      <c r="M412" s="13"/>
      <c r="N412" s="13"/>
      <c r="O412" s="153"/>
      <c r="P412" s="154"/>
      <c r="Q412" s="154"/>
      <c r="R412" s="154"/>
      <c r="S412" s="154"/>
      <c r="T412" s="154"/>
      <c r="U412" s="154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</row>
    <row r="413" customFormat="false" ht="15.75" hidden="false" customHeight="true" outlineLevel="0" collapsed="false">
      <c r="A413" s="20"/>
      <c r="B413" s="20"/>
      <c r="C413" s="20"/>
      <c r="D413" s="20"/>
      <c r="E413" s="20"/>
      <c r="F413" s="20"/>
      <c r="G413" s="15"/>
      <c r="H413" s="20"/>
      <c r="I413" s="20"/>
      <c r="J413" s="20"/>
      <c r="K413" s="20"/>
      <c r="L413" s="13"/>
      <c r="M413" s="13"/>
      <c r="N413" s="13"/>
      <c r="O413" s="153"/>
      <c r="P413" s="154"/>
      <c r="Q413" s="154"/>
      <c r="R413" s="154"/>
      <c r="S413" s="154"/>
      <c r="T413" s="154"/>
      <c r="U413" s="154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</row>
    <row r="414" customFormat="false" ht="15.75" hidden="false" customHeight="true" outlineLevel="0" collapsed="false">
      <c r="A414" s="20"/>
      <c r="B414" s="20"/>
      <c r="C414" s="20"/>
      <c r="D414" s="20"/>
      <c r="E414" s="20"/>
      <c r="F414" s="20"/>
      <c r="G414" s="15"/>
      <c r="H414" s="20"/>
      <c r="I414" s="20"/>
      <c r="J414" s="20"/>
      <c r="K414" s="20"/>
      <c r="L414" s="13"/>
      <c r="M414" s="13"/>
      <c r="N414" s="13"/>
      <c r="O414" s="153"/>
      <c r="P414" s="154"/>
      <c r="Q414" s="154"/>
      <c r="R414" s="154"/>
      <c r="S414" s="154"/>
      <c r="T414" s="154"/>
      <c r="U414" s="154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</row>
    <row r="415" customFormat="false" ht="15.75" hidden="false" customHeight="true" outlineLevel="0" collapsed="false">
      <c r="A415" s="20"/>
      <c r="B415" s="20"/>
      <c r="C415" s="20"/>
      <c r="D415" s="20"/>
      <c r="E415" s="20"/>
      <c r="F415" s="20"/>
      <c r="G415" s="15"/>
      <c r="H415" s="20"/>
      <c r="I415" s="20"/>
      <c r="J415" s="20"/>
      <c r="K415" s="20"/>
      <c r="L415" s="13"/>
      <c r="M415" s="13"/>
      <c r="N415" s="13"/>
      <c r="O415" s="153"/>
      <c r="P415" s="154"/>
      <c r="Q415" s="154"/>
      <c r="R415" s="154"/>
      <c r="S415" s="154"/>
      <c r="T415" s="154"/>
      <c r="U415" s="154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</row>
    <row r="416" customFormat="false" ht="15.75" hidden="false" customHeight="true" outlineLevel="0" collapsed="false">
      <c r="A416" s="20"/>
      <c r="B416" s="20"/>
      <c r="C416" s="20"/>
      <c r="D416" s="20"/>
      <c r="E416" s="20"/>
      <c r="F416" s="20"/>
      <c r="G416" s="15"/>
      <c r="H416" s="20"/>
      <c r="I416" s="20"/>
      <c r="J416" s="20"/>
      <c r="K416" s="20"/>
      <c r="L416" s="13"/>
      <c r="M416" s="13"/>
      <c r="N416" s="13"/>
      <c r="O416" s="153"/>
      <c r="P416" s="154"/>
      <c r="Q416" s="154"/>
      <c r="R416" s="154"/>
      <c r="S416" s="154"/>
      <c r="T416" s="154"/>
      <c r="U416" s="154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</row>
    <row r="417" customFormat="false" ht="15.75" hidden="false" customHeight="true" outlineLevel="0" collapsed="false">
      <c r="A417" s="20"/>
      <c r="B417" s="20"/>
      <c r="C417" s="20"/>
      <c r="D417" s="20"/>
      <c r="E417" s="20"/>
      <c r="F417" s="20"/>
      <c r="G417" s="15"/>
      <c r="H417" s="20"/>
      <c r="I417" s="20"/>
      <c r="J417" s="20"/>
      <c r="K417" s="20"/>
      <c r="L417" s="13"/>
      <c r="M417" s="13"/>
      <c r="N417" s="13"/>
      <c r="O417" s="153"/>
      <c r="P417" s="154"/>
      <c r="Q417" s="154"/>
      <c r="R417" s="154"/>
      <c r="S417" s="154"/>
      <c r="T417" s="154"/>
      <c r="U417" s="154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</row>
    <row r="418" customFormat="false" ht="15.75" hidden="false" customHeight="true" outlineLevel="0" collapsed="false">
      <c r="A418" s="20"/>
      <c r="B418" s="20"/>
      <c r="C418" s="20"/>
      <c r="D418" s="20"/>
      <c r="E418" s="20"/>
      <c r="F418" s="20"/>
      <c r="G418" s="15"/>
      <c r="H418" s="20"/>
      <c r="I418" s="20"/>
      <c r="J418" s="20"/>
      <c r="K418" s="20"/>
      <c r="L418" s="13"/>
      <c r="M418" s="13"/>
      <c r="N418" s="13"/>
      <c r="O418" s="153"/>
      <c r="P418" s="154"/>
      <c r="Q418" s="154"/>
      <c r="R418" s="154"/>
      <c r="S418" s="154"/>
      <c r="T418" s="154"/>
      <c r="U418" s="154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</row>
    <row r="419" customFormat="false" ht="15.75" hidden="false" customHeight="true" outlineLevel="0" collapsed="false">
      <c r="A419" s="20"/>
      <c r="B419" s="20"/>
      <c r="C419" s="20"/>
      <c r="D419" s="20"/>
      <c r="E419" s="20"/>
      <c r="F419" s="20"/>
      <c r="G419" s="15"/>
      <c r="H419" s="20"/>
      <c r="I419" s="20"/>
      <c r="J419" s="20"/>
      <c r="K419" s="20"/>
      <c r="L419" s="13"/>
      <c r="M419" s="13"/>
      <c r="N419" s="13"/>
      <c r="O419" s="153"/>
      <c r="P419" s="154"/>
      <c r="Q419" s="154"/>
      <c r="R419" s="154"/>
      <c r="S419" s="154"/>
      <c r="T419" s="154"/>
      <c r="U419" s="154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</row>
    <row r="420" customFormat="false" ht="15.75" hidden="false" customHeight="true" outlineLevel="0" collapsed="false">
      <c r="A420" s="20"/>
      <c r="B420" s="20"/>
      <c r="C420" s="20"/>
      <c r="D420" s="20"/>
      <c r="E420" s="20"/>
      <c r="F420" s="20"/>
      <c r="G420" s="15"/>
      <c r="H420" s="20"/>
      <c r="I420" s="20"/>
      <c r="J420" s="20"/>
      <c r="K420" s="20"/>
      <c r="L420" s="13"/>
      <c r="M420" s="13"/>
      <c r="N420" s="13"/>
      <c r="O420" s="153"/>
      <c r="P420" s="154"/>
      <c r="Q420" s="154"/>
      <c r="R420" s="154"/>
      <c r="S420" s="154"/>
      <c r="T420" s="154"/>
      <c r="U420" s="154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</row>
    <row r="421" customFormat="false" ht="15.7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customFormat="false" ht="15.7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customFormat="false" ht="15.7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customFormat="false" ht="15.7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customFormat="false" ht="15.7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customFormat="false" ht="15.7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customFormat="false" ht="15.7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customFormat="false" ht="15.7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customFormat="false" ht="15.7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customFormat="false" ht="15.7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customFormat="false" ht="15.7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customFormat="false" ht="15.7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customFormat="false" ht="15.7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customFormat="false" ht="15.7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customFormat="false" ht="15.7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customFormat="false" ht="15.7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customFormat="false" ht="15.7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customFormat="false" ht="15.7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customFormat="false" ht="15.7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customFormat="false" ht="15.7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customFormat="false" ht="15.7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customFormat="false" ht="15.7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customFormat="false" ht="15.7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customFormat="false" ht="15.7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customFormat="false" ht="15.7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customFormat="false" ht="15.7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customFormat="false" ht="15.7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customFormat="false" ht="15.7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customFormat="false" ht="15.7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customFormat="false" ht="15.7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customFormat="false" ht="15.7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customFormat="false" ht="15.7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customFormat="false" ht="15.7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customFormat="false" ht="15.7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customFormat="false" ht="15.7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customFormat="false" ht="15.7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customFormat="false" ht="15.7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customFormat="false" ht="15.7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customFormat="false" ht="15.7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customFormat="false" ht="15.7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customFormat="false" ht="15.7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customFormat="false" ht="15.7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customFormat="false" ht="15.7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customFormat="false" ht="15.7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customFormat="false" ht="15.7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customFormat="false" ht="15.7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customFormat="false" ht="15.7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customFormat="false" ht="15.7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customFormat="false" ht="15.7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customFormat="false" ht="15.7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customFormat="false" ht="15.7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customFormat="false" ht="15.7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customFormat="false" ht="15.7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customFormat="false" ht="15.7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customFormat="false" ht="15.7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customFormat="false" ht="15.7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customFormat="false" ht="15.7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customFormat="false" ht="15.7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customFormat="false" ht="15.7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customFormat="false" ht="15.7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customFormat="false" ht="15.7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customFormat="false" ht="15.7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customFormat="false" ht="15.7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customFormat="false" ht="15.7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customFormat="false" ht="15.7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customFormat="false" ht="15.7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customFormat="false" ht="15.7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customFormat="false" ht="15.7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customFormat="false" ht="15.7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customFormat="false" ht="15.7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customFormat="false" ht="15.7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customFormat="false" ht="15.7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customFormat="false" ht="15.7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customFormat="false" ht="15.7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customFormat="false" ht="15.7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customFormat="false" ht="15.7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customFormat="false" ht="15.7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customFormat="false" ht="15.7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customFormat="false" ht="15.7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customFormat="false" ht="15.7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customFormat="false" ht="15.7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customFormat="false" ht="15.7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customFormat="false" ht="15.7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customFormat="false" ht="15.7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customFormat="false" ht="15.7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customFormat="false" ht="15.7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customFormat="false" ht="15.7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customFormat="false" ht="15.7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customFormat="false" ht="15.7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customFormat="false" ht="15.7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customFormat="false" ht="15.7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customFormat="false" ht="15.7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customFormat="false" ht="15.7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customFormat="false" ht="15.7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customFormat="false" ht="15.7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customFormat="false" ht="15.7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customFormat="false" ht="15.7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customFormat="false" ht="15.7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customFormat="false" ht="15.7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customFormat="false" ht="15.7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customFormat="false" ht="15.7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customFormat="false" ht="15.7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customFormat="false" ht="15.7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customFormat="false" ht="15.7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customFormat="false" ht="15.7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customFormat="false" ht="15.7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customFormat="false" ht="15.7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customFormat="false" ht="15.7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customFormat="false" ht="15.7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customFormat="false" ht="15.7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customFormat="false" ht="15.7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customFormat="false" ht="15.7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customFormat="false" ht="15.7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customFormat="false" ht="15.7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customFormat="false" ht="15.7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customFormat="false" ht="15.7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customFormat="false" ht="15.7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customFormat="false" ht="15.7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customFormat="false" ht="15.7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customFormat="false" ht="15.7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customFormat="false" ht="15.7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customFormat="false" ht="15.7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customFormat="false" ht="15.7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customFormat="false" ht="15.7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customFormat="false" ht="15.7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customFormat="false" ht="15.7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customFormat="false" ht="15.7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customFormat="false" ht="15.7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customFormat="false" ht="15.7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customFormat="false" ht="15.7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customFormat="false" ht="15.7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customFormat="false" ht="15.7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customFormat="false" ht="15.7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customFormat="false" ht="15.7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customFormat="false" ht="15.7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customFormat="false" ht="15.7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customFormat="false" ht="15.7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customFormat="false" ht="15.7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customFormat="false" ht="15.7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customFormat="false" ht="15.7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customFormat="false" ht="15.7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customFormat="false" ht="15.7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customFormat="false" ht="15.7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customFormat="false" ht="15.7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customFormat="false" ht="15.7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customFormat="false" ht="15.7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customFormat="false" ht="15.7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customFormat="false" ht="15.7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customFormat="false" ht="15.7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customFormat="false" ht="15.7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customFormat="false" ht="15.7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customFormat="false" ht="15.7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customFormat="false" ht="15.7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customFormat="false" ht="15.7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customFormat="false" ht="15.7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customFormat="false" ht="15.7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customFormat="false" ht="15.7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customFormat="false" ht="15.7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customFormat="false" ht="15.7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customFormat="false" ht="15.7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customFormat="false" ht="15.7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customFormat="false" ht="15.7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customFormat="false" ht="15.7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customFormat="false" ht="15.7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customFormat="false" ht="15.7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customFormat="false" ht="15.7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customFormat="false" ht="15.7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customFormat="false" ht="15.7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customFormat="false" ht="15.7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customFormat="false" ht="15.7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customFormat="false" ht="15.7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customFormat="false" ht="15.7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customFormat="false" ht="15.7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customFormat="false" ht="15.7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customFormat="false" ht="15.7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customFormat="false" ht="15.7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customFormat="false" ht="15.7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customFormat="false" ht="15.7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customFormat="false" ht="15.7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customFormat="false" ht="15.7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customFormat="false" ht="15.7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customFormat="false" ht="15.7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customFormat="false" ht="15.7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customFormat="false" ht="15.7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customFormat="false" ht="15.7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customFormat="false" ht="15.7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customFormat="false" ht="15.7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customFormat="false" ht="15.7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customFormat="false" ht="15.7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customFormat="false" ht="15.7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customFormat="false" ht="15.7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customFormat="false" ht="15.7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customFormat="false" ht="15.7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customFormat="false" ht="15.7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customFormat="false" ht="15.7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customFormat="false" ht="15.7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customFormat="false" ht="15.7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customFormat="false" ht="15.7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customFormat="false" ht="15.7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customFormat="false" ht="15.7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customFormat="false" ht="15.7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customFormat="false" ht="15.7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customFormat="false" ht="15.7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customFormat="false" ht="15.7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customFormat="false" ht="15.7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customFormat="false" ht="15.7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customFormat="false" ht="15.7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customFormat="false" ht="15.7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customFormat="false" ht="15.7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customFormat="false" ht="15.7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customFormat="false" ht="15.7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customFormat="false" ht="15.7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customFormat="false" ht="15.7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customFormat="false" ht="15.7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customFormat="false" ht="15.7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customFormat="false" ht="15.7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customFormat="false" ht="15.7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customFormat="false" ht="15.7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customFormat="false" ht="15.7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customFormat="false" ht="15.7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customFormat="false" ht="15.7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customFormat="false" ht="15.7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customFormat="false" ht="15.7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customFormat="false" ht="15.7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customFormat="false" ht="15.7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customFormat="false" ht="15.7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customFormat="false" ht="15.7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customFormat="false" ht="15.7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customFormat="false" ht="15.7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customFormat="false" ht="15.7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customFormat="false" ht="15.7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customFormat="false" ht="15.7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customFormat="false" ht="15.7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customFormat="false" ht="15.7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customFormat="false" ht="15.7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customFormat="false" ht="15.7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customFormat="false" ht="15.7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customFormat="false" ht="15.7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customFormat="false" ht="15.7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customFormat="false" ht="15.7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customFormat="false" ht="15.7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customFormat="false" ht="15.7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customFormat="false" ht="15.7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customFormat="false" ht="15.7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customFormat="false" ht="15.7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customFormat="false" ht="15.7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customFormat="false" ht="15.7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customFormat="false" ht="15.7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customFormat="false" ht="15.7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customFormat="false" ht="15.7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customFormat="false" ht="15.7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customFormat="false" ht="15.7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customFormat="false" ht="15.7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customFormat="false" ht="15.7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customFormat="false" ht="15.7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customFormat="false" ht="15.7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customFormat="false" ht="15.7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customFormat="false" ht="15.7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customFormat="false" ht="15.7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customFormat="false" ht="15.7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customFormat="false" ht="15.7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customFormat="false" ht="15.7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customFormat="false" ht="15.7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customFormat="false" ht="15.7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customFormat="false" ht="15.7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customFormat="false" ht="15.7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customFormat="false" ht="15.7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customFormat="false" ht="15.7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customFormat="false" ht="15.7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customFormat="false" ht="15.7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customFormat="false" ht="15.7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customFormat="false" ht="15.7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customFormat="false" ht="15.7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customFormat="false" ht="15.7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customFormat="false" ht="15.7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customFormat="false" ht="15.7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customFormat="false" ht="15.7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customFormat="false" ht="15.7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customFormat="false" ht="15.7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customFormat="false" ht="15.7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customFormat="false" ht="15.7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customFormat="false" ht="15.7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customFormat="false" ht="15.7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customFormat="false" ht="15.7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customFormat="false" ht="15.7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customFormat="false" ht="15.7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customFormat="false" ht="15.7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customFormat="false" ht="15.7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customFormat="false" ht="15.7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customFormat="false" ht="15.7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customFormat="false" ht="15.7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customFormat="false" ht="15.7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customFormat="false" ht="15.7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customFormat="false" ht="15.7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customFormat="false" ht="15.7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customFormat="false" ht="15.7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customFormat="false" ht="15.7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customFormat="false" ht="15.7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customFormat="false" ht="15.7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customFormat="false" ht="15.7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customFormat="false" ht="15.7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customFormat="false" ht="15.7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customFormat="false" ht="15.7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customFormat="false" ht="15.7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customFormat="false" ht="15.7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customFormat="false" ht="15.7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customFormat="false" ht="15.7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customFormat="false" ht="15.7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customFormat="false" ht="15.7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customFormat="false" ht="15.7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customFormat="false" ht="15.7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customFormat="false" ht="15.7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customFormat="false" ht="15.7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customFormat="false" ht="15.7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customFormat="false" ht="15.7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customFormat="false" ht="15.7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customFormat="false" ht="15.7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customFormat="false" ht="15.7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customFormat="false" ht="15.7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customFormat="false" ht="15.7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customFormat="false" ht="15.7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customFormat="false" ht="15.7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customFormat="false" ht="15.7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customFormat="false" ht="15.7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customFormat="false" ht="15.7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customFormat="false" ht="15.7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customFormat="false" ht="15.7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customFormat="false" ht="15.7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customFormat="false" ht="15.7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customFormat="false" ht="15.7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customFormat="false" ht="15.7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customFormat="false" ht="15.7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customFormat="false" ht="15.7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customFormat="false" ht="15.7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customFormat="false" ht="15.7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customFormat="false" ht="15.7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customFormat="false" ht="15.7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customFormat="false" ht="15.7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customFormat="false" ht="15.7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customFormat="false" ht="15.7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customFormat="false" ht="15.7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customFormat="false" ht="15.7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customFormat="false" ht="15.7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customFormat="false" ht="15.7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customFormat="false" ht="15.7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customFormat="false" ht="15.7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customFormat="false" ht="15.7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customFormat="false" ht="15.7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customFormat="false" ht="15.7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customFormat="false" ht="15.7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customFormat="false" ht="15.7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customFormat="false" ht="15.7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customFormat="false" ht="15.7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customFormat="false" ht="15.7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customFormat="false" ht="15.7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customFormat="false" ht="15.7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customFormat="false" ht="15.7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customFormat="false" ht="15.7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customFormat="false" ht="15.7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customFormat="false" ht="15.7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customFormat="false" ht="15.7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customFormat="false" ht="15.7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customFormat="false" ht="15.7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customFormat="false" ht="15.7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customFormat="false" ht="15.7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customFormat="false" ht="15.7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customFormat="false" ht="15.7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customFormat="false" ht="15.7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customFormat="false" ht="15.7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customFormat="false" ht="15.7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customFormat="false" ht="15.7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customFormat="false" ht="15.7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customFormat="false" ht="15.7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customFormat="false" ht="15.7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customFormat="false" ht="15.7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customFormat="false" ht="15.7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customFormat="false" ht="15.7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customFormat="false" ht="15.7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customFormat="false" ht="15.7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customFormat="false" ht="15.7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customFormat="false" ht="15.7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customFormat="false" ht="15.7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customFormat="false" ht="15.7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customFormat="false" ht="15.7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customFormat="false" ht="15.7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customFormat="false" ht="15.7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customFormat="false" ht="15.7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customFormat="false" ht="15.7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customFormat="false" ht="15.7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customFormat="false" ht="15.7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customFormat="false" ht="15.7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customFormat="false" ht="15.7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customFormat="false" ht="15.7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customFormat="false" ht="15.7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customFormat="false" ht="15.7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customFormat="false" ht="15.7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customFormat="false" ht="15.7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customFormat="false" ht="15.7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customFormat="false" ht="15.7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customFormat="false" ht="15.7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customFormat="false" ht="15.7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customFormat="false" ht="15.7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customFormat="false" ht="15.7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customFormat="false" ht="15.7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customFormat="false" ht="15.7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customFormat="false" ht="15.7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customFormat="false" ht="15.7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customFormat="false" ht="15.7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customFormat="false" ht="15.7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customFormat="false" ht="15.7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customFormat="false" ht="15.7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customFormat="false" ht="15.7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customFormat="false" ht="15.7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customFormat="false" ht="15.7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customFormat="false" ht="15.7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customFormat="false" ht="15.7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customFormat="false" ht="15.7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customFormat="false" ht="15.7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customFormat="false" ht="15.7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customFormat="false" ht="15.7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customFormat="false" ht="15.7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customFormat="false" ht="15.7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customFormat="false" ht="15.7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customFormat="false" ht="15.7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customFormat="false" ht="15.7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customFormat="false" ht="15.7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customFormat="false" ht="15.7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customFormat="false" ht="15.7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customFormat="false" ht="15.7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customFormat="false" ht="15.7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customFormat="false" ht="15.7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customFormat="false" ht="15.7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customFormat="false" ht="15.7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customFormat="false" ht="15.7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customFormat="false" ht="15.7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customFormat="false" ht="15.7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customFormat="false" ht="15.7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customFormat="false" ht="15.7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customFormat="false" ht="15.7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customFormat="false" ht="15.7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customFormat="false" ht="15.7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customFormat="false" ht="15.7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customFormat="false" ht="15.7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customFormat="false" ht="15.7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customFormat="false" ht="15.7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customFormat="false" ht="15.7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customFormat="false" ht="15.7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customFormat="false" ht="15.7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customFormat="false" ht="15.7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customFormat="false" ht="15.7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customFormat="false" ht="15.7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customFormat="false" ht="15.7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customFormat="false" ht="15.7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customFormat="false" ht="15.7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customFormat="false" ht="15.7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customFormat="false" ht="15.7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customFormat="false" ht="15.7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customFormat="false" ht="15.7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customFormat="false" ht="15.7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customFormat="false" ht="15.7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customFormat="false" ht="15.7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customFormat="false" ht="15.7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customFormat="false" ht="15.7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customFormat="false" ht="15.7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customFormat="false" ht="15.7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customFormat="false" ht="15.7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customFormat="false" ht="15.7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customFormat="false" ht="15.7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customFormat="false" ht="15.7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customFormat="false" ht="15.7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customFormat="false" ht="15.7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customFormat="false" ht="15.7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customFormat="false" ht="15.7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customFormat="false" ht="15.7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customFormat="false" ht="15.7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customFormat="false" ht="15.7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customFormat="false" ht="15.7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customFormat="false" ht="15.7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customFormat="false" ht="15.7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customFormat="false" ht="15.7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customFormat="false" ht="15.7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customFormat="false" ht="15.7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customFormat="false" ht="15.7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customFormat="false" ht="15.7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customFormat="false" ht="15.7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customFormat="false" ht="15.7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customFormat="false" ht="15.7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customFormat="false" ht="15.7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customFormat="false" ht="15.7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customFormat="false" ht="15.7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customFormat="false" ht="15.7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customFormat="false" ht="15.7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customFormat="false" ht="15.7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customFormat="false" ht="15.7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customFormat="false" ht="15.7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customFormat="false" ht="15.7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customFormat="false" ht="15.7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customFormat="false" ht="15.7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customFormat="false" ht="15.7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customFormat="false" ht="15.7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customFormat="false" ht="15.7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customFormat="false" ht="15.7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customFormat="false" ht="15.7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customFormat="false" ht="15.7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customFormat="false" ht="15.7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customFormat="false" ht="15.7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customFormat="false" ht="15.7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customFormat="false" ht="15.7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customFormat="false" ht="15.7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customFormat="false" ht="15.7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customFormat="false" ht="15.7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customFormat="false" ht="15.7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customFormat="false" ht="15.7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customFormat="false" ht="15.7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customFormat="false" ht="15.7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customFormat="false" ht="15.7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customFormat="false" ht="15.7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customFormat="false" ht="15.7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customFormat="false" ht="15.7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customFormat="false" ht="15.7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customFormat="false" ht="15.7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customFormat="false" ht="15.7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customFormat="false" ht="15.7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customFormat="false" ht="15.7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customFormat="false" ht="15.7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customFormat="false" ht="15.7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customFormat="false" ht="15.7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customFormat="false" ht="15.7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customFormat="false" ht="15.7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customFormat="false" ht="15.7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customFormat="false" ht="15.7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customFormat="false" ht="15.7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customFormat="false" ht="15.7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customFormat="false" ht="15.7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customFormat="false" ht="15.7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customFormat="false" ht="15.7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customFormat="false" ht="15.7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customFormat="false" ht="15.7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customFormat="false" ht="15.7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customFormat="false" ht="15.7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customFormat="false" ht="15.7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customFormat="false" ht="15.7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customFormat="false" ht="15.7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customFormat="false" ht="15.7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customFormat="false" ht="15.7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customFormat="false" ht="15.7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customFormat="false" ht="15.7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customFormat="false" ht="15.7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customFormat="false" ht="15.7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customFormat="false" ht="15.7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customFormat="false" ht="15.7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customFormat="false" ht="15.7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customFormat="false" ht="15.7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customFormat="false" ht="15.7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customFormat="false" ht="15.7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customFormat="false" ht="15.7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customFormat="false" ht="15.7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customFormat="false" ht="15.7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customFormat="false" ht="15.7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customFormat="false" ht="15.7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customFormat="false" ht="15.7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customFormat="false" ht="15.7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customFormat="false" ht="15.7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customFormat="false" ht="15.7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customFormat="false" ht="15.7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customFormat="false" ht="15.7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customFormat="false" ht="15.7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customFormat="false" ht="15.7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customFormat="false" ht="15.7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customFormat="false" ht="15.7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customFormat="false" ht="15.7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customFormat="false" ht="15.7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customFormat="false" ht="15.7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customFormat="false" ht="15.7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customFormat="false" ht="15.7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customFormat="false" ht="15.7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customFormat="false" ht="15.7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customFormat="false" ht="15.7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customFormat="false" ht="15.7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customFormat="false" ht="15.7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  <row r="1001" customFormat="false" ht="15.7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</row>
    <row r="1002" customFormat="false" ht="15.75" hidden="false" customHeight="tru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</row>
    <row r="1003" customFormat="false" ht="15.75" hidden="false" customHeight="tru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</row>
    <row r="1004" customFormat="false" ht="15.75" hidden="false" customHeight="true" outlineLevel="0" collapsed="false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</row>
    <row r="1005" customFormat="false" ht="15.75" hidden="false" customHeight="true" outlineLevel="0" collapsed="false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</row>
    <row r="1006" customFormat="false" ht="15.75" hidden="false" customHeight="true" outlineLevel="0" collapsed="false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</row>
    <row r="1007" customFormat="false" ht="15.75" hidden="false" customHeight="true" outlineLevel="0" collapsed="false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</row>
    <row r="1008" customFormat="false" ht="15.75" hidden="false" customHeight="true" outlineLevel="0" collapsed="false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</row>
    <row r="1009" customFormat="false" ht="15.75" hidden="false" customHeight="true" outlineLevel="0" collapsed="false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</row>
    <row r="1010" customFormat="false" ht="15.75" hidden="false" customHeight="true" outlineLevel="0" collapsed="false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</row>
    <row r="1011" customFormat="false" ht="15.75" hidden="false" customHeight="true" outlineLevel="0" collapsed="false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</row>
    <row r="1012" customFormat="false" ht="15.75" hidden="false" customHeight="true" outlineLevel="0" collapsed="false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</row>
    <row r="1013" customFormat="false" ht="15.75" hidden="false" customHeight="true" outlineLevel="0" collapsed="false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</row>
    <row r="1014" customFormat="false" ht="15.75" hidden="false" customHeight="true" outlineLevel="0" collapsed="false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</row>
    <row r="1015" customFormat="false" ht="15.75" hidden="false" customHeight="true" outlineLevel="0" collapsed="false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</row>
    <row r="1016" customFormat="false" ht="15.75" hidden="false" customHeight="true" outlineLevel="0" collapsed="false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</row>
    <row r="1017" customFormat="false" ht="15.75" hidden="false" customHeight="true" outlineLevel="0" collapsed="false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</row>
    <row r="1018" customFormat="false" ht="15.75" hidden="false" customHeight="true" outlineLevel="0" collapsed="false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</row>
    <row r="1019" customFormat="false" ht="15.75" hidden="false" customHeight="true" outlineLevel="0" collapsed="false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</row>
    <row r="1020" customFormat="false" ht="15.75" hidden="false" customHeight="true" outlineLevel="0" collapsed="false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</row>
    <row r="1021" customFormat="false" ht="15.75" hidden="false" customHeight="true" outlineLevel="0" collapsed="false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</row>
    <row r="1022" customFormat="false" ht="15.75" hidden="false" customHeight="true" outlineLevel="0" collapsed="false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</row>
    <row r="1023" customFormat="false" ht="15.75" hidden="false" customHeight="true" outlineLevel="0" collapsed="false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</row>
  </sheetData>
  <mergeCells count="1905">
    <mergeCell ref="B1:C1"/>
    <mergeCell ref="B16:B19"/>
    <mergeCell ref="C16:C19"/>
    <mergeCell ref="D16:D19"/>
    <mergeCell ref="E16:E19"/>
    <mergeCell ref="F16:F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V16:V19"/>
    <mergeCell ref="B20:B23"/>
    <mergeCell ref="C20:C23"/>
    <mergeCell ref="D20:D23"/>
    <mergeCell ref="E20:E23"/>
    <mergeCell ref="F20:F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V20:V23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V24:V25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V26:V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V28:V29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V30:V31"/>
    <mergeCell ref="B33:B34"/>
    <mergeCell ref="C33:C34"/>
    <mergeCell ref="D33:D34"/>
    <mergeCell ref="E33:E34"/>
    <mergeCell ref="F33:F34"/>
    <mergeCell ref="G33:G34"/>
    <mergeCell ref="H33:H34"/>
    <mergeCell ref="I33:I34"/>
    <mergeCell ref="J33:J34"/>
    <mergeCell ref="K33:K34"/>
    <mergeCell ref="L33:L34"/>
    <mergeCell ref="M33:M34"/>
    <mergeCell ref="N33:N34"/>
    <mergeCell ref="O33:O34"/>
    <mergeCell ref="P33:P34"/>
    <mergeCell ref="Q33:Q34"/>
    <mergeCell ref="R33:R34"/>
    <mergeCell ref="S33:S34"/>
    <mergeCell ref="V33:V34"/>
    <mergeCell ref="B37:B38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V37:V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V39:V40"/>
    <mergeCell ref="B41:B42"/>
    <mergeCell ref="C41:C42"/>
    <mergeCell ref="D41:D42"/>
    <mergeCell ref="E41:E42"/>
    <mergeCell ref="F41:F42"/>
    <mergeCell ref="G41:G42"/>
    <mergeCell ref="H41:H42"/>
    <mergeCell ref="I41:I42"/>
    <mergeCell ref="J41:J42"/>
    <mergeCell ref="K41:K42"/>
    <mergeCell ref="L41:L42"/>
    <mergeCell ref="M41:M42"/>
    <mergeCell ref="N41:N42"/>
    <mergeCell ref="O41:O42"/>
    <mergeCell ref="P41:P42"/>
    <mergeCell ref="Q41:Q42"/>
    <mergeCell ref="R41:R42"/>
    <mergeCell ref="S41:S42"/>
    <mergeCell ref="V41:V42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V43:V44"/>
    <mergeCell ref="B45:B46"/>
    <mergeCell ref="C45:C46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N45:N46"/>
    <mergeCell ref="O45:O46"/>
    <mergeCell ref="P45:P46"/>
    <mergeCell ref="Q45:Q46"/>
    <mergeCell ref="R45:R46"/>
    <mergeCell ref="S45:S46"/>
    <mergeCell ref="V45:V46"/>
    <mergeCell ref="B50:B51"/>
    <mergeCell ref="C50:C51"/>
    <mergeCell ref="D50:D51"/>
    <mergeCell ref="E50:E51"/>
    <mergeCell ref="F50:F51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V50:V51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V54:V55"/>
    <mergeCell ref="B57:B59"/>
    <mergeCell ref="C57:C59"/>
    <mergeCell ref="D57:D59"/>
    <mergeCell ref="E57:E59"/>
    <mergeCell ref="F57:F59"/>
    <mergeCell ref="G57:G59"/>
    <mergeCell ref="H57:H59"/>
    <mergeCell ref="I57:I59"/>
    <mergeCell ref="J57:J59"/>
    <mergeCell ref="K57:K59"/>
    <mergeCell ref="L57:L59"/>
    <mergeCell ref="M57:M59"/>
    <mergeCell ref="N57:N59"/>
    <mergeCell ref="R57:R59"/>
    <mergeCell ref="S57:S59"/>
    <mergeCell ref="O58:O59"/>
    <mergeCell ref="P58:P59"/>
    <mergeCell ref="Q58:Q59"/>
    <mergeCell ref="V58:V59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V61:V62"/>
    <mergeCell ref="B66:B67"/>
    <mergeCell ref="C66:C67"/>
    <mergeCell ref="D66:D67"/>
    <mergeCell ref="E66:E67"/>
    <mergeCell ref="F66:F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V66:V67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V68:V69"/>
    <mergeCell ref="B70:B71"/>
    <mergeCell ref="C70:C71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V70:V71"/>
    <mergeCell ref="B72:B73"/>
    <mergeCell ref="C72:C73"/>
    <mergeCell ref="D72:D73"/>
    <mergeCell ref="E72:E73"/>
    <mergeCell ref="F72:F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V72:V73"/>
    <mergeCell ref="B76:B77"/>
    <mergeCell ref="C76:C77"/>
    <mergeCell ref="D76:D77"/>
    <mergeCell ref="E76:E77"/>
    <mergeCell ref="F76:F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V76:V77"/>
    <mergeCell ref="B80:B83"/>
    <mergeCell ref="C80:C83"/>
    <mergeCell ref="D80:D83"/>
    <mergeCell ref="E80:E83"/>
    <mergeCell ref="F80:F83"/>
    <mergeCell ref="G80:G83"/>
    <mergeCell ref="H80:H83"/>
    <mergeCell ref="I80:I83"/>
    <mergeCell ref="J80:J83"/>
    <mergeCell ref="K80:K83"/>
    <mergeCell ref="L80:L83"/>
    <mergeCell ref="M80:M83"/>
    <mergeCell ref="N80:N83"/>
    <mergeCell ref="O80:O83"/>
    <mergeCell ref="P80:P83"/>
    <mergeCell ref="Q80:Q83"/>
    <mergeCell ref="R80:R83"/>
    <mergeCell ref="S80:S83"/>
    <mergeCell ref="V80:V83"/>
    <mergeCell ref="B85:B86"/>
    <mergeCell ref="C85:C86"/>
    <mergeCell ref="D85:D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P85:P86"/>
    <mergeCell ref="Q85:Q86"/>
    <mergeCell ref="R85:R86"/>
    <mergeCell ref="S85:S86"/>
    <mergeCell ref="V85:V86"/>
    <mergeCell ref="B88:B89"/>
    <mergeCell ref="C88:C89"/>
    <mergeCell ref="D88:D89"/>
    <mergeCell ref="E88:E89"/>
    <mergeCell ref="F88:F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V88:V89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V92:V93"/>
    <mergeCell ref="B95:B97"/>
    <mergeCell ref="C95:C97"/>
    <mergeCell ref="D95:D97"/>
    <mergeCell ref="E95:E97"/>
    <mergeCell ref="F95:F97"/>
    <mergeCell ref="G95:G97"/>
    <mergeCell ref="H95:H97"/>
    <mergeCell ref="I95:I97"/>
    <mergeCell ref="J95:J97"/>
    <mergeCell ref="K95:K97"/>
    <mergeCell ref="L95:L97"/>
    <mergeCell ref="M95:M97"/>
    <mergeCell ref="N95:N97"/>
    <mergeCell ref="O95:O97"/>
    <mergeCell ref="P95:P97"/>
    <mergeCell ref="Q95:Q97"/>
    <mergeCell ref="R95:R97"/>
    <mergeCell ref="S95:S97"/>
    <mergeCell ref="V95:V100"/>
    <mergeCell ref="B98:B100"/>
    <mergeCell ref="C98:C100"/>
    <mergeCell ref="D98:D100"/>
    <mergeCell ref="E98:E100"/>
    <mergeCell ref="F98:F100"/>
    <mergeCell ref="G98:G100"/>
    <mergeCell ref="H98:H100"/>
    <mergeCell ref="I98:I100"/>
    <mergeCell ref="J98:J100"/>
    <mergeCell ref="K98:K100"/>
    <mergeCell ref="L98:L100"/>
    <mergeCell ref="M98:M100"/>
    <mergeCell ref="N98:N100"/>
    <mergeCell ref="O98:O100"/>
    <mergeCell ref="P98:P100"/>
    <mergeCell ref="Q98:Q100"/>
    <mergeCell ref="R98:R100"/>
    <mergeCell ref="S98:S100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Q107:Q108"/>
    <mergeCell ref="R107:R108"/>
    <mergeCell ref="S107:S108"/>
    <mergeCell ref="V107:V108"/>
    <mergeCell ref="B109:B110"/>
    <mergeCell ref="C109:C110"/>
    <mergeCell ref="D109:D110"/>
    <mergeCell ref="E109:E110"/>
    <mergeCell ref="F109:F110"/>
    <mergeCell ref="G109:G110"/>
    <mergeCell ref="H109:H110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V109:V110"/>
    <mergeCell ref="B111:B112"/>
    <mergeCell ref="C111:C112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Q111:Q112"/>
    <mergeCell ref="R111:R112"/>
    <mergeCell ref="S111:S112"/>
    <mergeCell ref="V111:V112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J116:J117"/>
    <mergeCell ref="K116:K117"/>
    <mergeCell ref="L116:L117"/>
    <mergeCell ref="M116:M117"/>
    <mergeCell ref="N116:N117"/>
    <mergeCell ref="O116:O117"/>
    <mergeCell ref="P116:P117"/>
    <mergeCell ref="Q116:Q117"/>
    <mergeCell ref="R116:R117"/>
    <mergeCell ref="S116:S117"/>
    <mergeCell ref="V116:V117"/>
    <mergeCell ref="B120:B121"/>
    <mergeCell ref="C120:C121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V120:V121"/>
    <mergeCell ref="B128:B129"/>
    <mergeCell ref="C128:C129"/>
    <mergeCell ref="D128:D129"/>
    <mergeCell ref="E128:E129"/>
    <mergeCell ref="F128:F129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V128:V129"/>
    <mergeCell ref="V132:V134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V136:V137"/>
    <mergeCell ref="B139:B140"/>
    <mergeCell ref="C139:C140"/>
    <mergeCell ref="D139:D140"/>
    <mergeCell ref="E139:E140"/>
    <mergeCell ref="F139:F140"/>
    <mergeCell ref="G139:G140"/>
    <mergeCell ref="H139:H140"/>
    <mergeCell ref="I139:I140"/>
    <mergeCell ref="J139:J140"/>
    <mergeCell ref="K139:K140"/>
    <mergeCell ref="L139:L140"/>
    <mergeCell ref="M139:M140"/>
    <mergeCell ref="N139:N140"/>
    <mergeCell ref="O139:O140"/>
    <mergeCell ref="P139:P140"/>
    <mergeCell ref="Q139:Q140"/>
    <mergeCell ref="R139:R140"/>
    <mergeCell ref="S139:S140"/>
    <mergeCell ref="V139:V140"/>
    <mergeCell ref="O141:O142"/>
    <mergeCell ref="P141:P142"/>
    <mergeCell ref="Q141:Q142"/>
    <mergeCell ref="T141:T142"/>
    <mergeCell ref="V141:V142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N144:N145"/>
    <mergeCell ref="O144:O145"/>
    <mergeCell ref="P144:P145"/>
    <mergeCell ref="Q144:Q145"/>
    <mergeCell ref="R144:R145"/>
    <mergeCell ref="S144:S145"/>
    <mergeCell ref="V144:V145"/>
    <mergeCell ref="V149:V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N151:N152"/>
    <mergeCell ref="O151:O152"/>
    <mergeCell ref="P151:P152"/>
    <mergeCell ref="Q151:Q152"/>
    <mergeCell ref="R151:R152"/>
    <mergeCell ref="S151:S152"/>
    <mergeCell ref="V151:V152"/>
    <mergeCell ref="B153:B154"/>
    <mergeCell ref="C153:C154"/>
    <mergeCell ref="D153:D154"/>
    <mergeCell ref="E153:E154"/>
    <mergeCell ref="F153:F154"/>
    <mergeCell ref="G153:G154"/>
    <mergeCell ref="H153:H154"/>
    <mergeCell ref="I153:I154"/>
    <mergeCell ref="J153:J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V153:V154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J155:J156"/>
    <mergeCell ref="K155:K156"/>
    <mergeCell ref="L155:L156"/>
    <mergeCell ref="M155:M156"/>
    <mergeCell ref="N155:N156"/>
    <mergeCell ref="O155:O156"/>
    <mergeCell ref="P155:P156"/>
    <mergeCell ref="Q155:Q156"/>
    <mergeCell ref="R155:R156"/>
    <mergeCell ref="S155:S156"/>
    <mergeCell ref="V155:V156"/>
    <mergeCell ref="B159:B160"/>
    <mergeCell ref="C159:C160"/>
    <mergeCell ref="D159:D160"/>
    <mergeCell ref="E159:E160"/>
    <mergeCell ref="F159:F160"/>
    <mergeCell ref="G159:G160"/>
    <mergeCell ref="H159:H160"/>
    <mergeCell ref="I159:I160"/>
    <mergeCell ref="J159:J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S160"/>
    <mergeCell ref="V159:V160"/>
    <mergeCell ref="B171:B172"/>
    <mergeCell ref="C171:C172"/>
    <mergeCell ref="D171:D172"/>
    <mergeCell ref="E171:E172"/>
    <mergeCell ref="F171:F172"/>
    <mergeCell ref="G171:G172"/>
    <mergeCell ref="H171:H172"/>
    <mergeCell ref="I171:I172"/>
    <mergeCell ref="J171:J172"/>
    <mergeCell ref="K171:K172"/>
    <mergeCell ref="L171:L172"/>
    <mergeCell ref="M171:M172"/>
    <mergeCell ref="N171:N172"/>
    <mergeCell ref="O171:O172"/>
    <mergeCell ref="P171:P172"/>
    <mergeCell ref="Q171:Q172"/>
    <mergeCell ref="R171:R172"/>
    <mergeCell ref="S171:S172"/>
    <mergeCell ref="V171:V172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V173:V174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V175:V176"/>
    <mergeCell ref="P177:P178"/>
    <mergeCell ref="Q177:Q178"/>
    <mergeCell ref="T177:T178"/>
    <mergeCell ref="V177:V178"/>
    <mergeCell ref="V181:V182"/>
    <mergeCell ref="B184:B186"/>
    <mergeCell ref="C184:C186"/>
    <mergeCell ref="D184:D186"/>
    <mergeCell ref="E184:E186"/>
    <mergeCell ref="F184:F186"/>
    <mergeCell ref="G184:G186"/>
    <mergeCell ref="H184:H186"/>
    <mergeCell ref="I184:I186"/>
    <mergeCell ref="J184:J186"/>
    <mergeCell ref="K184:K186"/>
    <mergeCell ref="L184:L186"/>
    <mergeCell ref="M184:M186"/>
    <mergeCell ref="N184:N186"/>
    <mergeCell ref="O184:O186"/>
    <mergeCell ref="P184:P186"/>
    <mergeCell ref="Q184:Q186"/>
    <mergeCell ref="R184:R186"/>
    <mergeCell ref="S184:S186"/>
    <mergeCell ref="V184:V186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K187:K188"/>
    <mergeCell ref="L187:L188"/>
    <mergeCell ref="M187:M188"/>
    <mergeCell ref="N187:N188"/>
    <mergeCell ref="O187:O188"/>
    <mergeCell ref="P187:P188"/>
    <mergeCell ref="Q187:Q188"/>
    <mergeCell ref="R187:R188"/>
    <mergeCell ref="S187:S188"/>
    <mergeCell ref="V187:V188"/>
    <mergeCell ref="B190:B191"/>
    <mergeCell ref="C190:C191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N190:N191"/>
    <mergeCell ref="O190:O191"/>
    <mergeCell ref="P190:P191"/>
    <mergeCell ref="Q190:Q191"/>
    <mergeCell ref="R190:R191"/>
    <mergeCell ref="S190:S191"/>
    <mergeCell ref="V190:V191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L193:L194"/>
    <mergeCell ref="M193:M194"/>
    <mergeCell ref="N193:N194"/>
    <mergeCell ref="O193:O194"/>
    <mergeCell ref="P193:P194"/>
    <mergeCell ref="Q193:Q194"/>
    <mergeCell ref="R193:R194"/>
    <mergeCell ref="S193:S194"/>
    <mergeCell ref="V193:V194"/>
    <mergeCell ref="V195:V196"/>
    <mergeCell ref="B208:B209"/>
    <mergeCell ref="C208:C209"/>
    <mergeCell ref="D208:D209"/>
    <mergeCell ref="E208:E209"/>
    <mergeCell ref="F208:F209"/>
    <mergeCell ref="G208:G209"/>
    <mergeCell ref="H208:H209"/>
    <mergeCell ref="I208:I209"/>
    <mergeCell ref="J208:J209"/>
    <mergeCell ref="K208:K209"/>
    <mergeCell ref="L208:L209"/>
    <mergeCell ref="M208:M209"/>
    <mergeCell ref="N208:N209"/>
    <mergeCell ref="O208:O209"/>
    <mergeCell ref="P208:P209"/>
    <mergeCell ref="Q208:Q209"/>
    <mergeCell ref="R208:R209"/>
    <mergeCell ref="U208:U209"/>
    <mergeCell ref="V208:V209"/>
    <mergeCell ref="B210:B211"/>
    <mergeCell ref="C210:C211"/>
    <mergeCell ref="D210:D211"/>
    <mergeCell ref="E210:E211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O210:O211"/>
    <mergeCell ref="P210:P211"/>
    <mergeCell ref="Q210:Q211"/>
    <mergeCell ref="R210:R211"/>
    <mergeCell ref="S210:S211"/>
    <mergeCell ref="V210:V211"/>
    <mergeCell ref="B213:B214"/>
    <mergeCell ref="C213:C214"/>
    <mergeCell ref="D213:D214"/>
    <mergeCell ref="E213:E214"/>
    <mergeCell ref="F213:F214"/>
    <mergeCell ref="G213:G214"/>
    <mergeCell ref="H213:H214"/>
    <mergeCell ref="I213:I214"/>
    <mergeCell ref="J213:J214"/>
    <mergeCell ref="K213:K214"/>
    <mergeCell ref="L213:L214"/>
    <mergeCell ref="M213:M214"/>
    <mergeCell ref="N213:N214"/>
    <mergeCell ref="O213:O214"/>
    <mergeCell ref="P213:P214"/>
    <mergeCell ref="Q213:Q214"/>
    <mergeCell ref="R213:R214"/>
    <mergeCell ref="S213:S214"/>
    <mergeCell ref="V213:V214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P216:P219"/>
    <mergeCell ref="Q216:Q219"/>
    <mergeCell ref="R216:R217"/>
    <mergeCell ref="S216:S217"/>
    <mergeCell ref="V216:V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R218:R219"/>
    <mergeCell ref="S218:S219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P221:P222"/>
    <mergeCell ref="Q221:Q222"/>
    <mergeCell ref="R221:R222"/>
    <mergeCell ref="S221:S222"/>
    <mergeCell ref="V221:V222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V224:V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K226:K227"/>
    <mergeCell ref="L226:L227"/>
    <mergeCell ref="M226:M227"/>
    <mergeCell ref="N226:N227"/>
    <mergeCell ref="O226:O227"/>
    <mergeCell ref="P226:P227"/>
    <mergeCell ref="Q226:Q227"/>
    <mergeCell ref="R226:R227"/>
    <mergeCell ref="S226:S227"/>
    <mergeCell ref="V226:V227"/>
    <mergeCell ref="B229:B230"/>
    <mergeCell ref="C229:C230"/>
    <mergeCell ref="D229:D230"/>
    <mergeCell ref="E229:E230"/>
    <mergeCell ref="F229:F230"/>
    <mergeCell ref="G229:G230"/>
    <mergeCell ref="H229:H230"/>
    <mergeCell ref="I229:I230"/>
    <mergeCell ref="J229:J230"/>
    <mergeCell ref="K229:K230"/>
    <mergeCell ref="L229:L230"/>
    <mergeCell ref="M229:M230"/>
    <mergeCell ref="N229:N230"/>
    <mergeCell ref="O229:O230"/>
    <mergeCell ref="P229:P230"/>
    <mergeCell ref="Q229:Q230"/>
    <mergeCell ref="R229:R230"/>
    <mergeCell ref="S229:S230"/>
    <mergeCell ref="V229:V230"/>
    <mergeCell ref="B231:B232"/>
    <mergeCell ref="C231:C232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N231:N232"/>
    <mergeCell ref="O231:O232"/>
    <mergeCell ref="P231:P232"/>
    <mergeCell ref="Q231:Q232"/>
    <mergeCell ref="R231:R232"/>
    <mergeCell ref="S231:S232"/>
    <mergeCell ref="V231:V232"/>
    <mergeCell ref="B233:B235"/>
    <mergeCell ref="C233:C235"/>
    <mergeCell ref="D233:D235"/>
    <mergeCell ref="E233:E235"/>
    <mergeCell ref="F233:F235"/>
    <mergeCell ref="G233:G235"/>
    <mergeCell ref="H233:H235"/>
    <mergeCell ref="I233:I235"/>
    <mergeCell ref="J233:J235"/>
    <mergeCell ref="K233:K235"/>
    <mergeCell ref="L233:L235"/>
    <mergeCell ref="M233:M235"/>
    <mergeCell ref="N233:N235"/>
    <mergeCell ref="O233:O235"/>
    <mergeCell ref="P233:P235"/>
    <mergeCell ref="Q233:Q235"/>
    <mergeCell ref="R233:R235"/>
    <mergeCell ref="S233:S235"/>
    <mergeCell ref="V233:V235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V236:V237"/>
    <mergeCell ref="B238:B239"/>
    <mergeCell ref="C238:C239"/>
    <mergeCell ref="D238:D239"/>
    <mergeCell ref="E238:E239"/>
    <mergeCell ref="F238:F239"/>
    <mergeCell ref="G238:G239"/>
    <mergeCell ref="H238:H239"/>
    <mergeCell ref="I238:I239"/>
    <mergeCell ref="J238:J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S238:S239"/>
    <mergeCell ref="V238:V239"/>
    <mergeCell ref="B240:B241"/>
    <mergeCell ref="C240:C241"/>
    <mergeCell ref="D240:D241"/>
    <mergeCell ref="E240:E241"/>
    <mergeCell ref="F240:F241"/>
    <mergeCell ref="G240:G241"/>
    <mergeCell ref="H240:H241"/>
    <mergeCell ref="I240:I241"/>
    <mergeCell ref="J240:J241"/>
    <mergeCell ref="K240:K241"/>
    <mergeCell ref="L240:L241"/>
    <mergeCell ref="M240:M241"/>
    <mergeCell ref="N240:N241"/>
    <mergeCell ref="O240:O241"/>
    <mergeCell ref="P240:P241"/>
    <mergeCell ref="Q240:Q241"/>
    <mergeCell ref="R240:R241"/>
    <mergeCell ref="S240:S241"/>
    <mergeCell ref="V240:V241"/>
    <mergeCell ref="B245:B246"/>
    <mergeCell ref="C245:C246"/>
    <mergeCell ref="D245:D246"/>
    <mergeCell ref="E245:E246"/>
    <mergeCell ref="F245:F246"/>
    <mergeCell ref="G245:G246"/>
    <mergeCell ref="H245:H246"/>
    <mergeCell ref="I245:I246"/>
    <mergeCell ref="J245:J246"/>
    <mergeCell ref="K245:K246"/>
    <mergeCell ref="L245:L246"/>
    <mergeCell ref="M245:M246"/>
    <mergeCell ref="N245:N246"/>
    <mergeCell ref="O245:O246"/>
    <mergeCell ref="P245:P246"/>
    <mergeCell ref="Q245:Q246"/>
    <mergeCell ref="R245:R246"/>
    <mergeCell ref="S245:S246"/>
    <mergeCell ref="V245:V246"/>
    <mergeCell ref="B247:B249"/>
    <mergeCell ref="C247:C249"/>
    <mergeCell ref="D247:D249"/>
    <mergeCell ref="E247:E249"/>
    <mergeCell ref="F247:F249"/>
    <mergeCell ref="G247:G249"/>
    <mergeCell ref="H247:H249"/>
    <mergeCell ref="I247:I249"/>
    <mergeCell ref="J247:J249"/>
    <mergeCell ref="K247:K249"/>
    <mergeCell ref="L247:L249"/>
    <mergeCell ref="M247:M249"/>
    <mergeCell ref="N247:N249"/>
    <mergeCell ref="O247:O249"/>
    <mergeCell ref="P247:P249"/>
    <mergeCell ref="Q247:Q249"/>
    <mergeCell ref="R247:R249"/>
    <mergeCell ref="S247:S249"/>
    <mergeCell ref="V247:V255"/>
    <mergeCell ref="B250:B252"/>
    <mergeCell ref="C250:C252"/>
    <mergeCell ref="D250:D252"/>
    <mergeCell ref="E250:E252"/>
    <mergeCell ref="F250:F252"/>
    <mergeCell ref="G250:G252"/>
    <mergeCell ref="H250:H252"/>
    <mergeCell ref="I250:I252"/>
    <mergeCell ref="J250:J252"/>
    <mergeCell ref="K250:K252"/>
    <mergeCell ref="L250:L252"/>
    <mergeCell ref="M250:M252"/>
    <mergeCell ref="N250:N252"/>
    <mergeCell ref="O250:O252"/>
    <mergeCell ref="P250:P252"/>
    <mergeCell ref="Q250:Q252"/>
    <mergeCell ref="R250:R252"/>
    <mergeCell ref="S250:S252"/>
    <mergeCell ref="B253:B255"/>
    <mergeCell ref="C253:C255"/>
    <mergeCell ref="D253:D255"/>
    <mergeCell ref="E253:E255"/>
    <mergeCell ref="F253:F255"/>
    <mergeCell ref="G253:G255"/>
    <mergeCell ref="H253:H255"/>
    <mergeCell ref="I253:I255"/>
    <mergeCell ref="J253:J255"/>
    <mergeCell ref="K253:K255"/>
    <mergeCell ref="L253:L255"/>
    <mergeCell ref="M253:M255"/>
    <mergeCell ref="N253:N255"/>
    <mergeCell ref="O253:O255"/>
    <mergeCell ref="P253:P255"/>
    <mergeCell ref="Q253:Q255"/>
    <mergeCell ref="R253:R255"/>
    <mergeCell ref="S253:S255"/>
    <mergeCell ref="B256:B257"/>
    <mergeCell ref="C256:C257"/>
    <mergeCell ref="D256:D257"/>
    <mergeCell ref="E256:E257"/>
    <mergeCell ref="F256:F257"/>
    <mergeCell ref="G256:G257"/>
    <mergeCell ref="H256:H257"/>
    <mergeCell ref="I256:I257"/>
    <mergeCell ref="J256:J257"/>
    <mergeCell ref="K256:K257"/>
    <mergeCell ref="L256:L257"/>
    <mergeCell ref="M256:M257"/>
    <mergeCell ref="N256:N257"/>
    <mergeCell ref="O256:O257"/>
    <mergeCell ref="P256:P257"/>
    <mergeCell ref="Q256:Q257"/>
    <mergeCell ref="R256:R257"/>
    <mergeCell ref="S256:S257"/>
    <mergeCell ref="V256:V257"/>
    <mergeCell ref="B258:B261"/>
    <mergeCell ref="C258:C261"/>
    <mergeCell ref="D258:D261"/>
    <mergeCell ref="E258:E261"/>
    <mergeCell ref="F258:F261"/>
    <mergeCell ref="G258:G261"/>
    <mergeCell ref="H258:H261"/>
    <mergeCell ref="I258:I261"/>
    <mergeCell ref="J258:J261"/>
    <mergeCell ref="K258:K261"/>
    <mergeCell ref="L258:L261"/>
    <mergeCell ref="M258:M261"/>
    <mergeCell ref="N258:N261"/>
    <mergeCell ref="O258:O261"/>
    <mergeCell ref="P258:P261"/>
    <mergeCell ref="Q258:Q261"/>
    <mergeCell ref="R258:R261"/>
    <mergeCell ref="S258:S261"/>
    <mergeCell ref="V258:V273"/>
    <mergeCell ref="B262:B265"/>
    <mergeCell ref="C262:C265"/>
    <mergeCell ref="D262:D265"/>
    <mergeCell ref="E262:E265"/>
    <mergeCell ref="F262:F265"/>
    <mergeCell ref="G262:G265"/>
    <mergeCell ref="H262:H265"/>
    <mergeCell ref="I262:I265"/>
    <mergeCell ref="J262:J265"/>
    <mergeCell ref="K262:K265"/>
    <mergeCell ref="L262:L265"/>
    <mergeCell ref="M262:M265"/>
    <mergeCell ref="N262:N265"/>
    <mergeCell ref="O262:O265"/>
    <mergeCell ref="P262:P265"/>
    <mergeCell ref="Q262:Q265"/>
    <mergeCell ref="R262:R265"/>
    <mergeCell ref="S262:S265"/>
    <mergeCell ref="B266:B269"/>
    <mergeCell ref="C266:C269"/>
    <mergeCell ref="D266:D269"/>
    <mergeCell ref="E266:E269"/>
    <mergeCell ref="F266:F269"/>
    <mergeCell ref="G266:G269"/>
    <mergeCell ref="H266:H269"/>
    <mergeCell ref="I266:I269"/>
    <mergeCell ref="J266:J269"/>
    <mergeCell ref="K266:K269"/>
    <mergeCell ref="L266:L269"/>
    <mergeCell ref="M266:M269"/>
    <mergeCell ref="N266:N269"/>
    <mergeCell ref="O266:O269"/>
    <mergeCell ref="P266:P269"/>
    <mergeCell ref="Q266:Q269"/>
    <mergeCell ref="R266:R269"/>
    <mergeCell ref="S266:S269"/>
    <mergeCell ref="B270:B273"/>
    <mergeCell ref="C270:C273"/>
    <mergeCell ref="D270:D273"/>
    <mergeCell ref="E270:E273"/>
    <mergeCell ref="F270:F273"/>
    <mergeCell ref="G270:G273"/>
    <mergeCell ref="H270:H273"/>
    <mergeCell ref="I270:I273"/>
    <mergeCell ref="J270:J273"/>
    <mergeCell ref="K270:K273"/>
    <mergeCell ref="L270:L273"/>
    <mergeCell ref="M270:M273"/>
    <mergeCell ref="N270:N273"/>
    <mergeCell ref="O270:O273"/>
    <mergeCell ref="P270:P273"/>
    <mergeCell ref="Q270:Q273"/>
    <mergeCell ref="R270:R273"/>
    <mergeCell ref="S270:S273"/>
    <mergeCell ref="B283:B284"/>
    <mergeCell ref="C283:C284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S283:S284"/>
    <mergeCell ref="V283:V284"/>
    <mergeCell ref="B286:B287"/>
    <mergeCell ref="C286:C287"/>
    <mergeCell ref="D286:D287"/>
    <mergeCell ref="E286:E287"/>
    <mergeCell ref="F286:F287"/>
    <mergeCell ref="G286:G287"/>
    <mergeCell ref="H286:H287"/>
    <mergeCell ref="I286:I287"/>
    <mergeCell ref="J286:J287"/>
    <mergeCell ref="K286:K287"/>
    <mergeCell ref="L286:L287"/>
    <mergeCell ref="M286:M287"/>
    <mergeCell ref="N286:N287"/>
    <mergeCell ref="O286:O287"/>
    <mergeCell ref="P286:P287"/>
    <mergeCell ref="Q286:Q287"/>
    <mergeCell ref="R286:R287"/>
    <mergeCell ref="S286:S287"/>
    <mergeCell ref="V286:V287"/>
    <mergeCell ref="B289:B290"/>
    <mergeCell ref="C289:C290"/>
    <mergeCell ref="D289:D290"/>
    <mergeCell ref="E289:E290"/>
    <mergeCell ref="F289:F290"/>
    <mergeCell ref="G289:G290"/>
    <mergeCell ref="H289:H290"/>
    <mergeCell ref="I289:I290"/>
    <mergeCell ref="J289:J290"/>
    <mergeCell ref="K289:K290"/>
    <mergeCell ref="L289:L290"/>
    <mergeCell ref="M289:M290"/>
    <mergeCell ref="N289:N290"/>
    <mergeCell ref="R289:R290"/>
    <mergeCell ref="S289:S290"/>
    <mergeCell ref="V289:V290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K295:K296"/>
    <mergeCell ref="L295:L296"/>
    <mergeCell ref="M295:M296"/>
    <mergeCell ref="N295:N296"/>
    <mergeCell ref="O295:O296"/>
    <mergeCell ref="P295:P296"/>
    <mergeCell ref="Q295:Q296"/>
    <mergeCell ref="R295:R296"/>
    <mergeCell ref="S295:S296"/>
    <mergeCell ref="V295:V296"/>
    <mergeCell ref="B297:B298"/>
    <mergeCell ref="C297:C298"/>
    <mergeCell ref="D297:D298"/>
    <mergeCell ref="E297:E298"/>
    <mergeCell ref="F297:F298"/>
    <mergeCell ref="G297:G298"/>
    <mergeCell ref="H297:H298"/>
    <mergeCell ref="I297:I298"/>
    <mergeCell ref="J297:J298"/>
    <mergeCell ref="K297:K298"/>
    <mergeCell ref="L297:L298"/>
    <mergeCell ref="M297:M298"/>
    <mergeCell ref="N297:N298"/>
    <mergeCell ref="O297:O298"/>
    <mergeCell ref="P297:P298"/>
    <mergeCell ref="Q297:Q298"/>
    <mergeCell ref="R297:R298"/>
    <mergeCell ref="S297:S298"/>
    <mergeCell ref="V297:V298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N299:N300"/>
    <mergeCell ref="O299:O300"/>
    <mergeCell ref="P299:P300"/>
    <mergeCell ref="Q299:Q300"/>
    <mergeCell ref="R299:R300"/>
    <mergeCell ref="S299:S300"/>
    <mergeCell ref="V299:V300"/>
    <mergeCell ref="B303:B305"/>
    <mergeCell ref="C303:C305"/>
    <mergeCell ref="D303:D305"/>
    <mergeCell ref="E303:E305"/>
    <mergeCell ref="F303:F305"/>
    <mergeCell ref="G303:G305"/>
    <mergeCell ref="H303:H305"/>
    <mergeCell ref="I303:I305"/>
    <mergeCell ref="J303:J305"/>
    <mergeCell ref="K303:K305"/>
    <mergeCell ref="L303:L305"/>
    <mergeCell ref="M303:M305"/>
    <mergeCell ref="N303:N305"/>
    <mergeCell ref="R303:R305"/>
    <mergeCell ref="S303:S305"/>
    <mergeCell ref="V303:V305"/>
    <mergeCell ref="O304:O306"/>
    <mergeCell ref="P304:P306"/>
    <mergeCell ref="Q304:Q306"/>
    <mergeCell ref="T304:T305"/>
    <mergeCell ref="U304:U305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Q314:Q315"/>
    <mergeCell ref="R314:R315"/>
    <mergeCell ref="S314:S315"/>
    <mergeCell ref="V314:V315"/>
    <mergeCell ref="B323:B324"/>
    <mergeCell ref="C323:C324"/>
    <mergeCell ref="D323:D324"/>
    <mergeCell ref="E323:E324"/>
    <mergeCell ref="F323:F324"/>
    <mergeCell ref="G323:G324"/>
    <mergeCell ref="H323:H324"/>
    <mergeCell ref="I323:I324"/>
    <mergeCell ref="J323:J324"/>
    <mergeCell ref="K323:K324"/>
    <mergeCell ref="L323:L324"/>
    <mergeCell ref="M323:M324"/>
    <mergeCell ref="N323:N324"/>
    <mergeCell ref="O323:O324"/>
    <mergeCell ref="P323:P324"/>
    <mergeCell ref="Q323:Q324"/>
    <mergeCell ref="R323:R324"/>
    <mergeCell ref="S323:S324"/>
    <mergeCell ref="V323:V324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K325:K326"/>
    <mergeCell ref="L325:L326"/>
    <mergeCell ref="M325:M326"/>
    <mergeCell ref="N325:N326"/>
    <mergeCell ref="O325:O326"/>
    <mergeCell ref="P325:P326"/>
    <mergeCell ref="Q325:Q326"/>
    <mergeCell ref="R325:R326"/>
    <mergeCell ref="S325:S326"/>
    <mergeCell ref="V325:V326"/>
    <mergeCell ref="B327:B328"/>
    <mergeCell ref="C327:C328"/>
    <mergeCell ref="D327:D328"/>
    <mergeCell ref="E327:E328"/>
    <mergeCell ref="F327:F328"/>
    <mergeCell ref="G327:G328"/>
    <mergeCell ref="H327:H328"/>
    <mergeCell ref="I327:I328"/>
    <mergeCell ref="J327:J328"/>
    <mergeCell ref="K327:K328"/>
    <mergeCell ref="L327:L328"/>
    <mergeCell ref="M327:M328"/>
    <mergeCell ref="N327:N328"/>
    <mergeCell ref="O327:O328"/>
    <mergeCell ref="P327:P328"/>
    <mergeCell ref="Q327:Q328"/>
    <mergeCell ref="R327:R328"/>
    <mergeCell ref="S327:S328"/>
    <mergeCell ref="V327:V328"/>
    <mergeCell ref="B329:B330"/>
    <mergeCell ref="C329:C330"/>
    <mergeCell ref="D329:D330"/>
    <mergeCell ref="E329:E330"/>
    <mergeCell ref="F329:F330"/>
    <mergeCell ref="G329:G330"/>
    <mergeCell ref="H329:H330"/>
    <mergeCell ref="I329:I330"/>
    <mergeCell ref="J329:J330"/>
    <mergeCell ref="K329:K330"/>
    <mergeCell ref="L329:L330"/>
    <mergeCell ref="M329:M330"/>
    <mergeCell ref="N329:N330"/>
    <mergeCell ref="O329:O330"/>
    <mergeCell ref="P329:P330"/>
    <mergeCell ref="Q329:Q330"/>
    <mergeCell ref="R329:R330"/>
    <mergeCell ref="S329:S330"/>
    <mergeCell ref="V329:V330"/>
    <mergeCell ref="B331:B332"/>
    <mergeCell ref="C331:C332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L331:L332"/>
    <mergeCell ref="M331:M332"/>
    <mergeCell ref="N331:N332"/>
    <mergeCell ref="O331:O332"/>
    <mergeCell ref="P331:P332"/>
    <mergeCell ref="Q331:Q332"/>
    <mergeCell ref="R331:R332"/>
    <mergeCell ref="S331:S332"/>
    <mergeCell ref="V331:V332"/>
    <mergeCell ref="B333:B335"/>
    <mergeCell ref="C333:C335"/>
    <mergeCell ref="D333:D335"/>
    <mergeCell ref="E333:E335"/>
    <mergeCell ref="F333:F335"/>
    <mergeCell ref="G333:G335"/>
    <mergeCell ref="H333:H335"/>
    <mergeCell ref="I333:I335"/>
    <mergeCell ref="J333:J335"/>
    <mergeCell ref="K333:K335"/>
    <mergeCell ref="L333:L335"/>
    <mergeCell ref="M333:M335"/>
    <mergeCell ref="N333:N335"/>
    <mergeCell ref="R333:R335"/>
    <mergeCell ref="S333:S335"/>
    <mergeCell ref="V333:V335"/>
    <mergeCell ref="O334:O335"/>
    <mergeCell ref="P334:P335"/>
    <mergeCell ref="Q334:Q335"/>
    <mergeCell ref="D339:D340"/>
    <mergeCell ref="F339:F340"/>
    <mergeCell ref="G339:G340"/>
    <mergeCell ref="H339:H340"/>
    <mergeCell ref="I339:I340"/>
    <mergeCell ref="J339:J340"/>
    <mergeCell ref="P339:P340"/>
    <mergeCell ref="Q339:Q340"/>
    <mergeCell ref="T339:T340"/>
    <mergeCell ref="V339:V340"/>
    <mergeCell ref="F341:F342"/>
    <mergeCell ref="G341:G342"/>
    <mergeCell ref="H341:H342"/>
    <mergeCell ref="I341:I342"/>
    <mergeCell ref="J341:J342"/>
    <mergeCell ref="P341:P342"/>
    <mergeCell ref="Q341:Q342"/>
    <mergeCell ref="T341:T342"/>
    <mergeCell ref="V341:V342"/>
    <mergeCell ref="D343:D344"/>
    <mergeCell ref="F343:F344"/>
    <mergeCell ref="G343:G344"/>
    <mergeCell ref="H343:H344"/>
    <mergeCell ref="I343:I344"/>
    <mergeCell ref="J343:J344"/>
    <mergeCell ref="P343:P344"/>
    <mergeCell ref="Q343:Q344"/>
    <mergeCell ref="T343:T344"/>
    <mergeCell ref="V343:V344"/>
    <mergeCell ref="D345:D347"/>
    <mergeCell ref="F345:F347"/>
    <mergeCell ref="G345:G347"/>
    <mergeCell ref="H345:H347"/>
    <mergeCell ref="I345:I347"/>
    <mergeCell ref="J345:J347"/>
    <mergeCell ref="P345:P347"/>
    <mergeCell ref="Q345:Q347"/>
    <mergeCell ref="T345:T347"/>
    <mergeCell ref="V345:V347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K353:K354"/>
    <mergeCell ref="L353:L354"/>
    <mergeCell ref="M353:M354"/>
    <mergeCell ref="N353:N354"/>
    <mergeCell ref="O353:O354"/>
    <mergeCell ref="P353:P354"/>
    <mergeCell ref="Q353:Q354"/>
    <mergeCell ref="R353:R354"/>
    <mergeCell ref="S353:S354"/>
    <mergeCell ref="V353:V354"/>
    <mergeCell ref="B357:B358"/>
    <mergeCell ref="C357:C358"/>
    <mergeCell ref="D357:D358"/>
    <mergeCell ref="E357:E358"/>
    <mergeCell ref="F357:F358"/>
    <mergeCell ref="G357:G358"/>
    <mergeCell ref="H357:H358"/>
    <mergeCell ref="I357:I358"/>
    <mergeCell ref="J357:J358"/>
    <mergeCell ref="K357:K358"/>
    <mergeCell ref="L357:L358"/>
    <mergeCell ref="M357:M358"/>
    <mergeCell ref="N357:N358"/>
    <mergeCell ref="O357:O358"/>
    <mergeCell ref="P357:P358"/>
    <mergeCell ref="Q357:Q358"/>
    <mergeCell ref="R357:R358"/>
    <mergeCell ref="S357:S358"/>
    <mergeCell ref="V357:V358"/>
    <mergeCell ref="B359:B360"/>
    <mergeCell ref="C359:C360"/>
    <mergeCell ref="D359:D360"/>
    <mergeCell ref="E359:E360"/>
    <mergeCell ref="F359:F360"/>
    <mergeCell ref="G359:G360"/>
    <mergeCell ref="H359:H360"/>
    <mergeCell ref="I359:I360"/>
    <mergeCell ref="J359:J360"/>
    <mergeCell ref="K359:K360"/>
    <mergeCell ref="L359:L360"/>
    <mergeCell ref="M359:M360"/>
    <mergeCell ref="N359:N360"/>
    <mergeCell ref="O359:O360"/>
    <mergeCell ref="P359:P360"/>
    <mergeCell ref="Q359:Q360"/>
    <mergeCell ref="R359:R360"/>
    <mergeCell ref="S359:S360"/>
    <mergeCell ref="V359:V360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K365:K366"/>
    <mergeCell ref="L365:L366"/>
    <mergeCell ref="M365:M366"/>
    <mergeCell ref="N365:N366"/>
    <mergeCell ref="O365:O366"/>
    <mergeCell ref="P365:P366"/>
    <mergeCell ref="Q365:Q366"/>
    <mergeCell ref="R365:R366"/>
    <mergeCell ref="S365:S366"/>
    <mergeCell ref="V365:V366"/>
    <mergeCell ref="B368:B369"/>
    <mergeCell ref="C368:C369"/>
    <mergeCell ref="D368:D369"/>
    <mergeCell ref="E368:E369"/>
    <mergeCell ref="F368:F369"/>
    <mergeCell ref="G368:G369"/>
    <mergeCell ref="H368:H369"/>
    <mergeCell ref="I368:I369"/>
    <mergeCell ref="J368:J369"/>
    <mergeCell ref="K368:K369"/>
    <mergeCell ref="L368:L369"/>
    <mergeCell ref="M368:M369"/>
    <mergeCell ref="N368:N369"/>
    <mergeCell ref="O368:O369"/>
    <mergeCell ref="P368:P369"/>
    <mergeCell ref="Q368:Q369"/>
    <mergeCell ref="R368:R369"/>
    <mergeCell ref="S368:S369"/>
    <mergeCell ref="V368:V369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S373:S374"/>
    <mergeCell ref="V373:V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J375:J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S375:S376"/>
    <mergeCell ref="V375:V376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L382:L383"/>
    <mergeCell ref="M382:M383"/>
    <mergeCell ref="N382:N383"/>
    <mergeCell ref="O382:O383"/>
    <mergeCell ref="P382:P383"/>
    <mergeCell ref="Q382:Q383"/>
    <mergeCell ref="R382:R383"/>
    <mergeCell ref="S382:S383"/>
    <mergeCell ref="V382:V383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K390"/>
    <mergeCell ref="L389:L390"/>
    <mergeCell ref="M389:M390"/>
    <mergeCell ref="N389:N390"/>
    <mergeCell ref="O389:O390"/>
    <mergeCell ref="P389:P390"/>
    <mergeCell ref="Q389:Q390"/>
    <mergeCell ref="R389:R390"/>
    <mergeCell ref="S389:S390"/>
    <mergeCell ref="V389:V390"/>
    <mergeCell ref="B391:B392"/>
    <mergeCell ref="C391:C392"/>
    <mergeCell ref="D391:D392"/>
    <mergeCell ref="E391:E392"/>
    <mergeCell ref="F391:F392"/>
    <mergeCell ref="G391:G392"/>
    <mergeCell ref="H391:H392"/>
    <mergeCell ref="I391:I392"/>
    <mergeCell ref="J391:J392"/>
    <mergeCell ref="K391:K392"/>
    <mergeCell ref="L391:L392"/>
    <mergeCell ref="M391:M392"/>
    <mergeCell ref="N391:N392"/>
    <mergeCell ref="O391:O392"/>
    <mergeCell ref="P391:P392"/>
    <mergeCell ref="Q391:Q392"/>
    <mergeCell ref="R391:R392"/>
    <mergeCell ref="S391:S392"/>
    <mergeCell ref="V391:V392"/>
    <mergeCell ref="B396:B397"/>
    <mergeCell ref="C396:C397"/>
    <mergeCell ref="D396:D397"/>
    <mergeCell ref="E396:E397"/>
    <mergeCell ref="F396:F397"/>
    <mergeCell ref="G396:G397"/>
    <mergeCell ref="H396:H397"/>
    <mergeCell ref="I396:I397"/>
    <mergeCell ref="J396:J397"/>
    <mergeCell ref="K396:K397"/>
    <mergeCell ref="L396:L397"/>
    <mergeCell ref="M396:M397"/>
    <mergeCell ref="N396:N397"/>
    <mergeCell ref="O396:O397"/>
    <mergeCell ref="P396:P397"/>
    <mergeCell ref="Q396:Q397"/>
    <mergeCell ref="R396:R397"/>
    <mergeCell ref="S396:S397"/>
    <mergeCell ref="V396:V397"/>
    <mergeCell ref="B398:B399"/>
    <mergeCell ref="C398:C399"/>
    <mergeCell ref="D398:D399"/>
    <mergeCell ref="E398:E399"/>
    <mergeCell ref="F398:F399"/>
    <mergeCell ref="G398:G399"/>
    <mergeCell ref="H398:H399"/>
    <mergeCell ref="I398:I399"/>
    <mergeCell ref="J398:J399"/>
    <mergeCell ref="K398:K399"/>
    <mergeCell ref="L398:L399"/>
    <mergeCell ref="M398:M399"/>
    <mergeCell ref="N398:N399"/>
    <mergeCell ref="O398:O399"/>
    <mergeCell ref="P398:P399"/>
    <mergeCell ref="Q398:Q399"/>
    <mergeCell ref="R398:R399"/>
    <mergeCell ref="S398:S399"/>
    <mergeCell ref="V398:V399"/>
    <mergeCell ref="B407:B408"/>
    <mergeCell ref="C407:C408"/>
    <mergeCell ref="D407:D408"/>
    <mergeCell ref="E407:E408"/>
    <mergeCell ref="F407:F408"/>
    <mergeCell ref="G407:G408"/>
    <mergeCell ref="H407:H408"/>
    <mergeCell ref="I407:I408"/>
    <mergeCell ref="J407:J408"/>
    <mergeCell ref="K407:K408"/>
    <mergeCell ref="L407:L408"/>
    <mergeCell ref="M407:M408"/>
    <mergeCell ref="N407:N408"/>
    <mergeCell ref="O407:O408"/>
    <mergeCell ref="P407:P408"/>
    <mergeCell ref="Q407:Q408"/>
    <mergeCell ref="R407:R408"/>
    <mergeCell ref="S407:S408"/>
    <mergeCell ref="V407:V408"/>
    <mergeCell ref="B409:B410"/>
    <mergeCell ref="C409:C410"/>
    <mergeCell ref="D409:D410"/>
    <mergeCell ref="E409:E410"/>
    <mergeCell ref="F409:F410"/>
    <mergeCell ref="G409:G410"/>
    <mergeCell ref="H409:H410"/>
    <mergeCell ref="I409:I410"/>
    <mergeCell ref="J409:J410"/>
    <mergeCell ref="K409:K410"/>
    <mergeCell ref="L409:L410"/>
    <mergeCell ref="M409:M410"/>
    <mergeCell ref="N409:N410"/>
    <mergeCell ref="O409:O410"/>
    <mergeCell ref="P409:P410"/>
    <mergeCell ref="Q409:Q410"/>
    <mergeCell ref="R409:R410"/>
    <mergeCell ref="S409:S410"/>
    <mergeCell ref="V409:V4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B2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13.63"/>
    <col collapsed="false" customWidth="true" hidden="false" outlineLevel="0" max="7" min="7" style="0" width="14.51"/>
    <col collapsed="false" customWidth="true" hidden="false" outlineLevel="0" max="8" min="8" style="0" width="5.13"/>
    <col collapsed="false" customWidth="true" hidden="false" outlineLevel="0" max="9" min="9" style="0" width="14"/>
    <col collapsed="false" customWidth="true" hidden="false" outlineLevel="0" max="14" min="14" style="0" width="15.63"/>
  </cols>
  <sheetData>
    <row r="2" customFormat="false" ht="15.75" hidden="false" customHeight="true" outlineLevel="0" collapsed="false">
      <c r="B2" s="155" t="n">
        <v>2470</v>
      </c>
      <c r="C2" s="156" t="s">
        <v>16</v>
      </c>
      <c r="D2" s="156"/>
      <c r="E2" s="156"/>
      <c r="F2" s="6"/>
      <c r="G2" s="6"/>
      <c r="H2" s="6"/>
      <c r="I2" s="155" t="n">
        <v>2550</v>
      </c>
      <c r="J2" s="156" t="s">
        <v>58</v>
      </c>
      <c r="K2" s="156"/>
      <c r="L2" s="5"/>
      <c r="M2" s="5"/>
      <c r="N2" s="5"/>
    </row>
    <row r="3" customFormat="false" ht="15.75" hidden="false" customHeight="true" outlineLevel="0" collapsed="false">
      <c r="B3" s="157" t="s">
        <v>182</v>
      </c>
      <c r="C3" s="157"/>
      <c r="D3" s="157"/>
      <c r="E3" s="158" t="n">
        <v>823</v>
      </c>
      <c r="I3" s="157" t="s">
        <v>182</v>
      </c>
      <c r="J3" s="157"/>
      <c r="K3" s="157"/>
      <c r="L3" s="158" t="n">
        <v>107</v>
      </c>
    </row>
    <row r="4" customFormat="false" ht="15.75" hidden="false" customHeight="true" outlineLevel="0" collapsed="false">
      <c r="B4" s="25" t="s">
        <v>183</v>
      </c>
      <c r="C4" s="25" t="s">
        <v>100</v>
      </c>
      <c r="D4" s="25" t="s">
        <v>0</v>
      </c>
      <c r="E4" s="25" t="s">
        <v>2</v>
      </c>
      <c r="F4" s="25" t="s">
        <v>4</v>
      </c>
      <c r="G4" s="159" t="s">
        <v>184</v>
      </c>
      <c r="H4" s="1"/>
      <c r="I4" s="25" t="s">
        <v>183</v>
      </c>
      <c r="J4" s="25" t="s">
        <v>100</v>
      </c>
      <c r="K4" s="25" t="s">
        <v>0</v>
      </c>
      <c r="L4" s="25" t="s">
        <v>2</v>
      </c>
      <c r="M4" s="25" t="s">
        <v>4</v>
      </c>
      <c r="N4" s="159" t="s">
        <v>184</v>
      </c>
    </row>
    <row r="5" customFormat="false" ht="15.75" hidden="false" customHeight="true" outlineLevel="0" collapsed="false">
      <c r="B5" s="160" t="n">
        <v>45839</v>
      </c>
      <c r="C5" s="161" t="n">
        <f aca="false">SUMIFS(MOVIMENTO!E4:E153,MOVIMENTO!B4:B153,B2,MOVIMENTO!D4:D153,C4)</f>
        <v>0</v>
      </c>
      <c r="D5" s="161" t="n">
        <f aca="false">SUMIFS(MOVIMENTO!E4:E153,MOVIMENTO!B4:B153,B2,MOVIMENTO!D4:D153,D4)</f>
        <v>178</v>
      </c>
      <c r="E5" s="161" t="n">
        <f aca="false">SUMIFS(MOVIMENTO!E4:E153,MOVIMENTO!B4:B153,B2,MOVIMENTO!D4:D153,E4)</f>
        <v>0</v>
      </c>
      <c r="F5" s="161" t="n">
        <f aca="false">SUMIFS(MOVIMENTO!E4:E153,MOVIMENTO!B4:B153,B2,MOVIMENTO!D4:D153,F4)</f>
        <v>0</v>
      </c>
      <c r="G5" s="162" t="n">
        <f aca="false">(E3+C5+F5)-(D5+E5)</f>
        <v>645</v>
      </c>
      <c r="H5" s="1"/>
      <c r="I5" s="160" t="n">
        <v>45839</v>
      </c>
      <c r="J5" s="34" t="n">
        <f aca="false">SUMIFS(MOVIMENTO!E4:E153,MOVIMENTO!B4:B153,I2,MOVIMENTO!D4:D153,J4)</f>
        <v>0</v>
      </c>
      <c r="K5" s="34" t="n">
        <f aca="false">SUMIFS(MOVIMENTO!E4:E153,MOVIMENTO!B4:B153,I2,MOVIMENTO!D4:D153,K4)</f>
        <v>14</v>
      </c>
      <c r="L5" s="34" t="n">
        <f aca="false">SUMIFS(MOVIMENTO!E4:E153,MOVIMENTO!B4:B153,I2,MOVIMENTO!D4:D153,L4)</f>
        <v>0</v>
      </c>
      <c r="M5" s="34" t="n">
        <f aca="false">SUMIFS(MOVIMENTO!E4:E153,MOVIMENTO!B4:B153,I2,MOVIMENTO!D4:D153,M4)</f>
        <v>0</v>
      </c>
      <c r="N5" s="162" t="n">
        <f aca="false">SUM(L3+J5+M5)-(K5+L5)</f>
        <v>93</v>
      </c>
    </row>
    <row r="6" customFormat="false" ht="15.75" hidden="false" customHeight="true" outlineLevel="0" collapsed="false">
      <c r="B6" s="160" t="n">
        <v>45870</v>
      </c>
      <c r="C6" s="161" t="n">
        <f aca="false">SUMIFS(MOVIMENTO!E155:E363,MOVIMENTO!B155:B363,B2,MOVIMENTO!D155:D363,C4)</f>
        <v>0</v>
      </c>
      <c r="D6" s="161" t="n">
        <f aca="false">SUMIFS(MOVIMENTO!E155:E363,MOVIMENTO!B155:B363,B2,MOVIMENTO!D155:D363,D4)</f>
        <v>198</v>
      </c>
      <c r="E6" s="161" t="n">
        <f aca="false">SUMIFS(MOVIMENTO!E155:E363,MOVIMENTO!B155:B363,B2,MOVIMENTO!D155:D363,E4)</f>
        <v>0</v>
      </c>
      <c r="F6" s="161" t="n">
        <f aca="false">SUMIFS(MOVIMENTO!E155:E363,MOVIMENTO!B155:B363,B2,MOVIMENTO!D155:D363,F4)</f>
        <v>11</v>
      </c>
      <c r="G6" s="162" t="n">
        <f aca="false">(G5+F6+C6)-(D6+E6)</f>
        <v>458</v>
      </c>
      <c r="H6" s="1"/>
      <c r="I6" s="160" t="n">
        <v>45870</v>
      </c>
      <c r="J6" s="34" t="n">
        <f aca="false">SUMIFS(MOVIMENTO!E155:E363,MOVIMENTO!B155:B363,I2,MOVIMENTO!D155:D363,J4)</f>
        <v>0</v>
      </c>
      <c r="K6" s="34" t="n">
        <f aca="false">SUMIFS(MOVIMENTO!E155:E363,MOVIMENTO!B155:B363,I2,MOVIMENTO!D155:D363,K4)</f>
        <v>12</v>
      </c>
      <c r="L6" s="34" t="n">
        <f aca="false">SUMIFS(MOVIMENTO!E155:E363,MOVIMENTO!B155:B363,I2,MOVIMENTO!D155:D363,L4)</f>
        <v>0</v>
      </c>
      <c r="M6" s="34" t="n">
        <f aca="false">SUMIFS(MOVIMENTO!E155:E363,MOVIMENTO!B155:B363,I2,MOVIMENTO!D155:D363,M4)</f>
        <v>2</v>
      </c>
      <c r="N6" s="162" t="n">
        <f aca="false">(N5+J6+M6)-(K6+L6)</f>
        <v>83</v>
      </c>
    </row>
    <row r="7" customFormat="false" ht="15.75" hidden="false" customHeight="true" outlineLevel="0" collapsed="false">
      <c r="B7" s="160" t="n">
        <v>45901</v>
      </c>
      <c r="C7" s="34" t="n">
        <f aca="false">SUMIFS(MOVIMENTO!E364:E421,MOVIMENTO!B364:B421,B2,MOVIMENTO!D364:D421,C4)</f>
        <v>0</v>
      </c>
      <c r="D7" s="34" t="n">
        <f aca="false">SUMIFS(MOVIMENTO!E364:E421,MOVIMENTO!B364:B421,B2,MOVIMENTO!D364:D421,D4)</f>
        <v>36</v>
      </c>
      <c r="E7" s="34" t="n">
        <f aca="false">SUMIFS(MOVIMENTO!E364:E421,MOVIMENTO!B364:B421,B2,MOVIMENTO!D364:D421,E4)</f>
        <v>0</v>
      </c>
      <c r="F7" s="34" t="n">
        <f aca="false">SUMIFS(MOVIMENTO!E364:E421,MOVIMENTO!B364:B421,B2,MOVIMENTO!D364:D421,F4)</f>
        <v>0</v>
      </c>
      <c r="G7" s="162" t="n">
        <f aca="false">(G6+F7+C7)-(D7+E7)</f>
        <v>422</v>
      </c>
      <c r="H7" s="1"/>
      <c r="I7" s="160" t="n">
        <v>45901</v>
      </c>
      <c r="J7" s="34" t="n">
        <f aca="false">SUMIFS(MOVIMENTO!E364:E421,MOVIMENTO!B364:B421,I2,MOVIMENTO!D364:D421,J4)</f>
        <v>0</v>
      </c>
      <c r="K7" s="34" t="n">
        <f aca="false">SUMIFS(MOVIMENTO!E364:E421,MOVIMENTO!B364:B421,I2,MOVIMENTO!D364:D421,K4)</f>
        <v>3</v>
      </c>
      <c r="L7" s="34" t="n">
        <f aca="false">SUMIFS(MOVIMENTO!E364:E421,MOVIMENTO!B364:B421,I2,MOVIMENTO!D364:D421,L4)</f>
        <v>0</v>
      </c>
      <c r="M7" s="34" t="n">
        <f aca="false">SUMIFS(MOVIMENTO!E364:E421,MOVIMENTO!B364:B421,I2,MOVIMENTO!D364:D421,M4)</f>
        <v>0</v>
      </c>
      <c r="N7" s="162" t="n">
        <f aca="false">(N6+M7+J7)-(K7+L7)</f>
        <v>80</v>
      </c>
    </row>
    <row r="8" customFormat="false" ht="15.75" hidden="false" customHeight="true" outlineLevel="0" collapsed="false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.75" hidden="false" customHeight="true" outlineLevel="0" collapsed="false">
      <c r="B9" s="163" t="n">
        <v>2731</v>
      </c>
      <c r="C9" s="164" t="s">
        <v>18</v>
      </c>
      <c r="D9" s="164"/>
      <c r="E9" s="20"/>
      <c r="F9" s="20"/>
      <c r="G9" s="20"/>
      <c r="H9" s="1"/>
      <c r="I9" s="163" t="n">
        <v>2946</v>
      </c>
      <c r="J9" s="164" t="s">
        <v>91</v>
      </c>
      <c r="K9" s="164"/>
      <c r="L9" s="164"/>
      <c r="M9" s="20"/>
      <c r="N9" s="20"/>
    </row>
    <row r="10" customFormat="false" ht="15.75" hidden="false" customHeight="true" outlineLevel="0" collapsed="false">
      <c r="B10" s="157" t="s">
        <v>182</v>
      </c>
      <c r="C10" s="157"/>
      <c r="D10" s="157"/>
      <c r="E10" s="158" t="n">
        <v>12</v>
      </c>
      <c r="I10" s="157" t="s">
        <v>182</v>
      </c>
      <c r="J10" s="157"/>
      <c r="K10" s="157"/>
      <c r="L10" s="158" t="n">
        <v>273</v>
      </c>
    </row>
    <row r="11" customFormat="false" ht="15.75" hidden="false" customHeight="true" outlineLevel="0" collapsed="false">
      <c r="B11" s="165" t="s">
        <v>183</v>
      </c>
      <c r="C11" s="25" t="s">
        <v>100</v>
      </c>
      <c r="D11" s="25" t="s">
        <v>0</v>
      </c>
      <c r="E11" s="25" t="s">
        <v>2</v>
      </c>
      <c r="F11" s="25" t="s">
        <v>4</v>
      </c>
      <c r="G11" s="159" t="s">
        <v>184</v>
      </c>
      <c r="H11" s="1"/>
      <c r="I11" s="25" t="s">
        <v>183</v>
      </c>
      <c r="J11" s="25" t="s">
        <v>100</v>
      </c>
      <c r="K11" s="25" t="s">
        <v>0</v>
      </c>
      <c r="L11" s="25" t="s">
        <v>2</v>
      </c>
      <c r="M11" s="25" t="s">
        <v>4</v>
      </c>
      <c r="N11" s="159" t="s">
        <v>184</v>
      </c>
    </row>
    <row r="12" customFormat="false" ht="15.75" hidden="false" customHeight="true" outlineLevel="0" collapsed="false">
      <c r="B12" s="160" t="n">
        <v>45839</v>
      </c>
      <c r="C12" s="34" t="n">
        <f aca="false">SUMIFS(MOVIMENTO!E4:E153,MOVIMENTO!B4:B153,B9,MOVIMENTO!D4:D153,C11)</f>
        <v>0</v>
      </c>
      <c r="D12" s="34" t="n">
        <f aca="false">SUMIFS(MOVIMENTO!E4:E153,MOVIMENTO!B4:B153,B9,MOVIMENTO!D4:D153,D11)</f>
        <v>1</v>
      </c>
      <c r="E12" s="34" t="n">
        <f aca="false">SUMIFS(MOVIMENTO!E4:E153,MOVIMENTO!B4:B153,B9,MOVIMENTO!D4:D153,E11)</f>
        <v>0</v>
      </c>
      <c r="F12" s="34" t="n">
        <f aca="false">SUMIFS(MOVIMENTO!E4:E153,MOVIMENTO!B4:B153,B9,MOVIMENTO!D4:D153,F11)</f>
        <v>0</v>
      </c>
      <c r="G12" s="162" t="n">
        <f aca="false">(E10+C12+F12)-(D12+E12)</f>
        <v>11</v>
      </c>
      <c r="H12" s="1"/>
      <c r="I12" s="160" t="n">
        <v>45839</v>
      </c>
      <c r="J12" s="34" t="n">
        <f aca="false">SUMIFS(MOVIMENTO!E4:E153,MOVIMENTO!B4:B153,I9,MOVIMENTO!D4:D153,J11)</f>
        <v>0</v>
      </c>
      <c r="K12" s="34" t="n">
        <f aca="false">SUMIFS(MOVIMENTO!E4:E153,MOVIMENTO!B4:B153,I9,MOVIMENTO!D4:D153,K11)</f>
        <v>1</v>
      </c>
      <c r="L12" s="34" t="n">
        <f aca="false">SUMIFS(MOVIMENTO!E4:E153,MOVIMENTO!B4:B153,I9,MOVIMENTO!D4:D153,L11)</f>
        <v>0</v>
      </c>
      <c r="M12" s="34" t="n">
        <f aca="false">SUMIFS(MOVIMENTO!E4:E153,MOVIMENTO!B4:B153,I9,MOVIMENTO!D4:D153,M11)</f>
        <v>0</v>
      </c>
      <c r="N12" s="162" t="n">
        <f aca="false">SUM(L10+J12+M12)-(K12+L12)</f>
        <v>272</v>
      </c>
    </row>
    <row r="13" customFormat="false" ht="15.75" hidden="false" customHeight="true" outlineLevel="0" collapsed="false">
      <c r="B13" s="160" t="n">
        <v>45870</v>
      </c>
      <c r="C13" s="34" t="n">
        <f aca="false">SUMIFS(MOVIMENTO!E155:E363,MOVIMENTO!B155:B363,B9,MOVIMENTO!D155:D363,C11)</f>
        <v>0</v>
      </c>
      <c r="D13" s="34" t="n">
        <f aca="false">SUMIFS(MOVIMENTO!E155:E363,MOVIMENTO!B155:B363,B9,MOVIMENTO!D155:D363,D11)</f>
        <v>0</v>
      </c>
      <c r="E13" s="34" t="n">
        <f aca="false">SUMIFS(MOVIMENTO!E155:E363,MOVIMENTO!B155:B363,B9,MOVIMENTO!D155:D363,E11)</f>
        <v>0</v>
      </c>
      <c r="F13" s="34" t="n">
        <f aca="false">SUMIFS(MOVIMENTO!E155:E363,MOVIMENTO!B155:B363,B9,MOVIMENTO!D155:D363,F11)</f>
        <v>0</v>
      </c>
      <c r="G13" s="162" t="n">
        <f aca="false">(G12+C13)-(D13+E13-F13)</f>
        <v>11</v>
      </c>
      <c r="H13" s="1"/>
      <c r="I13" s="160" t="n">
        <v>45870</v>
      </c>
      <c r="J13" s="34" t="n">
        <f aca="false">SUMIFS(MOVIMENTO!E155:E363,MOVIMENTO!B155:B363,I9,MOVIMENTO!D155:D363,J11)</f>
        <v>0</v>
      </c>
      <c r="K13" s="34" t="n">
        <f aca="false">SUMIFS(MOVIMENTO!E155:E363,MOVIMENTO!B155:B363,I9,MOVIMENTO!D155:D363,K11)</f>
        <v>7</v>
      </c>
      <c r="L13" s="34" t="n">
        <f aca="false">SUMIFS(MOVIMENTO!E155:E363,MOVIMENTO!B155:B363,I9,MOVIMENTO!D155:D363,L11)</f>
        <v>0</v>
      </c>
      <c r="M13" s="34" t="n">
        <f aca="false">SUMIFS(MOVIMENTO!E155:E363,MOVIMENTO!B155:B363,I9,MOVIMENTO!D155:D363,M11)</f>
        <v>0</v>
      </c>
      <c r="N13" s="162" t="n">
        <f aca="false">(N12+J13)-(K13+L13-M13)</f>
        <v>265</v>
      </c>
    </row>
    <row r="14" customFormat="false" ht="15.75" hidden="false" customHeight="true" outlineLevel="0" collapsed="false">
      <c r="B14" s="160" t="n">
        <v>45901</v>
      </c>
      <c r="C14" s="34" t="n">
        <f aca="false">SUMIFS(MOVIMENTO!E364:E421,MOVIMENTO!B364:B421,B9,MOVIMENTO!D364:D421,C11)</f>
        <v>0</v>
      </c>
      <c r="D14" s="34" t="n">
        <f aca="false">SUMIFS(MOVIMENTO!E364:E421,MOVIMENTO!B364:B421,B9,MOVIMENTO!D364:D421,D11)</f>
        <v>0</v>
      </c>
      <c r="E14" s="34" t="n">
        <f aca="false">SUMIFS(MOVIMENTO!E364:E421,MOVIMENTO!B364:B421,B9,MOVIMENTO!D364:D421,E11)</f>
        <v>0</v>
      </c>
      <c r="F14" s="34" t="n">
        <f aca="false">SUMIFS(MOVIMENTO!E364:E421,MOVIMENTO!B364:B421,B9,MOVIMENTO!D364:D421,F11)</f>
        <v>0</v>
      </c>
      <c r="G14" s="162" t="n">
        <f aca="false">(G13+C14)-(D14+E14-F14)</f>
        <v>11</v>
      </c>
      <c r="H14" s="1"/>
      <c r="I14" s="160" t="n">
        <v>45901</v>
      </c>
      <c r="J14" s="34" t="n">
        <f aca="false">SUMIFS(MOVIMENTO!E364:E421,MOVIMENTO!B364:B421,I9,MOVIMENTO!D364:D421,J11)</f>
        <v>0</v>
      </c>
      <c r="K14" s="34" t="n">
        <f aca="false">SUMIFS(MOVIMENTO!E364:E421,MOVIMENTO!B364:B421,I9,MOVIMENTO!D364:D421,K11)</f>
        <v>0</v>
      </c>
      <c r="L14" s="34" t="n">
        <f aca="false">SUMIFS(MOVIMENTO!E364:E421,MOVIMENTO!B364:B421,I9,MOVIMENTO!D364:D421,L11)</f>
        <v>0</v>
      </c>
      <c r="M14" s="34" t="n">
        <f aca="false">SUMIFS(MOVIMENTO!E364:E421,MOVIMENTO!B364:B421,I9,MOVIMENTO!D364:D421,M11)</f>
        <v>0</v>
      </c>
      <c r="N14" s="162" t="n">
        <f aca="false">(N13+J14)-(K14+L14-M14)</f>
        <v>265</v>
      </c>
    </row>
    <row r="15" customFormat="false" ht="15.75" hidden="false" customHeight="true" outlineLevel="0" collapsed="false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customFormat="false" ht="15.75" hidden="false" customHeight="true" outlineLevel="0" collapsed="false">
      <c r="B16" s="163" t="n">
        <v>2953</v>
      </c>
      <c r="C16" s="164" t="s">
        <v>22</v>
      </c>
      <c r="D16" s="164"/>
      <c r="E16" s="164"/>
      <c r="F16" s="20"/>
      <c r="G16" s="20"/>
      <c r="H16" s="1"/>
      <c r="I16" s="155" t="n">
        <v>2957</v>
      </c>
      <c r="J16" s="166" t="s">
        <v>185</v>
      </c>
      <c r="K16" s="166"/>
      <c r="L16" s="4"/>
      <c r="M16" s="4"/>
      <c r="N16" s="4"/>
    </row>
    <row r="17" customFormat="false" ht="15.75" hidden="false" customHeight="true" outlineLevel="0" collapsed="false">
      <c r="B17" s="157" t="s">
        <v>182</v>
      </c>
      <c r="C17" s="157"/>
      <c r="D17" s="157"/>
      <c r="E17" s="158" t="n">
        <v>140</v>
      </c>
      <c r="I17" s="157" t="s">
        <v>182</v>
      </c>
      <c r="J17" s="157"/>
      <c r="K17" s="157"/>
      <c r="L17" s="10" t="n">
        <v>1</v>
      </c>
      <c r="M17" s="4"/>
      <c r="N17" s="4"/>
    </row>
    <row r="18" customFormat="false" ht="15.75" hidden="false" customHeight="true" outlineLevel="0" collapsed="false">
      <c r="B18" s="25" t="s">
        <v>183</v>
      </c>
      <c r="C18" s="25" t="s">
        <v>100</v>
      </c>
      <c r="D18" s="25" t="s">
        <v>0</v>
      </c>
      <c r="E18" s="25" t="s">
        <v>2</v>
      </c>
      <c r="F18" s="25" t="s">
        <v>4</v>
      </c>
      <c r="G18" s="159" t="s">
        <v>184</v>
      </c>
      <c r="H18" s="1"/>
      <c r="I18" s="167" t="s">
        <v>183</v>
      </c>
      <c r="J18" s="167" t="s">
        <v>100</v>
      </c>
      <c r="K18" s="167" t="s">
        <v>0</v>
      </c>
      <c r="L18" s="167" t="s">
        <v>2</v>
      </c>
      <c r="M18" s="167" t="s">
        <v>4</v>
      </c>
      <c r="N18" s="168" t="s">
        <v>184</v>
      </c>
    </row>
    <row r="19" customFormat="false" ht="15.75" hidden="false" customHeight="true" outlineLevel="0" collapsed="false">
      <c r="B19" s="160" t="n">
        <v>45839</v>
      </c>
      <c r="C19" s="34" t="n">
        <f aca="false">SUMIFS(MOVIMENTO!E4:E153,MOVIMENTO!B4:B153,B16,MOVIMENTO!D4:D153,C18)</f>
        <v>0</v>
      </c>
      <c r="D19" s="34" t="n">
        <f aca="false">SUMIFS(MOVIMENTO!E4:E153,MOVIMENTO!B4:B153,B16,MOVIMENTO!D4:D153,D18)</f>
        <v>0</v>
      </c>
      <c r="E19" s="34" t="n">
        <f aca="false">SUMIFS(MOVIMENTO!E4:E153,MOVIMENTO!B4:B153,B16,MOVIMENTO!D4:D153,E18)</f>
        <v>0</v>
      </c>
      <c r="F19" s="34" t="n">
        <f aca="false">SUMIFS(MOVIMENTO!E4:E153,MOVIMENTO!B4:B153,B16,MOVIMENTO!D4:D153,F18)</f>
        <v>0</v>
      </c>
      <c r="G19" s="162" t="n">
        <f aca="false">SUM(E17+C19+F19)-(D19+E19)</f>
        <v>140</v>
      </c>
      <c r="H19" s="1"/>
      <c r="I19" s="160" t="n">
        <v>45839</v>
      </c>
      <c r="J19" s="169" t="n">
        <f aca="false">SUMIFS(MOVIMENTO!E4:E153,MOVIMENTO!B4:B153,I16,MOVIMENTO!D4:D153,J18)</f>
        <v>0</v>
      </c>
      <c r="K19" s="169" t="n">
        <f aca="false">SUMIFS(MOVIMENTO!E4:E153,MOVIMENTO!B4:B153,I16,MOVIMENTO!D4:D153,K18)</f>
        <v>0</v>
      </c>
      <c r="L19" s="169" t="n">
        <f aca="false">SUMIFS(MOVIMENTO!E4:E153,MOVIMENTO!B4:B153,I16,MOVIMENTO!D4:D153,L18)</f>
        <v>0</v>
      </c>
      <c r="M19" s="169" t="n">
        <f aca="false">SUMIFS(MOVIMENTO!E4:E153,MOVIMENTO!B4:B153,I16,MOVIMENTO!D4:D153,M18)</f>
        <v>0</v>
      </c>
      <c r="N19" s="170" t="n">
        <f aca="false">(J19+M19+L17)-(K19+L19)</f>
        <v>1</v>
      </c>
    </row>
    <row r="20" customFormat="false" ht="15.75" hidden="false" customHeight="true" outlineLevel="0" collapsed="false">
      <c r="B20" s="160" t="n">
        <v>45870</v>
      </c>
      <c r="C20" s="34" t="n">
        <f aca="false">SUMIFS(MOVIMENTO!E155:E363,MOVIMENTO!B155:B363,B16,MOVIMENTO!D155:D363,C18)</f>
        <v>0</v>
      </c>
      <c r="D20" s="34" t="n">
        <f aca="false">SUMIFS(MOVIMENTO!E155:E363,MOVIMENTO!B155:B363,B16,MOVIMENTO!D155:D363,D18)</f>
        <v>3</v>
      </c>
      <c r="E20" s="34" t="n">
        <f aca="false">SUMIFS(MOVIMENTO!E155:E363,MOVIMENTO!B155:B363,B16,MOVIMENTO!D155:D363,E18)</f>
        <v>0</v>
      </c>
      <c r="F20" s="34" t="n">
        <f aca="false">SUMIFS(MOVIMENTO!E155:E363,MOVIMENTO!B155:B363,B16,MOVIMENTO!D155:D363,F18)</f>
        <v>0</v>
      </c>
      <c r="G20" s="162" t="n">
        <f aca="false">(G19+C20)-(D20+E20-F20)</f>
        <v>137</v>
      </c>
      <c r="H20" s="1"/>
      <c r="I20" s="160" t="n">
        <v>45870</v>
      </c>
      <c r="J20" s="169" t="n">
        <f aca="false">SUMIFS(MOVIMENTO!E155:E363,MOVIMENTO!B155:B363,I16,MOVIMENTO!D155:D363,J18)</f>
        <v>0</v>
      </c>
      <c r="K20" s="169" t="n">
        <f aca="false">SUMIFS(MOVIMENTO!E155:E363,MOVIMENTO!B155:B363,I16,MOVIMENTO!D155:D363,K18)</f>
        <v>0</v>
      </c>
      <c r="L20" s="169" t="n">
        <f aca="false">SUMIFS(MOVIMENTO!E155:E363,MOVIMENTO!B155:B363,I16,MOVIMENTO!D155:D363,L18)</f>
        <v>0</v>
      </c>
      <c r="M20" s="169" t="n">
        <f aca="false">SUMIFS(MOVIMENTO!E155:E363,MOVIMENTO!B155:B363,I16,MOVIMENTO!D155:D363,M18)</f>
        <v>0</v>
      </c>
      <c r="N20" s="170" t="n">
        <f aca="false">(J20+M20+N19)-(K20+L20)</f>
        <v>1</v>
      </c>
    </row>
    <row r="21" customFormat="false" ht="15.75" hidden="false" customHeight="true" outlineLevel="0" collapsed="false">
      <c r="B21" s="160" t="n">
        <v>45901</v>
      </c>
      <c r="C21" s="34" t="n">
        <f aca="false">SUMIFS(MOVIMENTO!E364:E421,MOVIMENTO!B364:B421,B16,MOVIMENTO!D364:D421,C18)</f>
        <v>0</v>
      </c>
      <c r="D21" s="34" t="n">
        <f aca="false">SUMIFS(MOVIMENTO!E364:E421,MOVIMENTO!B364:B421,B16,MOVIMENTO!D364:D421,D18)</f>
        <v>0</v>
      </c>
      <c r="E21" s="34" t="n">
        <f aca="false">SUMIFS(MOVIMENTO!E364:E421,MOVIMENTO!B364:B421,B16,MOVIMENTO!D364:D421,E18)</f>
        <v>0</v>
      </c>
      <c r="F21" s="34" t="n">
        <f aca="false">SUMIFS(MOVIMENTO!E364:E421,MOVIMENTO!B364:B421,B16,MOVIMENTO!D364:D421,F18)</f>
        <v>0</v>
      </c>
      <c r="G21" s="162" t="n">
        <f aca="false">(G20+C21)-(D21+E21-F21)</f>
        <v>137</v>
      </c>
      <c r="H21" s="1"/>
      <c r="I21" s="160" t="n">
        <v>45901</v>
      </c>
      <c r="J21" s="169" t="n">
        <f aca="false">SUMIFS(MOVIMENTO!E364:E421,MOVIMENTO!B364:B421,I16,MOVIMENTO!D364:D421,J18)</f>
        <v>0</v>
      </c>
      <c r="K21" s="169" t="n">
        <f aca="false">SUMIFS(MOVIMENTO!E364:E421,MOVIMENTO!B364:B421,I16,MOVIMENTO!D364:D421,K18)</f>
        <v>0</v>
      </c>
      <c r="L21" s="169" t="n">
        <f aca="false">SUMIFS(MOVIMENTO!E364:E421,MOVIMENTO!B364:B421,I16,MOVIMENTO!D364:D421,L18)</f>
        <v>0</v>
      </c>
      <c r="M21" s="169" t="n">
        <f aca="false">SUMIFS(MOVIMENTO!E364:E421,MOVIMENTO!B364:B421,I16,MOVIMENTO!D364:D421,M18)</f>
        <v>0</v>
      </c>
      <c r="N21" s="170" t="n">
        <f aca="false">(N20+M21+J21)-(K21+L21)</f>
        <v>1</v>
      </c>
    </row>
    <row r="22" customFormat="false" ht="15.75" hidden="false" customHeight="true" outlineLevel="0" collapsed="false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customFormat="false" ht="15.75" hidden="false" customHeight="true" outlineLevel="0" collapsed="false">
      <c r="B23" s="163" t="n">
        <v>2959</v>
      </c>
      <c r="C23" s="164" t="s">
        <v>24</v>
      </c>
      <c r="D23" s="164"/>
      <c r="E23" s="164"/>
      <c r="F23" s="20"/>
      <c r="G23" s="20"/>
      <c r="H23" s="20"/>
      <c r="I23" s="163" t="n">
        <v>3006</v>
      </c>
      <c r="J23" s="164" t="s">
        <v>25</v>
      </c>
      <c r="K23" s="164"/>
      <c r="L23" s="164"/>
      <c r="M23" s="20"/>
      <c r="N23" s="20"/>
    </row>
    <row r="24" customFormat="false" ht="15.75" hidden="false" customHeight="true" outlineLevel="0" collapsed="false">
      <c r="B24" s="157" t="s">
        <v>182</v>
      </c>
      <c r="C24" s="157"/>
      <c r="D24" s="157"/>
      <c r="E24" s="158" t="n">
        <v>48</v>
      </c>
      <c r="I24" s="157" t="s">
        <v>182</v>
      </c>
      <c r="J24" s="157"/>
      <c r="K24" s="157"/>
      <c r="L24" s="158" t="n">
        <v>60</v>
      </c>
    </row>
    <row r="25" customFormat="false" ht="15.75" hidden="false" customHeight="true" outlineLevel="0" collapsed="false">
      <c r="B25" s="165" t="s">
        <v>183</v>
      </c>
      <c r="C25" s="25" t="s">
        <v>100</v>
      </c>
      <c r="D25" s="25" t="s">
        <v>0</v>
      </c>
      <c r="E25" s="25" t="s">
        <v>2</v>
      </c>
      <c r="F25" s="25" t="s">
        <v>4</v>
      </c>
      <c r="G25" s="159" t="s">
        <v>184</v>
      </c>
      <c r="H25" s="20"/>
      <c r="I25" s="25" t="s">
        <v>183</v>
      </c>
      <c r="J25" s="25" t="s">
        <v>100</v>
      </c>
      <c r="K25" s="25" t="s">
        <v>0</v>
      </c>
      <c r="L25" s="25" t="s">
        <v>2</v>
      </c>
      <c r="M25" s="25" t="s">
        <v>4</v>
      </c>
      <c r="N25" s="159" t="s">
        <v>184</v>
      </c>
    </row>
    <row r="26" customFormat="false" ht="15.75" hidden="false" customHeight="true" outlineLevel="0" collapsed="false">
      <c r="B26" s="160" t="n">
        <v>45839</v>
      </c>
      <c r="C26" s="34" t="n">
        <f aca="false">SUMIFS(MOVIMENTO!E4:E153,MOVIMENTO!B4:B153,B23,MOVIMENTO!D4:D153,C25)</f>
        <v>0</v>
      </c>
      <c r="D26" s="34" t="n">
        <f aca="false">SUMIFS(MOVIMENTO!E4:E153,MOVIMENTO!B4:B153,B23,MOVIMENTO!D4:D153,D25)</f>
        <v>0</v>
      </c>
      <c r="E26" s="34" t="n">
        <f aca="false">SUMIFS(MOVIMENTO!E4:E153,MOVIMENTO!B4:B153,B23,MOVIMENTO!D4:D153,E25)</f>
        <v>0</v>
      </c>
      <c r="F26" s="34" t="n">
        <f aca="false">SUMIFS(MOVIMENTO!E4:E153,MOVIMENTO!B4:B153,B23,MOVIMENTO!D4:D153,F25)</f>
        <v>0</v>
      </c>
      <c r="G26" s="162" t="n">
        <f aca="false">SUM(C26+E24+F26)-(D26+E26)</f>
        <v>48</v>
      </c>
      <c r="H26" s="20"/>
      <c r="I26" s="160" t="n">
        <v>45839</v>
      </c>
      <c r="J26" s="34" t="n">
        <f aca="false">SUMIFS(MOVIMENTO!E4:E153,MOVIMENTO!B4:B153,I23,MOVIMENTO!D4:D153,J25)</f>
        <v>0</v>
      </c>
      <c r="K26" s="34" t="n">
        <f aca="false">SUMIFS(MOVIMENTO!E4:E153,MOVIMENTO!B4:B153,I23,MOVIMENTO!D4:D153,K25)</f>
        <v>2</v>
      </c>
      <c r="L26" s="34" t="n">
        <f aca="false">SUMIFS(MOVIMENTO!E4:E153,MOVIMENTO!B4:B153,I23,MOVIMENTO!D4:D153,L25)</f>
        <v>0</v>
      </c>
      <c r="M26" s="34" t="n">
        <f aca="false">SUMIFS(MOVIMENTO!E4:E153,MOVIMENTO!B4:B153,I23,MOVIMENTO!D4:D153,M25)</f>
        <v>0</v>
      </c>
      <c r="N26" s="162" t="n">
        <f aca="false">(L24+M26+J26)-(K26+L26)</f>
        <v>58</v>
      </c>
    </row>
    <row r="27" customFormat="false" ht="15.75" hidden="false" customHeight="true" outlineLevel="0" collapsed="false">
      <c r="B27" s="160" t="n">
        <v>45870</v>
      </c>
      <c r="C27" s="34" t="n">
        <f aca="false">SUMIFS(MOVIMENTO!E155:E363,MOVIMENTO!B155:B363,B23,MOVIMENTO!D155:D363,C25)</f>
        <v>0</v>
      </c>
      <c r="D27" s="34" t="n">
        <f aca="false">SUMIFS(MOVIMENTO!E155:E363,MOVIMENTO!B155:B363,B23,MOVIMENTO!D155:D363,D25)</f>
        <v>0</v>
      </c>
      <c r="E27" s="34" t="n">
        <f aca="false">SUMIFS(MOVIMENTO!E155:E363,MOVIMENTO!B155:B363,B23,MOVIMENTO!D155:D363,E25)</f>
        <v>0</v>
      </c>
      <c r="F27" s="34" t="n">
        <f aca="false">SUMIFS(MOVIMENTO!E155:E363,MOVIMENTO!B155:B363,B23,MOVIMENTO!D155:D363,F25)</f>
        <v>0</v>
      </c>
      <c r="G27" s="162" t="n">
        <f aca="false">(G26+C27)-(D27+E27-F27)</f>
        <v>48</v>
      </c>
      <c r="H27" s="20"/>
      <c r="I27" s="160" t="n">
        <v>45870</v>
      </c>
      <c r="J27" s="34" t="n">
        <f aca="false">SUMIFS(MOVIMENTO!E155:E363,MOVIMENTO!B155:B363,I23,MOVIMENTO!D155:D363,J25)</f>
        <v>0</v>
      </c>
      <c r="K27" s="34" t="n">
        <f aca="false">SUMIFS(MOVIMENTO!E155:E363,MOVIMENTO!B155:B363,I23,MOVIMENTO!D155:D363,K25)</f>
        <v>7</v>
      </c>
      <c r="L27" s="34" t="n">
        <f aca="false">SUMIFS(MOVIMENTO!E155:E363,MOVIMENTO!B155:B363,I23,MOVIMENTO!D155:D363,L25)</f>
        <v>0</v>
      </c>
      <c r="M27" s="34" t="n">
        <f aca="false">SUMIFS(MOVIMENTO!E155:E363,MOVIMENTO!B155:B363,I23,MOVIMENTO!D155:D363,M25)</f>
        <v>0</v>
      </c>
      <c r="N27" s="162" t="n">
        <f aca="false">(N26+J27)-(K27+L27-M27)</f>
        <v>51</v>
      </c>
    </row>
    <row r="28" customFormat="false" ht="15.75" hidden="false" customHeight="true" outlineLevel="0" collapsed="false">
      <c r="B28" s="160" t="n">
        <v>45901</v>
      </c>
      <c r="C28" s="34" t="n">
        <f aca="false">SUMIFS(MOVIMENTO!E364:E421,MOVIMENTO!B364:B421,B23,MOVIMENTO!D364:D421,C25)</f>
        <v>0</v>
      </c>
      <c r="D28" s="34" t="n">
        <f aca="false">SUMIFS(MOVIMENTO!E364:E421,MOVIMENTO!B364:B421,B23,MOVIMENTO!D364:D421,D25)</f>
        <v>0</v>
      </c>
      <c r="E28" s="34" t="n">
        <f aca="false">SUMIFS(MOVIMENTO!E364:E421,MOVIMENTO!B364:B421,B23,MOVIMENTO!D364:D421,E25)</f>
        <v>0</v>
      </c>
      <c r="F28" s="34" t="n">
        <f aca="false">SUMIFS(MOVIMENTO!E364:E421,MOVIMENTO!B364:B421,B23,MOVIMENTO!D364:D421,F25)</f>
        <v>0</v>
      </c>
      <c r="G28" s="162" t="n">
        <f aca="false">(G27+C28)-(D28+E28-F28)</f>
        <v>48</v>
      </c>
      <c r="H28" s="20"/>
      <c r="I28" s="160" t="n">
        <v>45901</v>
      </c>
      <c r="J28" s="34" t="n">
        <f aca="false">SUMIFS(MOVIMENTO!E364:E421,MOVIMENTO!B364:B421,I23,MOVIMENTO!D364:D421,J25)</f>
        <v>0</v>
      </c>
      <c r="K28" s="34" t="n">
        <f aca="false">SUMIFS(MOVIMENTO!E364:E421,MOVIMENTO!B364:B421,I23,MOVIMENTO!D364:D421,K25)</f>
        <v>0</v>
      </c>
      <c r="L28" s="34" t="n">
        <f aca="false">SUMIFS(MOVIMENTO!E364:E421,MOVIMENTO!B364:B421,I23,MOVIMENTO!D364:D421,L25)</f>
        <v>0</v>
      </c>
      <c r="M28" s="34" t="n">
        <f aca="false">SUMIFS(MOVIMENTO!E364:E421,MOVIMENTO!B364:B421,I23,MOVIMENTO!D364:D421,M25)</f>
        <v>0</v>
      </c>
      <c r="N28" s="162" t="n">
        <f aca="false">(N27+J28)-(K28+L28-M28)</f>
        <v>51</v>
      </c>
    </row>
    <row r="29" customFormat="false" ht="15.75" hidden="false" customHeight="true" outlineLevel="0" collapsed="false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customFormat="false" ht="15.75" hidden="false" customHeight="true" outlineLevel="0" collapsed="false">
      <c r="B30" s="163" t="n">
        <v>3007</v>
      </c>
      <c r="C30" s="164" t="s">
        <v>27</v>
      </c>
      <c r="D30" s="164"/>
      <c r="E30" s="164"/>
      <c r="F30" s="20"/>
      <c r="G30" s="20"/>
      <c r="H30" s="1"/>
      <c r="I30" s="163" t="n">
        <v>3008</v>
      </c>
      <c r="J30" s="164" t="s">
        <v>28</v>
      </c>
      <c r="K30" s="164"/>
      <c r="L30" s="164"/>
      <c r="M30" s="20"/>
      <c r="N30" s="20"/>
    </row>
    <row r="31" customFormat="false" ht="15.75" hidden="false" customHeight="true" outlineLevel="0" collapsed="false">
      <c r="B31" s="157" t="s">
        <v>182</v>
      </c>
      <c r="C31" s="157"/>
      <c r="D31" s="157"/>
      <c r="E31" s="158" t="n">
        <v>40</v>
      </c>
      <c r="I31" s="157" t="s">
        <v>182</v>
      </c>
      <c r="J31" s="157"/>
      <c r="K31" s="157"/>
      <c r="L31" s="158" t="n">
        <v>20</v>
      </c>
    </row>
    <row r="32" customFormat="false" ht="15.75" hidden="false" customHeight="true" outlineLevel="0" collapsed="false">
      <c r="B32" s="25" t="s">
        <v>183</v>
      </c>
      <c r="C32" s="25" t="s">
        <v>100</v>
      </c>
      <c r="D32" s="25" t="s">
        <v>0</v>
      </c>
      <c r="E32" s="25" t="s">
        <v>2</v>
      </c>
      <c r="F32" s="25" t="s">
        <v>4</v>
      </c>
      <c r="G32" s="159" t="s">
        <v>184</v>
      </c>
      <c r="H32" s="1"/>
      <c r="I32" s="25" t="s">
        <v>183</v>
      </c>
      <c r="J32" s="25" t="s">
        <v>100</v>
      </c>
      <c r="K32" s="25" t="s">
        <v>0</v>
      </c>
      <c r="L32" s="25" t="s">
        <v>2</v>
      </c>
      <c r="M32" s="25" t="s">
        <v>4</v>
      </c>
      <c r="N32" s="159" t="s">
        <v>184</v>
      </c>
    </row>
    <row r="33" customFormat="false" ht="15.75" hidden="false" customHeight="true" outlineLevel="0" collapsed="false">
      <c r="B33" s="160" t="n">
        <v>45839</v>
      </c>
      <c r="C33" s="34" t="n">
        <f aca="false">SUMIFS(MOVIMENTO!E4:E153,MOVIMENTO!B4:B153,B30,MOVIMENTO!D4:D153,C32)</f>
        <v>0</v>
      </c>
      <c r="D33" s="34" t="n">
        <f aca="false">SUMIFS(MOVIMENTO!E4:E153,MOVIMENTO!B4:B153,B30,MOVIMENTO!D4:D153,D32)</f>
        <v>2</v>
      </c>
      <c r="E33" s="34" t="n">
        <f aca="false">SUMIFS(MOVIMENTO!E4:E153,MOVIMENTO!B4:B153,B30,MOVIMENTO!D4:D153,E32)</f>
        <v>0</v>
      </c>
      <c r="F33" s="34" t="n">
        <f aca="false">SUMIFS(MOVIMENTO!E4:E153,MOVIMENTO!B4:B153,B30,MOVIMENTO!D4:D153,F32)</f>
        <v>0</v>
      </c>
      <c r="G33" s="162" t="n">
        <f aca="false">(E31+F33+C33)-(D33+E33)</f>
        <v>38</v>
      </c>
      <c r="H33" s="1"/>
      <c r="I33" s="160" t="n">
        <v>45839</v>
      </c>
      <c r="J33" s="34" t="n">
        <f aca="false">SUMIFS(MOVIMENTO!E4:E153,MOVIMENTO!B4:B153,I30,MOVIMENTO!D4:D153,J32)</f>
        <v>0</v>
      </c>
      <c r="K33" s="34" t="n">
        <f aca="false">SUMIFS(MOVIMENTO!E4:E153,MOVIMENTO!B4:B153,I30,MOVIMENTO!D4:D153,K32)</f>
        <v>8</v>
      </c>
      <c r="L33" s="34" t="n">
        <f aca="false">SUMIFS(MOVIMENTO!E4:E153,MOVIMENTO!B4:B153,I30,MOVIMENTO!D4:D153,L32)</f>
        <v>0</v>
      </c>
      <c r="M33" s="34" t="n">
        <f aca="false">SUMIFS(MOVIMENTO!E4:E153,MOVIMENTO!B4:B153,I30,MOVIMENTO!D4:D153,M32)</f>
        <v>0</v>
      </c>
      <c r="N33" s="162" t="n">
        <f aca="false">(L31+J33+M33)-(K33+L33)</f>
        <v>12</v>
      </c>
    </row>
    <row r="34" customFormat="false" ht="15.75" hidden="false" customHeight="true" outlineLevel="0" collapsed="false">
      <c r="B34" s="160" t="n">
        <v>45870</v>
      </c>
      <c r="C34" s="34" t="n">
        <f aca="false">SUMIFS(MOVIMENTO!E155:E363,MOVIMENTO!B155:B363,B30,MOVIMENTO!D155:D363,C32)</f>
        <v>0</v>
      </c>
      <c r="D34" s="34" t="n">
        <f aca="false">SUMIFS(MOVIMENTO!E155:E363,MOVIMENTO!B155:B363,B30,MOVIMENTO!D155:D363,D32)</f>
        <v>0</v>
      </c>
      <c r="E34" s="34" t="n">
        <f aca="false">SUMIFS(MOVIMENTO!E155:E363,MOVIMENTO!B155:B363,B30,MOVIMENTO!D155:D363,E32)</f>
        <v>0</v>
      </c>
      <c r="F34" s="34" t="n">
        <f aca="false">SUMIFS(MOVIMENTO!E155:E363,MOVIMENTO!B155:B363,B30,MOVIMENTO!D155:D363,F32)</f>
        <v>0</v>
      </c>
      <c r="G34" s="162" t="n">
        <f aca="false">(G33+C34)-(D34+E34-F34)</f>
        <v>38</v>
      </c>
      <c r="H34" s="1"/>
      <c r="I34" s="160" t="n">
        <v>45870</v>
      </c>
      <c r="J34" s="34" t="n">
        <f aca="false">SUMIFS(MOVIMENTO!E155:E363,MOVIMENTO!B155:B363,I30,MOVIMENTO!D155:D363,J32)</f>
        <v>0</v>
      </c>
      <c r="K34" s="34" t="n">
        <f aca="false">SUMIFS(MOVIMENTO!E155:E363,MOVIMENTO!B155:B363,I30,MOVIMENTO!D155:D363,K32)</f>
        <v>6</v>
      </c>
      <c r="L34" s="34" t="n">
        <f aca="false">SUMIFS(MOVIMENTO!E155:E363,MOVIMENTO!B155:B363,I30,MOVIMENTO!D155:D363,L32)</f>
        <v>0</v>
      </c>
      <c r="M34" s="34" t="n">
        <f aca="false">SUMIFS(MOVIMENTO!E155:E363,MOVIMENTO!B155:B363,I30,MOVIMENTO!D155:D363,M32)</f>
        <v>0</v>
      </c>
      <c r="N34" s="162" t="n">
        <f aca="false">(N33+J34)-(K34+L34-M34)</f>
        <v>6</v>
      </c>
    </row>
    <row r="35" customFormat="false" ht="15.75" hidden="false" customHeight="true" outlineLevel="0" collapsed="false">
      <c r="B35" s="160" t="n">
        <v>45901</v>
      </c>
      <c r="C35" s="34" t="n">
        <f aca="false">SUMIFS(MOVIMENTO!E364:E421,MOVIMENTO!B364:B421,B30,MOVIMENTO!D364:D421,C32)</f>
        <v>0</v>
      </c>
      <c r="D35" s="34" t="n">
        <f aca="false">SUMIFS(MOVIMENTO!E364:E421,MOVIMENTO!B364:B421,B30,MOVIMENTO!D364:D421,D32)</f>
        <v>1</v>
      </c>
      <c r="E35" s="34" t="n">
        <f aca="false">SUMIFS(MOVIMENTO!E364:E421,MOVIMENTO!B364:B421,B30,MOVIMENTO!D364:D421,E32)</f>
        <v>0</v>
      </c>
      <c r="F35" s="34" t="n">
        <f aca="false">SUMIFS(MOVIMENTO!E364:E421,MOVIMENTO!B364:B421,B30,MOVIMENTO!D364:D421,F32)</f>
        <v>0</v>
      </c>
      <c r="G35" s="162" t="n">
        <f aca="false">(G34+C35)-(D35+E35-F35)</f>
        <v>37</v>
      </c>
      <c r="H35" s="1"/>
      <c r="I35" s="160" t="n">
        <v>45901</v>
      </c>
      <c r="J35" s="34" t="n">
        <f aca="false">SUMIFS(MOVIMENTO!E364:E421,MOVIMENTO!B364:B421,I30,MOVIMENTO!D364:D421,J32)</f>
        <v>0</v>
      </c>
      <c r="K35" s="34" t="n">
        <f aca="false">SUMIFS(MOVIMENTO!E364:E421,MOVIMENTO!B364:B421,I30,MOVIMENTO!D364:D421,K32)</f>
        <v>0</v>
      </c>
      <c r="L35" s="34" t="n">
        <f aca="false">SUMIFS(MOVIMENTO!E364:E421,MOVIMENTO!B364:B421,I30,MOVIMENTO!D364:D421,L32)</f>
        <v>0</v>
      </c>
      <c r="M35" s="34" t="n">
        <f aca="false">SUMIFS(MOVIMENTO!E364:E421,MOVIMENTO!B364:B421,I30,MOVIMENTO!D364:D421,M32)</f>
        <v>0</v>
      </c>
      <c r="N35" s="162" t="n">
        <f aca="false">(N34+J35)-(K35+L35-M35)</f>
        <v>6</v>
      </c>
    </row>
    <row r="36" customFormat="false" ht="15.75" hidden="false" customHeight="true" outlineLevel="0" collapsed="false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customFormat="false" ht="15.75" hidden="false" customHeight="true" outlineLevel="0" collapsed="false">
      <c r="B37" s="163" t="n">
        <v>3009</v>
      </c>
      <c r="C37" s="164" t="s">
        <v>29</v>
      </c>
      <c r="D37" s="164"/>
      <c r="E37" s="164"/>
      <c r="F37" s="20"/>
      <c r="G37" s="20"/>
      <c r="H37" s="1"/>
      <c r="I37" s="163" t="n">
        <v>3010</v>
      </c>
      <c r="J37" s="164" t="s">
        <v>186</v>
      </c>
      <c r="K37" s="164"/>
      <c r="L37" s="164"/>
      <c r="M37" s="20"/>
      <c r="N37" s="20"/>
    </row>
    <row r="38" customFormat="false" ht="15.75" hidden="false" customHeight="true" outlineLevel="0" collapsed="false">
      <c r="B38" s="157" t="s">
        <v>182</v>
      </c>
      <c r="C38" s="157"/>
      <c r="D38" s="157"/>
      <c r="E38" s="158" t="n">
        <v>30</v>
      </c>
      <c r="I38" s="157" t="s">
        <v>182</v>
      </c>
      <c r="J38" s="157"/>
      <c r="K38" s="157"/>
      <c r="L38" s="158" t="n">
        <v>15</v>
      </c>
    </row>
    <row r="39" customFormat="false" ht="15.75" hidden="false" customHeight="true" outlineLevel="0" collapsed="false">
      <c r="B39" s="25" t="s">
        <v>183</v>
      </c>
      <c r="C39" s="25" t="s">
        <v>100</v>
      </c>
      <c r="D39" s="25" t="s">
        <v>0</v>
      </c>
      <c r="E39" s="25" t="s">
        <v>2</v>
      </c>
      <c r="F39" s="25" t="s">
        <v>4</v>
      </c>
      <c r="G39" s="159" t="s">
        <v>184</v>
      </c>
      <c r="H39" s="1"/>
      <c r="I39" s="25" t="s">
        <v>183</v>
      </c>
      <c r="J39" s="25" t="s">
        <v>100</v>
      </c>
      <c r="K39" s="25" t="s">
        <v>0</v>
      </c>
      <c r="L39" s="25" t="s">
        <v>2</v>
      </c>
      <c r="M39" s="25" t="s">
        <v>4</v>
      </c>
      <c r="N39" s="159" t="s">
        <v>184</v>
      </c>
    </row>
    <row r="40" customFormat="false" ht="15.75" hidden="false" customHeight="true" outlineLevel="0" collapsed="false">
      <c r="B40" s="160" t="n">
        <v>45839</v>
      </c>
      <c r="C40" s="34" t="n">
        <f aca="false">SUMIFS(MOVIMENTO!E4:E153,MOVIMENTO!B4:B153,B37,MOVIMENTO!D4:D153,C39)</f>
        <v>0</v>
      </c>
      <c r="D40" s="34" t="n">
        <f aca="false">SUMIFS(MOVIMENTO!E4:E153,MOVIMENTO!B4:B153,B37,MOVIMENTO!D4:D153,D39)</f>
        <v>0</v>
      </c>
      <c r="E40" s="34" t="n">
        <f aca="false">SUMIFS(MOVIMENTO!E4:E153,MOVIMENTO!B4:B153,B37,MOVIMENTO!D4:D153,E39)</f>
        <v>0</v>
      </c>
      <c r="F40" s="34" t="n">
        <f aca="false">SUMIFS(MOVIMENTO!E4:E153,MOVIMENTO!B4:B153,B37,MOVIMENTO!D4:D153,F39)</f>
        <v>0</v>
      </c>
      <c r="G40" s="162" t="n">
        <f aca="false">(E38+C40+F40)-(D40+E40)</f>
        <v>30</v>
      </c>
      <c r="H40" s="1"/>
      <c r="I40" s="160" t="n">
        <v>45839</v>
      </c>
      <c r="J40" s="34" t="n">
        <f aca="false">SUMIFS(MOVIMENTO!E4:E153,MOVIMENTO!B4:B153,I37,MOVIMENTO!D4:D153,J39)</f>
        <v>0</v>
      </c>
      <c r="K40" s="34" t="n">
        <f aca="false">SUMIFS(MOVIMENTO!E4:E153,MOVIMENTO!B4:B153,I37,MOVIMENTO!D4:D153,K39)</f>
        <v>8</v>
      </c>
      <c r="L40" s="34" t="n">
        <f aca="false">SUMIFS(MOVIMENTO!E4:E153,MOVIMENTO!B4:B153,I37,MOVIMENTO!D4:D153,L39)</f>
        <v>0</v>
      </c>
      <c r="M40" s="34" t="n">
        <f aca="false">SUMIFS(MOVIMENTO!E4:E153,MOVIMENTO!B4:B153,I37,MOVIMENTO!D4:D153,M39)</f>
        <v>0</v>
      </c>
      <c r="N40" s="162" t="n">
        <f aca="false">(M40+L38+J40)-(K40+L40)</f>
        <v>7</v>
      </c>
    </row>
    <row r="41" customFormat="false" ht="15.75" hidden="false" customHeight="true" outlineLevel="0" collapsed="false">
      <c r="B41" s="160" t="n">
        <v>45870</v>
      </c>
      <c r="C41" s="34" t="n">
        <f aca="false">SUMIFS(MOVIMENTO!E155:E363,MOVIMENTO!B155:B363,B37,MOVIMENTO!D155:D363,C39)</f>
        <v>0</v>
      </c>
      <c r="D41" s="34" t="n">
        <f aca="false">SUMIFS(MOVIMENTO!E155:E363,MOVIMENTO!B155:B363,B37,MOVIMENTO!D155:D363,D39)</f>
        <v>0</v>
      </c>
      <c r="E41" s="34" t="n">
        <f aca="false">SUMIFS(MOVIMENTO!E155:E363,MOVIMENTO!B155:B363,B37,MOVIMENTO!D155:D363,E39)</f>
        <v>0</v>
      </c>
      <c r="F41" s="34" t="n">
        <f aca="false">SUMIFS(MOVIMENTO!E155:E363,MOVIMENTO!B155:B363,B37,MOVIMENTO!D155:D363,F39)</f>
        <v>0</v>
      </c>
      <c r="G41" s="162" t="n">
        <f aca="false">(G40+C41)-(D41+E41-F41)</f>
        <v>30</v>
      </c>
      <c r="H41" s="1"/>
      <c r="I41" s="160" t="n">
        <v>45870</v>
      </c>
      <c r="J41" s="34" t="n">
        <f aca="false">SUMIFS(MOVIMENTO!E155:E363,MOVIMENTO!B155:B363,I37,MOVIMENTO!D155:D363,J39)</f>
        <v>0</v>
      </c>
      <c r="K41" s="34" t="n">
        <f aca="false">SUMIFS(MOVIMENTO!E155:E363,MOVIMENTO!B155:B363,I37,MOVIMENTO!D155:D363,K39)</f>
        <v>1</v>
      </c>
      <c r="L41" s="34" t="n">
        <f aca="false">SUMIFS(MOVIMENTO!E155:E363,MOVIMENTO!B155:B363,I37,MOVIMENTO!D155:D363,L39)</f>
        <v>0</v>
      </c>
      <c r="M41" s="34" t="n">
        <f aca="false">SUMIFS(MOVIMENTO!E155:E363,MOVIMENTO!B155:B363,I37,MOVIMENTO!D155:D363,M39)</f>
        <v>0</v>
      </c>
      <c r="N41" s="162" t="n">
        <f aca="false">(N40+J41+M41)-(K41+L41)</f>
        <v>6</v>
      </c>
    </row>
    <row r="42" customFormat="false" ht="15.75" hidden="false" customHeight="true" outlineLevel="0" collapsed="false">
      <c r="B42" s="160" t="n">
        <v>45901</v>
      </c>
      <c r="C42" s="34" t="n">
        <f aca="false">SUMIFS(MOVIMENTO!E364:E421,MOVIMENTO!B364:B421,B37,MOVIMENTO!D364:D421,C39)</f>
        <v>0</v>
      </c>
      <c r="D42" s="34" t="n">
        <f aca="false">SUMIFS(MOVIMENTO!E364:E421,MOVIMENTO!B364:B421,B37,MOVIMENTO!D364:D421,D39)</f>
        <v>0</v>
      </c>
      <c r="E42" s="34" t="n">
        <f aca="false">SUMIFS(MOVIMENTO!E364:E421,MOVIMENTO!B364:B421,B37,MOVIMENTO!D364:D421,E39)</f>
        <v>0</v>
      </c>
      <c r="F42" s="34" t="n">
        <f aca="false">SUMIFS(MOVIMENTO!E364:E421,MOVIMENTO!B364:B421,B37,MOVIMENTO!D364:D421,F39)</f>
        <v>0</v>
      </c>
      <c r="G42" s="162" t="n">
        <f aca="false">(G41+C42)-(D42+E42-F42)</f>
        <v>30</v>
      </c>
      <c r="H42" s="1"/>
      <c r="I42" s="160" t="n">
        <v>45901</v>
      </c>
      <c r="J42" s="34" t="n">
        <f aca="false">SUMIFS(MOVIMENTO!E364:E421,MOVIMENTO!B364:B421,I37,MOVIMENTO!D364:D421,J39)</f>
        <v>0</v>
      </c>
      <c r="K42" s="34" t="n">
        <f aca="false">SUMIFS(MOVIMENTO!E364:E421,MOVIMENTO!B364:B421,I37,MOVIMENTO!D364:D421,K39)</f>
        <v>0</v>
      </c>
      <c r="L42" s="34" t="n">
        <f aca="false">SUMIFS(MOVIMENTO!E364:E421,MOVIMENTO!B364:B421,I37,MOVIMENTO!D364:D421,L39)</f>
        <v>0</v>
      </c>
      <c r="M42" s="34" t="n">
        <f aca="false">SUMIFS(MOVIMENTO!E364:E421,MOVIMENTO!B364:B421,I37,MOVIMENTO!D364:D421,M39)</f>
        <v>0</v>
      </c>
      <c r="N42" s="162" t="n">
        <f aca="false">(N41+J42)-(K42+L42-M42)</f>
        <v>6</v>
      </c>
    </row>
    <row r="44" customFormat="false" ht="15.75" hidden="false" customHeight="true" outlineLevel="0" collapsed="false">
      <c r="B44" s="163" t="n">
        <v>3049</v>
      </c>
      <c r="C44" s="164" t="s">
        <v>99</v>
      </c>
      <c r="D44" s="164"/>
      <c r="E44" s="164"/>
    </row>
    <row r="45" customFormat="false" ht="15.75" hidden="false" customHeight="true" outlineLevel="0" collapsed="false">
      <c r="B45" s="25" t="s">
        <v>183</v>
      </c>
      <c r="C45" s="25" t="s">
        <v>100</v>
      </c>
      <c r="D45" s="25" t="s">
        <v>0</v>
      </c>
      <c r="E45" s="25" t="s">
        <v>2</v>
      </c>
      <c r="F45" s="25" t="s">
        <v>4</v>
      </c>
      <c r="G45" s="159" t="s">
        <v>184</v>
      </c>
    </row>
    <row r="46" customFormat="false" ht="15.75" hidden="false" customHeight="true" outlineLevel="0" collapsed="false">
      <c r="B46" s="160" t="n">
        <v>45839</v>
      </c>
      <c r="C46" s="34" t="n">
        <f aca="false">SUMIFS(MOVIMENTO!E4:E153,MOVIMENTO!B4:B153,B44,MOVIMENTO!D4:D153,C45)</f>
        <v>400</v>
      </c>
      <c r="D46" s="34" t="n">
        <f aca="false">SUMIFS(MOVIMENTO!E4:E153,MOVIMENTO!B4:B153,B44,MOVIMENTO!D4:D153,D45)</f>
        <v>22</v>
      </c>
      <c r="E46" s="34" t="n">
        <f aca="false">SUMIFS(MOVIMENTO!E4:E153,MOVIMENTO!B4:B153,B44,MOVIMENTO!D4:D153,E45)</f>
        <v>0</v>
      </c>
      <c r="F46" s="34" t="n">
        <f aca="false">SUMIFS(MOVIMENTO!E4:E153,MOVIMENTO!B4:B153,B44,MOVIMENTO!D4:D153,F45)</f>
        <v>0</v>
      </c>
      <c r="G46" s="162" t="n">
        <f aca="false">SUM(C46+F46)-(D46+E46)</f>
        <v>378</v>
      </c>
    </row>
    <row r="47" customFormat="false" ht="15.75" hidden="false" customHeight="true" outlineLevel="0" collapsed="false">
      <c r="B47" s="160" t="n">
        <v>45870</v>
      </c>
      <c r="C47" s="34" t="n">
        <f aca="false">SUMIFS(MOVIMENTO!E155:E363,MOVIMENTO!B155:B363,#REF!,MOVIMENTO!D155:D363,C45)</f>
        <v>0</v>
      </c>
      <c r="D47" s="34" t="n">
        <f aca="false">SUMIFS(MOVIMENTO!E155:E363,MOVIMENTO!B155:B363,#REF!,MOVIMENTO!D155:D363,D45)</f>
        <v>0</v>
      </c>
      <c r="E47" s="34" t="n">
        <f aca="false">SUMIFS(MOVIMENTO!E155:E363,MOVIMENTO!B155:B363,#REF!,MOVIMENTO!D155:D363,E45)</f>
        <v>0</v>
      </c>
      <c r="F47" s="34" t="n">
        <f aca="false">SUMIFS(MOVIMENTO!E155:E363,MOVIMENTO!B155:B363,#REF!,MOVIMENTO!D155:D363,F45)</f>
        <v>0</v>
      </c>
      <c r="G47" s="162" t="n">
        <f aca="false">(G46+C47)-(D47+E47-F47)</f>
        <v>378</v>
      </c>
    </row>
    <row r="48" customFormat="false" ht="15.75" hidden="false" customHeight="true" outlineLevel="0" collapsed="false">
      <c r="B48" s="160" t="n">
        <v>45901</v>
      </c>
      <c r="C48" s="34" t="n">
        <f aca="false">SUMIFS(MOVIMENTO!E364:E421,MOVIMENTO!B364:B421,B44,MOVIMENTO!D364:D421,C45)</f>
        <v>0</v>
      </c>
      <c r="D48" s="34" t="n">
        <f aca="false">SUMIFS(MOVIMENTO!E364:E421,MOVIMENTO!B364:B421,B44,MOVIMENTO!D364:D421,D45)</f>
        <v>6</v>
      </c>
      <c r="E48" s="34" t="n">
        <f aca="false">SUMIFS(MOVIMENTO!E364:E421,MOVIMENTO!B364:B421,B44,MOVIMENTO!D364:D421,E45)</f>
        <v>0</v>
      </c>
      <c r="F48" s="34" t="n">
        <f aca="false">SUMIFS(MOVIMENTO!E364:E421,MOVIMENTO!B364:B421,B44,MOVIMENTO!D364:D421,F45)</f>
        <v>0</v>
      </c>
      <c r="G48" s="162" t="n">
        <f aca="false">(G47+C48)-(D48+E48-F48)</f>
        <v>372</v>
      </c>
    </row>
  </sheetData>
  <mergeCells count="25">
    <mergeCell ref="C2:E2"/>
    <mergeCell ref="J2:K2"/>
    <mergeCell ref="B3:D3"/>
    <mergeCell ref="I3:K3"/>
    <mergeCell ref="C9:D9"/>
    <mergeCell ref="J9:L9"/>
    <mergeCell ref="B10:D10"/>
    <mergeCell ref="I10:K10"/>
    <mergeCell ref="C16:E16"/>
    <mergeCell ref="J16:K16"/>
    <mergeCell ref="B17:D17"/>
    <mergeCell ref="I17:K17"/>
    <mergeCell ref="C23:E23"/>
    <mergeCell ref="J23:L23"/>
    <mergeCell ref="B24:D24"/>
    <mergeCell ref="I24:K24"/>
    <mergeCell ref="C30:E30"/>
    <mergeCell ref="J30:L30"/>
    <mergeCell ref="B31:D31"/>
    <mergeCell ref="I31:K31"/>
    <mergeCell ref="C37:E37"/>
    <mergeCell ref="J37:L37"/>
    <mergeCell ref="B38:D38"/>
    <mergeCell ref="I38:K38"/>
    <mergeCell ref="C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R10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19.38"/>
    <col collapsed="false" customWidth="true" hidden="false" outlineLevel="0" max="4" min="4" style="0" width="10.88"/>
    <col collapsed="false" customWidth="true" hidden="false" outlineLevel="0" max="5" min="5" style="0" width="19.25"/>
    <col collapsed="false" customWidth="true" hidden="false" outlineLevel="0" max="6" min="6" style="0" width="16.63"/>
    <col collapsed="false" customWidth="true" hidden="false" outlineLevel="0" max="9" min="9" style="0" width="15.38"/>
    <col collapsed="false" customWidth="true" hidden="false" outlineLevel="0" max="10" min="10" style="0" width="8.63"/>
    <col collapsed="false" customWidth="true" hidden="false" outlineLevel="0" max="11" min="11" style="0" width="10.75"/>
    <col collapsed="false" customWidth="true" hidden="false" outlineLevel="0" max="12" min="12" style="0" width="6.51"/>
    <col collapsed="false" customWidth="true" hidden="false" outlineLevel="0" max="22" min="22" style="0" width="23.5"/>
  </cols>
  <sheetData>
    <row r="1" customFormat="false" ht="15.75" hidden="false" customHeight="true" outlineLevel="0" collapsed="false">
      <c r="A1" s="20"/>
      <c r="B1" s="171" t="s">
        <v>187</v>
      </c>
      <c r="C1" s="171"/>
      <c r="D1" s="171"/>
      <c r="E1" s="171"/>
      <c r="F1" s="171"/>
      <c r="G1" s="171"/>
      <c r="H1" s="171"/>
      <c r="I1" s="171"/>
      <c r="J1" s="171"/>
      <c r="K1" s="171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</row>
    <row r="2" customFormat="false" ht="15.75" hidden="false" customHeight="true" outlineLevel="0" collapsed="false">
      <c r="A2" s="20"/>
      <c r="B2" s="172" t="s">
        <v>188</v>
      </c>
      <c r="C2" s="173" t="s">
        <v>13</v>
      </c>
      <c r="D2" s="174" t="s">
        <v>189</v>
      </c>
      <c r="E2" s="172" t="s">
        <v>190</v>
      </c>
      <c r="F2" s="175" t="s">
        <v>191</v>
      </c>
      <c r="G2" s="175" t="s">
        <v>192</v>
      </c>
      <c r="H2" s="172" t="s">
        <v>193</v>
      </c>
      <c r="I2" s="172" t="s">
        <v>194</v>
      </c>
      <c r="J2" s="172" t="s">
        <v>195</v>
      </c>
      <c r="K2" s="172" t="s">
        <v>192</v>
      </c>
      <c r="L2" s="20"/>
      <c r="M2" s="20" t="n">
        <v>2470</v>
      </c>
      <c r="N2" s="20" t="n">
        <v>2550</v>
      </c>
      <c r="O2" s="20" t="n">
        <v>2731</v>
      </c>
      <c r="P2" s="20" t="n">
        <v>2959</v>
      </c>
      <c r="Q2" s="20" t="n">
        <v>2953</v>
      </c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</row>
    <row r="3" customFormat="false" ht="15.75" hidden="false" customHeight="true" outlineLevel="0" collapsed="false">
      <c r="A3" s="20"/>
      <c r="B3" s="176" t="n">
        <v>2470</v>
      </c>
      <c r="C3" s="177" t="s">
        <v>16</v>
      </c>
      <c r="D3" s="178" t="n">
        <v>417</v>
      </c>
      <c r="E3" s="179" t="n">
        <v>45931</v>
      </c>
      <c r="F3" s="178" t="n">
        <f aca="false">756+300</f>
        <v>1056</v>
      </c>
      <c r="G3" s="177" t="n">
        <f aca="false">D3-F3</f>
        <v>-639</v>
      </c>
      <c r="H3" s="180" t="n">
        <f aca="false">ABS(G3/D3)</f>
        <v>1.53237410071942</v>
      </c>
      <c r="I3" s="180" t="n">
        <f aca="false">1-(H3)</f>
        <v>-0.532374100719425</v>
      </c>
      <c r="J3" s="181"/>
      <c r="K3" s="182"/>
      <c r="L3" s="183" t="n">
        <v>10</v>
      </c>
      <c r="M3" s="184" t="n">
        <v>1056</v>
      </c>
      <c r="N3" s="184" t="n">
        <v>63</v>
      </c>
      <c r="O3" s="185" t="n">
        <v>41</v>
      </c>
      <c r="P3" s="184" t="n">
        <v>47</v>
      </c>
      <c r="Q3" s="184" t="n">
        <v>132</v>
      </c>
      <c r="R3" s="153"/>
      <c r="S3" s="153"/>
      <c r="T3" s="186"/>
      <c r="U3" s="153"/>
      <c r="V3" s="184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</row>
    <row r="4" customFormat="false" ht="15.75" hidden="false" customHeight="true" outlineLevel="0" collapsed="false">
      <c r="A4" s="20"/>
      <c r="B4" s="187" t="n">
        <v>2550</v>
      </c>
      <c r="C4" s="34" t="s">
        <v>58</v>
      </c>
      <c r="D4" s="34" t="n">
        <v>80</v>
      </c>
      <c r="E4" s="179"/>
      <c r="F4" s="34" t="n">
        <v>63</v>
      </c>
      <c r="G4" s="34" t="n">
        <f aca="false">D4-F4</f>
        <v>17</v>
      </c>
      <c r="H4" s="188" t="n">
        <f aca="false">ABS(G4/D4)</f>
        <v>0.2125</v>
      </c>
      <c r="I4" s="188" t="n">
        <f aca="false">1-(H4)</f>
        <v>0.7875</v>
      </c>
      <c r="J4" s="33"/>
      <c r="K4" s="189"/>
      <c r="L4" s="183" t="n">
        <v>9</v>
      </c>
      <c r="M4" s="184" t="n">
        <v>1073</v>
      </c>
      <c r="N4" s="184" t="n">
        <v>71</v>
      </c>
      <c r="O4" s="184" t="n">
        <v>32</v>
      </c>
      <c r="P4" s="184" t="n">
        <v>47</v>
      </c>
      <c r="Q4" s="184" t="n">
        <v>132</v>
      </c>
      <c r="R4" s="190"/>
      <c r="S4" s="190"/>
      <c r="T4" s="186"/>
      <c r="U4" s="153"/>
      <c r="V4" s="191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</row>
    <row r="5" customFormat="false" ht="15.75" hidden="false" customHeight="true" outlineLevel="0" collapsed="false">
      <c r="A5" s="20"/>
      <c r="B5" s="187" t="n">
        <v>2731</v>
      </c>
      <c r="C5" s="192" t="s">
        <v>18</v>
      </c>
      <c r="D5" s="34" t="n">
        <v>11</v>
      </c>
      <c r="E5" s="179"/>
      <c r="F5" s="34" t="n">
        <v>41</v>
      </c>
      <c r="G5" s="193" t="n">
        <f aca="false">D5-F5</f>
        <v>-30</v>
      </c>
      <c r="H5" s="188" t="n">
        <f aca="false">ABS(G5/D5)</f>
        <v>2.72727272727273</v>
      </c>
      <c r="I5" s="188" t="n">
        <f aca="false">1-(H5)</f>
        <v>-1.72727272727273</v>
      </c>
      <c r="J5" s="33"/>
      <c r="K5" s="189"/>
      <c r="L5" s="183" t="n">
        <v>8</v>
      </c>
      <c r="M5" s="184" t="s">
        <v>6</v>
      </c>
      <c r="N5" s="184" t="n">
        <v>70</v>
      </c>
      <c r="O5" s="184" t="n">
        <v>36</v>
      </c>
      <c r="P5" s="184" t="n">
        <v>47</v>
      </c>
      <c r="Q5" s="184" t="n">
        <v>132</v>
      </c>
      <c r="R5" s="190"/>
      <c r="S5" s="190"/>
      <c r="T5" s="186"/>
      <c r="U5" s="153"/>
      <c r="V5" s="191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</row>
    <row r="6" customFormat="false" ht="15.75" hidden="false" customHeight="true" outlineLevel="0" collapsed="false">
      <c r="A6" s="20"/>
      <c r="B6" s="194" t="n">
        <v>2959</v>
      </c>
      <c r="C6" s="34" t="s">
        <v>24</v>
      </c>
      <c r="D6" s="34" t="n">
        <v>48</v>
      </c>
      <c r="E6" s="179"/>
      <c r="F6" s="34" t="n">
        <v>47</v>
      </c>
      <c r="G6" s="34" t="n">
        <f aca="false">D6-F6</f>
        <v>1</v>
      </c>
      <c r="H6" s="188" t="n">
        <f aca="false">ABS(G6/D6)</f>
        <v>0.0208333333333333</v>
      </c>
      <c r="I6" s="188" t="n">
        <f aca="false">1-(H6)</f>
        <v>0.979166666666667</v>
      </c>
      <c r="J6" s="33"/>
      <c r="K6" s="189"/>
      <c r="L6" s="183" t="n">
        <v>7</v>
      </c>
      <c r="M6" s="184" t="s">
        <v>6</v>
      </c>
      <c r="N6" s="184" t="n">
        <v>83</v>
      </c>
      <c r="O6" s="184" t="n">
        <v>38</v>
      </c>
      <c r="P6" s="184" t="n">
        <v>48</v>
      </c>
      <c r="Q6" s="184" t="n">
        <v>138</v>
      </c>
      <c r="R6" s="190"/>
      <c r="S6" s="190"/>
      <c r="T6" s="186"/>
      <c r="U6" s="153"/>
      <c r="V6" s="191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customFormat="false" ht="15.75" hidden="false" customHeight="true" outlineLevel="0" collapsed="false">
      <c r="A7" s="20"/>
      <c r="B7" s="194" t="n">
        <v>2953</v>
      </c>
      <c r="C7" s="34" t="s">
        <v>196</v>
      </c>
      <c r="D7" s="34" t="n">
        <v>137</v>
      </c>
      <c r="E7" s="179"/>
      <c r="F7" s="34" t="n">
        <v>132</v>
      </c>
      <c r="G7" s="34" t="n">
        <f aca="false">D7-F7</f>
        <v>5</v>
      </c>
      <c r="H7" s="188" t="n">
        <f aca="false">ABS(G7/D7)</f>
        <v>0.0364963503649635</v>
      </c>
      <c r="I7" s="188" t="n">
        <f aca="false">1-(H7)</f>
        <v>0.963503649635037</v>
      </c>
      <c r="J7" s="33"/>
      <c r="K7" s="189"/>
      <c r="L7" s="183"/>
      <c r="M7" s="184"/>
      <c r="N7" s="184"/>
      <c r="O7" s="184"/>
      <c r="P7" s="184"/>
      <c r="Q7" s="184"/>
      <c r="R7" s="190"/>
      <c r="S7" s="190"/>
      <c r="T7" s="186"/>
      <c r="U7" s="153"/>
      <c r="V7" s="191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customFormat="false" ht="15.75" hidden="false" customHeight="true" outlineLevel="0" collapsed="false">
      <c r="A8" s="20"/>
      <c r="B8" s="194" t="n">
        <v>2946</v>
      </c>
      <c r="C8" s="34" t="s">
        <v>91</v>
      </c>
      <c r="D8" s="34" t="n">
        <v>265</v>
      </c>
      <c r="E8" s="179"/>
      <c r="F8" s="34" t="n">
        <v>258</v>
      </c>
      <c r="G8" s="34" t="n">
        <f aca="false">D8-F8</f>
        <v>7</v>
      </c>
      <c r="H8" s="188" t="n">
        <f aca="false">ABS(G8/D8)</f>
        <v>0.0264150943396226</v>
      </c>
      <c r="I8" s="188" t="n">
        <f aca="false">1-(H8)</f>
        <v>0.973584905660377</v>
      </c>
      <c r="J8" s="33"/>
      <c r="K8" s="189"/>
      <c r="L8" s="183"/>
      <c r="M8" s="184" t="n">
        <v>2946</v>
      </c>
      <c r="N8" s="184" t="n">
        <v>3006</v>
      </c>
      <c r="O8" s="184" t="n">
        <v>3007</v>
      </c>
      <c r="P8" s="184" t="n">
        <v>3008</v>
      </c>
      <c r="Q8" s="184" t="n">
        <v>3009</v>
      </c>
      <c r="R8" s="190"/>
      <c r="S8" s="190"/>
      <c r="T8" s="186"/>
      <c r="U8" s="153"/>
      <c r="V8" s="191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customFormat="false" ht="15.75" hidden="false" customHeight="true" outlineLevel="0" collapsed="false">
      <c r="A9" s="20"/>
      <c r="B9" s="194" t="n">
        <v>3006</v>
      </c>
      <c r="C9" s="34" t="s">
        <v>25</v>
      </c>
      <c r="D9" s="34" t="n">
        <v>51</v>
      </c>
      <c r="E9" s="179"/>
      <c r="F9" s="34" t="n">
        <v>28</v>
      </c>
      <c r="G9" s="34" t="n">
        <f aca="false">D9-F9</f>
        <v>23</v>
      </c>
      <c r="H9" s="188" t="n">
        <f aca="false">ABS(G9/D9)</f>
        <v>0.450980392156863</v>
      </c>
      <c r="I9" s="188" t="n">
        <f aca="false">1-(H9)</f>
        <v>0.549019607843137</v>
      </c>
      <c r="J9" s="33"/>
      <c r="K9" s="189"/>
      <c r="L9" s="183" t="n">
        <v>10</v>
      </c>
      <c r="M9" s="184" t="n">
        <v>258</v>
      </c>
      <c r="N9" s="185" t="n">
        <v>28</v>
      </c>
      <c r="O9" s="184" t="s">
        <v>6</v>
      </c>
      <c r="P9" s="184" t="n">
        <v>3</v>
      </c>
      <c r="Q9" s="184" t="s">
        <v>6</v>
      </c>
      <c r="R9" s="190"/>
      <c r="S9" s="190"/>
      <c r="T9" s="186"/>
      <c r="U9" s="153"/>
      <c r="V9" s="191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customFormat="false" ht="15.75" hidden="false" customHeight="true" outlineLevel="0" collapsed="false">
      <c r="A10" s="20"/>
      <c r="B10" s="194" t="n">
        <v>3007</v>
      </c>
      <c r="C10" s="34" t="s">
        <v>27</v>
      </c>
      <c r="D10" s="195"/>
      <c r="E10" s="179"/>
      <c r="F10" s="195"/>
      <c r="G10" s="195"/>
      <c r="H10" s="195"/>
      <c r="I10" s="195"/>
      <c r="J10" s="195"/>
      <c r="K10" s="196"/>
      <c r="L10" s="197" t="n">
        <v>9</v>
      </c>
      <c r="M10" s="184" t="s">
        <v>6</v>
      </c>
      <c r="N10" s="184" t="n">
        <v>26</v>
      </c>
      <c r="O10" s="184" t="n">
        <v>28</v>
      </c>
      <c r="P10" s="184" t="n">
        <v>3</v>
      </c>
      <c r="Q10" s="185" t="n">
        <v>29</v>
      </c>
      <c r="R10" s="190"/>
      <c r="S10" s="190"/>
      <c r="T10" s="186"/>
      <c r="U10" s="153"/>
      <c r="V10" s="191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customFormat="false" ht="15.75" hidden="false" customHeight="true" outlineLevel="0" collapsed="false">
      <c r="A11" s="20"/>
      <c r="B11" s="194" t="n">
        <v>3008</v>
      </c>
      <c r="C11" s="34" t="s">
        <v>28</v>
      </c>
      <c r="D11" s="34" t="n">
        <v>6</v>
      </c>
      <c r="E11" s="179"/>
      <c r="F11" s="34" t="n">
        <v>3</v>
      </c>
      <c r="G11" s="34" t="n">
        <f aca="false">D11-F11</f>
        <v>3</v>
      </c>
      <c r="H11" s="188" t="n">
        <f aca="false">ABS(G11/D11)</f>
        <v>0.5</v>
      </c>
      <c r="I11" s="188" t="n">
        <f aca="false">1-(H11)</f>
        <v>0.5</v>
      </c>
      <c r="J11" s="33"/>
      <c r="K11" s="189"/>
      <c r="L11" s="197" t="n">
        <v>8</v>
      </c>
      <c r="M11" s="184" t="s">
        <v>6</v>
      </c>
      <c r="N11" s="184" t="n">
        <v>36</v>
      </c>
      <c r="O11" s="184" t="n">
        <v>29</v>
      </c>
      <c r="P11" s="184" t="n">
        <v>11</v>
      </c>
      <c r="Q11" s="184" t="n">
        <v>27</v>
      </c>
      <c r="R11" s="190"/>
      <c r="S11" s="190"/>
      <c r="T11" s="186"/>
      <c r="U11" s="153"/>
      <c r="V11" s="191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customFormat="false" ht="15.75" hidden="false" customHeight="true" outlineLevel="0" collapsed="false">
      <c r="A12" s="20"/>
      <c r="B12" s="194" t="n">
        <v>3009</v>
      </c>
      <c r="C12" s="34" t="s">
        <v>29</v>
      </c>
      <c r="D12" s="195"/>
      <c r="E12" s="179"/>
      <c r="F12" s="195"/>
      <c r="G12" s="195"/>
      <c r="H12" s="195"/>
      <c r="I12" s="195"/>
      <c r="J12" s="195"/>
      <c r="K12" s="196"/>
      <c r="L12" s="197" t="n">
        <v>7</v>
      </c>
      <c r="M12" s="184" t="s">
        <v>6</v>
      </c>
      <c r="N12" s="184" t="n">
        <v>58</v>
      </c>
      <c r="O12" s="184" t="n">
        <v>62</v>
      </c>
      <c r="P12" s="184" t="n">
        <v>31</v>
      </c>
      <c r="Q12" s="184" t="n">
        <v>30</v>
      </c>
      <c r="R12" s="190"/>
      <c r="S12" s="190"/>
      <c r="T12" s="186"/>
      <c r="U12" s="153"/>
      <c r="V12" s="191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customFormat="false" ht="15.75" hidden="false" customHeight="true" outlineLevel="0" collapsed="false">
      <c r="A13" s="20"/>
      <c r="B13" s="194" t="n">
        <v>3010</v>
      </c>
      <c r="C13" s="34" t="s">
        <v>186</v>
      </c>
      <c r="D13" s="34" t="n">
        <v>6</v>
      </c>
      <c r="E13" s="179"/>
      <c r="F13" s="34" t="n">
        <v>4</v>
      </c>
      <c r="G13" s="34" t="n">
        <f aca="false">D13-F13</f>
        <v>2</v>
      </c>
      <c r="H13" s="188" t="n">
        <f aca="false">ABS(G13/D13)</f>
        <v>0.333333333333333</v>
      </c>
      <c r="I13" s="188" t="n">
        <f aca="false">1-(H13)</f>
        <v>0.666666666666667</v>
      </c>
      <c r="J13" s="33"/>
      <c r="K13" s="189"/>
      <c r="L13" s="183"/>
      <c r="M13" s="184"/>
      <c r="N13" s="184"/>
      <c r="O13" s="184"/>
      <c r="P13" s="184"/>
      <c r="Q13" s="184"/>
      <c r="R13" s="190"/>
      <c r="S13" s="190"/>
      <c r="T13" s="186"/>
      <c r="U13" s="153"/>
      <c r="V13" s="191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customFormat="false" ht="15.75" hidden="false" customHeight="true" outlineLevel="0" collapsed="false">
      <c r="A14" s="20"/>
      <c r="B14" s="198" t="n">
        <v>3049</v>
      </c>
      <c r="C14" s="199" t="s">
        <v>99</v>
      </c>
      <c r="D14" s="199" t="n">
        <v>356</v>
      </c>
      <c r="E14" s="179"/>
      <c r="F14" s="199" t="n">
        <v>297</v>
      </c>
      <c r="G14" s="199" t="n">
        <f aca="false">D14-F14</f>
        <v>59</v>
      </c>
      <c r="H14" s="200" t="n">
        <f aca="false">ABS(G14/D14)</f>
        <v>0.165730337078652</v>
      </c>
      <c r="I14" s="188" t="n">
        <f aca="false">1-(H14)</f>
        <v>0.834269662921348</v>
      </c>
      <c r="J14" s="201"/>
      <c r="K14" s="202"/>
      <c r="L14" s="197"/>
      <c r="M14" s="184" t="n">
        <v>3010</v>
      </c>
      <c r="N14" s="184" t="n">
        <v>3049</v>
      </c>
      <c r="O14" s="13"/>
      <c r="P14" s="13"/>
      <c r="Q14" s="13"/>
      <c r="R14" s="153"/>
      <c r="S14" s="153"/>
      <c r="T14" s="186"/>
      <c r="U14" s="153"/>
      <c r="V14" s="184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customFormat="false" ht="15.75" hidden="false" customHeight="true" outlineLevel="0" collapsed="false">
      <c r="A15" s="20"/>
      <c r="B15" s="176" t="n">
        <v>2470</v>
      </c>
      <c r="C15" s="192" t="s">
        <v>16</v>
      </c>
      <c r="D15" s="34" t="n">
        <v>417</v>
      </c>
      <c r="E15" s="179" t="n">
        <v>45901</v>
      </c>
      <c r="F15" s="178" t="n">
        <f aca="false">796+277</f>
        <v>1073</v>
      </c>
      <c r="G15" s="192" t="n">
        <f aca="false">D15-F15</f>
        <v>-656</v>
      </c>
      <c r="H15" s="203" t="n">
        <f aca="false">ABS(G15/D15)</f>
        <v>1.57314148681055</v>
      </c>
      <c r="I15" s="180" t="n">
        <f aca="false">1-H15</f>
        <v>-0.573141486810552</v>
      </c>
      <c r="J15" s="178"/>
      <c r="K15" s="182"/>
      <c r="L15" s="197" t="n">
        <v>10</v>
      </c>
      <c r="M15" s="185" t="n">
        <v>4</v>
      </c>
      <c r="N15" s="184" t="n">
        <v>297</v>
      </c>
      <c r="O15" s="13"/>
      <c r="P15" s="13"/>
      <c r="Q15" s="13"/>
      <c r="R15" s="190"/>
      <c r="S15" s="190"/>
      <c r="T15" s="186"/>
      <c r="U15" s="153"/>
      <c r="V15" s="191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customFormat="false" ht="15.75" hidden="false" customHeight="true" outlineLevel="0" collapsed="false">
      <c r="A16" s="20"/>
      <c r="B16" s="187" t="n">
        <v>2550</v>
      </c>
      <c r="C16" s="34" t="s">
        <v>58</v>
      </c>
      <c r="D16" s="34" t="n">
        <v>80</v>
      </c>
      <c r="E16" s="179"/>
      <c r="F16" s="34" t="n">
        <v>71</v>
      </c>
      <c r="G16" s="34" t="n">
        <f aca="false">D16-F16</f>
        <v>9</v>
      </c>
      <c r="H16" s="203" t="n">
        <f aca="false">ABS(G16/D16)</f>
        <v>0.1125</v>
      </c>
      <c r="I16" s="188" t="n">
        <f aca="false">1-H16</f>
        <v>0.8875</v>
      </c>
      <c r="J16" s="33"/>
      <c r="K16" s="189"/>
      <c r="L16" s="183" t="n">
        <v>9</v>
      </c>
      <c r="M16" s="184" t="n">
        <v>3</v>
      </c>
      <c r="N16" s="184" t="n">
        <v>307</v>
      </c>
      <c r="O16" s="13"/>
      <c r="P16" s="13"/>
      <c r="Q16" s="13"/>
      <c r="R16" s="190"/>
      <c r="S16" s="190"/>
      <c r="T16" s="186"/>
      <c r="U16" s="153"/>
      <c r="V16" s="191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customFormat="false" ht="15.75" hidden="false" customHeight="true" outlineLevel="0" collapsed="false">
      <c r="A17" s="20"/>
      <c r="B17" s="187" t="n">
        <v>2731</v>
      </c>
      <c r="C17" s="192" t="s">
        <v>18</v>
      </c>
      <c r="D17" s="34" t="n">
        <v>11</v>
      </c>
      <c r="E17" s="179"/>
      <c r="F17" s="34" t="n">
        <v>32</v>
      </c>
      <c r="G17" s="192" t="n">
        <f aca="false">D17-F17</f>
        <v>-21</v>
      </c>
      <c r="H17" s="203" t="n">
        <f aca="false">ABS(G17/D17)</f>
        <v>1.90909090909091</v>
      </c>
      <c r="I17" s="188" t="n">
        <f aca="false">1-H17</f>
        <v>-0.909090909090909</v>
      </c>
      <c r="J17" s="33"/>
      <c r="K17" s="189"/>
      <c r="L17" s="183" t="n">
        <v>8</v>
      </c>
      <c r="M17" s="184" t="n">
        <v>4</v>
      </c>
      <c r="N17" s="184" t="n">
        <v>366</v>
      </c>
      <c r="O17" s="13"/>
      <c r="P17" s="13"/>
      <c r="Q17" s="13"/>
      <c r="R17" s="190"/>
      <c r="S17" s="190"/>
      <c r="T17" s="186"/>
      <c r="U17" s="153"/>
      <c r="V17" s="191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customFormat="false" ht="15.75" hidden="false" customHeight="true" outlineLevel="0" collapsed="false">
      <c r="A18" s="20"/>
      <c r="B18" s="194" t="n">
        <v>2959</v>
      </c>
      <c r="C18" s="34" t="s">
        <v>24</v>
      </c>
      <c r="D18" s="34" t="n">
        <v>48</v>
      </c>
      <c r="E18" s="179"/>
      <c r="F18" s="34" t="n">
        <v>47</v>
      </c>
      <c r="G18" s="34" t="n">
        <f aca="false">D18-F18</f>
        <v>1</v>
      </c>
      <c r="H18" s="203" t="n">
        <f aca="false">ABS(G18/D18)</f>
        <v>0.0208333333333333</v>
      </c>
      <c r="I18" s="188" t="n">
        <f aca="false">1-H18</f>
        <v>0.979166666666667</v>
      </c>
      <c r="J18" s="34"/>
      <c r="K18" s="189"/>
      <c r="L18" s="183" t="n">
        <v>7</v>
      </c>
      <c r="M18" s="184" t="n">
        <v>21</v>
      </c>
      <c r="N18" s="13" t="s">
        <v>6</v>
      </c>
      <c r="O18" s="13"/>
      <c r="P18" s="13"/>
      <c r="Q18" s="13"/>
      <c r="R18" s="190"/>
      <c r="S18" s="190"/>
      <c r="T18" s="186"/>
      <c r="U18" s="153"/>
      <c r="V18" s="191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customFormat="false" ht="15.75" hidden="false" customHeight="true" outlineLevel="0" collapsed="false">
      <c r="A19" s="20"/>
      <c r="B19" s="194" t="n">
        <v>2953</v>
      </c>
      <c r="C19" s="34" t="s">
        <v>196</v>
      </c>
      <c r="D19" s="34" t="n">
        <v>137</v>
      </c>
      <c r="E19" s="179"/>
      <c r="F19" s="34" t="n">
        <v>132</v>
      </c>
      <c r="G19" s="34" t="n">
        <f aca="false">D19-F19</f>
        <v>5</v>
      </c>
      <c r="H19" s="203" t="n">
        <f aca="false">ABS(G19/D19)</f>
        <v>0.0364963503649635</v>
      </c>
      <c r="I19" s="188" t="n">
        <f aca="false">1-H19</f>
        <v>0.963503649635037</v>
      </c>
      <c r="J19" s="34"/>
      <c r="K19" s="189"/>
      <c r="L19" s="204"/>
      <c r="M19" s="13"/>
      <c r="N19" s="13"/>
      <c r="O19" s="13"/>
      <c r="P19" s="13"/>
      <c r="Q19" s="13"/>
      <c r="R19" s="153"/>
      <c r="S19" s="153"/>
      <c r="T19" s="186"/>
      <c r="U19" s="153"/>
      <c r="V19" s="184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customFormat="false" ht="15.75" hidden="false" customHeight="true" outlineLevel="0" collapsed="false">
      <c r="A20" s="20"/>
      <c r="B20" s="194" t="n">
        <v>2946</v>
      </c>
      <c r="C20" s="34" t="s">
        <v>91</v>
      </c>
      <c r="D20" s="195"/>
      <c r="E20" s="179"/>
      <c r="F20" s="195"/>
      <c r="G20" s="195"/>
      <c r="H20" s="195"/>
      <c r="I20" s="195"/>
      <c r="J20" s="195"/>
      <c r="K20" s="195"/>
      <c r="L20" s="204"/>
      <c r="M20" s="13"/>
      <c r="N20" s="13"/>
      <c r="O20" s="13"/>
      <c r="P20" s="13"/>
      <c r="Q20" s="13"/>
      <c r="R20" s="190"/>
      <c r="S20" s="190"/>
      <c r="T20" s="186"/>
      <c r="U20" s="153"/>
      <c r="V20" s="191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customFormat="false" ht="15.75" hidden="false" customHeight="true" outlineLevel="0" collapsed="false">
      <c r="A21" s="20"/>
      <c r="B21" s="194" t="n">
        <v>3006</v>
      </c>
      <c r="C21" s="34" t="s">
        <v>25</v>
      </c>
      <c r="D21" s="34" t="n">
        <v>51</v>
      </c>
      <c r="E21" s="179"/>
      <c r="F21" s="34" t="n">
        <v>26</v>
      </c>
      <c r="G21" s="34" t="n">
        <f aca="false">D21-F21</f>
        <v>25</v>
      </c>
      <c r="H21" s="203" t="n">
        <f aca="false">ABS(G21/D21)</f>
        <v>0.490196078431373</v>
      </c>
      <c r="I21" s="188" t="n">
        <f aca="false">1-H21</f>
        <v>0.509803921568627</v>
      </c>
      <c r="J21" s="34"/>
      <c r="K21" s="189"/>
      <c r="L21" s="13"/>
      <c r="M21" s="13"/>
      <c r="N21" s="13"/>
      <c r="O21" s="13"/>
      <c r="P21" s="13"/>
      <c r="Q21" s="13"/>
      <c r="R21" s="190"/>
      <c r="S21" s="190"/>
      <c r="T21" s="186"/>
      <c r="U21" s="153"/>
      <c r="V21" s="191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</row>
    <row r="22" customFormat="false" ht="15.75" hidden="false" customHeight="true" outlineLevel="0" collapsed="false">
      <c r="A22" s="20"/>
      <c r="B22" s="194" t="n">
        <v>3007</v>
      </c>
      <c r="C22" s="34" t="s">
        <v>27</v>
      </c>
      <c r="D22" s="34" t="n">
        <v>37</v>
      </c>
      <c r="E22" s="179"/>
      <c r="F22" s="34" t="n">
        <v>28</v>
      </c>
      <c r="G22" s="34" t="n">
        <f aca="false">D22-F22</f>
        <v>9</v>
      </c>
      <c r="H22" s="203" t="n">
        <f aca="false">ABS(G22/D22)</f>
        <v>0.243243243243243</v>
      </c>
      <c r="I22" s="188" t="n">
        <f aca="false">1-H22</f>
        <v>0.756756756756757</v>
      </c>
      <c r="J22" s="34"/>
      <c r="K22" s="189"/>
      <c r="L22" s="204"/>
      <c r="M22" s="13"/>
      <c r="N22" s="13"/>
      <c r="O22" s="13"/>
      <c r="P22" s="13"/>
      <c r="Q22" s="13"/>
      <c r="R22" s="153"/>
      <c r="S22" s="153"/>
      <c r="T22" s="186"/>
      <c r="U22" s="153"/>
      <c r="V22" s="184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</row>
    <row r="23" customFormat="false" ht="15.75" hidden="false" customHeight="true" outlineLevel="0" collapsed="false">
      <c r="A23" s="20"/>
      <c r="B23" s="194" t="n">
        <v>3008</v>
      </c>
      <c r="C23" s="34" t="s">
        <v>28</v>
      </c>
      <c r="D23" s="34" t="n">
        <v>6</v>
      </c>
      <c r="E23" s="179"/>
      <c r="F23" s="34" t="n">
        <v>3</v>
      </c>
      <c r="G23" s="34" t="n">
        <f aca="false">D23-F23</f>
        <v>3</v>
      </c>
      <c r="H23" s="203" t="n">
        <f aca="false">ABS(G23/D23)</f>
        <v>0.5</v>
      </c>
      <c r="I23" s="188" t="n">
        <f aca="false">1-H23</f>
        <v>0.5</v>
      </c>
      <c r="J23" s="34"/>
      <c r="K23" s="189"/>
      <c r="L23" s="204"/>
      <c r="M23" s="13"/>
      <c r="N23" s="13"/>
      <c r="O23" s="13"/>
      <c r="P23" s="13"/>
      <c r="Q23" s="13"/>
      <c r="R23" s="153"/>
      <c r="S23" s="153"/>
      <c r="T23" s="186"/>
      <c r="U23" s="153"/>
      <c r="V23" s="184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</row>
    <row r="24" customFormat="false" ht="15.75" hidden="false" customHeight="true" outlineLevel="0" collapsed="false">
      <c r="A24" s="20"/>
      <c r="B24" s="194" t="n">
        <v>3009</v>
      </c>
      <c r="C24" s="34" t="s">
        <v>29</v>
      </c>
      <c r="D24" s="34" t="n">
        <v>30</v>
      </c>
      <c r="E24" s="179"/>
      <c r="F24" s="34" t="n">
        <v>29</v>
      </c>
      <c r="G24" s="34" t="n">
        <f aca="false">D24-F24</f>
        <v>1</v>
      </c>
      <c r="H24" s="203" t="n">
        <f aca="false">ABS(G24/D24)</f>
        <v>0.0333333333333333</v>
      </c>
      <c r="I24" s="188" t="n">
        <f aca="false">1-H24</f>
        <v>0.966666666666667</v>
      </c>
      <c r="J24" s="34"/>
      <c r="K24" s="189"/>
      <c r="L24" s="13"/>
      <c r="M24" s="13"/>
      <c r="N24" s="13"/>
      <c r="O24" s="13"/>
      <c r="P24" s="13"/>
      <c r="Q24" s="13"/>
      <c r="R24" s="190"/>
      <c r="S24" s="190"/>
      <c r="T24" s="186"/>
      <c r="U24" s="153"/>
      <c r="V24" s="191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</row>
    <row r="25" customFormat="false" ht="15.75" hidden="false" customHeight="true" outlineLevel="0" collapsed="false">
      <c r="A25" s="20"/>
      <c r="B25" s="194" t="n">
        <v>3010</v>
      </c>
      <c r="C25" s="34" t="s">
        <v>186</v>
      </c>
      <c r="D25" s="34" t="n">
        <v>6</v>
      </c>
      <c r="E25" s="179"/>
      <c r="F25" s="34" t="n">
        <v>3</v>
      </c>
      <c r="G25" s="34" t="n">
        <f aca="false">D25-F25</f>
        <v>3</v>
      </c>
      <c r="H25" s="203" t="n">
        <f aca="false">ABS(G25/D25)</f>
        <v>0.5</v>
      </c>
      <c r="I25" s="188" t="n">
        <f aca="false">1-H25</f>
        <v>0.5</v>
      </c>
      <c r="J25" s="34"/>
      <c r="K25" s="189"/>
      <c r="L25" s="13"/>
      <c r="M25" s="13"/>
      <c r="N25" s="13"/>
      <c r="O25" s="13"/>
      <c r="P25" s="13"/>
      <c r="Q25" s="13"/>
      <c r="R25" s="190"/>
      <c r="S25" s="190"/>
      <c r="T25" s="186"/>
      <c r="U25" s="153"/>
      <c r="V25" s="191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</row>
    <row r="26" customFormat="false" ht="15.75" hidden="false" customHeight="true" outlineLevel="0" collapsed="false">
      <c r="A26" s="20"/>
      <c r="B26" s="198" t="n">
        <v>3049</v>
      </c>
      <c r="C26" s="199" t="s">
        <v>99</v>
      </c>
      <c r="D26" s="199" t="n">
        <v>356</v>
      </c>
      <c r="E26" s="179"/>
      <c r="F26" s="199" t="n">
        <v>307</v>
      </c>
      <c r="G26" s="199" t="n">
        <f aca="false">D26-F26</f>
        <v>49</v>
      </c>
      <c r="H26" s="205" t="n">
        <f aca="false">ABS(G26/D26)</f>
        <v>0.137640449438202</v>
      </c>
      <c r="I26" s="206" t="n">
        <f aca="false">1-H26</f>
        <v>0.862359550561798</v>
      </c>
      <c r="J26" s="199"/>
      <c r="K26" s="207"/>
      <c r="L26" s="204"/>
      <c r="M26" s="13"/>
      <c r="N26" s="13"/>
      <c r="O26" s="13"/>
      <c r="P26" s="13"/>
      <c r="Q26" s="13"/>
      <c r="R26" s="190"/>
      <c r="S26" s="190"/>
      <c r="T26" s="186"/>
      <c r="U26" s="153"/>
      <c r="V26" s="191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</row>
    <row r="27" customFormat="false" ht="15.75" hidden="false" customHeight="true" outlineLevel="0" collapsed="false">
      <c r="A27" s="20"/>
      <c r="B27" s="176" t="n">
        <v>2470</v>
      </c>
      <c r="C27" s="178" t="s">
        <v>16</v>
      </c>
      <c r="D27" s="208"/>
      <c r="E27" s="179" t="n">
        <v>45870</v>
      </c>
      <c r="F27" s="209"/>
      <c r="G27" s="209"/>
      <c r="H27" s="209"/>
      <c r="I27" s="209"/>
      <c r="J27" s="209"/>
      <c r="K27" s="209"/>
      <c r="L27" s="204"/>
      <c r="M27" s="13"/>
      <c r="N27" s="13"/>
      <c r="O27" s="13"/>
      <c r="P27" s="13"/>
      <c r="Q27" s="13"/>
      <c r="R27" s="190"/>
      <c r="S27" s="190"/>
      <c r="T27" s="186"/>
      <c r="U27" s="153"/>
      <c r="V27" s="191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</row>
    <row r="28" customFormat="false" ht="15.75" hidden="false" customHeight="true" outlineLevel="0" collapsed="false">
      <c r="A28" s="20"/>
      <c r="B28" s="187" t="n">
        <v>2550</v>
      </c>
      <c r="C28" s="34" t="s">
        <v>58</v>
      </c>
      <c r="D28" s="34" t="n">
        <v>83</v>
      </c>
      <c r="E28" s="179"/>
      <c r="F28" s="34" t="n">
        <v>70</v>
      </c>
      <c r="G28" s="34" t="n">
        <f aca="false">D28-F28</f>
        <v>13</v>
      </c>
      <c r="H28" s="188"/>
      <c r="I28" s="188"/>
      <c r="J28" s="33"/>
      <c r="K28" s="189"/>
      <c r="L28" s="204"/>
      <c r="M28" s="204"/>
      <c r="N28" s="204"/>
      <c r="O28" s="190"/>
      <c r="P28" s="190"/>
      <c r="Q28" s="190"/>
      <c r="R28" s="190"/>
      <c r="S28" s="190"/>
      <c r="T28" s="186"/>
      <c r="U28" s="153"/>
      <c r="V28" s="191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</row>
    <row r="29" customFormat="false" ht="15.75" hidden="false" customHeight="true" outlineLevel="0" collapsed="false">
      <c r="A29" s="20"/>
      <c r="B29" s="187" t="n">
        <v>2731</v>
      </c>
      <c r="C29" s="192" t="s">
        <v>18</v>
      </c>
      <c r="D29" s="34" t="n">
        <v>11</v>
      </c>
      <c r="E29" s="179"/>
      <c r="F29" s="34" t="n">
        <v>36</v>
      </c>
      <c r="G29" s="192" t="n">
        <f aca="false">D29-F29</f>
        <v>-25</v>
      </c>
      <c r="H29" s="188"/>
      <c r="I29" s="188"/>
      <c r="J29" s="33"/>
      <c r="K29" s="189"/>
      <c r="L29" s="204"/>
      <c r="M29" s="204"/>
      <c r="N29" s="204"/>
      <c r="O29" s="204"/>
      <c r="P29" s="204"/>
      <c r="Q29" s="204"/>
      <c r="R29" s="204"/>
      <c r="S29" s="204"/>
      <c r="T29" s="186"/>
      <c r="U29" s="153"/>
      <c r="V29" s="191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</row>
    <row r="30" customFormat="false" ht="15.75" hidden="false" customHeight="true" outlineLevel="0" collapsed="false">
      <c r="A30" s="20"/>
      <c r="B30" s="194" t="n">
        <v>2959</v>
      </c>
      <c r="C30" s="34" t="s">
        <v>24</v>
      </c>
      <c r="D30" s="34" t="n">
        <v>48</v>
      </c>
      <c r="E30" s="179"/>
      <c r="F30" s="34" t="n">
        <v>47</v>
      </c>
      <c r="G30" s="34" t="n">
        <f aca="false">D30-F30</f>
        <v>1</v>
      </c>
      <c r="H30" s="188"/>
      <c r="I30" s="188"/>
      <c r="J30" s="34"/>
      <c r="K30" s="189"/>
      <c r="L30" s="204"/>
      <c r="M30" s="204"/>
      <c r="N30" s="204"/>
      <c r="O30" s="190"/>
      <c r="P30" s="190"/>
      <c r="Q30" s="190"/>
      <c r="R30" s="190"/>
      <c r="S30" s="190"/>
      <c r="T30" s="186"/>
      <c r="U30" s="153"/>
      <c r="V30" s="191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customFormat="false" ht="15.75" hidden="false" customHeight="true" outlineLevel="0" collapsed="false">
      <c r="A31" s="20"/>
      <c r="B31" s="194" t="n">
        <v>2953</v>
      </c>
      <c r="C31" s="34" t="s">
        <v>196</v>
      </c>
      <c r="D31" s="34" t="n">
        <v>137</v>
      </c>
      <c r="E31" s="179"/>
      <c r="F31" s="34" t="n">
        <v>132</v>
      </c>
      <c r="G31" s="34" t="n">
        <f aca="false">D31-F31</f>
        <v>5</v>
      </c>
      <c r="H31" s="188"/>
      <c r="I31" s="188"/>
      <c r="J31" s="34"/>
      <c r="K31" s="189"/>
      <c r="L31" s="204"/>
      <c r="M31" s="204"/>
      <c r="N31" s="204"/>
      <c r="O31" s="204"/>
      <c r="P31" s="204"/>
      <c r="Q31" s="204"/>
      <c r="R31" s="204"/>
      <c r="S31" s="204"/>
      <c r="T31" s="186"/>
      <c r="U31" s="153"/>
      <c r="V31" s="191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</row>
    <row r="32" customFormat="false" ht="15.75" hidden="false" customHeight="true" outlineLevel="0" collapsed="false">
      <c r="A32" s="20"/>
      <c r="B32" s="194" t="n">
        <v>2946</v>
      </c>
      <c r="C32" s="34" t="s">
        <v>91</v>
      </c>
      <c r="D32" s="195"/>
      <c r="E32" s="179"/>
      <c r="F32" s="195"/>
      <c r="G32" s="195"/>
      <c r="H32" s="195"/>
      <c r="I32" s="195"/>
      <c r="J32" s="195"/>
      <c r="K32" s="195"/>
      <c r="L32" s="204"/>
      <c r="M32" s="204"/>
      <c r="N32" s="204"/>
      <c r="O32" s="190"/>
      <c r="P32" s="190"/>
      <c r="Q32" s="190"/>
      <c r="R32" s="190"/>
      <c r="S32" s="190"/>
      <c r="T32" s="186"/>
      <c r="U32" s="153"/>
      <c r="V32" s="191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</row>
    <row r="33" customFormat="false" ht="15.75" hidden="false" customHeight="true" outlineLevel="0" collapsed="false">
      <c r="A33" s="20"/>
      <c r="B33" s="194" t="n">
        <v>3006</v>
      </c>
      <c r="C33" s="34" t="s">
        <v>25</v>
      </c>
      <c r="D33" s="34" t="n">
        <v>51</v>
      </c>
      <c r="E33" s="179"/>
      <c r="F33" s="34" t="n">
        <v>36</v>
      </c>
      <c r="G33" s="34" t="n">
        <f aca="false">D33-F33</f>
        <v>15</v>
      </c>
      <c r="H33" s="188"/>
      <c r="I33" s="188"/>
      <c r="J33" s="34"/>
      <c r="K33" s="189"/>
      <c r="L33" s="204"/>
      <c r="M33" s="204"/>
      <c r="N33" s="204"/>
      <c r="O33" s="204"/>
      <c r="P33" s="204"/>
      <c r="Q33" s="204"/>
      <c r="R33" s="204"/>
      <c r="S33" s="204"/>
      <c r="T33" s="186"/>
      <c r="U33" s="153"/>
      <c r="V33" s="191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</row>
    <row r="34" customFormat="false" ht="15.75" hidden="false" customHeight="true" outlineLevel="0" collapsed="false">
      <c r="A34" s="20"/>
      <c r="B34" s="194" t="n">
        <v>3007</v>
      </c>
      <c r="C34" s="34" t="s">
        <v>27</v>
      </c>
      <c r="D34" s="34" t="n">
        <v>38</v>
      </c>
      <c r="E34" s="179"/>
      <c r="F34" s="34" t="n">
        <v>29</v>
      </c>
      <c r="G34" s="34" t="n">
        <f aca="false">D34-F34</f>
        <v>9</v>
      </c>
      <c r="H34" s="188"/>
      <c r="I34" s="188"/>
      <c r="J34" s="34"/>
      <c r="K34" s="189"/>
      <c r="L34" s="204"/>
      <c r="M34" s="204"/>
      <c r="N34" s="204"/>
      <c r="O34" s="190"/>
      <c r="P34" s="190"/>
      <c r="Q34" s="190"/>
      <c r="R34" s="153"/>
      <c r="S34" s="153"/>
      <c r="T34" s="186"/>
      <c r="U34" s="153"/>
      <c r="V34" s="184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</row>
    <row r="35" customFormat="false" ht="15.75" hidden="false" customHeight="true" outlineLevel="0" collapsed="false">
      <c r="A35" s="20"/>
      <c r="B35" s="194" t="n">
        <v>3008</v>
      </c>
      <c r="C35" s="192" t="s">
        <v>28</v>
      </c>
      <c r="D35" s="34" t="n">
        <v>6</v>
      </c>
      <c r="E35" s="179"/>
      <c r="F35" s="34" t="n">
        <v>11</v>
      </c>
      <c r="G35" s="192" t="n">
        <f aca="false">D35-F35</f>
        <v>-5</v>
      </c>
      <c r="H35" s="188"/>
      <c r="I35" s="188"/>
      <c r="J35" s="34"/>
      <c r="K35" s="189"/>
      <c r="L35" s="204"/>
      <c r="M35" s="204"/>
      <c r="N35" s="204"/>
      <c r="O35" s="204"/>
      <c r="P35" s="204"/>
      <c r="Q35" s="204"/>
      <c r="R35" s="153"/>
      <c r="S35" s="153"/>
      <c r="T35" s="186"/>
      <c r="U35" s="153"/>
      <c r="V35" s="184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</row>
    <row r="36" customFormat="false" ht="15.75" hidden="false" customHeight="true" outlineLevel="0" collapsed="false">
      <c r="A36" s="20"/>
      <c r="B36" s="194" t="n">
        <v>3009</v>
      </c>
      <c r="C36" s="34" t="s">
        <v>29</v>
      </c>
      <c r="D36" s="34" t="n">
        <v>30</v>
      </c>
      <c r="E36" s="179"/>
      <c r="F36" s="34" t="n">
        <v>27</v>
      </c>
      <c r="G36" s="34" t="n">
        <f aca="false">D36-F36</f>
        <v>3</v>
      </c>
      <c r="H36" s="188"/>
      <c r="I36" s="188"/>
      <c r="J36" s="34"/>
      <c r="K36" s="189"/>
      <c r="L36" s="13"/>
      <c r="M36" s="13"/>
      <c r="N36" s="13"/>
      <c r="O36" s="153"/>
      <c r="P36" s="153"/>
      <c r="Q36" s="153"/>
      <c r="R36" s="153"/>
      <c r="S36" s="153"/>
      <c r="T36" s="186"/>
      <c r="U36" s="153"/>
      <c r="V36" s="184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</row>
    <row r="37" customFormat="false" ht="15.75" hidden="false" customHeight="true" outlineLevel="0" collapsed="false">
      <c r="A37" s="20"/>
      <c r="B37" s="194" t="n">
        <v>3010</v>
      </c>
      <c r="C37" s="34" t="s">
        <v>186</v>
      </c>
      <c r="D37" s="34" t="n">
        <v>6</v>
      </c>
      <c r="E37" s="179"/>
      <c r="F37" s="34" t="n">
        <v>4</v>
      </c>
      <c r="G37" s="34" t="n">
        <f aca="false">D37-F37</f>
        <v>2</v>
      </c>
      <c r="H37" s="188"/>
      <c r="I37" s="188"/>
      <c r="J37" s="34"/>
      <c r="K37" s="189"/>
      <c r="L37" s="13"/>
      <c r="M37" s="13"/>
      <c r="N37" s="13"/>
      <c r="O37" s="153"/>
      <c r="P37" s="153"/>
      <c r="Q37" s="153"/>
      <c r="R37" s="190"/>
      <c r="S37" s="190"/>
      <c r="T37" s="186"/>
      <c r="U37" s="153"/>
      <c r="V37" s="191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</row>
    <row r="38" customFormat="false" ht="15.75" hidden="false" customHeight="true" outlineLevel="0" collapsed="false">
      <c r="A38" s="20"/>
      <c r="B38" s="198" t="n">
        <v>3049</v>
      </c>
      <c r="C38" s="192" t="s">
        <v>99</v>
      </c>
      <c r="D38" s="199" t="n">
        <v>362</v>
      </c>
      <c r="E38" s="179"/>
      <c r="F38" s="199" t="n">
        <v>366</v>
      </c>
      <c r="G38" s="192" t="n">
        <f aca="false">D38-F38</f>
        <v>-4</v>
      </c>
      <c r="H38" s="200"/>
      <c r="I38" s="200"/>
      <c r="J38" s="199"/>
      <c r="K38" s="207"/>
      <c r="L38" s="13"/>
      <c r="M38" s="13"/>
      <c r="N38" s="13"/>
      <c r="O38" s="153"/>
      <c r="P38" s="153"/>
      <c r="Q38" s="153"/>
      <c r="R38" s="190"/>
      <c r="S38" s="190"/>
      <c r="T38" s="186"/>
      <c r="U38" s="153"/>
      <c r="V38" s="191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</row>
    <row r="39" customFormat="false" ht="15.75" hidden="false" customHeight="true" outlineLevel="0" collapsed="false">
      <c r="A39" s="20"/>
      <c r="B39" s="176" t="n">
        <v>2470</v>
      </c>
      <c r="C39" s="178" t="s">
        <v>16</v>
      </c>
      <c r="D39" s="209"/>
      <c r="E39" s="179" t="n">
        <v>45839</v>
      </c>
      <c r="F39" s="209"/>
      <c r="G39" s="209"/>
      <c r="H39" s="209"/>
      <c r="I39" s="209"/>
      <c r="J39" s="209"/>
      <c r="K39" s="209"/>
      <c r="L39" s="204"/>
      <c r="M39" s="204"/>
      <c r="N39" s="204"/>
      <c r="O39" s="190"/>
      <c r="P39" s="190"/>
      <c r="Q39" s="190"/>
      <c r="R39" s="153"/>
      <c r="S39" s="153"/>
      <c r="T39" s="186"/>
      <c r="U39" s="153"/>
      <c r="V39" s="184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</row>
    <row r="40" customFormat="false" ht="15.75" hidden="false" customHeight="true" outlineLevel="0" collapsed="false">
      <c r="A40" s="20"/>
      <c r="B40" s="187" t="n">
        <v>2550</v>
      </c>
      <c r="C40" s="34" t="s">
        <v>58</v>
      </c>
      <c r="D40" s="34" t="n">
        <v>93</v>
      </c>
      <c r="E40" s="179"/>
      <c r="F40" s="34" t="n">
        <v>83</v>
      </c>
      <c r="G40" s="34" t="n">
        <f aca="false">D40-F40</f>
        <v>10</v>
      </c>
      <c r="H40" s="188"/>
      <c r="I40" s="188"/>
      <c r="J40" s="33"/>
      <c r="K40" s="189"/>
      <c r="L40" s="204"/>
      <c r="M40" s="204"/>
      <c r="N40" s="204"/>
      <c r="O40" s="204"/>
      <c r="P40" s="204"/>
      <c r="Q40" s="204"/>
      <c r="R40" s="153"/>
      <c r="S40" s="153"/>
      <c r="T40" s="186"/>
      <c r="U40" s="153"/>
      <c r="V40" s="184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</row>
    <row r="41" customFormat="false" ht="15.75" hidden="false" customHeight="true" outlineLevel="0" collapsed="false">
      <c r="A41" s="20"/>
      <c r="B41" s="187" t="n">
        <v>2731</v>
      </c>
      <c r="C41" s="192" t="s">
        <v>18</v>
      </c>
      <c r="D41" s="34" t="n">
        <v>11</v>
      </c>
      <c r="E41" s="179"/>
      <c r="F41" s="34" t="n">
        <v>38</v>
      </c>
      <c r="G41" s="192" t="n">
        <f aca="false">D41-F41</f>
        <v>-27</v>
      </c>
      <c r="H41" s="188"/>
      <c r="I41" s="188"/>
      <c r="J41" s="33"/>
      <c r="K41" s="189"/>
      <c r="L41" s="13"/>
      <c r="M41" s="13"/>
      <c r="N41" s="13"/>
      <c r="O41" s="153"/>
      <c r="P41" s="153"/>
      <c r="Q41" s="153"/>
      <c r="R41" s="153"/>
      <c r="S41" s="153"/>
      <c r="T41" s="186"/>
      <c r="U41" s="153"/>
      <c r="V41" s="184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</row>
    <row r="42" customFormat="false" ht="15.75" hidden="false" customHeight="true" outlineLevel="0" collapsed="false">
      <c r="A42" s="20"/>
      <c r="B42" s="194" t="n">
        <v>2959</v>
      </c>
      <c r="C42" s="34" t="s">
        <v>24</v>
      </c>
      <c r="D42" s="34" t="n">
        <v>48</v>
      </c>
      <c r="E42" s="179"/>
      <c r="F42" s="34" t="n">
        <v>48</v>
      </c>
      <c r="G42" s="34" t="n">
        <f aca="false">D42-F42</f>
        <v>0</v>
      </c>
      <c r="H42" s="188"/>
      <c r="I42" s="188"/>
      <c r="J42" s="34"/>
      <c r="K42" s="189"/>
      <c r="L42" s="13"/>
      <c r="M42" s="13"/>
      <c r="N42" s="13"/>
      <c r="O42" s="153"/>
      <c r="P42" s="153"/>
      <c r="Q42" s="153"/>
      <c r="R42" s="153"/>
      <c r="S42" s="153"/>
      <c r="T42" s="186"/>
      <c r="U42" s="153"/>
      <c r="V42" s="184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</row>
    <row r="43" customFormat="false" ht="15.75" hidden="false" customHeight="true" outlineLevel="0" collapsed="false">
      <c r="A43" s="20"/>
      <c r="B43" s="194" t="n">
        <v>2953</v>
      </c>
      <c r="C43" s="34" t="s">
        <v>196</v>
      </c>
      <c r="D43" s="34" t="n">
        <v>140</v>
      </c>
      <c r="E43" s="179"/>
      <c r="F43" s="34" t="n">
        <v>138</v>
      </c>
      <c r="G43" s="34" t="n">
        <f aca="false">D43-F43</f>
        <v>2</v>
      </c>
      <c r="H43" s="188"/>
      <c r="I43" s="188"/>
      <c r="J43" s="34"/>
      <c r="K43" s="189"/>
      <c r="L43" s="13"/>
      <c r="M43" s="13"/>
      <c r="N43" s="13"/>
      <c r="O43" s="153"/>
      <c r="P43" s="153"/>
      <c r="Q43" s="153"/>
      <c r="R43" s="190"/>
      <c r="S43" s="190"/>
      <c r="T43" s="186"/>
      <c r="U43" s="153"/>
      <c r="V43" s="184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</row>
    <row r="44" customFormat="false" ht="15.75" hidden="false" customHeight="true" outlineLevel="0" collapsed="false">
      <c r="A44" s="20"/>
      <c r="B44" s="194" t="n">
        <v>2946</v>
      </c>
      <c r="C44" s="34" t="s">
        <v>91</v>
      </c>
      <c r="D44" s="195"/>
      <c r="E44" s="179"/>
      <c r="F44" s="195"/>
      <c r="G44" s="195"/>
      <c r="H44" s="195"/>
      <c r="I44" s="195"/>
      <c r="J44" s="195"/>
      <c r="K44" s="195"/>
      <c r="L44" s="13"/>
      <c r="M44" s="13"/>
      <c r="N44" s="13"/>
      <c r="O44" s="153"/>
      <c r="P44" s="153"/>
      <c r="Q44" s="153"/>
      <c r="R44" s="190"/>
      <c r="S44" s="190"/>
      <c r="T44" s="186"/>
      <c r="U44" s="153"/>
      <c r="V44" s="191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</row>
    <row r="45" customFormat="false" ht="15.75" hidden="false" customHeight="true" outlineLevel="0" collapsed="false">
      <c r="A45" s="20"/>
      <c r="B45" s="194" t="n">
        <v>3006</v>
      </c>
      <c r="C45" s="34" t="s">
        <v>25</v>
      </c>
      <c r="D45" s="34" t="n">
        <v>58</v>
      </c>
      <c r="E45" s="179"/>
      <c r="F45" s="34" t="n">
        <v>58</v>
      </c>
      <c r="G45" s="34" t="n">
        <f aca="false">D45-F45</f>
        <v>0</v>
      </c>
      <c r="H45" s="188"/>
      <c r="I45" s="188"/>
      <c r="J45" s="34"/>
      <c r="K45" s="189"/>
      <c r="L45" s="204"/>
      <c r="M45" s="204"/>
      <c r="N45" s="204"/>
      <c r="O45" s="153"/>
      <c r="P45" s="153"/>
      <c r="Q45" s="153"/>
      <c r="R45" s="190"/>
      <c r="S45" s="190"/>
      <c r="T45" s="186"/>
      <c r="U45" s="153"/>
      <c r="V45" s="191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</row>
    <row r="46" customFormat="false" ht="15.75" hidden="false" customHeight="true" outlineLevel="0" collapsed="false">
      <c r="A46" s="20"/>
      <c r="B46" s="194" t="n">
        <v>3007</v>
      </c>
      <c r="C46" s="192" t="s">
        <v>27</v>
      </c>
      <c r="D46" s="34" t="n">
        <v>38</v>
      </c>
      <c r="E46" s="179"/>
      <c r="F46" s="34" t="n">
        <v>62</v>
      </c>
      <c r="G46" s="192" t="n">
        <f aca="false">D46-F46</f>
        <v>-24</v>
      </c>
      <c r="H46" s="188"/>
      <c r="I46" s="188"/>
      <c r="J46" s="34"/>
      <c r="K46" s="189"/>
      <c r="L46" s="204"/>
      <c r="M46" s="204"/>
      <c r="N46" s="204"/>
      <c r="O46" s="190"/>
      <c r="P46" s="190"/>
      <c r="Q46" s="190"/>
      <c r="R46" s="153"/>
      <c r="S46" s="153"/>
      <c r="T46" s="186"/>
      <c r="U46" s="153"/>
      <c r="V46" s="184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</row>
    <row r="47" customFormat="false" ht="15.75" hidden="false" customHeight="true" outlineLevel="0" collapsed="false">
      <c r="A47" s="20"/>
      <c r="B47" s="194" t="n">
        <v>3008</v>
      </c>
      <c r="C47" s="34" t="s">
        <v>28</v>
      </c>
      <c r="D47" s="34" t="n">
        <v>12</v>
      </c>
      <c r="E47" s="179"/>
      <c r="F47" s="34" t="n">
        <v>31</v>
      </c>
      <c r="G47" s="192" t="n">
        <f aca="false">D47-F47</f>
        <v>-19</v>
      </c>
      <c r="H47" s="188"/>
      <c r="I47" s="188"/>
      <c r="J47" s="34"/>
      <c r="K47" s="189"/>
      <c r="L47" s="204"/>
      <c r="M47" s="204"/>
      <c r="N47" s="204"/>
      <c r="O47" s="204"/>
      <c r="P47" s="204"/>
      <c r="Q47" s="204"/>
      <c r="R47" s="190"/>
      <c r="S47" s="190"/>
      <c r="T47" s="186"/>
      <c r="U47" s="153"/>
      <c r="V47" s="191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</row>
    <row r="48" customFormat="false" ht="15.75" hidden="false" customHeight="true" outlineLevel="0" collapsed="false">
      <c r="A48" s="20"/>
      <c r="B48" s="194" t="n">
        <v>3009</v>
      </c>
      <c r="C48" s="34" t="s">
        <v>29</v>
      </c>
      <c r="D48" s="34" t="n">
        <v>30</v>
      </c>
      <c r="E48" s="179"/>
      <c r="F48" s="34" t="n">
        <v>30</v>
      </c>
      <c r="G48" s="34" t="n">
        <f aca="false">D48-F48</f>
        <v>0</v>
      </c>
      <c r="H48" s="188"/>
      <c r="I48" s="188"/>
      <c r="J48" s="34"/>
      <c r="K48" s="189"/>
      <c r="L48" s="13"/>
      <c r="M48" s="13"/>
      <c r="N48" s="13"/>
      <c r="O48" s="153"/>
      <c r="P48" s="153"/>
      <c r="Q48" s="153"/>
      <c r="R48" s="190"/>
      <c r="S48" s="190"/>
      <c r="T48" s="186"/>
      <c r="U48" s="153"/>
      <c r="V48" s="191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</row>
    <row r="49" customFormat="false" ht="15.75" hidden="false" customHeight="true" outlineLevel="0" collapsed="false">
      <c r="A49" s="20"/>
      <c r="B49" s="194" t="n">
        <v>3010</v>
      </c>
      <c r="C49" s="192" t="s">
        <v>186</v>
      </c>
      <c r="D49" s="34" t="n">
        <v>7</v>
      </c>
      <c r="E49" s="179"/>
      <c r="F49" s="34" t="n">
        <v>21</v>
      </c>
      <c r="G49" s="192" t="n">
        <f aca="false">D49-F49</f>
        <v>-14</v>
      </c>
      <c r="H49" s="188"/>
      <c r="I49" s="188"/>
      <c r="J49" s="34"/>
      <c r="K49" s="189"/>
      <c r="L49" s="204"/>
      <c r="M49" s="204"/>
      <c r="N49" s="204"/>
      <c r="O49" s="190"/>
      <c r="P49" s="190"/>
      <c r="Q49" s="190"/>
      <c r="R49" s="153"/>
      <c r="S49" s="153"/>
      <c r="T49" s="186"/>
      <c r="U49" s="153"/>
      <c r="V49" s="184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customFormat="false" ht="15.75" hidden="false" customHeight="true" outlineLevel="0" collapsed="false">
      <c r="A50" s="20"/>
      <c r="B50" s="198" t="n">
        <v>3049</v>
      </c>
      <c r="C50" s="199" t="s">
        <v>99</v>
      </c>
      <c r="D50" s="210"/>
      <c r="E50" s="179"/>
      <c r="F50" s="210"/>
      <c r="G50" s="210"/>
      <c r="H50" s="210"/>
      <c r="I50" s="210"/>
      <c r="J50" s="210"/>
      <c r="K50" s="210"/>
      <c r="L50" s="204"/>
      <c r="M50" s="204"/>
      <c r="N50" s="204"/>
      <c r="O50" s="204"/>
      <c r="P50" s="204"/>
      <c r="Q50" s="204"/>
      <c r="R50" s="153"/>
      <c r="S50" s="153"/>
      <c r="T50" s="186"/>
      <c r="U50" s="153"/>
      <c r="V50" s="184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</row>
    <row r="51" customFormat="false" ht="15.75" hidden="false" customHeight="true" outlineLevel="0" collapsed="false">
      <c r="A51" s="20"/>
      <c r="B51" s="184"/>
      <c r="C51" s="20"/>
      <c r="D51" s="20"/>
      <c r="E51" s="20"/>
      <c r="F51" s="20"/>
      <c r="G51" s="15"/>
      <c r="H51" s="20"/>
      <c r="I51" s="20"/>
      <c r="J51" s="184"/>
      <c r="K51" s="13"/>
      <c r="L51" s="13"/>
      <c r="M51" s="13"/>
      <c r="N51" s="13"/>
      <c r="O51" s="153"/>
      <c r="P51" s="153"/>
      <c r="Q51" s="153"/>
      <c r="R51" s="153"/>
      <c r="S51" s="153"/>
      <c r="T51" s="186"/>
      <c r="U51" s="153"/>
      <c r="V51" s="184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</row>
    <row r="52" customFormat="false" ht="15.75" hidden="false" customHeight="true" outlineLevel="0" collapsed="false">
      <c r="A52" s="20"/>
      <c r="B52" s="191"/>
      <c r="C52" s="211"/>
      <c r="D52" s="211"/>
      <c r="E52" s="211"/>
      <c r="F52" s="211"/>
      <c r="G52" s="212"/>
      <c r="H52" s="211"/>
      <c r="I52" s="211"/>
      <c r="J52" s="191"/>
      <c r="K52" s="204"/>
      <c r="L52" s="13"/>
      <c r="M52" s="13"/>
      <c r="N52" s="13"/>
      <c r="O52" s="153"/>
      <c r="P52" s="153"/>
      <c r="Q52" s="153"/>
      <c r="R52" s="190"/>
      <c r="S52" s="190"/>
      <c r="T52" s="186"/>
      <c r="U52" s="153"/>
      <c r="V52" s="191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</row>
    <row r="53" customFormat="false" ht="15.75" hidden="false" customHeight="true" outlineLevel="0" collapsed="false">
      <c r="A53" s="20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3"/>
      <c r="M53" s="13"/>
      <c r="N53" s="13"/>
      <c r="O53" s="153"/>
      <c r="P53" s="153"/>
      <c r="Q53" s="153"/>
      <c r="R53" s="190"/>
      <c r="S53" s="190"/>
      <c r="T53" s="186"/>
      <c r="U53" s="153"/>
      <c r="V53" s="191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</row>
    <row r="54" customFormat="false" ht="15.75" hidden="false" customHeight="true" outlineLevel="0" collapsed="false">
      <c r="A54" s="20"/>
      <c r="B54" s="191"/>
      <c r="C54" s="211"/>
      <c r="D54" s="211"/>
      <c r="E54" s="211"/>
      <c r="F54" s="211"/>
      <c r="G54" s="212"/>
      <c r="H54" s="211"/>
      <c r="I54" s="211"/>
      <c r="J54" s="191"/>
      <c r="K54" s="204"/>
      <c r="L54" s="204"/>
      <c r="M54" s="204"/>
      <c r="N54" s="204"/>
      <c r="O54" s="190"/>
      <c r="P54" s="190"/>
      <c r="Q54" s="190"/>
      <c r="R54" s="190"/>
      <c r="S54" s="190"/>
      <c r="T54" s="186"/>
      <c r="U54" s="153"/>
      <c r="V54" s="191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</row>
    <row r="55" customFormat="false" ht="15.75" hidden="false" customHeight="true" outlineLevel="0" collapsed="false">
      <c r="A55" s="20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Q55" s="191"/>
      <c r="R55" s="191"/>
      <c r="S55" s="191"/>
      <c r="T55" s="186"/>
      <c r="U55" s="153"/>
      <c r="V55" s="191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</row>
    <row r="56" customFormat="false" ht="15.75" hidden="false" customHeight="true" outlineLevel="0" collapsed="false">
      <c r="A56" s="20"/>
      <c r="B56" s="191"/>
      <c r="C56" s="211"/>
      <c r="D56" s="211"/>
      <c r="E56" s="211"/>
      <c r="F56" s="211"/>
      <c r="G56" s="212"/>
      <c r="H56" s="211"/>
      <c r="I56" s="211"/>
      <c r="J56" s="191"/>
      <c r="K56" s="204"/>
      <c r="L56" s="204"/>
      <c r="M56" s="204"/>
      <c r="N56" s="204"/>
      <c r="O56" s="190"/>
      <c r="P56" s="190"/>
      <c r="Q56" s="190"/>
      <c r="R56" s="190"/>
      <c r="S56" s="190"/>
      <c r="T56" s="186"/>
      <c r="U56" s="153"/>
      <c r="V56" s="191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</row>
    <row r="57" customFormat="false" ht="15.75" hidden="false" customHeight="true" outlineLevel="0" collapsed="false">
      <c r="A57" s="20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1"/>
      <c r="Q57" s="191"/>
      <c r="R57" s="191"/>
      <c r="S57" s="191"/>
      <c r="T57" s="186"/>
      <c r="U57" s="153"/>
      <c r="V57" s="191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</row>
    <row r="58" customFormat="false" ht="15.75" hidden="false" customHeight="true" outlineLevel="0" collapsed="false">
      <c r="A58" s="20"/>
      <c r="B58" s="191"/>
      <c r="C58" s="211"/>
      <c r="D58" s="211"/>
      <c r="E58" s="211"/>
      <c r="F58" s="211"/>
      <c r="G58" s="212"/>
      <c r="H58" s="211"/>
      <c r="I58" s="211"/>
      <c r="J58" s="191"/>
      <c r="K58" s="204"/>
      <c r="L58" s="204"/>
      <c r="M58" s="204"/>
      <c r="N58" s="204"/>
      <c r="O58" s="190"/>
      <c r="P58" s="190"/>
      <c r="Q58" s="190"/>
      <c r="R58" s="190"/>
      <c r="S58" s="190"/>
      <c r="T58" s="186"/>
      <c r="U58" s="153"/>
      <c r="V58" s="191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</row>
    <row r="59" customFormat="false" ht="15.75" hidden="false" customHeight="true" outlineLevel="0" collapsed="false">
      <c r="A59" s="20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1"/>
      <c r="Q59" s="191"/>
      <c r="R59" s="191"/>
      <c r="S59" s="191"/>
      <c r="T59" s="186"/>
      <c r="U59" s="153"/>
      <c r="V59" s="191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</row>
    <row r="60" customFormat="false" ht="15.75" hidden="false" customHeight="true" outlineLevel="0" collapsed="false">
      <c r="A60" s="20"/>
      <c r="B60" s="184"/>
      <c r="C60" s="20"/>
      <c r="D60" s="20"/>
      <c r="E60" s="20"/>
      <c r="F60" s="20"/>
      <c r="G60" s="15"/>
      <c r="H60" s="20"/>
      <c r="I60" s="20"/>
      <c r="J60" s="184"/>
      <c r="K60" s="13"/>
      <c r="L60" s="204"/>
      <c r="M60" s="204"/>
      <c r="N60" s="204"/>
      <c r="O60" s="190"/>
      <c r="P60" s="190"/>
      <c r="Q60" s="190"/>
      <c r="R60" s="153"/>
      <c r="S60" s="153"/>
      <c r="T60" s="186"/>
      <c r="U60" s="153"/>
      <c r="V60" s="184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</row>
    <row r="61" customFormat="false" ht="15.75" hidden="false" customHeight="true" outlineLevel="0" collapsed="false">
      <c r="A61" s="20"/>
      <c r="B61" s="184"/>
      <c r="C61" s="20"/>
      <c r="D61" s="20"/>
      <c r="E61" s="20"/>
      <c r="F61" s="20"/>
      <c r="G61" s="15"/>
      <c r="H61" s="20"/>
      <c r="I61" s="20"/>
      <c r="J61" s="184"/>
      <c r="K61" s="13"/>
      <c r="L61" s="204"/>
      <c r="M61" s="204"/>
      <c r="N61" s="204"/>
      <c r="O61" s="204"/>
      <c r="P61" s="204"/>
      <c r="Q61" s="204"/>
      <c r="R61" s="153"/>
      <c r="S61" s="153"/>
      <c r="T61" s="186"/>
      <c r="U61" s="153"/>
      <c r="V61" s="184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</row>
    <row r="62" customFormat="false" ht="15.75" hidden="false" customHeight="true" outlineLevel="0" collapsed="false">
      <c r="A62" s="20"/>
      <c r="B62" s="191"/>
      <c r="C62" s="211"/>
      <c r="D62" s="211"/>
      <c r="E62" s="211"/>
      <c r="F62" s="211"/>
      <c r="G62" s="212"/>
      <c r="H62" s="211"/>
      <c r="I62" s="211"/>
      <c r="J62" s="191"/>
      <c r="K62" s="204"/>
      <c r="L62" s="13"/>
      <c r="M62" s="13"/>
      <c r="N62" s="13"/>
      <c r="O62" s="153"/>
      <c r="P62" s="153"/>
      <c r="Q62" s="153"/>
      <c r="R62" s="190"/>
      <c r="S62" s="190"/>
      <c r="T62" s="186"/>
      <c r="U62" s="153"/>
      <c r="V62" s="191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</row>
    <row r="63" customFormat="false" ht="15.75" hidden="false" customHeight="true" outlineLevel="0" collapsed="false">
      <c r="A63" s="20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3"/>
      <c r="M63" s="13"/>
      <c r="N63" s="13"/>
      <c r="O63" s="153"/>
      <c r="P63" s="153"/>
      <c r="Q63" s="153"/>
      <c r="R63" s="190"/>
      <c r="S63" s="190"/>
      <c r="T63" s="186"/>
      <c r="U63" s="153"/>
      <c r="V63" s="191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</row>
    <row r="64" customFormat="false" ht="15.75" hidden="false" customHeight="true" outlineLevel="0" collapsed="false">
      <c r="A64" s="20"/>
      <c r="B64" s="184"/>
      <c r="C64" s="20"/>
      <c r="D64" s="20"/>
      <c r="E64" s="20"/>
      <c r="F64" s="20"/>
      <c r="G64" s="15"/>
      <c r="H64" s="20"/>
      <c r="I64" s="20"/>
      <c r="J64" s="184"/>
      <c r="K64" s="13"/>
      <c r="L64" s="204"/>
      <c r="M64" s="204"/>
      <c r="N64" s="204"/>
      <c r="O64" s="190"/>
      <c r="P64" s="190"/>
      <c r="Q64" s="190"/>
      <c r="R64" s="153"/>
      <c r="S64" s="153"/>
      <c r="T64" s="186"/>
      <c r="U64" s="153"/>
      <c r="V64" s="184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</row>
    <row r="65" customFormat="false" ht="15.75" hidden="false" customHeight="true" outlineLevel="0" collapsed="false">
      <c r="A65" s="20"/>
      <c r="B65" s="184"/>
      <c r="C65" s="20"/>
      <c r="D65" s="20"/>
      <c r="E65" s="20"/>
      <c r="F65" s="20"/>
      <c r="G65" s="15"/>
      <c r="H65" s="20"/>
      <c r="I65" s="20"/>
      <c r="J65" s="184"/>
      <c r="K65" s="13"/>
      <c r="L65" s="204"/>
      <c r="M65" s="204"/>
      <c r="N65" s="204"/>
      <c r="O65" s="204"/>
      <c r="P65" s="204"/>
      <c r="Q65" s="204"/>
      <c r="R65" s="153"/>
      <c r="S65" s="153"/>
      <c r="T65" s="186"/>
      <c r="U65" s="153"/>
      <c r="V65" s="184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</row>
    <row r="66" customFormat="false" ht="15.75" hidden="false" customHeight="true" outlineLevel="0" collapsed="false">
      <c r="A66" s="20"/>
      <c r="B66" s="191"/>
      <c r="C66" s="211"/>
      <c r="D66" s="211"/>
      <c r="E66" s="211"/>
      <c r="F66" s="211"/>
      <c r="G66" s="212"/>
      <c r="H66" s="211"/>
      <c r="I66" s="211"/>
      <c r="J66" s="191"/>
      <c r="K66" s="204"/>
      <c r="L66" s="13"/>
      <c r="M66" s="13"/>
      <c r="N66" s="13"/>
      <c r="O66" s="153"/>
      <c r="P66" s="153"/>
      <c r="Q66" s="153"/>
      <c r="R66" s="190"/>
      <c r="S66" s="190"/>
      <c r="T66" s="186"/>
      <c r="U66" s="153"/>
      <c r="V66" s="191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</row>
    <row r="67" customFormat="false" ht="15.75" hidden="false" customHeight="true" outlineLevel="0" collapsed="false">
      <c r="A67" s="20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3"/>
      <c r="M67" s="13"/>
      <c r="N67" s="13"/>
      <c r="O67" s="153"/>
      <c r="P67" s="153"/>
      <c r="Q67" s="153"/>
      <c r="R67" s="190"/>
      <c r="S67" s="190"/>
      <c r="T67" s="186"/>
      <c r="U67" s="153"/>
      <c r="V67" s="191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</row>
    <row r="68" customFormat="false" ht="15.75" hidden="false" customHeight="true" outlineLevel="0" collapsed="false">
      <c r="A68" s="2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204"/>
      <c r="M68" s="204"/>
      <c r="N68" s="204"/>
      <c r="O68" s="190"/>
      <c r="P68" s="190"/>
      <c r="Q68" s="190"/>
      <c r="R68" s="190"/>
      <c r="S68" s="190"/>
      <c r="T68" s="186"/>
      <c r="U68" s="153"/>
      <c r="V68" s="191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</row>
    <row r="69" customFormat="false" ht="15.75" hidden="false" customHeight="true" outlineLevel="0" collapsed="false">
      <c r="A69" s="20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1"/>
      <c r="R69" s="191"/>
      <c r="S69" s="191"/>
      <c r="T69" s="186"/>
      <c r="U69" s="153"/>
      <c r="V69" s="191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</row>
    <row r="70" customFormat="false" ht="15.75" hidden="false" customHeight="true" outlineLevel="0" collapsed="false">
      <c r="A70" s="20"/>
      <c r="B70" s="184"/>
      <c r="C70" s="20"/>
      <c r="D70" s="20"/>
      <c r="E70" s="20"/>
      <c r="F70" s="20"/>
      <c r="G70" s="15"/>
      <c r="H70" s="20"/>
      <c r="I70" s="20"/>
      <c r="J70" s="184"/>
      <c r="K70" s="13"/>
      <c r="L70" s="204"/>
      <c r="M70" s="204"/>
      <c r="N70" s="204"/>
      <c r="O70" s="204"/>
      <c r="P70" s="204"/>
      <c r="Q70" s="204"/>
      <c r="R70" s="153"/>
      <c r="S70" s="153"/>
      <c r="T70" s="186"/>
      <c r="U70" s="153"/>
      <c r="V70" s="184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</row>
    <row r="71" customFormat="false" ht="15.75" hidden="false" customHeight="true" outlineLevel="0" collapsed="false">
      <c r="A71" s="20"/>
      <c r="B71" s="191"/>
      <c r="C71" s="211"/>
      <c r="D71" s="211"/>
      <c r="E71" s="211"/>
      <c r="F71" s="211"/>
      <c r="G71" s="212"/>
      <c r="H71" s="211"/>
      <c r="I71" s="211"/>
      <c r="J71" s="191"/>
      <c r="K71" s="204"/>
      <c r="L71" s="204"/>
      <c r="M71" s="204"/>
      <c r="N71" s="204"/>
      <c r="O71" s="204"/>
      <c r="P71" s="204"/>
      <c r="Q71" s="204"/>
      <c r="R71" s="190"/>
      <c r="S71" s="190"/>
      <c r="T71" s="186"/>
      <c r="U71" s="153"/>
      <c r="V71" s="191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</row>
    <row r="72" customFormat="false" ht="15.75" hidden="false" customHeight="true" outlineLevel="0" collapsed="false">
      <c r="A72" s="20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3"/>
      <c r="M72" s="13"/>
      <c r="N72" s="13"/>
      <c r="O72" s="153"/>
      <c r="P72" s="153"/>
      <c r="Q72" s="153"/>
      <c r="R72" s="190"/>
      <c r="S72" s="190"/>
      <c r="T72" s="186"/>
      <c r="U72" s="153"/>
      <c r="V72" s="191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</row>
    <row r="73" customFormat="false" ht="15.75" hidden="false" customHeight="true" outlineLevel="0" collapsed="false">
      <c r="A73" s="20"/>
      <c r="B73" s="184"/>
      <c r="C73" s="20"/>
      <c r="D73" s="20"/>
      <c r="E73" s="20"/>
      <c r="F73" s="20"/>
      <c r="G73" s="15"/>
      <c r="H73" s="20"/>
      <c r="I73" s="20"/>
      <c r="J73" s="184"/>
      <c r="K73" s="13"/>
      <c r="L73" s="204"/>
      <c r="M73" s="204"/>
      <c r="N73" s="204"/>
      <c r="O73" s="190"/>
      <c r="P73" s="190"/>
      <c r="Q73" s="190"/>
      <c r="R73" s="153"/>
      <c r="S73" s="153"/>
      <c r="T73" s="186"/>
      <c r="U73" s="153"/>
      <c r="V73" s="184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</row>
    <row r="74" customFormat="false" ht="15.75" hidden="false" customHeight="true" outlineLevel="0" collapsed="false">
      <c r="A74" s="20"/>
      <c r="B74" s="191"/>
      <c r="C74" s="211"/>
      <c r="D74" s="211"/>
      <c r="E74" s="211"/>
      <c r="F74" s="211"/>
      <c r="G74" s="212"/>
      <c r="H74" s="211"/>
      <c r="I74" s="211"/>
      <c r="J74" s="191"/>
      <c r="K74" s="204"/>
      <c r="L74" s="204"/>
      <c r="M74" s="204"/>
      <c r="N74" s="204"/>
      <c r="O74" s="204"/>
      <c r="P74" s="204"/>
      <c r="Q74" s="204"/>
      <c r="R74" s="190"/>
      <c r="S74" s="190"/>
      <c r="T74" s="186"/>
      <c r="U74" s="153"/>
      <c r="V74" s="191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</row>
    <row r="75" customFormat="false" ht="15.75" hidden="false" customHeight="true" outlineLevel="0" collapsed="false">
      <c r="A75" s="20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3"/>
      <c r="M75" s="13"/>
      <c r="N75" s="13"/>
      <c r="O75" s="153"/>
      <c r="P75" s="153"/>
      <c r="Q75" s="153"/>
      <c r="R75" s="190"/>
      <c r="S75" s="190"/>
      <c r="T75" s="186"/>
      <c r="U75" s="153"/>
      <c r="V75" s="191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</row>
    <row r="76" customFormat="false" ht="15.75" hidden="false" customHeight="true" outlineLevel="0" collapsed="false">
      <c r="A76" s="20"/>
      <c r="B76" s="184"/>
      <c r="C76" s="20"/>
      <c r="D76" s="20"/>
      <c r="E76" s="20"/>
      <c r="F76" s="20"/>
      <c r="G76" s="15"/>
      <c r="H76" s="20"/>
      <c r="I76" s="20"/>
      <c r="J76" s="184"/>
      <c r="K76" s="13"/>
      <c r="L76" s="204"/>
      <c r="M76" s="204"/>
      <c r="N76" s="204"/>
      <c r="O76" s="190"/>
      <c r="P76" s="190"/>
      <c r="Q76" s="190"/>
      <c r="R76" s="153"/>
      <c r="S76" s="153"/>
      <c r="T76" s="186"/>
      <c r="U76" s="153"/>
      <c r="V76" s="184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</row>
    <row r="77" customFormat="false" ht="15.75" hidden="false" customHeight="true" outlineLevel="0" collapsed="false">
      <c r="A77" s="20"/>
      <c r="B77" s="184"/>
      <c r="C77" s="20"/>
      <c r="D77" s="20"/>
      <c r="E77" s="20"/>
      <c r="F77" s="20"/>
      <c r="G77" s="15"/>
      <c r="H77" s="20"/>
      <c r="I77" s="20"/>
      <c r="J77" s="184"/>
      <c r="K77" s="13"/>
      <c r="L77" s="204"/>
      <c r="M77" s="204"/>
      <c r="N77" s="204"/>
      <c r="O77" s="204"/>
      <c r="P77" s="204"/>
      <c r="Q77" s="204"/>
      <c r="R77" s="153"/>
      <c r="S77" s="153"/>
      <c r="T77" s="186"/>
      <c r="U77" s="153"/>
      <c r="V77" s="184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</row>
    <row r="78" customFormat="false" ht="15.75" hidden="false" customHeight="true" outlineLevel="0" collapsed="false">
      <c r="A78" s="20"/>
      <c r="B78" s="191"/>
      <c r="C78" s="211"/>
      <c r="D78" s="211"/>
      <c r="E78" s="211"/>
      <c r="F78" s="211"/>
      <c r="G78" s="212"/>
      <c r="H78" s="211"/>
      <c r="I78" s="211"/>
      <c r="J78" s="191"/>
      <c r="K78" s="204"/>
      <c r="L78" s="13"/>
      <c r="M78" s="13"/>
      <c r="N78" s="13"/>
      <c r="O78" s="153"/>
      <c r="P78" s="153"/>
      <c r="Q78" s="153"/>
      <c r="R78" s="190"/>
      <c r="S78" s="190"/>
      <c r="T78" s="186"/>
      <c r="U78" s="153"/>
      <c r="V78" s="191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</row>
    <row r="79" customFormat="false" ht="15.75" hidden="false" customHeight="true" outlineLevel="0" collapsed="false">
      <c r="A79" s="20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3"/>
      <c r="M79" s="13"/>
      <c r="N79" s="13"/>
      <c r="O79" s="153"/>
      <c r="P79" s="153"/>
      <c r="Q79" s="153"/>
      <c r="R79" s="190"/>
      <c r="S79" s="190"/>
      <c r="T79" s="186"/>
      <c r="U79" s="153"/>
      <c r="V79" s="191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</row>
    <row r="80" customFormat="false" ht="15.75" hidden="false" customHeight="true" outlineLevel="0" collapsed="false">
      <c r="A80" s="20"/>
      <c r="B80" s="184"/>
      <c r="C80" s="20"/>
      <c r="D80" s="20"/>
      <c r="E80" s="20"/>
      <c r="F80" s="20"/>
      <c r="G80" s="15"/>
      <c r="H80" s="20"/>
      <c r="I80" s="20"/>
      <c r="J80" s="184"/>
      <c r="K80" s="13"/>
      <c r="L80" s="204"/>
      <c r="M80" s="204"/>
      <c r="N80" s="204"/>
      <c r="O80" s="190"/>
      <c r="P80" s="190"/>
      <c r="Q80" s="190"/>
      <c r="R80" s="153"/>
      <c r="S80" s="153"/>
      <c r="T80" s="186"/>
      <c r="U80" s="153"/>
      <c r="V80" s="184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</row>
    <row r="81" customFormat="false" ht="15.75" hidden="false" customHeight="true" outlineLevel="0" collapsed="false">
      <c r="A81" s="20"/>
      <c r="B81" s="191"/>
      <c r="C81" s="211"/>
      <c r="D81" s="211"/>
      <c r="E81" s="211"/>
      <c r="F81" s="211"/>
      <c r="G81" s="212"/>
      <c r="H81" s="211"/>
      <c r="I81" s="211"/>
      <c r="J81" s="191"/>
      <c r="K81" s="204"/>
      <c r="L81" s="204"/>
      <c r="M81" s="204"/>
      <c r="N81" s="204"/>
      <c r="O81" s="204"/>
      <c r="P81" s="204"/>
      <c r="Q81" s="204"/>
      <c r="R81" s="190"/>
      <c r="S81" s="190"/>
      <c r="T81" s="186"/>
      <c r="U81" s="153"/>
      <c r="V81" s="191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</row>
    <row r="82" customFormat="false" ht="15.75" hidden="false" customHeight="true" outlineLevel="0" collapsed="false">
      <c r="A82" s="20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3"/>
      <c r="M82" s="13"/>
      <c r="N82" s="13"/>
      <c r="O82" s="153"/>
      <c r="P82" s="153"/>
      <c r="Q82" s="153"/>
      <c r="R82" s="190"/>
      <c r="S82" s="190"/>
      <c r="T82" s="186"/>
      <c r="U82" s="153"/>
      <c r="V82" s="191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</row>
    <row r="83" customFormat="false" ht="15.75" hidden="false" customHeight="true" outlineLevel="0" collapsed="false">
      <c r="A83" s="20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204"/>
      <c r="M83" s="204"/>
      <c r="N83" s="204"/>
      <c r="O83" s="190"/>
      <c r="P83" s="190"/>
      <c r="Q83" s="190"/>
      <c r="R83" s="190"/>
      <c r="S83" s="190"/>
      <c r="T83" s="186"/>
      <c r="U83" s="153"/>
      <c r="V83" s="191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</row>
    <row r="84" customFormat="false" ht="15.75" hidden="false" customHeight="true" outlineLevel="0" collapsed="false">
      <c r="A84" s="20"/>
      <c r="B84" s="191"/>
      <c r="C84" s="211"/>
      <c r="D84" s="211"/>
      <c r="E84" s="211"/>
      <c r="F84" s="211"/>
      <c r="G84" s="212"/>
      <c r="H84" s="211"/>
      <c r="I84" s="211"/>
      <c r="J84" s="191"/>
      <c r="K84" s="204"/>
      <c r="L84" s="204"/>
      <c r="M84" s="204"/>
      <c r="N84" s="204"/>
      <c r="O84" s="204"/>
      <c r="P84" s="204"/>
      <c r="Q84" s="204"/>
      <c r="R84" s="190"/>
      <c r="S84" s="190"/>
      <c r="T84" s="186"/>
      <c r="U84" s="153"/>
      <c r="V84" s="191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</row>
    <row r="85" customFormat="false" ht="15.75" hidden="false" customHeight="true" outlineLevel="0" collapsed="false">
      <c r="A85" s="20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1"/>
      <c r="Q85" s="191"/>
      <c r="R85" s="191"/>
      <c r="S85" s="191"/>
      <c r="T85" s="186"/>
      <c r="U85" s="153"/>
      <c r="V85" s="191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</row>
    <row r="86" customFormat="false" ht="15.75" hidden="false" customHeight="true" outlineLevel="0" collapsed="false">
      <c r="A86" s="20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204"/>
      <c r="M86" s="204"/>
      <c r="N86" s="204"/>
      <c r="O86" s="190"/>
      <c r="P86" s="190"/>
      <c r="Q86" s="190"/>
      <c r="R86" s="190"/>
      <c r="S86" s="190"/>
      <c r="T86" s="186"/>
      <c r="U86" s="153"/>
      <c r="V86" s="191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</row>
    <row r="87" customFormat="false" ht="15.75" hidden="false" customHeight="true" outlineLevel="0" collapsed="false">
      <c r="A87" s="20"/>
      <c r="B87" s="184"/>
      <c r="C87" s="20"/>
      <c r="D87" s="20"/>
      <c r="E87" s="20"/>
      <c r="F87" s="20"/>
      <c r="G87" s="15"/>
      <c r="H87" s="20"/>
      <c r="I87" s="20"/>
      <c r="J87" s="184"/>
      <c r="K87" s="13"/>
      <c r="L87" s="204"/>
      <c r="M87" s="204"/>
      <c r="N87" s="204"/>
      <c r="O87" s="204"/>
      <c r="P87" s="204"/>
      <c r="Q87" s="204"/>
      <c r="R87" s="153"/>
      <c r="S87" s="153"/>
      <c r="T87" s="186"/>
      <c r="U87" s="153"/>
      <c r="V87" s="184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</row>
    <row r="88" customFormat="false" ht="15.75" hidden="false" customHeight="true" outlineLevel="0" collapsed="false">
      <c r="A88" s="20"/>
      <c r="B88" s="184"/>
      <c r="C88" s="20"/>
      <c r="D88" s="20"/>
      <c r="E88" s="20"/>
      <c r="F88" s="20"/>
      <c r="G88" s="15"/>
      <c r="H88" s="20"/>
      <c r="I88" s="20"/>
      <c r="J88" s="184"/>
      <c r="K88" s="13"/>
      <c r="L88" s="204"/>
      <c r="M88" s="204"/>
      <c r="N88" s="204"/>
      <c r="O88" s="204"/>
      <c r="P88" s="204"/>
      <c r="Q88" s="204"/>
      <c r="R88" s="153"/>
      <c r="S88" s="153"/>
      <c r="T88" s="186"/>
      <c r="U88" s="153"/>
      <c r="V88" s="184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</row>
    <row r="89" customFormat="false" ht="15.75" hidden="false" customHeight="true" outlineLevel="0" collapsed="false">
      <c r="A89" s="20"/>
      <c r="B89" s="184"/>
      <c r="C89" s="20"/>
      <c r="D89" s="20"/>
      <c r="E89" s="20"/>
      <c r="F89" s="20"/>
      <c r="G89" s="15"/>
      <c r="H89" s="20"/>
      <c r="I89" s="20"/>
      <c r="J89" s="184"/>
      <c r="K89" s="13"/>
      <c r="L89" s="13"/>
      <c r="M89" s="13"/>
      <c r="N89" s="13"/>
      <c r="O89" s="153"/>
      <c r="P89" s="153"/>
      <c r="Q89" s="153"/>
      <c r="R89" s="153"/>
      <c r="S89" s="153"/>
      <c r="T89" s="186"/>
      <c r="U89" s="153"/>
      <c r="V89" s="184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</row>
    <row r="90" customFormat="false" ht="15.75" hidden="false" customHeight="true" outlineLevel="0" collapsed="false">
      <c r="A90" s="20"/>
      <c r="B90" s="184"/>
      <c r="C90" s="20"/>
      <c r="D90" s="20"/>
      <c r="E90" s="20"/>
      <c r="F90" s="20"/>
      <c r="G90" s="15"/>
      <c r="H90" s="20"/>
      <c r="I90" s="20"/>
      <c r="J90" s="184"/>
      <c r="K90" s="13"/>
      <c r="L90" s="13"/>
      <c r="M90" s="13"/>
      <c r="N90" s="13"/>
      <c r="O90" s="153"/>
      <c r="P90" s="153"/>
      <c r="Q90" s="153"/>
      <c r="R90" s="153"/>
      <c r="S90" s="153"/>
      <c r="T90" s="186"/>
      <c r="U90" s="153"/>
      <c r="V90" s="184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</row>
    <row r="91" customFormat="false" ht="15.75" hidden="false" customHeight="true" outlineLevel="0" collapsed="false">
      <c r="A91" s="20"/>
      <c r="B91" s="20"/>
      <c r="C91" s="20"/>
      <c r="D91" s="20"/>
      <c r="E91" s="20"/>
      <c r="F91" s="20"/>
      <c r="G91" s="15"/>
      <c r="H91" s="20"/>
      <c r="I91" s="20"/>
      <c r="J91" s="20"/>
      <c r="K91" s="13"/>
      <c r="L91" s="13"/>
      <c r="M91" s="13"/>
      <c r="N91" s="13"/>
      <c r="O91" s="153"/>
      <c r="P91" s="153"/>
      <c r="Q91" s="153"/>
      <c r="R91" s="153"/>
      <c r="S91" s="153"/>
      <c r="T91" s="154"/>
      <c r="U91" s="153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</row>
    <row r="92" customFormat="false" ht="15.75" hidden="false" customHeight="true" outlineLevel="0" collapsed="false">
      <c r="A92" s="20"/>
      <c r="B92" s="20"/>
      <c r="C92" s="20"/>
      <c r="D92" s="20"/>
      <c r="E92" s="20"/>
      <c r="F92" s="20"/>
      <c r="G92" s="15"/>
      <c r="H92" s="20"/>
      <c r="I92" s="20"/>
      <c r="J92" s="20"/>
      <c r="K92" s="13"/>
      <c r="L92" s="13"/>
      <c r="M92" s="13"/>
      <c r="N92" s="13"/>
      <c r="O92" s="153"/>
      <c r="P92" s="153"/>
      <c r="Q92" s="153"/>
      <c r="R92" s="153"/>
      <c r="S92" s="153"/>
      <c r="T92" s="154"/>
      <c r="U92" s="153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</row>
    <row r="93" customFormat="false" ht="15.75" hidden="false" customHeight="true" outlineLevel="0" collapsed="false">
      <c r="A93" s="20"/>
      <c r="B93" s="191"/>
      <c r="C93" s="211"/>
      <c r="D93" s="211"/>
      <c r="E93" s="211"/>
      <c r="F93" s="211"/>
      <c r="G93" s="212"/>
      <c r="H93" s="211"/>
      <c r="I93" s="211"/>
      <c r="J93" s="191"/>
      <c r="K93" s="204"/>
      <c r="L93" s="13"/>
      <c r="M93" s="13"/>
      <c r="N93" s="13"/>
      <c r="O93" s="153"/>
      <c r="P93" s="154"/>
      <c r="Q93" s="154"/>
      <c r="R93" s="190"/>
      <c r="S93" s="190"/>
      <c r="T93" s="186"/>
      <c r="U93" s="153"/>
      <c r="V93" s="191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</row>
    <row r="94" customFormat="false" ht="15.75" hidden="false" customHeight="true" outlineLevel="0" collapsed="false">
      <c r="A94" s="20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3"/>
      <c r="M94" s="13"/>
      <c r="N94" s="13"/>
      <c r="O94" s="153"/>
      <c r="P94" s="154"/>
      <c r="Q94" s="154"/>
      <c r="R94" s="190"/>
      <c r="S94" s="190"/>
      <c r="T94" s="186"/>
      <c r="U94" s="153"/>
      <c r="V94" s="191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</row>
    <row r="95" customFormat="false" ht="15.75" hidden="false" customHeight="true" outlineLevel="0" collapsed="false">
      <c r="A95" s="20"/>
      <c r="B95" s="191"/>
      <c r="C95" s="211"/>
      <c r="D95" s="211"/>
      <c r="E95" s="211"/>
      <c r="F95" s="211"/>
      <c r="G95" s="212"/>
      <c r="H95" s="211"/>
      <c r="I95" s="211"/>
      <c r="J95" s="191"/>
      <c r="K95" s="204"/>
      <c r="L95" s="204"/>
      <c r="M95" s="204"/>
      <c r="N95" s="204"/>
      <c r="O95" s="190"/>
      <c r="P95" s="190"/>
      <c r="Q95" s="190"/>
      <c r="R95" s="190"/>
      <c r="S95" s="190"/>
      <c r="T95" s="186"/>
      <c r="U95" s="153"/>
      <c r="V95" s="191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</row>
    <row r="96" customFormat="false" ht="15.75" hidden="false" customHeight="true" outlineLevel="0" collapsed="false">
      <c r="A96" s="20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1"/>
      <c r="Q96" s="191"/>
      <c r="R96" s="191"/>
      <c r="S96" s="191"/>
      <c r="T96" s="186"/>
      <c r="U96" s="153"/>
      <c r="V96" s="191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</row>
    <row r="97" customFormat="false" ht="15.75" hidden="false" customHeight="true" outlineLevel="0" collapsed="false">
      <c r="A97" s="20"/>
      <c r="B97" s="191"/>
      <c r="C97" s="211"/>
      <c r="D97" s="211"/>
      <c r="E97" s="211"/>
      <c r="F97" s="211"/>
      <c r="G97" s="212"/>
      <c r="H97" s="211"/>
      <c r="I97" s="211"/>
      <c r="J97" s="191"/>
      <c r="K97" s="204"/>
      <c r="L97" s="204"/>
      <c r="M97" s="204"/>
      <c r="N97" s="204"/>
      <c r="O97" s="190"/>
      <c r="P97" s="190"/>
      <c r="Q97" s="190"/>
      <c r="R97" s="190"/>
      <c r="S97" s="190"/>
      <c r="T97" s="186"/>
      <c r="U97" s="153"/>
      <c r="V97" s="191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</row>
    <row r="98" customFormat="false" ht="15.75" hidden="false" customHeight="true" outlineLevel="0" collapsed="false">
      <c r="A98" s="20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86"/>
      <c r="U98" s="153"/>
      <c r="V98" s="191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</row>
    <row r="99" customFormat="false" ht="15.75" hidden="false" customHeight="true" outlineLevel="0" collapsed="false">
      <c r="A99" s="20"/>
      <c r="B99" s="20"/>
      <c r="C99" s="20"/>
      <c r="D99" s="20"/>
      <c r="E99" s="20"/>
      <c r="F99" s="20"/>
      <c r="G99" s="15"/>
      <c r="H99" s="20"/>
      <c r="I99" s="20"/>
      <c r="J99" s="20"/>
      <c r="K99" s="13"/>
      <c r="L99" s="204"/>
      <c r="M99" s="204"/>
      <c r="N99" s="204"/>
      <c r="O99" s="190"/>
      <c r="P99" s="190"/>
      <c r="Q99" s="190"/>
      <c r="R99" s="153"/>
      <c r="S99" s="153"/>
      <c r="T99" s="154"/>
      <c r="U99" s="153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</row>
    <row r="100" customFormat="false" ht="15.75" hidden="false" customHeight="true" outlineLevel="0" collapsed="false">
      <c r="A100" s="20"/>
      <c r="B100" s="20"/>
      <c r="C100" s="20"/>
      <c r="D100" s="20"/>
      <c r="E100" s="20"/>
      <c r="F100" s="20"/>
      <c r="G100" s="15"/>
      <c r="H100" s="20"/>
      <c r="I100" s="20"/>
      <c r="J100" s="20"/>
      <c r="K100" s="13"/>
      <c r="L100" s="204"/>
      <c r="M100" s="204"/>
      <c r="N100" s="204"/>
      <c r="O100" s="204"/>
      <c r="P100" s="204"/>
      <c r="Q100" s="204"/>
      <c r="R100" s="153"/>
      <c r="S100" s="153"/>
      <c r="T100" s="154"/>
      <c r="U100" s="153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</row>
    <row r="101" customFormat="false" ht="15.75" hidden="false" customHeight="true" outlineLevel="0" collapsed="false">
      <c r="A101" s="20"/>
      <c r="B101" s="20"/>
      <c r="C101" s="20"/>
      <c r="D101" s="20"/>
      <c r="E101" s="20"/>
      <c r="F101" s="20"/>
      <c r="G101" s="15"/>
      <c r="H101" s="20"/>
      <c r="I101" s="20"/>
      <c r="J101" s="20"/>
      <c r="K101" s="13"/>
      <c r="L101" s="13"/>
      <c r="M101" s="13"/>
      <c r="N101" s="13"/>
      <c r="O101" s="153"/>
      <c r="P101" s="154"/>
      <c r="Q101" s="154"/>
      <c r="R101" s="153"/>
      <c r="S101" s="153"/>
      <c r="T101" s="154"/>
      <c r="U101" s="153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</row>
    <row r="102" customFormat="false" ht="15.75" hidden="false" customHeight="true" outlineLevel="0" collapsed="false">
      <c r="A102" s="20"/>
      <c r="B102" s="191"/>
      <c r="C102" s="211"/>
      <c r="D102" s="211"/>
      <c r="E102" s="211"/>
      <c r="F102" s="211"/>
      <c r="G102" s="212"/>
      <c r="H102" s="211"/>
      <c r="I102" s="211"/>
      <c r="J102" s="191"/>
      <c r="K102" s="204"/>
      <c r="L102" s="13"/>
      <c r="M102" s="13"/>
      <c r="N102" s="13"/>
      <c r="O102" s="153"/>
      <c r="P102" s="154"/>
      <c r="Q102" s="154"/>
      <c r="R102" s="190"/>
      <c r="S102" s="190"/>
      <c r="T102" s="186"/>
      <c r="U102" s="153"/>
      <c r="V102" s="191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</row>
    <row r="103" customFormat="false" ht="15.75" hidden="false" customHeight="true" outlineLevel="0" collapsed="false">
      <c r="A103" s="20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3"/>
      <c r="M103" s="13"/>
      <c r="N103" s="13"/>
      <c r="O103" s="153"/>
      <c r="P103" s="154"/>
      <c r="Q103" s="154"/>
      <c r="R103" s="190"/>
      <c r="S103" s="190"/>
      <c r="T103" s="186"/>
      <c r="U103" s="153"/>
      <c r="V103" s="191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customFormat="false" ht="15.75" hidden="false" customHeight="true" outlineLevel="0" collapsed="false">
      <c r="A104" s="20"/>
      <c r="B104" s="20"/>
      <c r="C104" s="20"/>
      <c r="D104" s="20"/>
      <c r="E104" s="20"/>
      <c r="F104" s="20"/>
      <c r="G104" s="15"/>
      <c r="H104" s="20"/>
      <c r="I104" s="20"/>
      <c r="J104" s="20"/>
      <c r="K104" s="13"/>
      <c r="L104" s="204"/>
      <c r="M104" s="204"/>
      <c r="N104" s="204"/>
      <c r="O104" s="190"/>
      <c r="P104" s="190"/>
      <c r="Q104" s="190"/>
      <c r="R104" s="153"/>
      <c r="S104" s="153"/>
      <c r="T104" s="154"/>
      <c r="U104" s="153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</row>
    <row r="105" customFormat="false" ht="15.75" hidden="false" customHeight="true" outlineLevel="0" collapsed="false">
      <c r="A105" s="20"/>
      <c r="B105" s="20"/>
      <c r="C105" s="20"/>
      <c r="D105" s="20"/>
      <c r="E105" s="20"/>
      <c r="F105" s="20"/>
      <c r="G105" s="15"/>
      <c r="H105" s="20"/>
      <c r="I105" s="20"/>
      <c r="J105" s="20"/>
      <c r="K105" s="13"/>
      <c r="L105" s="204"/>
      <c r="M105" s="204"/>
      <c r="N105" s="204"/>
      <c r="O105" s="204"/>
      <c r="P105" s="204"/>
      <c r="Q105" s="204"/>
      <c r="R105" s="153"/>
      <c r="S105" s="153"/>
      <c r="T105" s="154"/>
      <c r="U105" s="153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</row>
    <row r="106" customFormat="false" ht="15.75" hidden="false" customHeight="true" outlineLevel="0" collapsed="false">
      <c r="A106" s="20"/>
      <c r="B106" s="191"/>
      <c r="C106" s="211"/>
      <c r="D106" s="211"/>
      <c r="E106" s="211"/>
      <c r="F106" s="211"/>
      <c r="G106" s="212"/>
      <c r="H106" s="211"/>
      <c r="I106" s="211"/>
      <c r="J106" s="191"/>
      <c r="K106" s="204"/>
      <c r="L106" s="13"/>
      <c r="M106" s="13"/>
      <c r="N106" s="13"/>
      <c r="O106" s="153"/>
      <c r="P106" s="154"/>
      <c r="Q106" s="154"/>
      <c r="R106" s="190"/>
      <c r="S106" s="190"/>
      <c r="T106" s="186"/>
      <c r="U106" s="153"/>
      <c r="V106" s="191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</row>
    <row r="107" customFormat="false" ht="15.75" hidden="false" customHeight="true" outlineLevel="0" collapsed="false">
      <c r="A107" s="20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3"/>
      <c r="M107" s="13"/>
      <c r="N107" s="13"/>
      <c r="O107" s="153"/>
      <c r="P107" s="154"/>
      <c r="Q107" s="154"/>
      <c r="R107" s="190"/>
      <c r="S107" s="190"/>
      <c r="T107" s="186"/>
      <c r="U107" s="153"/>
      <c r="V107" s="191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customFormat="false" ht="15.75" hidden="false" customHeight="true" outlineLevel="0" collapsed="false">
      <c r="A108" s="20"/>
      <c r="B108" s="20"/>
      <c r="C108" s="20"/>
      <c r="D108" s="20"/>
      <c r="E108" s="20"/>
      <c r="F108" s="20"/>
      <c r="G108" s="15"/>
      <c r="H108" s="20"/>
      <c r="I108" s="20"/>
      <c r="J108" s="20"/>
      <c r="K108" s="13"/>
      <c r="L108" s="204"/>
      <c r="M108" s="204"/>
      <c r="N108" s="204"/>
      <c r="O108" s="190"/>
      <c r="P108" s="190"/>
      <c r="Q108" s="190"/>
      <c r="R108" s="153"/>
      <c r="S108" s="153"/>
      <c r="T108" s="154"/>
      <c r="U108" s="153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</row>
    <row r="109" customFormat="false" ht="15.75" hidden="false" customHeight="true" outlineLevel="0" collapsed="false">
      <c r="A109" s="20"/>
      <c r="B109" s="20"/>
      <c r="C109" s="20"/>
      <c r="D109" s="20"/>
      <c r="E109" s="20"/>
      <c r="F109" s="20"/>
      <c r="G109" s="15"/>
      <c r="H109" s="20"/>
      <c r="I109" s="20"/>
      <c r="J109" s="20"/>
      <c r="K109" s="13"/>
      <c r="L109" s="204"/>
      <c r="M109" s="204"/>
      <c r="N109" s="204"/>
      <c r="O109" s="204"/>
      <c r="P109" s="204"/>
      <c r="Q109" s="204"/>
      <c r="R109" s="153"/>
      <c r="S109" s="153"/>
      <c r="T109" s="154"/>
      <c r="U109" s="153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</row>
    <row r="110" customFormat="false" ht="15.75" hidden="false" customHeight="true" outlineLevel="0" collapsed="false">
      <c r="A110" s="20"/>
      <c r="B110" s="20"/>
      <c r="C110" s="20"/>
      <c r="D110" s="20"/>
      <c r="E110" s="20"/>
      <c r="F110" s="20"/>
      <c r="G110" s="15"/>
      <c r="H110" s="20"/>
      <c r="I110" s="20"/>
      <c r="J110" s="20"/>
      <c r="K110" s="13"/>
      <c r="L110" s="13"/>
      <c r="M110" s="13"/>
      <c r="N110" s="13"/>
      <c r="O110" s="153"/>
      <c r="P110" s="154"/>
      <c r="Q110" s="154"/>
      <c r="R110" s="153"/>
      <c r="S110" s="153"/>
      <c r="T110" s="154"/>
      <c r="U110" s="153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</row>
    <row r="111" customFormat="false" ht="15.75" hidden="false" customHeight="true" outlineLevel="0" collapsed="false">
      <c r="A111" s="20"/>
      <c r="B111" s="20"/>
      <c r="C111" s="20"/>
      <c r="D111" s="20"/>
      <c r="E111" s="20"/>
      <c r="F111" s="20"/>
      <c r="G111" s="15"/>
      <c r="H111" s="20"/>
      <c r="I111" s="20"/>
      <c r="J111" s="20"/>
      <c r="K111" s="13"/>
      <c r="L111" s="13"/>
      <c r="M111" s="13"/>
      <c r="N111" s="13"/>
      <c r="O111" s="153"/>
      <c r="P111" s="154"/>
      <c r="Q111" s="154"/>
      <c r="R111" s="153"/>
      <c r="S111" s="153"/>
      <c r="T111" s="154"/>
      <c r="U111" s="153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</row>
    <row r="112" customFormat="false" ht="15.75" hidden="false" customHeight="true" outlineLevel="0" collapsed="false">
      <c r="A112" s="20"/>
      <c r="B112" s="20"/>
      <c r="C112" s="20"/>
      <c r="D112" s="20"/>
      <c r="E112" s="20"/>
      <c r="F112" s="20"/>
      <c r="G112" s="15"/>
      <c r="H112" s="20"/>
      <c r="I112" s="20"/>
      <c r="J112" s="20"/>
      <c r="K112" s="13"/>
      <c r="L112" s="13"/>
      <c r="M112" s="13"/>
      <c r="N112" s="13"/>
      <c r="O112" s="153"/>
      <c r="P112" s="154"/>
      <c r="Q112" s="154"/>
      <c r="R112" s="153"/>
      <c r="S112" s="153"/>
      <c r="T112" s="154"/>
      <c r="U112" s="153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</row>
    <row r="113" customFormat="false" ht="15.75" hidden="false" customHeight="true" outlineLevel="0" collapsed="false">
      <c r="A113" s="20"/>
      <c r="B113" s="20"/>
      <c r="C113" s="20"/>
      <c r="D113" s="20"/>
      <c r="E113" s="20"/>
      <c r="F113" s="20"/>
      <c r="G113" s="15"/>
      <c r="H113" s="20"/>
      <c r="I113" s="20"/>
      <c r="J113" s="20"/>
      <c r="K113" s="13"/>
      <c r="L113" s="13"/>
      <c r="M113" s="13"/>
      <c r="N113" s="13"/>
      <c r="O113" s="153"/>
      <c r="P113" s="154"/>
      <c r="Q113" s="154"/>
      <c r="R113" s="153"/>
      <c r="S113" s="153"/>
      <c r="T113" s="154"/>
      <c r="U113" s="153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</row>
    <row r="114" customFormat="false" ht="15.75" hidden="false" customHeight="true" outlineLevel="0" collapsed="false">
      <c r="A114" s="20"/>
      <c r="B114" s="211"/>
      <c r="C114" s="211"/>
      <c r="D114" s="211"/>
      <c r="E114" s="211"/>
      <c r="F114" s="211"/>
      <c r="G114" s="212"/>
      <c r="H114" s="211"/>
      <c r="I114" s="211"/>
      <c r="J114" s="211"/>
      <c r="K114" s="204"/>
      <c r="L114" s="13"/>
      <c r="M114" s="13"/>
      <c r="N114" s="13"/>
      <c r="O114" s="153"/>
      <c r="P114" s="154"/>
      <c r="Q114" s="154"/>
      <c r="R114" s="190"/>
      <c r="S114" s="190"/>
      <c r="T114" s="154"/>
      <c r="U114" s="153"/>
      <c r="V114" s="211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</row>
    <row r="115" customFormat="false" ht="15.75" hidden="false" customHeight="true" outlineLevel="0" collapsed="false">
      <c r="A115" s="20"/>
      <c r="B115" s="211"/>
      <c r="C115" s="211"/>
      <c r="D115" s="211"/>
      <c r="E115" s="211"/>
      <c r="F115" s="211"/>
      <c r="G115" s="211"/>
      <c r="H115" s="211"/>
      <c r="I115" s="211"/>
      <c r="J115" s="211"/>
      <c r="K115" s="211"/>
      <c r="L115" s="13"/>
      <c r="M115" s="13"/>
      <c r="N115" s="13"/>
      <c r="O115" s="153"/>
      <c r="P115" s="154"/>
      <c r="Q115" s="154"/>
      <c r="R115" s="190"/>
      <c r="S115" s="190"/>
      <c r="T115" s="154"/>
      <c r="U115" s="153"/>
      <c r="V115" s="211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</row>
    <row r="116" customFormat="false" ht="15.75" hidden="false" customHeight="true" outlineLevel="0" collapsed="false">
      <c r="A116" s="20"/>
      <c r="B116" s="20"/>
      <c r="C116" s="20"/>
      <c r="D116" s="20"/>
      <c r="E116" s="20"/>
      <c r="F116" s="20"/>
      <c r="G116" s="15"/>
      <c r="H116" s="20"/>
      <c r="I116" s="20"/>
      <c r="J116" s="20"/>
      <c r="K116" s="13"/>
      <c r="L116" s="204"/>
      <c r="M116" s="204"/>
      <c r="N116" s="204"/>
      <c r="O116" s="190"/>
      <c r="P116" s="213"/>
      <c r="Q116" s="213"/>
      <c r="R116" s="153"/>
      <c r="S116" s="153"/>
      <c r="T116" s="154"/>
      <c r="U116" s="153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</row>
    <row r="117" customFormat="false" ht="15.75" hidden="false" customHeight="true" outlineLevel="0" collapsed="false">
      <c r="A117" s="214"/>
      <c r="B117" s="214"/>
      <c r="C117" s="214"/>
      <c r="D117" s="214"/>
      <c r="E117" s="214"/>
      <c r="F117" s="214"/>
      <c r="G117" s="215"/>
      <c r="H117" s="214"/>
      <c r="I117" s="214"/>
      <c r="J117" s="214"/>
      <c r="K117" s="216"/>
      <c r="L117" s="204"/>
      <c r="M117" s="204"/>
      <c r="N117" s="204"/>
      <c r="O117" s="204"/>
      <c r="P117" s="204"/>
      <c r="Q117" s="204"/>
      <c r="R117" s="217"/>
      <c r="S117" s="217"/>
      <c r="T117" s="218"/>
      <c r="U117" s="217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</row>
    <row r="118" customFormat="false" ht="15.75" hidden="false" customHeight="true" outlineLevel="0" collapsed="false">
      <c r="A118" s="20"/>
      <c r="B118" s="137"/>
      <c r="C118" s="137"/>
      <c r="D118" s="137"/>
      <c r="E118" s="137"/>
      <c r="F118" s="137"/>
      <c r="G118" s="219"/>
      <c r="H118" s="137"/>
      <c r="I118" s="137"/>
      <c r="J118" s="137"/>
      <c r="K118" s="220"/>
      <c r="L118" s="13"/>
      <c r="M118" s="13"/>
      <c r="N118" s="13"/>
      <c r="O118" s="153"/>
      <c r="P118" s="154"/>
      <c r="Q118" s="154"/>
      <c r="R118" s="221"/>
      <c r="S118" s="221"/>
      <c r="T118" s="221"/>
      <c r="U118" s="221"/>
      <c r="V118" s="222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</row>
    <row r="119" customFormat="false" ht="15.75" hidden="false" customHeight="true" outlineLevel="0" collapsed="false">
      <c r="A119" s="20"/>
      <c r="B119" s="137"/>
      <c r="C119" s="137"/>
      <c r="D119" s="137"/>
      <c r="E119" s="137"/>
      <c r="F119" s="137"/>
      <c r="G119" s="219"/>
      <c r="H119" s="137"/>
      <c r="I119" s="137"/>
      <c r="J119" s="137"/>
      <c r="K119" s="220"/>
      <c r="L119" s="216"/>
      <c r="M119" s="216"/>
      <c r="N119" s="216"/>
      <c r="O119" s="217"/>
      <c r="P119" s="218"/>
      <c r="Q119" s="218"/>
      <c r="R119" s="221"/>
      <c r="S119" s="221"/>
      <c r="T119" s="221"/>
      <c r="U119" s="221"/>
      <c r="V119" s="222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</row>
    <row r="120" customFormat="false" ht="15.75" hidden="false" customHeight="true" outlineLevel="0" collapsed="false">
      <c r="A120" s="20"/>
      <c r="B120" s="137"/>
      <c r="C120" s="137"/>
      <c r="D120" s="137"/>
      <c r="E120" s="137"/>
      <c r="F120" s="137"/>
      <c r="G120" s="219"/>
      <c r="H120" s="137"/>
      <c r="I120" s="137"/>
      <c r="J120" s="137"/>
      <c r="K120" s="220"/>
      <c r="L120" s="220"/>
      <c r="M120" s="220"/>
      <c r="N120" s="220"/>
      <c r="O120" s="223"/>
      <c r="P120" s="221"/>
      <c r="Q120" s="221"/>
      <c r="R120" s="221"/>
      <c r="S120" s="221"/>
      <c r="T120" s="221"/>
      <c r="U120" s="221"/>
      <c r="V120" s="222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</row>
    <row r="121" customFormat="false" ht="15.75" hidden="false" customHeight="true" outlineLevel="0" collapsed="false">
      <c r="A121" s="20"/>
      <c r="B121" s="20"/>
      <c r="C121" s="20"/>
      <c r="D121" s="20"/>
      <c r="E121" s="20"/>
      <c r="F121" s="20"/>
      <c r="G121" s="15"/>
      <c r="H121" s="20"/>
      <c r="I121" s="20"/>
      <c r="J121" s="20"/>
      <c r="K121" s="13"/>
      <c r="L121" s="220"/>
      <c r="M121" s="220"/>
      <c r="N121" s="220"/>
      <c r="O121" s="223"/>
      <c r="P121" s="221"/>
      <c r="Q121" s="221"/>
      <c r="R121" s="153"/>
      <c r="S121" s="153"/>
      <c r="T121" s="154"/>
      <c r="U121" s="153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</row>
    <row r="122" customFormat="false" ht="15.75" hidden="false" customHeight="true" outlineLevel="0" collapsed="false">
      <c r="A122" s="20"/>
      <c r="B122" s="211"/>
      <c r="C122" s="211"/>
      <c r="D122" s="211"/>
      <c r="E122" s="211"/>
      <c r="F122" s="211"/>
      <c r="G122" s="212"/>
      <c r="H122" s="211"/>
      <c r="I122" s="211"/>
      <c r="J122" s="211"/>
      <c r="K122" s="204"/>
      <c r="L122" s="220"/>
      <c r="M122" s="220"/>
      <c r="N122" s="220"/>
      <c r="O122" s="223"/>
      <c r="P122" s="221"/>
      <c r="Q122" s="221"/>
      <c r="R122" s="190"/>
      <c r="S122" s="190"/>
      <c r="T122" s="154"/>
      <c r="U122" s="153"/>
      <c r="V122" s="211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</row>
    <row r="123" customFormat="false" ht="15.75" hidden="false" customHeight="true" outlineLevel="0" collapsed="false">
      <c r="A123" s="20"/>
      <c r="B123" s="211"/>
      <c r="C123" s="211"/>
      <c r="D123" s="211"/>
      <c r="E123" s="211"/>
      <c r="F123" s="211"/>
      <c r="G123" s="211"/>
      <c r="H123" s="211"/>
      <c r="I123" s="211"/>
      <c r="J123" s="211"/>
      <c r="K123" s="211"/>
      <c r="L123" s="13"/>
      <c r="M123" s="13"/>
      <c r="N123" s="13"/>
      <c r="O123" s="153"/>
      <c r="P123" s="154"/>
      <c r="Q123" s="154"/>
      <c r="R123" s="190"/>
      <c r="S123" s="190"/>
      <c r="T123" s="154"/>
      <c r="U123" s="153"/>
      <c r="V123" s="211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</row>
    <row r="124" customFormat="false" ht="15.75" hidden="false" customHeight="true" outlineLevel="0" collapsed="false">
      <c r="A124" s="20"/>
      <c r="B124" s="137"/>
      <c r="C124" s="137"/>
      <c r="D124" s="137"/>
      <c r="E124" s="137"/>
      <c r="F124" s="137"/>
      <c r="G124" s="219"/>
      <c r="H124" s="137"/>
      <c r="I124" s="137"/>
      <c r="J124" s="137"/>
      <c r="K124" s="220"/>
      <c r="L124" s="204"/>
      <c r="M124" s="204"/>
      <c r="N124" s="204"/>
      <c r="O124" s="190"/>
      <c r="P124" s="213"/>
      <c r="Q124" s="213"/>
      <c r="R124" s="221"/>
      <c r="S124" s="221"/>
      <c r="T124" s="221"/>
      <c r="U124" s="223"/>
      <c r="V124" s="137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</row>
    <row r="125" customFormat="false" ht="15.75" hidden="false" customHeight="true" outlineLevel="0" collapsed="false">
      <c r="A125" s="20"/>
      <c r="B125" s="211"/>
      <c r="C125" s="211"/>
      <c r="D125" s="211"/>
      <c r="E125" s="211"/>
      <c r="F125" s="211"/>
      <c r="G125" s="212"/>
      <c r="H125" s="211"/>
      <c r="I125" s="211"/>
      <c r="J125" s="211"/>
      <c r="K125" s="204"/>
      <c r="L125" s="204"/>
      <c r="M125" s="204"/>
      <c r="N125" s="204"/>
      <c r="O125" s="204"/>
      <c r="P125" s="204"/>
      <c r="Q125" s="204"/>
      <c r="R125" s="190"/>
      <c r="S125" s="190"/>
      <c r="T125" s="154"/>
      <c r="U125" s="153"/>
      <c r="V125" s="211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</row>
    <row r="126" customFormat="false" ht="15.75" hidden="false" customHeight="true" outlineLevel="0" collapsed="false">
      <c r="A126" s="20"/>
      <c r="B126" s="211"/>
      <c r="C126" s="211"/>
      <c r="D126" s="211"/>
      <c r="E126" s="211"/>
      <c r="F126" s="211"/>
      <c r="G126" s="211"/>
      <c r="H126" s="211"/>
      <c r="I126" s="211"/>
      <c r="J126" s="211"/>
      <c r="K126" s="211"/>
      <c r="L126" s="220"/>
      <c r="M126" s="220"/>
      <c r="N126" s="220"/>
      <c r="O126" s="223"/>
      <c r="P126" s="221"/>
      <c r="Q126" s="221"/>
      <c r="R126" s="190"/>
      <c r="S126" s="190"/>
      <c r="T126" s="154"/>
      <c r="U126" s="153"/>
      <c r="V126" s="211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</row>
    <row r="127" customFormat="false" ht="15.75" hidden="false" customHeight="true" outlineLevel="0" collapsed="false">
      <c r="A127" s="20"/>
      <c r="B127" s="20"/>
      <c r="C127" s="20"/>
      <c r="D127" s="20"/>
      <c r="E127" s="20"/>
      <c r="F127" s="20"/>
      <c r="G127" s="15"/>
      <c r="H127" s="20"/>
      <c r="I127" s="20"/>
      <c r="J127" s="20"/>
      <c r="K127" s="13"/>
      <c r="L127" s="204"/>
      <c r="M127" s="204"/>
      <c r="N127" s="204"/>
      <c r="O127" s="190"/>
      <c r="P127" s="213"/>
      <c r="Q127" s="213"/>
      <c r="R127" s="153"/>
      <c r="S127" s="153"/>
      <c r="T127" s="213"/>
      <c r="U127" s="153"/>
      <c r="V127" s="211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</row>
    <row r="128" customFormat="false" ht="15.75" hidden="false" customHeight="true" outlineLevel="0" collapsed="false">
      <c r="A128" s="20"/>
      <c r="B128" s="20"/>
      <c r="C128" s="20"/>
      <c r="D128" s="20"/>
      <c r="E128" s="20"/>
      <c r="F128" s="20"/>
      <c r="G128" s="15"/>
      <c r="H128" s="20"/>
      <c r="I128" s="20"/>
      <c r="J128" s="20"/>
      <c r="K128" s="13"/>
      <c r="L128" s="204"/>
      <c r="M128" s="204"/>
      <c r="N128" s="204"/>
      <c r="O128" s="204"/>
      <c r="P128" s="204"/>
      <c r="Q128" s="204"/>
      <c r="R128" s="153"/>
      <c r="S128" s="153"/>
      <c r="T128" s="213"/>
      <c r="U128" s="153"/>
      <c r="V128" s="211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</row>
    <row r="129" customFormat="false" ht="15.75" hidden="false" customHeight="true" outlineLevel="0" collapsed="false">
      <c r="A129" s="20"/>
      <c r="B129" s="137"/>
      <c r="C129" s="137"/>
      <c r="D129" s="137"/>
      <c r="E129" s="137"/>
      <c r="F129" s="137"/>
      <c r="G129" s="219"/>
      <c r="H129" s="137"/>
      <c r="I129" s="137"/>
      <c r="J129" s="137"/>
      <c r="K129" s="220"/>
      <c r="L129" s="13"/>
      <c r="M129" s="13"/>
      <c r="N129" s="13"/>
      <c r="O129" s="190"/>
      <c r="P129" s="190"/>
      <c r="Q129" s="213"/>
      <c r="R129" s="223"/>
      <c r="S129" s="223"/>
      <c r="T129" s="221"/>
      <c r="U129" s="223"/>
      <c r="V129" s="137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</row>
    <row r="130" customFormat="false" ht="15.75" hidden="false" customHeight="true" outlineLevel="0" collapsed="false">
      <c r="A130" s="20"/>
      <c r="B130" s="211"/>
      <c r="C130" s="211"/>
      <c r="D130" s="211"/>
      <c r="E130" s="211"/>
      <c r="F130" s="211"/>
      <c r="G130" s="212"/>
      <c r="H130" s="211"/>
      <c r="I130" s="211"/>
      <c r="J130" s="211"/>
      <c r="K130" s="204"/>
      <c r="L130" s="13"/>
      <c r="M130" s="13"/>
      <c r="N130" s="13"/>
      <c r="O130" s="190"/>
      <c r="P130" s="190"/>
      <c r="Q130" s="190"/>
      <c r="R130" s="190"/>
      <c r="S130" s="190"/>
      <c r="T130" s="154"/>
      <c r="U130" s="153"/>
      <c r="V130" s="211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</row>
    <row r="131" customFormat="false" ht="15.75" hidden="false" customHeight="true" outlineLevel="0" collapsed="false">
      <c r="A131" s="20"/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20"/>
      <c r="M131" s="220"/>
      <c r="N131" s="220"/>
      <c r="O131" s="223"/>
      <c r="P131" s="221"/>
      <c r="Q131" s="221"/>
      <c r="R131" s="190"/>
      <c r="S131" s="190"/>
      <c r="T131" s="154"/>
      <c r="U131" s="153"/>
      <c r="V131" s="211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</row>
    <row r="132" customFormat="false" ht="15.75" hidden="false" customHeight="true" outlineLevel="0" collapsed="false">
      <c r="A132" s="20"/>
      <c r="B132" s="137"/>
      <c r="C132" s="137"/>
      <c r="D132" s="137"/>
      <c r="E132" s="137"/>
      <c r="F132" s="137"/>
      <c r="G132" s="219"/>
      <c r="H132" s="137"/>
      <c r="I132" s="137"/>
      <c r="J132" s="137"/>
      <c r="K132" s="220"/>
      <c r="L132" s="204"/>
      <c r="M132" s="204"/>
      <c r="N132" s="204"/>
      <c r="O132" s="190"/>
      <c r="P132" s="213"/>
      <c r="Q132" s="213"/>
      <c r="R132" s="223"/>
      <c r="S132" s="223"/>
      <c r="T132" s="221"/>
      <c r="U132" s="223"/>
      <c r="V132" s="137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</row>
    <row r="133" customFormat="false" ht="15.75" hidden="false" customHeight="true" outlineLevel="0" collapsed="false">
      <c r="A133" s="20"/>
      <c r="B133" s="20"/>
      <c r="C133" s="20"/>
      <c r="D133" s="20"/>
      <c r="E133" s="20"/>
      <c r="F133" s="20"/>
      <c r="G133" s="15"/>
      <c r="H133" s="20"/>
      <c r="I133" s="20"/>
      <c r="J133" s="20"/>
      <c r="K133" s="13"/>
      <c r="L133" s="204"/>
      <c r="M133" s="204"/>
      <c r="N133" s="204"/>
      <c r="O133" s="204"/>
      <c r="P133" s="204"/>
      <c r="Q133" s="204"/>
      <c r="R133" s="153"/>
      <c r="S133" s="153"/>
      <c r="T133" s="154"/>
      <c r="U133" s="153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</row>
    <row r="134" customFormat="false" ht="15.75" hidden="false" customHeight="true" outlineLevel="0" collapsed="false">
      <c r="A134" s="20"/>
      <c r="B134" s="20"/>
      <c r="C134" s="20"/>
      <c r="D134" s="20"/>
      <c r="E134" s="20"/>
      <c r="F134" s="20"/>
      <c r="G134" s="15"/>
      <c r="H134" s="20"/>
      <c r="I134" s="20"/>
      <c r="J134" s="20"/>
      <c r="K134" s="13"/>
      <c r="L134" s="220"/>
      <c r="M134" s="220"/>
      <c r="N134" s="220"/>
      <c r="O134" s="223"/>
      <c r="P134" s="221"/>
      <c r="Q134" s="221"/>
      <c r="R134" s="153"/>
      <c r="S134" s="153"/>
      <c r="T134" s="154"/>
      <c r="U134" s="153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</row>
    <row r="135" customFormat="false" ht="15.75" hidden="false" customHeight="true" outlineLevel="0" collapsed="false">
      <c r="A135" s="20"/>
      <c r="B135" s="20"/>
      <c r="C135" s="20"/>
      <c r="D135" s="20"/>
      <c r="E135" s="20"/>
      <c r="F135" s="20"/>
      <c r="G135" s="15"/>
      <c r="H135" s="20"/>
      <c r="I135" s="20"/>
      <c r="J135" s="20"/>
      <c r="K135" s="13"/>
      <c r="L135" s="13"/>
      <c r="M135" s="13"/>
      <c r="N135" s="13"/>
      <c r="O135" s="153"/>
      <c r="P135" s="154"/>
      <c r="Q135" s="154"/>
      <c r="R135" s="153"/>
      <c r="S135" s="153"/>
      <c r="T135" s="154"/>
      <c r="U135" s="153"/>
      <c r="V135" s="211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</row>
    <row r="136" customFormat="false" ht="15.75" hidden="false" customHeight="true" outlineLevel="0" collapsed="false">
      <c r="A136" s="20"/>
      <c r="B136" s="20"/>
      <c r="C136" s="20"/>
      <c r="D136" s="20"/>
      <c r="E136" s="20"/>
      <c r="F136" s="20"/>
      <c r="G136" s="15"/>
      <c r="H136" s="20"/>
      <c r="I136" s="20"/>
      <c r="J136" s="20"/>
      <c r="K136" s="13"/>
      <c r="L136" s="13"/>
      <c r="M136" s="13"/>
      <c r="N136" s="13"/>
      <c r="O136" s="153"/>
      <c r="P136" s="154"/>
      <c r="Q136" s="154"/>
      <c r="R136" s="153"/>
      <c r="S136" s="153"/>
      <c r="T136" s="154"/>
      <c r="U136" s="153"/>
      <c r="V136" s="211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</row>
    <row r="137" customFormat="false" ht="15.75" hidden="false" customHeight="true" outlineLevel="0" collapsed="false">
      <c r="A137" s="20"/>
      <c r="B137" s="211"/>
      <c r="C137" s="211"/>
      <c r="D137" s="211"/>
      <c r="E137" s="211"/>
      <c r="F137" s="211"/>
      <c r="G137" s="212"/>
      <c r="H137" s="211"/>
      <c r="I137" s="211"/>
      <c r="J137" s="211"/>
      <c r="K137" s="204"/>
      <c r="L137" s="13"/>
      <c r="M137" s="13"/>
      <c r="N137" s="13"/>
      <c r="O137" s="153"/>
      <c r="P137" s="154"/>
      <c r="Q137" s="154"/>
      <c r="R137" s="190"/>
      <c r="S137" s="190"/>
      <c r="T137" s="154"/>
      <c r="U137" s="153"/>
      <c r="V137" s="211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</row>
    <row r="138" customFormat="false" ht="15.75" hidden="false" customHeight="true" outlineLevel="0" collapsed="false">
      <c r="A138" s="20"/>
      <c r="B138" s="211"/>
      <c r="C138" s="211"/>
      <c r="D138" s="211"/>
      <c r="E138" s="211"/>
      <c r="F138" s="211"/>
      <c r="G138" s="211"/>
      <c r="H138" s="211"/>
      <c r="I138" s="211"/>
      <c r="J138" s="211"/>
      <c r="K138" s="211"/>
      <c r="L138" s="13"/>
      <c r="M138" s="13"/>
      <c r="N138" s="13"/>
      <c r="O138" s="153"/>
      <c r="P138" s="154"/>
      <c r="Q138" s="154"/>
      <c r="R138" s="190"/>
      <c r="S138" s="190"/>
      <c r="T138" s="154"/>
      <c r="U138" s="153"/>
      <c r="V138" s="211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</row>
    <row r="139" customFormat="false" ht="15.75" hidden="false" customHeight="true" outlineLevel="0" collapsed="false">
      <c r="A139" s="20"/>
      <c r="B139" s="20"/>
      <c r="C139" s="20"/>
      <c r="D139" s="20"/>
      <c r="E139" s="20"/>
      <c r="F139" s="20"/>
      <c r="G139" s="15"/>
      <c r="H139" s="20"/>
      <c r="I139" s="20"/>
      <c r="J139" s="20"/>
      <c r="K139" s="13"/>
      <c r="L139" s="204"/>
      <c r="M139" s="204"/>
      <c r="N139" s="204"/>
      <c r="O139" s="190"/>
      <c r="P139" s="213"/>
      <c r="Q139" s="213"/>
      <c r="R139" s="153"/>
      <c r="S139" s="153"/>
      <c r="T139" s="154"/>
      <c r="U139" s="153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</row>
    <row r="140" customFormat="false" ht="15.75" hidden="false" customHeight="true" outlineLevel="0" collapsed="false">
      <c r="A140" s="20"/>
      <c r="B140" s="211"/>
      <c r="C140" s="211"/>
      <c r="D140" s="211"/>
      <c r="E140" s="211"/>
      <c r="F140" s="211"/>
      <c r="G140" s="212"/>
      <c r="H140" s="211"/>
      <c r="I140" s="211"/>
      <c r="J140" s="211"/>
      <c r="K140" s="204"/>
      <c r="L140" s="204"/>
      <c r="M140" s="204"/>
      <c r="N140" s="204"/>
      <c r="O140" s="204"/>
      <c r="P140" s="204"/>
      <c r="Q140" s="204"/>
      <c r="R140" s="190"/>
      <c r="S140" s="190"/>
      <c r="T140" s="154"/>
      <c r="U140" s="153"/>
      <c r="V140" s="211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</row>
    <row r="141" customFormat="false" ht="15.75" hidden="false" customHeight="true" outlineLevel="0" collapsed="false">
      <c r="A141" s="20"/>
      <c r="B141" s="211"/>
      <c r="C141" s="211"/>
      <c r="D141" s="211"/>
      <c r="E141" s="211"/>
      <c r="F141" s="211"/>
      <c r="G141" s="211"/>
      <c r="H141" s="211"/>
      <c r="I141" s="211"/>
      <c r="J141" s="211"/>
      <c r="K141" s="211"/>
      <c r="L141" s="13"/>
      <c r="M141" s="13"/>
      <c r="N141" s="13"/>
      <c r="O141" s="153"/>
      <c r="P141" s="154"/>
      <c r="Q141" s="154"/>
      <c r="R141" s="190"/>
      <c r="S141" s="190"/>
      <c r="T141" s="154"/>
      <c r="U141" s="153"/>
      <c r="V141" s="211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</row>
    <row r="142" customFormat="false" ht="15.75" hidden="false" customHeight="true" outlineLevel="0" collapsed="false">
      <c r="A142" s="20"/>
      <c r="B142" s="20"/>
      <c r="C142" s="20"/>
      <c r="D142" s="20"/>
      <c r="E142" s="20"/>
      <c r="F142" s="20"/>
      <c r="G142" s="15"/>
      <c r="H142" s="20"/>
      <c r="I142" s="20"/>
      <c r="J142" s="20"/>
      <c r="K142" s="13"/>
      <c r="L142" s="204"/>
      <c r="M142" s="204"/>
      <c r="N142" s="204"/>
      <c r="O142" s="190"/>
      <c r="P142" s="213"/>
      <c r="Q142" s="213"/>
      <c r="R142" s="153"/>
      <c r="S142" s="153"/>
      <c r="T142" s="154"/>
      <c r="U142" s="153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</row>
    <row r="143" customFormat="false" ht="15.75" hidden="false" customHeight="true" outlineLevel="0" collapsed="false">
      <c r="A143" s="20"/>
      <c r="B143" s="20"/>
      <c r="C143" s="20"/>
      <c r="D143" s="20"/>
      <c r="E143" s="20"/>
      <c r="F143" s="20"/>
      <c r="G143" s="15"/>
      <c r="H143" s="20"/>
      <c r="I143" s="20"/>
      <c r="J143" s="20"/>
      <c r="K143" s="13"/>
      <c r="L143" s="204"/>
      <c r="M143" s="204"/>
      <c r="N143" s="204"/>
      <c r="O143" s="204"/>
      <c r="P143" s="204"/>
      <c r="Q143" s="204"/>
      <c r="R143" s="153"/>
      <c r="S143" s="153"/>
      <c r="T143" s="154"/>
      <c r="U143" s="153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</row>
    <row r="144" customFormat="false" ht="15.75" hidden="false" customHeight="true" outlineLevel="0" collapsed="false">
      <c r="A144" s="20"/>
      <c r="B144" s="211"/>
      <c r="C144" s="211"/>
      <c r="D144" s="211"/>
      <c r="E144" s="211"/>
      <c r="F144" s="211"/>
      <c r="G144" s="212"/>
      <c r="H144" s="211"/>
      <c r="I144" s="211"/>
      <c r="J144" s="211"/>
      <c r="K144" s="204"/>
      <c r="L144" s="13"/>
      <c r="M144" s="13"/>
      <c r="N144" s="13"/>
      <c r="O144" s="153"/>
      <c r="P144" s="154"/>
      <c r="Q144" s="154"/>
      <c r="R144" s="190"/>
      <c r="S144" s="190"/>
      <c r="T144" s="154"/>
      <c r="U144" s="153"/>
      <c r="V144" s="211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</row>
    <row r="145" customFormat="false" ht="15.75" hidden="false" customHeight="true" outlineLevel="0" collapsed="false">
      <c r="A145" s="20"/>
      <c r="B145" s="211"/>
      <c r="C145" s="211"/>
      <c r="D145" s="211"/>
      <c r="E145" s="211"/>
      <c r="F145" s="211"/>
      <c r="G145" s="211"/>
      <c r="H145" s="211"/>
      <c r="I145" s="211"/>
      <c r="J145" s="211"/>
      <c r="K145" s="211"/>
      <c r="L145" s="13"/>
      <c r="M145" s="13"/>
      <c r="N145" s="13"/>
      <c r="O145" s="153"/>
      <c r="P145" s="154"/>
      <c r="Q145" s="154"/>
      <c r="R145" s="190"/>
      <c r="S145" s="190"/>
      <c r="T145" s="154"/>
      <c r="U145" s="153"/>
      <c r="V145" s="211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</row>
    <row r="146" customFormat="false" ht="15.75" hidden="false" customHeight="true" outlineLevel="0" collapsed="false">
      <c r="A146" s="20"/>
      <c r="B146" s="20"/>
      <c r="C146" s="20"/>
      <c r="D146" s="20"/>
      <c r="E146" s="20"/>
      <c r="F146" s="20"/>
      <c r="G146" s="15"/>
      <c r="H146" s="20"/>
      <c r="I146" s="20"/>
      <c r="J146" s="20"/>
      <c r="K146" s="13"/>
      <c r="L146" s="204"/>
      <c r="M146" s="204"/>
      <c r="N146" s="204"/>
      <c r="O146" s="190"/>
      <c r="P146" s="213"/>
      <c r="Q146" s="213"/>
      <c r="R146" s="153"/>
      <c r="S146" s="153"/>
      <c r="T146" s="154"/>
      <c r="U146" s="153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</row>
    <row r="147" customFormat="false" ht="15.75" hidden="false" customHeight="true" outlineLevel="0" collapsed="false">
      <c r="A147" s="20"/>
      <c r="B147" s="20"/>
      <c r="C147" s="20"/>
      <c r="D147" s="20"/>
      <c r="E147" s="20"/>
      <c r="F147" s="20"/>
      <c r="G147" s="15"/>
      <c r="H147" s="20"/>
      <c r="I147" s="20"/>
      <c r="J147" s="20"/>
      <c r="K147" s="13"/>
      <c r="L147" s="204"/>
      <c r="M147" s="204"/>
      <c r="N147" s="204"/>
      <c r="O147" s="204"/>
      <c r="P147" s="204"/>
      <c r="Q147" s="204"/>
      <c r="R147" s="153"/>
      <c r="S147" s="153"/>
      <c r="T147" s="154"/>
      <c r="U147" s="153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</row>
    <row r="148" customFormat="false" ht="15.75" hidden="false" customHeight="true" outlineLevel="0" collapsed="false">
      <c r="A148" s="20"/>
      <c r="B148" s="20"/>
      <c r="C148" s="20"/>
      <c r="D148" s="20"/>
      <c r="E148" s="20"/>
      <c r="F148" s="20"/>
      <c r="G148" s="15"/>
      <c r="H148" s="20"/>
      <c r="I148" s="20"/>
      <c r="J148" s="20"/>
      <c r="K148" s="13"/>
      <c r="L148" s="13"/>
      <c r="M148" s="13"/>
      <c r="N148" s="13"/>
      <c r="O148" s="153"/>
      <c r="P148" s="154"/>
      <c r="Q148" s="154"/>
      <c r="R148" s="153"/>
      <c r="S148" s="153"/>
      <c r="T148" s="154"/>
      <c r="U148" s="153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</row>
    <row r="149" customFormat="false" ht="15.75" hidden="false" customHeight="true" outlineLevel="0" collapsed="false">
      <c r="A149" s="20"/>
      <c r="B149" s="20"/>
      <c r="C149" s="20"/>
      <c r="D149" s="20"/>
      <c r="E149" s="20"/>
      <c r="F149" s="20"/>
      <c r="G149" s="15"/>
      <c r="H149" s="20"/>
      <c r="I149" s="20"/>
      <c r="J149" s="20"/>
      <c r="K149" s="13"/>
      <c r="L149" s="13"/>
      <c r="M149" s="13"/>
      <c r="N149" s="13"/>
      <c r="O149" s="153"/>
      <c r="P149" s="154"/>
      <c r="Q149" s="154"/>
      <c r="R149" s="153"/>
      <c r="S149" s="153"/>
      <c r="T149" s="154"/>
      <c r="U149" s="153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</row>
    <row r="150" customFormat="false" ht="15.75" hidden="false" customHeight="true" outlineLevel="0" collapsed="false">
      <c r="A150" s="20"/>
      <c r="B150" s="20"/>
      <c r="C150" s="20"/>
      <c r="D150" s="20"/>
      <c r="E150" s="20"/>
      <c r="F150" s="20"/>
      <c r="G150" s="15"/>
      <c r="H150" s="20"/>
      <c r="I150" s="20"/>
      <c r="J150" s="20"/>
      <c r="K150" s="13"/>
      <c r="L150" s="13"/>
      <c r="M150" s="13"/>
      <c r="N150" s="13"/>
      <c r="O150" s="153"/>
      <c r="P150" s="154"/>
      <c r="Q150" s="154"/>
      <c r="R150" s="153"/>
      <c r="S150" s="153"/>
      <c r="T150" s="154"/>
      <c r="U150" s="153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</row>
    <row r="151" customFormat="false" ht="15.75" hidden="false" customHeight="true" outlineLevel="0" collapsed="false">
      <c r="A151" s="20"/>
      <c r="B151" s="20"/>
      <c r="C151" s="20"/>
      <c r="D151" s="20"/>
      <c r="E151" s="20"/>
      <c r="F151" s="20"/>
      <c r="G151" s="15"/>
      <c r="H151" s="20"/>
      <c r="I151" s="20"/>
      <c r="J151" s="20"/>
      <c r="K151" s="13"/>
      <c r="L151" s="13"/>
      <c r="M151" s="13"/>
      <c r="N151" s="13"/>
      <c r="O151" s="153"/>
      <c r="P151" s="154"/>
      <c r="Q151" s="154"/>
      <c r="R151" s="153"/>
      <c r="S151" s="153"/>
      <c r="T151" s="154"/>
      <c r="U151" s="153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</row>
    <row r="152" customFormat="false" ht="15.75" hidden="false" customHeight="true" outlineLevel="0" collapsed="false">
      <c r="A152" s="20"/>
      <c r="B152" s="20"/>
      <c r="C152" s="20"/>
      <c r="D152" s="20"/>
      <c r="E152" s="20"/>
      <c r="F152" s="20"/>
      <c r="G152" s="15"/>
      <c r="H152" s="20"/>
      <c r="I152" s="20"/>
      <c r="J152" s="20"/>
      <c r="K152" s="13"/>
      <c r="L152" s="13"/>
      <c r="M152" s="13"/>
      <c r="N152" s="13"/>
      <c r="O152" s="153"/>
      <c r="P152" s="154"/>
      <c r="Q152" s="154"/>
      <c r="R152" s="153"/>
      <c r="S152" s="153"/>
      <c r="T152" s="154"/>
      <c r="U152" s="153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</row>
    <row r="153" customFormat="false" ht="15.75" hidden="false" customHeight="true" outlineLevel="0" collapsed="false">
      <c r="A153" s="20"/>
      <c r="B153" s="20"/>
      <c r="C153" s="20"/>
      <c r="D153" s="20"/>
      <c r="E153" s="20"/>
      <c r="F153" s="20"/>
      <c r="G153" s="15"/>
      <c r="H153" s="20"/>
      <c r="I153" s="20"/>
      <c r="J153" s="20"/>
      <c r="K153" s="13"/>
      <c r="L153" s="13"/>
      <c r="M153" s="13"/>
      <c r="N153" s="13"/>
      <c r="O153" s="153"/>
      <c r="P153" s="154"/>
      <c r="Q153" s="154"/>
      <c r="R153" s="153"/>
      <c r="S153" s="153"/>
      <c r="T153" s="154"/>
      <c r="U153" s="153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</row>
    <row r="154" customFormat="false" ht="15.75" hidden="false" customHeight="true" outlineLevel="0" collapsed="false">
      <c r="A154" s="20"/>
      <c r="B154" s="20"/>
      <c r="C154" s="20"/>
      <c r="D154" s="20"/>
      <c r="E154" s="20"/>
      <c r="F154" s="20"/>
      <c r="G154" s="15"/>
      <c r="H154" s="20"/>
      <c r="I154" s="20"/>
      <c r="J154" s="20"/>
      <c r="K154" s="13"/>
      <c r="L154" s="13"/>
      <c r="M154" s="13"/>
      <c r="N154" s="13"/>
      <c r="O154" s="153"/>
      <c r="P154" s="154"/>
      <c r="Q154" s="154"/>
      <c r="R154" s="153"/>
      <c r="S154" s="153"/>
      <c r="T154" s="154"/>
      <c r="U154" s="153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</row>
    <row r="155" customFormat="false" ht="15.75" hidden="false" customHeight="true" outlineLevel="0" collapsed="false">
      <c r="A155" s="20"/>
      <c r="B155" s="20"/>
      <c r="C155" s="20"/>
      <c r="D155" s="20"/>
      <c r="E155" s="20"/>
      <c r="F155" s="20"/>
      <c r="G155" s="15"/>
      <c r="H155" s="20"/>
      <c r="I155" s="20"/>
      <c r="J155" s="20"/>
      <c r="K155" s="13"/>
      <c r="L155" s="13"/>
      <c r="M155" s="13"/>
      <c r="N155" s="13"/>
      <c r="O155" s="153"/>
      <c r="P155" s="154"/>
      <c r="Q155" s="154"/>
      <c r="R155" s="153"/>
      <c r="S155" s="153"/>
      <c r="T155" s="154"/>
      <c r="U155" s="153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</row>
    <row r="156" customFormat="false" ht="15.75" hidden="false" customHeight="true" outlineLevel="0" collapsed="false">
      <c r="A156" s="20"/>
      <c r="B156" s="211"/>
      <c r="C156" s="211"/>
      <c r="D156" s="211"/>
      <c r="E156" s="211"/>
      <c r="F156" s="211"/>
      <c r="G156" s="212"/>
      <c r="H156" s="211"/>
      <c r="I156" s="211"/>
      <c r="J156" s="211"/>
      <c r="K156" s="204"/>
      <c r="L156" s="13"/>
      <c r="M156" s="13"/>
      <c r="N156" s="13"/>
      <c r="O156" s="153"/>
      <c r="P156" s="154"/>
      <c r="Q156" s="154"/>
      <c r="R156" s="190"/>
      <c r="S156" s="190"/>
      <c r="T156" s="154"/>
      <c r="U156" s="153"/>
      <c r="V156" s="211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</row>
    <row r="157" customFormat="false" ht="15.75" hidden="false" customHeight="true" outlineLevel="0" collapsed="false">
      <c r="A157" s="20"/>
      <c r="B157" s="211"/>
      <c r="C157" s="211"/>
      <c r="D157" s="211"/>
      <c r="E157" s="211"/>
      <c r="F157" s="211"/>
      <c r="G157" s="211"/>
      <c r="H157" s="211"/>
      <c r="I157" s="211"/>
      <c r="J157" s="211"/>
      <c r="K157" s="211"/>
      <c r="L157" s="13"/>
      <c r="M157" s="13"/>
      <c r="N157" s="13"/>
      <c r="O157" s="153"/>
      <c r="P157" s="154"/>
      <c r="Q157" s="154"/>
      <c r="R157" s="190"/>
      <c r="S157" s="190"/>
      <c r="T157" s="154"/>
      <c r="U157" s="153"/>
      <c r="V157" s="211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</row>
    <row r="158" customFormat="false" ht="15.75" hidden="false" customHeight="true" outlineLevel="0" collapsed="false">
      <c r="A158" s="20"/>
      <c r="B158" s="211"/>
      <c r="C158" s="211"/>
      <c r="D158" s="211"/>
      <c r="E158" s="211"/>
      <c r="F158" s="211"/>
      <c r="G158" s="212"/>
      <c r="H158" s="211"/>
      <c r="I158" s="211"/>
      <c r="J158" s="211"/>
      <c r="K158" s="204"/>
      <c r="L158" s="204"/>
      <c r="M158" s="204"/>
      <c r="N158" s="204"/>
      <c r="O158" s="190"/>
      <c r="P158" s="213"/>
      <c r="Q158" s="213"/>
      <c r="R158" s="190"/>
      <c r="S158" s="190"/>
      <c r="T158" s="154"/>
      <c r="U158" s="153"/>
      <c r="V158" s="211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</row>
    <row r="159" customFormat="false" ht="15.75" hidden="false" customHeight="true" outlineLevel="0" collapsed="false">
      <c r="A159" s="20"/>
      <c r="B159" s="211"/>
      <c r="C159" s="211"/>
      <c r="D159" s="211"/>
      <c r="E159" s="211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211"/>
      <c r="R159" s="211"/>
      <c r="S159" s="211"/>
      <c r="T159" s="154"/>
      <c r="U159" s="153"/>
      <c r="V159" s="211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</row>
    <row r="160" customFormat="false" ht="15.75" hidden="false" customHeight="true" outlineLevel="0" collapsed="false">
      <c r="A160" s="20"/>
      <c r="B160" s="211"/>
      <c r="C160" s="211"/>
      <c r="D160" s="211"/>
      <c r="E160" s="211"/>
      <c r="F160" s="211"/>
      <c r="G160" s="212"/>
      <c r="H160" s="211"/>
      <c r="I160" s="211"/>
      <c r="J160" s="211"/>
      <c r="K160" s="204"/>
      <c r="L160" s="204"/>
      <c r="M160" s="204"/>
      <c r="N160" s="204"/>
      <c r="O160" s="190"/>
      <c r="P160" s="213"/>
      <c r="Q160" s="213"/>
      <c r="R160" s="190"/>
      <c r="S160" s="190"/>
      <c r="T160" s="154"/>
      <c r="U160" s="153"/>
      <c r="V160" s="211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</row>
    <row r="161" customFormat="false" ht="15.75" hidden="false" customHeight="true" outlineLevel="0" collapsed="false">
      <c r="A161" s="20"/>
      <c r="B161" s="211"/>
      <c r="C161" s="211"/>
      <c r="D161" s="211"/>
      <c r="E161" s="211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211"/>
      <c r="R161" s="211"/>
      <c r="S161" s="211"/>
      <c r="T161" s="154"/>
      <c r="U161" s="153"/>
      <c r="V161" s="211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</row>
    <row r="162" customFormat="false" ht="15.75" hidden="false" customHeight="true" outlineLevel="0" collapsed="false">
      <c r="A162" s="20"/>
      <c r="B162" s="137"/>
      <c r="C162" s="137"/>
      <c r="D162" s="137"/>
      <c r="E162" s="137"/>
      <c r="F162" s="137"/>
      <c r="G162" s="219"/>
      <c r="H162" s="137"/>
      <c r="I162" s="137"/>
      <c r="J162" s="137"/>
      <c r="K162" s="220"/>
      <c r="L162" s="204"/>
      <c r="M162" s="204"/>
      <c r="N162" s="204"/>
      <c r="O162" s="190"/>
      <c r="P162" s="213"/>
      <c r="Q162" s="213"/>
      <c r="R162" s="223"/>
      <c r="S162" s="223"/>
      <c r="T162" s="224"/>
      <c r="U162" s="223"/>
      <c r="V162" s="222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</row>
    <row r="163" customFormat="false" ht="15.75" hidden="false" customHeight="true" outlineLevel="0" collapsed="false">
      <c r="A163" s="20"/>
      <c r="B163" s="137"/>
      <c r="C163" s="137"/>
      <c r="D163" s="137"/>
      <c r="E163" s="137"/>
      <c r="F163" s="137"/>
      <c r="G163" s="219"/>
      <c r="H163" s="137"/>
      <c r="I163" s="137"/>
      <c r="J163" s="137"/>
      <c r="K163" s="220"/>
      <c r="L163" s="204"/>
      <c r="M163" s="204"/>
      <c r="N163" s="204"/>
      <c r="O163" s="204"/>
      <c r="P163" s="204"/>
      <c r="Q163" s="204"/>
      <c r="R163" s="223"/>
      <c r="S163" s="223"/>
      <c r="T163" s="224"/>
      <c r="U163" s="223"/>
      <c r="V163" s="222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</row>
    <row r="164" customFormat="false" ht="15.75" hidden="false" customHeight="true" outlineLevel="0" collapsed="false">
      <c r="A164" s="20"/>
      <c r="B164" s="137"/>
      <c r="C164" s="137"/>
      <c r="D164" s="137"/>
      <c r="E164" s="137"/>
      <c r="F164" s="137"/>
      <c r="G164" s="219"/>
      <c r="H164" s="137"/>
      <c r="I164" s="137"/>
      <c r="J164" s="137"/>
      <c r="K164" s="220"/>
      <c r="L164" s="220"/>
      <c r="M164" s="220"/>
      <c r="N164" s="220"/>
      <c r="O164" s="223"/>
      <c r="P164" s="224"/>
      <c r="Q164" s="224"/>
      <c r="R164" s="223"/>
      <c r="S164" s="223"/>
      <c r="T164" s="221"/>
      <c r="U164" s="223"/>
      <c r="V164" s="137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</row>
    <row r="165" customFormat="false" ht="15.75" hidden="false" customHeight="true" outlineLevel="0" collapsed="false">
      <c r="A165" s="20"/>
      <c r="B165" s="137"/>
      <c r="C165" s="137"/>
      <c r="D165" s="137"/>
      <c r="E165" s="137"/>
      <c r="F165" s="137"/>
      <c r="G165" s="219"/>
      <c r="H165" s="137"/>
      <c r="I165" s="137"/>
      <c r="J165" s="137"/>
      <c r="K165" s="220"/>
      <c r="L165" s="220"/>
      <c r="M165" s="220"/>
      <c r="N165" s="220"/>
      <c r="O165" s="223"/>
      <c r="P165" s="224"/>
      <c r="Q165" s="224"/>
      <c r="R165" s="223"/>
      <c r="S165" s="223"/>
      <c r="T165" s="221"/>
      <c r="U165" s="223"/>
      <c r="V165" s="137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</row>
    <row r="166" customFormat="false" ht="15.75" hidden="false" customHeight="true" outlineLevel="0" collapsed="false">
      <c r="A166" s="20"/>
      <c r="B166" s="137"/>
      <c r="C166" s="137"/>
      <c r="D166" s="137"/>
      <c r="E166" s="137"/>
      <c r="F166" s="137"/>
      <c r="G166" s="219"/>
      <c r="H166" s="137"/>
      <c r="I166" s="137"/>
      <c r="J166" s="137"/>
      <c r="K166" s="220"/>
      <c r="L166" s="220"/>
      <c r="M166" s="220"/>
      <c r="N166" s="220"/>
      <c r="O166" s="223"/>
      <c r="P166" s="221"/>
      <c r="Q166" s="221"/>
      <c r="R166" s="223"/>
      <c r="S166" s="223"/>
      <c r="T166" s="221"/>
      <c r="U166" s="223"/>
      <c r="V166" s="222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</row>
    <row r="167" customFormat="false" ht="15.75" hidden="false" customHeight="true" outlineLevel="0" collapsed="false">
      <c r="A167" s="20"/>
      <c r="B167" s="137"/>
      <c r="C167" s="137"/>
      <c r="D167" s="137"/>
      <c r="E167" s="137"/>
      <c r="F167" s="137"/>
      <c r="G167" s="219"/>
      <c r="H167" s="137"/>
      <c r="I167" s="137"/>
      <c r="J167" s="137"/>
      <c r="K167" s="220"/>
      <c r="L167" s="220"/>
      <c r="M167" s="220"/>
      <c r="N167" s="220"/>
      <c r="O167" s="223"/>
      <c r="P167" s="221"/>
      <c r="Q167" s="221"/>
      <c r="R167" s="223"/>
      <c r="S167" s="223"/>
      <c r="T167" s="221"/>
      <c r="U167" s="223"/>
      <c r="V167" s="222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</row>
    <row r="168" customFormat="false" ht="15.75" hidden="false" customHeight="true" outlineLevel="0" collapsed="false">
      <c r="A168" s="20"/>
      <c r="B168" s="20"/>
      <c r="C168" s="20"/>
      <c r="D168" s="20"/>
      <c r="E168" s="20"/>
      <c r="F168" s="20"/>
      <c r="G168" s="15"/>
      <c r="H168" s="20"/>
      <c r="I168" s="20"/>
      <c r="J168" s="20"/>
      <c r="K168" s="13"/>
      <c r="L168" s="220"/>
      <c r="M168" s="220"/>
      <c r="N168" s="220"/>
      <c r="O168" s="223"/>
      <c r="P168" s="221"/>
      <c r="Q168" s="221"/>
      <c r="R168" s="153"/>
      <c r="S168" s="153"/>
      <c r="T168" s="154"/>
      <c r="U168" s="153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</row>
    <row r="169" customFormat="false" ht="15.75" hidden="false" customHeight="true" outlineLevel="0" collapsed="false">
      <c r="A169" s="20"/>
      <c r="B169" s="211"/>
      <c r="C169" s="211"/>
      <c r="D169" s="211"/>
      <c r="E169" s="211"/>
      <c r="F169" s="211"/>
      <c r="G169" s="212"/>
      <c r="H169" s="211"/>
      <c r="I169" s="211"/>
      <c r="J169" s="211"/>
      <c r="K169" s="204"/>
      <c r="L169" s="220"/>
      <c r="M169" s="220"/>
      <c r="N169" s="220"/>
      <c r="O169" s="223"/>
      <c r="P169" s="221"/>
      <c r="Q169" s="221"/>
      <c r="R169" s="190"/>
      <c r="S169" s="190"/>
      <c r="T169" s="154"/>
      <c r="U169" s="153"/>
      <c r="V169" s="211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</row>
    <row r="170" customFormat="false" ht="15.75" hidden="false" customHeight="true" outlineLevel="0" collapsed="false">
      <c r="A170" s="20"/>
      <c r="B170" s="211"/>
      <c r="C170" s="211"/>
      <c r="D170" s="211"/>
      <c r="E170" s="211"/>
      <c r="F170" s="211"/>
      <c r="G170" s="211"/>
      <c r="H170" s="211"/>
      <c r="I170" s="211"/>
      <c r="J170" s="211"/>
      <c r="K170" s="211"/>
      <c r="L170" s="13"/>
      <c r="M170" s="13"/>
      <c r="N170" s="13"/>
      <c r="O170" s="153"/>
      <c r="P170" s="154"/>
      <c r="Q170" s="154"/>
      <c r="R170" s="190"/>
      <c r="S170" s="190"/>
      <c r="T170" s="154"/>
      <c r="U170" s="153"/>
      <c r="V170" s="211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</row>
    <row r="171" customFormat="false" ht="15.75" hidden="false" customHeight="true" outlineLevel="0" collapsed="false">
      <c r="A171" s="20"/>
      <c r="B171" s="211"/>
      <c r="C171" s="211"/>
      <c r="D171" s="211"/>
      <c r="E171" s="211"/>
      <c r="F171" s="211"/>
      <c r="G171" s="211"/>
      <c r="H171" s="211"/>
      <c r="I171" s="211"/>
      <c r="J171" s="211"/>
      <c r="K171" s="211"/>
      <c r="L171" s="204"/>
      <c r="M171" s="204"/>
      <c r="N171" s="204"/>
      <c r="O171" s="190"/>
      <c r="P171" s="213"/>
      <c r="Q171" s="213"/>
      <c r="R171" s="190"/>
      <c r="S171" s="190"/>
      <c r="T171" s="154"/>
      <c r="U171" s="153"/>
      <c r="V171" s="211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</row>
    <row r="172" customFormat="false" ht="15.75" hidden="false" customHeight="true" outlineLevel="0" collapsed="false">
      <c r="A172" s="20"/>
      <c r="B172" s="211"/>
      <c r="C172" s="211"/>
      <c r="D172" s="211"/>
      <c r="E172" s="211"/>
      <c r="F172" s="211"/>
      <c r="G172" s="212"/>
      <c r="H172" s="211"/>
      <c r="I172" s="211"/>
      <c r="J172" s="211"/>
      <c r="K172" s="204"/>
      <c r="L172" s="204"/>
      <c r="M172" s="204"/>
      <c r="N172" s="204"/>
      <c r="O172" s="204"/>
      <c r="P172" s="204"/>
      <c r="Q172" s="204"/>
      <c r="R172" s="190"/>
      <c r="S172" s="190"/>
      <c r="T172" s="154"/>
      <c r="U172" s="153"/>
      <c r="V172" s="211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</row>
    <row r="173" customFormat="false" ht="15.75" hidden="false" customHeight="true" outlineLevel="0" collapsed="false">
      <c r="A173" s="20"/>
      <c r="B173" s="211"/>
      <c r="C173" s="211"/>
      <c r="D173" s="211"/>
      <c r="E173" s="211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211"/>
      <c r="R173" s="211"/>
      <c r="S173" s="211"/>
      <c r="T173" s="154"/>
      <c r="U173" s="153"/>
      <c r="V173" s="211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</row>
    <row r="174" customFormat="false" ht="15.75" hidden="false" customHeight="true" outlineLevel="0" collapsed="false">
      <c r="A174" s="20"/>
      <c r="B174" s="20"/>
      <c r="C174" s="20"/>
      <c r="D174" s="20"/>
      <c r="E174" s="20"/>
      <c r="F174" s="20"/>
      <c r="G174" s="15"/>
      <c r="H174" s="20"/>
      <c r="I174" s="20"/>
      <c r="J174" s="20"/>
      <c r="K174" s="13"/>
      <c r="L174" s="204"/>
      <c r="M174" s="204"/>
      <c r="N174" s="204"/>
      <c r="O174" s="190"/>
      <c r="P174" s="213"/>
      <c r="Q174" s="213"/>
      <c r="R174" s="153"/>
      <c r="S174" s="153"/>
      <c r="T174" s="154"/>
      <c r="U174" s="153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</row>
    <row r="175" customFormat="false" ht="15.75" hidden="false" customHeight="true" outlineLevel="0" collapsed="false">
      <c r="A175" s="20"/>
      <c r="B175" s="211"/>
      <c r="C175" s="211"/>
      <c r="D175" s="211"/>
      <c r="E175" s="211"/>
      <c r="F175" s="211"/>
      <c r="G175" s="212"/>
      <c r="H175" s="211"/>
      <c r="I175" s="211"/>
      <c r="J175" s="211"/>
      <c r="K175" s="204"/>
      <c r="L175" s="204"/>
      <c r="M175" s="204"/>
      <c r="N175" s="204"/>
      <c r="O175" s="204"/>
      <c r="P175" s="204"/>
      <c r="Q175" s="204"/>
      <c r="R175" s="190"/>
      <c r="S175" s="190"/>
      <c r="T175" s="154"/>
      <c r="U175" s="153"/>
      <c r="V175" s="211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</row>
    <row r="176" customFormat="false" ht="15.75" hidden="false" customHeight="true" outlineLevel="0" collapsed="false">
      <c r="A176" s="20"/>
      <c r="B176" s="211"/>
      <c r="C176" s="211"/>
      <c r="D176" s="211"/>
      <c r="E176" s="211"/>
      <c r="F176" s="211"/>
      <c r="G176" s="211"/>
      <c r="H176" s="211"/>
      <c r="I176" s="211"/>
      <c r="J176" s="211"/>
      <c r="K176" s="211"/>
      <c r="L176" s="13"/>
      <c r="M176" s="13"/>
      <c r="N176" s="13"/>
      <c r="O176" s="153"/>
      <c r="P176" s="154"/>
      <c r="Q176" s="154"/>
      <c r="R176" s="190"/>
      <c r="S176" s="190"/>
      <c r="T176" s="154"/>
      <c r="U176" s="153"/>
      <c r="V176" s="211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</row>
    <row r="177" customFormat="false" ht="15.75" hidden="false" customHeight="true" outlineLevel="0" collapsed="false">
      <c r="A177" s="20"/>
      <c r="B177" s="20"/>
      <c r="C177" s="20"/>
      <c r="D177" s="20"/>
      <c r="E177" s="20"/>
      <c r="F177" s="20"/>
      <c r="G177" s="15"/>
      <c r="H177" s="20"/>
      <c r="I177" s="20"/>
      <c r="J177" s="20"/>
      <c r="K177" s="13"/>
      <c r="L177" s="204"/>
      <c r="M177" s="204"/>
      <c r="N177" s="204"/>
      <c r="O177" s="190"/>
      <c r="P177" s="213"/>
      <c r="Q177" s="213"/>
      <c r="R177" s="153"/>
      <c r="S177" s="153"/>
      <c r="T177" s="154"/>
      <c r="U177" s="153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</row>
    <row r="178" customFormat="false" ht="15.75" hidden="false" customHeight="true" outlineLevel="0" collapsed="false">
      <c r="A178" s="20"/>
      <c r="B178" s="211"/>
      <c r="C178" s="211"/>
      <c r="D178" s="211"/>
      <c r="E178" s="211"/>
      <c r="F178" s="211"/>
      <c r="G178" s="212"/>
      <c r="H178" s="211"/>
      <c r="I178" s="211"/>
      <c r="J178" s="211"/>
      <c r="K178" s="204"/>
      <c r="L178" s="204"/>
      <c r="M178" s="204"/>
      <c r="N178" s="204"/>
      <c r="O178" s="204"/>
      <c r="P178" s="204"/>
      <c r="Q178" s="204"/>
      <c r="R178" s="190"/>
      <c r="S178" s="190"/>
      <c r="T178" s="154"/>
      <c r="U178" s="153"/>
      <c r="V178" s="211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</row>
    <row r="179" customFormat="false" ht="15.75" hidden="false" customHeight="true" outlineLevel="0" collapsed="false">
      <c r="A179" s="20"/>
      <c r="B179" s="211"/>
      <c r="C179" s="211"/>
      <c r="D179" s="211"/>
      <c r="E179" s="211"/>
      <c r="F179" s="211"/>
      <c r="G179" s="211"/>
      <c r="H179" s="211"/>
      <c r="I179" s="211"/>
      <c r="J179" s="211"/>
      <c r="K179" s="211"/>
      <c r="L179" s="13"/>
      <c r="M179" s="13"/>
      <c r="N179" s="13"/>
      <c r="O179" s="153"/>
      <c r="P179" s="154"/>
      <c r="Q179" s="154"/>
      <c r="R179" s="190"/>
      <c r="S179" s="190"/>
      <c r="T179" s="154"/>
      <c r="U179" s="153"/>
      <c r="V179" s="211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</row>
    <row r="180" customFormat="false" ht="15.75" hidden="false" customHeight="true" outlineLevel="0" collapsed="false">
      <c r="A180" s="20"/>
      <c r="B180" s="20"/>
      <c r="C180" s="20"/>
      <c r="D180" s="20"/>
      <c r="E180" s="20"/>
      <c r="F180" s="20"/>
      <c r="G180" s="15"/>
      <c r="H180" s="20"/>
      <c r="I180" s="20"/>
      <c r="J180" s="20"/>
      <c r="K180" s="13"/>
      <c r="L180" s="204"/>
      <c r="M180" s="204"/>
      <c r="N180" s="204"/>
      <c r="O180" s="190"/>
      <c r="P180" s="213"/>
      <c r="Q180" s="213"/>
      <c r="R180" s="153"/>
      <c r="S180" s="153"/>
      <c r="T180" s="154"/>
      <c r="U180" s="153"/>
      <c r="V180" s="211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</row>
    <row r="181" customFormat="false" ht="15.75" hidden="false" customHeight="true" outlineLevel="0" collapsed="false">
      <c r="A181" s="20"/>
      <c r="B181" s="20"/>
      <c r="C181" s="20"/>
      <c r="D181" s="20"/>
      <c r="E181" s="20"/>
      <c r="F181" s="20"/>
      <c r="G181" s="15"/>
      <c r="H181" s="20"/>
      <c r="I181" s="20"/>
      <c r="J181" s="20"/>
      <c r="K181" s="13"/>
      <c r="L181" s="204"/>
      <c r="M181" s="204"/>
      <c r="N181" s="204"/>
      <c r="O181" s="204"/>
      <c r="P181" s="204"/>
      <c r="Q181" s="204"/>
      <c r="R181" s="153"/>
      <c r="S181" s="153"/>
      <c r="T181" s="154"/>
      <c r="U181" s="153"/>
      <c r="V181" s="211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</row>
    <row r="182" customFormat="false" ht="15.75" hidden="false" customHeight="true" outlineLevel="0" collapsed="false">
      <c r="A182" s="20"/>
      <c r="B182" s="20"/>
      <c r="C182" s="20"/>
      <c r="D182" s="20"/>
      <c r="E182" s="20"/>
      <c r="F182" s="20"/>
      <c r="G182" s="15"/>
      <c r="H182" s="20"/>
      <c r="I182" s="20"/>
      <c r="J182" s="20"/>
      <c r="K182" s="13"/>
      <c r="L182" s="13"/>
      <c r="M182" s="13"/>
      <c r="N182" s="13"/>
      <c r="O182" s="153"/>
      <c r="P182" s="154"/>
      <c r="Q182" s="154"/>
      <c r="R182" s="153"/>
      <c r="S182" s="153"/>
      <c r="T182" s="154"/>
      <c r="U182" s="153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</row>
    <row r="183" customFormat="false" ht="15.75" hidden="false" customHeight="true" outlineLevel="0" collapsed="false">
      <c r="A183" s="20"/>
      <c r="B183" s="20"/>
      <c r="C183" s="20"/>
      <c r="D183" s="20"/>
      <c r="E183" s="20"/>
      <c r="F183" s="20"/>
      <c r="G183" s="15"/>
      <c r="H183" s="20"/>
      <c r="I183" s="20"/>
      <c r="J183" s="20"/>
      <c r="K183" s="13"/>
      <c r="L183" s="13"/>
      <c r="M183" s="13"/>
      <c r="N183" s="13"/>
      <c r="O183" s="153"/>
      <c r="P183" s="154"/>
      <c r="Q183" s="154"/>
      <c r="R183" s="153"/>
      <c r="S183" s="153"/>
      <c r="T183" s="154"/>
      <c r="U183" s="153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</row>
    <row r="184" customFormat="false" ht="15.75" hidden="false" customHeight="true" outlineLevel="0" collapsed="false">
      <c r="A184" s="20"/>
      <c r="B184" s="20"/>
      <c r="C184" s="20"/>
      <c r="D184" s="20"/>
      <c r="E184" s="20"/>
      <c r="F184" s="20"/>
      <c r="G184" s="15"/>
      <c r="H184" s="20"/>
      <c r="I184" s="20"/>
      <c r="J184" s="20"/>
      <c r="K184" s="13"/>
      <c r="L184" s="13"/>
      <c r="M184" s="13"/>
      <c r="N184" s="13"/>
      <c r="O184" s="153"/>
      <c r="P184" s="154"/>
      <c r="Q184" s="154"/>
      <c r="R184" s="153"/>
      <c r="S184" s="153"/>
      <c r="T184" s="154"/>
      <c r="U184" s="153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</row>
    <row r="185" customFormat="false" ht="15.75" hidden="false" customHeight="true" outlineLevel="0" collapsed="false">
      <c r="A185" s="20"/>
      <c r="B185" s="20"/>
      <c r="C185" s="20"/>
      <c r="D185" s="20"/>
      <c r="E185" s="20"/>
      <c r="F185" s="20"/>
      <c r="G185" s="15"/>
      <c r="H185" s="20"/>
      <c r="I185" s="20"/>
      <c r="J185" s="20"/>
      <c r="K185" s="13"/>
      <c r="L185" s="13"/>
      <c r="M185" s="13"/>
      <c r="N185" s="13"/>
      <c r="O185" s="153"/>
      <c r="P185" s="153"/>
      <c r="Q185" s="154"/>
      <c r="R185" s="153"/>
      <c r="S185" s="153"/>
      <c r="T185" s="154"/>
      <c r="U185" s="153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</row>
    <row r="186" customFormat="false" ht="15.75" hidden="false" customHeight="true" outlineLevel="0" collapsed="false">
      <c r="A186" s="20"/>
      <c r="B186" s="20"/>
      <c r="C186" s="20"/>
      <c r="D186" s="20"/>
      <c r="E186" s="20"/>
      <c r="F186" s="20"/>
      <c r="G186" s="15"/>
      <c r="H186" s="20"/>
      <c r="I186" s="20"/>
      <c r="J186" s="20"/>
      <c r="K186" s="13"/>
      <c r="L186" s="13"/>
      <c r="M186" s="13"/>
      <c r="N186" s="13"/>
      <c r="O186" s="153"/>
      <c r="P186" s="154"/>
      <c r="Q186" s="154"/>
      <c r="R186" s="153"/>
      <c r="S186" s="153"/>
      <c r="T186" s="154"/>
      <c r="U186" s="153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</row>
    <row r="187" customFormat="false" ht="15.75" hidden="false" customHeight="true" outlineLevel="0" collapsed="false">
      <c r="A187" s="20"/>
      <c r="B187" s="20"/>
      <c r="C187" s="20"/>
      <c r="D187" s="20"/>
      <c r="E187" s="20"/>
      <c r="F187" s="20"/>
      <c r="G187" s="15"/>
      <c r="H187" s="20"/>
      <c r="I187" s="20"/>
      <c r="J187" s="20"/>
      <c r="K187" s="13"/>
      <c r="L187" s="13"/>
      <c r="M187" s="13"/>
      <c r="N187" s="13"/>
      <c r="O187" s="153"/>
      <c r="P187" s="154"/>
      <c r="Q187" s="154"/>
      <c r="R187" s="153"/>
      <c r="S187" s="153"/>
      <c r="T187" s="154"/>
      <c r="U187" s="153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</row>
    <row r="188" customFormat="false" ht="15.75" hidden="false" customHeight="true" outlineLevel="0" collapsed="false">
      <c r="A188" s="20"/>
      <c r="B188" s="20"/>
      <c r="C188" s="20"/>
      <c r="D188" s="20"/>
      <c r="E188" s="20"/>
      <c r="F188" s="20"/>
      <c r="G188" s="15"/>
      <c r="H188" s="20"/>
      <c r="I188" s="20"/>
      <c r="J188" s="20"/>
      <c r="K188" s="13"/>
      <c r="L188" s="13"/>
      <c r="M188" s="13"/>
      <c r="N188" s="13"/>
      <c r="O188" s="153"/>
      <c r="P188" s="154"/>
      <c r="Q188" s="154"/>
      <c r="R188" s="153"/>
      <c r="S188" s="153"/>
      <c r="T188" s="154"/>
      <c r="U188" s="153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</row>
    <row r="189" customFormat="false" ht="15.75" hidden="false" customHeight="true" outlineLevel="0" collapsed="false">
      <c r="A189" s="20"/>
      <c r="B189" s="20"/>
      <c r="C189" s="20"/>
      <c r="D189" s="20"/>
      <c r="E189" s="20"/>
      <c r="F189" s="20"/>
      <c r="G189" s="15"/>
      <c r="H189" s="20"/>
      <c r="I189" s="20"/>
      <c r="J189" s="20"/>
      <c r="K189" s="13"/>
      <c r="L189" s="13"/>
      <c r="M189" s="13"/>
      <c r="N189" s="13"/>
      <c r="O189" s="153"/>
      <c r="P189" s="154"/>
      <c r="Q189" s="154"/>
      <c r="R189" s="153"/>
      <c r="S189" s="153"/>
      <c r="T189" s="154"/>
      <c r="U189" s="153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</row>
    <row r="190" customFormat="false" ht="15.75" hidden="false" customHeight="true" outlineLevel="0" collapsed="false">
      <c r="A190" s="20"/>
      <c r="B190" s="20"/>
      <c r="C190" s="20"/>
      <c r="D190" s="20"/>
      <c r="E190" s="20"/>
      <c r="F190" s="20"/>
      <c r="G190" s="15"/>
      <c r="H190" s="20"/>
      <c r="I190" s="20"/>
      <c r="J190" s="20"/>
      <c r="K190" s="13"/>
      <c r="L190" s="13"/>
      <c r="M190" s="13"/>
      <c r="N190" s="13"/>
      <c r="O190" s="153"/>
      <c r="P190" s="154"/>
      <c r="Q190" s="154"/>
      <c r="R190" s="153"/>
      <c r="S190" s="153"/>
      <c r="T190" s="154"/>
      <c r="U190" s="153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</row>
    <row r="191" customFormat="false" ht="15.75" hidden="false" customHeight="true" outlineLevel="0" collapsed="false">
      <c r="A191" s="20"/>
      <c r="B191" s="20"/>
      <c r="C191" s="20"/>
      <c r="D191" s="20"/>
      <c r="E191" s="20"/>
      <c r="F191" s="20"/>
      <c r="G191" s="15"/>
      <c r="H191" s="20"/>
      <c r="I191" s="20"/>
      <c r="J191" s="20"/>
      <c r="K191" s="13"/>
      <c r="L191" s="13"/>
      <c r="M191" s="13"/>
      <c r="N191" s="13"/>
      <c r="O191" s="153"/>
      <c r="P191" s="154"/>
      <c r="Q191" s="154"/>
      <c r="R191" s="153"/>
      <c r="S191" s="153"/>
      <c r="T191" s="154"/>
      <c r="U191" s="153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</row>
    <row r="192" customFormat="false" ht="15.75" hidden="false" customHeight="true" outlineLevel="0" collapsed="false">
      <c r="A192" s="20"/>
      <c r="B192" s="20"/>
      <c r="C192" s="20"/>
      <c r="D192" s="20"/>
      <c r="E192" s="20"/>
      <c r="F192" s="20"/>
      <c r="G192" s="15"/>
      <c r="H192" s="20"/>
      <c r="I192" s="20"/>
      <c r="J192" s="20"/>
      <c r="K192" s="13"/>
      <c r="L192" s="13"/>
      <c r="M192" s="13"/>
      <c r="N192" s="13"/>
      <c r="O192" s="153"/>
      <c r="P192" s="154"/>
      <c r="Q192" s="154"/>
      <c r="R192" s="153"/>
      <c r="S192" s="153"/>
      <c r="T192" s="154"/>
      <c r="U192" s="153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</row>
    <row r="193" customFormat="false" ht="15.75" hidden="false" customHeight="true" outlineLevel="0" collapsed="false">
      <c r="A193" s="20"/>
      <c r="B193" s="211"/>
      <c r="C193" s="211"/>
      <c r="D193" s="211"/>
      <c r="E193" s="211"/>
      <c r="F193" s="212"/>
      <c r="G193" s="212"/>
      <c r="H193" s="211"/>
      <c r="I193" s="211"/>
      <c r="J193" s="211"/>
      <c r="K193" s="204"/>
      <c r="L193" s="13"/>
      <c r="M193" s="13"/>
      <c r="N193" s="13"/>
      <c r="O193" s="153"/>
      <c r="P193" s="154"/>
      <c r="Q193" s="154"/>
      <c r="R193" s="190"/>
      <c r="S193" s="153"/>
      <c r="T193" s="153"/>
      <c r="U193" s="190"/>
      <c r="V193" s="211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</row>
    <row r="194" customFormat="false" ht="15.75" hidden="false" customHeight="true" outlineLevel="0" collapsed="false">
      <c r="A194" s="20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13"/>
      <c r="M194" s="13"/>
      <c r="N194" s="13"/>
      <c r="O194" s="153"/>
      <c r="P194" s="154"/>
      <c r="Q194" s="154"/>
      <c r="R194" s="190"/>
      <c r="S194" s="154"/>
      <c r="T194" s="153"/>
      <c r="U194" s="190"/>
      <c r="V194" s="19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</row>
    <row r="195" customFormat="false" ht="15.75" hidden="false" customHeight="true" outlineLevel="0" collapsed="false">
      <c r="A195" s="20"/>
      <c r="B195" s="211"/>
      <c r="C195" s="211"/>
      <c r="D195" s="211"/>
      <c r="E195" s="211"/>
      <c r="F195" s="211"/>
      <c r="G195" s="212"/>
      <c r="H195" s="211"/>
      <c r="I195" s="211"/>
      <c r="J195" s="211"/>
      <c r="K195" s="204"/>
      <c r="L195" s="204"/>
      <c r="M195" s="204"/>
      <c r="N195" s="204"/>
      <c r="O195" s="190"/>
      <c r="P195" s="213"/>
      <c r="Q195" s="190"/>
      <c r="R195" s="190"/>
      <c r="S195" s="190"/>
      <c r="T195" s="153"/>
      <c r="U195" s="153"/>
      <c r="V195" s="211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</row>
    <row r="196" customFormat="false" ht="15.75" hidden="false" customHeight="true" outlineLevel="0" collapsed="false">
      <c r="A196" s="20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153"/>
      <c r="U196" s="153"/>
      <c r="V196" s="211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</row>
    <row r="197" customFormat="false" ht="15.75" hidden="false" customHeight="true" outlineLevel="0" collapsed="false">
      <c r="A197" s="20"/>
      <c r="B197" s="20"/>
      <c r="C197" s="20"/>
      <c r="D197" s="20"/>
      <c r="E197" s="20"/>
      <c r="F197" s="20"/>
      <c r="G197" s="15"/>
      <c r="H197" s="20"/>
      <c r="I197" s="20"/>
      <c r="J197" s="20"/>
      <c r="K197" s="13"/>
      <c r="L197" s="204"/>
      <c r="M197" s="204"/>
      <c r="N197" s="204"/>
      <c r="O197" s="190"/>
      <c r="P197" s="213"/>
      <c r="Q197" s="213"/>
      <c r="R197" s="153"/>
      <c r="S197" s="153"/>
      <c r="T197" s="154"/>
      <c r="U197" s="153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</row>
    <row r="198" customFormat="false" ht="15.75" hidden="false" customHeight="true" outlineLevel="0" collapsed="false">
      <c r="A198" s="20"/>
      <c r="B198" s="211"/>
      <c r="C198" s="211"/>
      <c r="D198" s="211"/>
      <c r="E198" s="211"/>
      <c r="F198" s="211"/>
      <c r="G198" s="212"/>
      <c r="H198" s="211"/>
      <c r="I198" s="211"/>
      <c r="J198" s="211"/>
      <c r="K198" s="204"/>
      <c r="L198" s="204"/>
      <c r="M198" s="204"/>
      <c r="N198" s="204"/>
      <c r="O198" s="204"/>
      <c r="P198" s="204"/>
      <c r="Q198" s="204"/>
      <c r="R198" s="190"/>
      <c r="S198" s="190"/>
      <c r="T198" s="153"/>
      <c r="U198" s="153"/>
      <c r="V198" s="211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</row>
    <row r="199" customFormat="false" ht="15.75" hidden="false" customHeight="true" outlineLevel="0" collapsed="false">
      <c r="A199" s="20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13"/>
      <c r="M199" s="13"/>
      <c r="N199" s="13"/>
      <c r="O199" s="153"/>
      <c r="P199" s="154"/>
      <c r="Q199" s="154"/>
      <c r="R199" s="190"/>
      <c r="S199" s="190"/>
      <c r="T199" s="153"/>
      <c r="U199" s="153"/>
      <c r="V199" s="211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</row>
    <row r="200" customFormat="false" ht="15.75" hidden="false" customHeight="true" outlineLevel="0" collapsed="false">
      <c r="A200" s="20"/>
      <c r="B200" s="20"/>
      <c r="C200" s="20"/>
      <c r="D200" s="20"/>
      <c r="E200" s="20"/>
      <c r="F200" s="20"/>
      <c r="G200" s="15"/>
      <c r="H200" s="20"/>
      <c r="I200" s="20"/>
      <c r="J200" s="20"/>
      <c r="K200" s="13"/>
      <c r="L200" s="204"/>
      <c r="M200" s="204"/>
      <c r="N200" s="204"/>
      <c r="O200" s="190"/>
      <c r="P200" s="213"/>
      <c r="Q200" s="213"/>
      <c r="R200" s="153"/>
      <c r="S200" s="153"/>
      <c r="T200" s="154"/>
      <c r="U200" s="153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</row>
    <row r="201" customFormat="false" ht="15.75" hidden="false" customHeight="true" outlineLevel="0" collapsed="false">
      <c r="A201" s="20"/>
      <c r="B201" s="211"/>
      <c r="C201" s="211"/>
      <c r="D201" s="211"/>
      <c r="E201" s="211"/>
      <c r="F201" s="211"/>
      <c r="G201" s="212"/>
      <c r="H201" s="211"/>
      <c r="I201" s="211"/>
      <c r="J201" s="211"/>
      <c r="K201" s="204"/>
      <c r="L201" s="204"/>
      <c r="M201" s="204"/>
      <c r="N201" s="204"/>
      <c r="O201" s="204"/>
      <c r="P201" s="204"/>
      <c r="Q201" s="204"/>
      <c r="R201" s="190"/>
      <c r="S201" s="190"/>
      <c r="T201" s="154"/>
      <c r="U201" s="153"/>
      <c r="V201" s="211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</row>
    <row r="202" customFormat="false" ht="15.75" hidden="false" customHeight="true" outlineLevel="0" collapsed="false">
      <c r="A202" s="20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13"/>
      <c r="M202" s="13"/>
      <c r="N202" s="13"/>
      <c r="O202" s="153"/>
      <c r="P202" s="154"/>
      <c r="Q202" s="154"/>
      <c r="R202" s="190"/>
      <c r="S202" s="190"/>
      <c r="T202" s="154"/>
      <c r="U202" s="153"/>
      <c r="V202" s="211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</row>
    <row r="203" customFormat="false" ht="15.75" hidden="false" customHeight="true" outlineLevel="0" collapsed="false">
      <c r="A203" s="20"/>
      <c r="B203" s="211"/>
      <c r="C203" s="211"/>
      <c r="D203" s="211"/>
      <c r="E203" s="211"/>
      <c r="F203" s="211"/>
      <c r="G203" s="212"/>
      <c r="H203" s="211"/>
      <c r="I203" s="211"/>
      <c r="J203" s="211"/>
      <c r="K203" s="204"/>
      <c r="L203" s="204"/>
      <c r="M203" s="204"/>
      <c r="N203" s="204"/>
      <c r="O203" s="190"/>
      <c r="P203" s="213"/>
      <c r="Q203" s="213"/>
      <c r="R203" s="190"/>
      <c r="S203" s="190"/>
      <c r="T203" s="154"/>
      <c r="U203" s="153"/>
      <c r="V203" s="211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</row>
    <row r="204" customFormat="false" ht="15.75" hidden="false" customHeight="true" outlineLevel="0" collapsed="false">
      <c r="A204" s="20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154"/>
      <c r="U204" s="153"/>
      <c r="V204" s="211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</row>
    <row r="205" customFormat="false" ht="15.75" hidden="false" customHeight="true" outlineLevel="0" collapsed="false">
      <c r="A205" s="20"/>
      <c r="B205" s="20"/>
      <c r="C205" s="20"/>
      <c r="D205" s="20"/>
      <c r="E205" s="20"/>
      <c r="F205" s="20"/>
      <c r="G205" s="15"/>
      <c r="H205" s="20"/>
      <c r="I205" s="20"/>
      <c r="J205" s="20"/>
      <c r="K205" s="13"/>
      <c r="L205" s="204"/>
      <c r="M205" s="204"/>
      <c r="N205" s="204"/>
      <c r="O205" s="190"/>
      <c r="P205" s="213"/>
      <c r="Q205" s="213"/>
      <c r="R205" s="153"/>
      <c r="S205" s="153"/>
      <c r="T205" s="154"/>
      <c r="U205" s="153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</row>
    <row r="206" customFormat="false" ht="15.75" hidden="false" customHeight="true" outlineLevel="0" collapsed="false">
      <c r="A206" s="20"/>
      <c r="B206" s="211"/>
      <c r="C206" s="211"/>
      <c r="D206" s="211"/>
      <c r="E206" s="211"/>
      <c r="F206" s="211"/>
      <c r="G206" s="212"/>
      <c r="H206" s="211"/>
      <c r="I206" s="211"/>
      <c r="J206" s="211"/>
      <c r="K206" s="204"/>
      <c r="L206" s="204"/>
      <c r="M206" s="204"/>
      <c r="N206" s="204"/>
      <c r="O206" s="204"/>
      <c r="P206" s="204"/>
      <c r="Q206" s="204"/>
      <c r="R206" s="190"/>
      <c r="S206" s="190"/>
      <c r="T206" s="154"/>
      <c r="U206" s="153"/>
      <c r="V206" s="211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</row>
    <row r="207" customFormat="false" ht="15.75" hidden="false" customHeight="true" outlineLevel="0" collapsed="false">
      <c r="A207" s="20"/>
      <c r="B207" s="211"/>
      <c r="C207" s="211"/>
      <c r="D207" s="211"/>
      <c r="E207" s="211"/>
      <c r="F207" s="211"/>
      <c r="G207" s="211"/>
      <c r="H207" s="211"/>
      <c r="I207" s="211"/>
      <c r="J207" s="211"/>
      <c r="K207" s="211"/>
      <c r="L207" s="13"/>
      <c r="M207" s="13"/>
      <c r="N207" s="13"/>
      <c r="O207" s="153"/>
      <c r="P207" s="153"/>
      <c r="Q207" s="154"/>
      <c r="R207" s="190"/>
      <c r="S207" s="190"/>
      <c r="T207" s="154"/>
      <c r="U207" s="153"/>
      <c r="V207" s="211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</row>
    <row r="208" customFormat="false" ht="15.75" hidden="false" customHeight="true" outlineLevel="0" collapsed="false">
      <c r="A208" s="20"/>
      <c r="B208" s="20"/>
      <c r="C208" s="20"/>
      <c r="D208" s="20"/>
      <c r="E208" s="20"/>
      <c r="F208" s="20"/>
      <c r="G208" s="15"/>
      <c r="H208" s="20"/>
      <c r="I208" s="20"/>
      <c r="J208" s="20"/>
      <c r="K208" s="13"/>
      <c r="L208" s="204"/>
      <c r="M208" s="204"/>
      <c r="N208" s="204"/>
      <c r="O208" s="190"/>
      <c r="P208" s="213"/>
      <c r="Q208" s="213"/>
      <c r="R208" s="153"/>
      <c r="S208" s="153"/>
      <c r="T208" s="154"/>
      <c r="U208" s="153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</row>
    <row r="209" customFormat="false" ht="15.75" hidden="false" customHeight="true" outlineLevel="0" collapsed="false">
      <c r="A209" s="20"/>
      <c r="B209" s="211"/>
      <c r="C209" s="211"/>
      <c r="D209" s="211"/>
      <c r="E209" s="211"/>
      <c r="F209" s="211"/>
      <c r="G209" s="212"/>
      <c r="H209" s="211"/>
      <c r="I209" s="211"/>
      <c r="J209" s="211"/>
      <c r="K209" s="204"/>
      <c r="L209" s="204"/>
      <c r="M209" s="204"/>
      <c r="N209" s="204"/>
      <c r="O209" s="204"/>
      <c r="P209" s="204"/>
      <c r="Q209" s="204"/>
      <c r="R209" s="190"/>
      <c r="S209" s="190"/>
      <c r="T209" s="154"/>
      <c r="U209" s="153"/>
      <c r="V209" s="211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</row>
    <row r="210" customFormat="false" ht="15.75" hidden="false" customHeight="true" outlineLevel="0" collapsed="false">
      <c r="A210" s="20"/>
      <c r="B210" s="211"/>
      <c r="C210" s="211"/>
      <c r="D210" s="211"/>
      <c r="E210" s="211"/>
      <c r="F210" s="211"/>
      <c r="G210" s="211"/>
      <c r="H210" s="211"/>
      <c r="I210" s="211"/>
      <c r="J210" s="211"/>
      <c r="K210" s="211"/>
      <c r="L210" s="13"/>
      <c r="M210" s="13"/>
      <c r="N210" s="13"/>
      <c r="O210" s="153"/>
      <c r="P210" s="153"/>
      <c r="Q210" s="154"/>
      <c r="R210" s="190"/>
      <c r="S210" s="190"/>
      <c r="T210" s="154"/>
      <c r="U210" s="153"/>
      <c r="V210" s="211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</row>
    <row r="211" customFormat="false" ht="15.75" hidden="false" customHeight="true" outlineLevel="0" collapsed="false">
      <c r="A211" s="20"/>
      <c r="B211" s="211"/>
      <c r="C211" s="211"/>
      <c r="D211" s="211"/>
      <c r="E211" s="211"/>
      <c r="F211" s="211"/>
      <c r="G211" s="212"/>
      <c r="H211" s="211"/>
      <c r="I211" s="211"/>
      <c r="J211" s="211"/>
      <c r="K211" s="204"/>
      <c r="L211" s="204"/>
      <c r="M211" s="204"/>
      <c r="N211" s="204"/>
      <c r="O211" s="190"/>
      <c r="P211" s="213"/>
      <c r="Q211" s="213"/>
      <c r="R211" s="190"/>
      <c r="S211" s="190"/>
      <c r="T211" s="154"/>
      <c r="U211" s="153"/>
      <c r="V211" s="211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</row>
    <row r="212" customFormat="false" ht="15.75" hidden="false" customHeight="true" outlineLevel="0" collapsed="false">
      <c r="A212" s="20"/>
      <c r="B212" s="211"/>
      <c r="C212" s="211"/>
      <c r="D212" s="211"/>
      <c r="E212" s="211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211"/>
      <c r="R212" s="211"/>
      <c r="S212" s="211"/>
      <c r="T212" s="154"/>
      <c r="U212" s="153"/>
      <c r="V212" s="211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</row>
    <row r="213" customFormat="false" ht="15.75" hidden="false" customHeight="true" outlineLevel="0" collapsed="false">
      <c r="A213" s="20"/>
      <c r="B213" s="20"/>
      <c r="C213" s="20"/>
      <c r="D213" s="20"/>
      <c r="E213" s="20"/>
      <c r="F213" s="20"/>
      <c r="G213" s="15"/>
      <c r="H213" s="20"/>
      <c r="I213" s="20"/>
      <c r="J213" s="20"/>
      <c r="K213" s="13"/>
      <c r="L213" s="204"/>
      <c r="M213" s="204"/>
      <c r="N213" s="204"/>
      <c r="O213" s="190"/>
      <c r="P213" s="213"/>
      <c r="Q213" s="213"/>
      <c r="R213" s="153"/>
      <c r="S213" s="153"/>
      <c r="T213" s="154"/>
      <c r="U213" s="153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</row>
    <row r="214" customFormat="false" ht="15.75" hidden="false" customHeight="true" outlineLevel="0" collapsed="false">
      <c r="A214" s="20"/>
      <c r="B214" s="211"/>
      <c r="C214" s="211"/>
      <c r="D214" s="211"/>
      <c r="E214" s="211"/>
      <c r="F214" s="211"/>
      <c r="G214" s="212"/>
      <c r="H214" s="211"/>
      <c r="I214" s="211"/>
      <c r="J214" s="211"/>
      <c r="K214" s="204"/>
      <c r="L214" s="204"/>
      <c r="M214" s="204"/>
      <c r="N214" s="204"/>
      <c r="O214" s="204"/>
      <c r="P214" s="204"/>
      <c r="Q214" s="204"/>
      <c r="R214" s="190"/>
      <c r="S214" s="190"/>
      <c r="T214" s="154"/>
      <c r="U214" s="153"/>
      <c r="V214" s="211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</row>
    <row r="215" customFormat="false" ht="15.75" hidden="false" customHeight="true" outlineLevel="0" collapsed="false">
      <c r="A215" s="20"/>
      <c r="B215" s="211"/>
      <c r="C215" s="211"/>
      <c r="D215" s="211"/>
      <c r="E215" s="211"/>
      <c r="F215" s="211"/>
      <c r="G215" s="211"/>
      <c r="H215" s="211"/>
      <c r="I215" s="211"/>
      <c r="J215" s="211"/>
      <c r="K215" s="211"/>
      <c r="L215" s="13"/>
      <c r="M215" s="13"/>
      <c r="N215" s="13"/>
      <c r="O215" s="153"/>
      <c r="P215" s="154"/>
      <c r="Q215" s="154"/>
      <c r="R215" s="190"/>
      <c r="S215" s="190"/>
      <c r="T215" s="154"/>
      <c r="U215" s="153"/>
      <c r="V215" s="211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</row>
    <row r="216" customFormat="false" ht="15.75" hidden="false" customHeight="true" outlineLevel="0" collapsed="false">
      <c r="A216" s="20"/>
      <c r="B216" s="211"/>
      <c r="C216" s="211"/>
      <c r="D216" s="211"/>
      <c r="E216" s="211"/>
      <c r="F216" s="211"/>
      <c r="G216" s="212"/>
      <c r="H216" s="211"/>
      <c r="I216" s="211"/>
      <c r="J216" s="211"/>
      <c r="K216" s="204"/>
      <c r="L216" s="204"/>
      <c r="M216" s="204"/>
      <c r="N216" s="204"/>
      <c r="O216" s="190"/>
      <c r="P216" s="213"/>
      <c r="Q216" s="213"/>
      <c r="R216" s="190"/>
      <c r="S216" s="190"/>
      <c r="T216" s="154"/>
      <c r="U216" s="153"/>
      <c r="V216" s="211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</row>
    <row r="217" customFormat="false" ht="15.75" hidden="false" customHeight="true" outlineLevel="0" collapsed="false">
      <c r="A217" s="20"/>
      <c r="B217" s="211"/>
      <c r="C217" s="211"/>
      <c r="D217" s="211"/>
      <c r="E217" s="211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211"/>
      <c r="R217" s="211"/>
      <c r="S217" s="211"/>
      <c r="T217" s="154"/>
      <c r="U217" s="153"/>
      <c r="V217" s="211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</row>
    <row r="218" customFormat="false" ht="15.75" hidden="false" customHeight="true" outlineLevel="0" collapsed="false">
      <c r="A218" s="20"/>
      <c r="B218" s="211"/>
      <c r="C218" s="211"/>
      <c r="D218" s="211"/>
      <c r="E218" s="211"/>
      <c r="F218" s="211"/>
      <c r="G218" s="212"/>
      <c r="H218" s="211"/>
      <c r="I218" s="211"/>
      <c r="J218" s="211"/>
      <c r="K218" s="204"/>
      <c r="L218" s="204"/>
      <c r="M218" s="204"/>
      <c r="N218" s="204"/>
      <c r="O218" s="190"/>
      <c r="P218" s="213"/>
      <c r="Q218" s="213"/>
      <c r="R218" s="190"/>
      <c r="S218" s="190"/>
      <c r="T218" s="154"/>
      <c r="U218" s="153"/>
      <c r="V218" s="211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</row>
    <row r="219" customFormat="false" ht="15.75" hidden="false" customHeight="true" outlineLevel="0" collapsed="false">
      <c r="A219" s="20"/>
      <c r="B219" s="211"/>
      <c r="C219" s="211"/>
      <c r="D219" s="211"/>
      <c r="E219" s="211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211"/>
      <c r="R219" s="211"/>
      <c r="S219" s="211"/>
      <c r="T219" s="154"/>
      <c r="U219" s="153"/>
      <c r="V219" s="211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</row>
    <row r="220" customFormat="false" ht="15.75" hidden="false" customHeight="true" outlineLevel="0" collapsed="false">
      <c r="A220" s="20"/>
      <c r="B220" s="211"/>
      <c r="C220" s="211"/>
      <c r="D220" s="211"/>
      <c r="E220" s="211"/>
      <c r="F220" s="211"/>
      <c r="G220" s="211"/>
      <c r="H220" s="211"/>
      <c r="I220" s="211"/>
      <c r="J220" s="211"/>
      <c r="K220" s="211"/>
      <c r="L220" s="204"/>
      <c r="M220" s="204"/>
      <c r="N220" s="204"/>
      <c r="O220" s="190"/>
      <c r="P220" s="213"/>
      <c r="Q220" s="213"/>
      <c r="R220" s="190"/>
      <c r="S220" s="190"/>
      <c r="T220" s="154"/>
      <c r="U220" s="153"/>
      <c r="V220" s="211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</row>
    <row r="221" customFormat="false" ht="15.75" hidden="false" customHeight="true" outlineLevel="0" collapsed="false">
      <c r="A221" s="20"/>
      <c r="B221" s="211"/>
      <c r="C221" s="211"/>
      <c r="D221" s="211"/>
      <c r="E221" s="211"/>
      <c r="F221" s="211"/>
      <c r="G221" s="212"/>
      <c r="H221" s="211"/>
      <c r="I221" s="211"/>
      <c r="J221" s="211"/>
      <c r="K221" s="204"/>
      <c r="L221" s="204"/>
      <c r="M221" s="204"/>
      <c r="N221" s="204"/>
      <c r="O221" s="204"/>
      <c r="P221" s="204"/>
      <c r="Q221" s="204"/>
      <c r="R221" s="190"/>
      <c r="S221" s="190"/>
      <c r="T221" s="154"/>
      <c r="U221" s="153"/>
      <c r="V221" s="211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</row>
    <row r="222" customFormat="false" ht="15.75" hidden="false" customHeight="true" outlineLevel="0" collapsed="false">
      <c r="A222" s="20"/>
      <c r="B222" s="211"/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154"/>
      <c r="U222" s="153"/>
      <c r="V222" s="211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</row>
    <row r="223" customFormat="false" ht="15.75" hidden="false" customHeight="true" outlineLevel="0" collapsed="false">
      <c r="A223" s="20"/>
      <c r="B223" s="211"/>
      <c r="C223" s="211"/>
      <c r="D223" s="211"/>
      <c r="E223" s="211"/>
      <c r="F223" s="211"/>
      <c r="G223" s="212"/>
      <c r="H223" s="211"/>
      <c r="I223" s="211"/>
      <c r="J223" s="211"/>
      <c r="K223" s="204"/>
      <c r="L223" s="204"/>
      <c r="M223" s="204"/>
      <c r="N223" s="204"/>
      <c r="O223" s="190"/>
      <c r="P223" s="213"/>
      <c r="Q223" s="213"/>
      <c r="R223" s="190"/>
      <c r="S223" s="190"/>
      <c r="T223" s="154"/>
      <c r="U223" s="153"/>
      <c r="V223" s="211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</row>
    <row r="224" customFormat="false" ht="15.75" hidden="false" customHeight="true" outlineLevel="0" collapsed="false">
      <c r="A224" s="20"/>
      <c r="B224" s="211"/>
      <c r="C224" s="211"/>
      <c r="D224" s="211"/>
      <c r="E224" s="211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211"/>
      <c r="R224" s="211"/>
      <c r="S224" s="211"/>
      <c r="T224" s="154"/>
      <c r="U224" s="153"/>
      <c r="V224" s="211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</row>
    <row r="225" customFormat="false" ht="15.75" hidden="false" customHeight="true" outlineLevel="0" collapsed="false">
      <c r="A225" s="20"/>
      <c r="B225" s="211"/>
      <c r="C225" s="211"/>
      <c r="D225" s="211"/>
      <c r="E225" s="211"/>
      <c r="F225" s="211"/>
      <c r="G225" s="212"/>
      <c r="H225" s="211"/>
      <c r="I225" s="211"/>
      <c r="J225" s="211"/>
      <c r="K225" s="204"/>
      <c r="L225" s="204"/>
      <c r="M225" s="204"/>
      <c r="N225" s="204"/>
      <c r="O225" s="190"/>
      <c r="P225" s="213"/>
      <c r="Q225" s="213"/>
      <c r="R225" s="190"/>
      <c r="S225" s="190"/>
      <c r="T225" s="154"/>
      <c r="U225" s="153"/>
      <c r="V225" s="211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</row>
    <row r="226" customFormat="false" ht="15.75" hidden="false" customHeight="true" outlineLevel="0" collapsed="false">
      <c r="A226" s="20"/>
      <c r="B226" s="211"/>
      <c r="C226" s="211"/>
      <c r="D226" s="211"/>
      <c r="E226" s="211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211"/>
      <c r="R226" s="211"/>
      <c r="S226" s="211"/>
      <c r="T226" s="154"/>
      <c r="U226" s="153"/>
      <c r="V226" s="211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</row>
    <row r="227" customFormat="false" ht="15.75" hidden="false" customHeight="true" outlineLevel="0" collapsed="false">
      <c r="A227" s="20"/>
      <c r="B227" s="20"/>
      <c r="C227" s="20"/>
      <c r="D227" s="20"/>
      <c r="E227" s="20"/>
      <c r="F227" s="20"/>
      <c r="G227" s="15"/>
      <c r="H227" s="20"/>
      <c r="I227" s="20"/>
      <c r="J227" s="20"/>
      <c r="K227" s="13"/>
      <c r="L227" s="204"/>
      <c r="M227" s="204"/>
      <c r="N227" s="204"/>
      <c r="O227" s="190"/>
      <c r="P227" s="213"/>
      <c r="Q227" s="213"/>
      <c r="R227" s="153"/>
      <c r="S227" s="153"/>
      <c r="T227" s="154"/>
      <c r="U227" s="153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</row>
    <row r="228" customFormat="false" ht="15.75" hidden="false" customHeight="true" outlineLevel="0" collapsed="false">
      <c r="A228" s="20"/>
      <c r="B228" s="20"/>
      <c r="C228" s="20"/>
      <c r="D228" s="20"/>
      <c r="E228" s="20"/>
      <c r="F228" s="20"/>
      <c r="G228" s="15"/>
      <c r="H228" s="20"/>
      <c r="I228" s="20"/>
      <c r="J228" s="20"/>
      <c r="K228" s="13"/>
      <c r="L228" s="204"/>
      <c r="M228" s="204"/>
      <c r="N228" s="204"/>
      <c r="O228" s="204"/>
      <c r="P228" s="204"/>
      <c r="Q228" s="204"/>
      <c r="R228" s="153"/>
      <c r="S228" s="153"/>
      <c r="T228" s="154"/>
      <c r="U228" s="153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</row>
    <row r="229" customFormat="false" ht="15.75" hidden="false" customHeight="true" outlineLevel="0" collapsed="false">
      <c r="A229" s="20"/>
      <c r="B229" s="20"/>
      <c r="C229" s="20"/>
      <c r="D229" s="20"/>
      <c r="E229" s="20"/>
      <c r="F229" s="20"/>
      <c r="G229" s="15"/>
      <c r="H229" s="20"/>
      <c r="I229" s="20"/>
      <c r="J229" s="20"/>
      <c r="K229" s="13"/>
      <c r="L229" s="13"/>
      <c r="M229" s="13"/>
      <c r="N229" s="13"/>
      <c r="O229" s="153"/>
      <c r="P229" s="154"/>
      <c r="Q229" s="154"/>
      <c r="R229" s="153"/>
      <c r="S229" s="153"/>
      <c r="T229" s="154"/>
      <c r="U229" s="153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</row>
    <row r="230" customFormat="false" ht="15.75" hidden="false" customHeight="true" outlineLevel="0" collapsed="false">
      <c r="A230" s="20"/>
      <c r="B230" s="211"/>
      <c r="C230" s="211"/>
      <c r="D230" s="211"/>
      <c r="E230" s="211"/>
      <c r="F230" s="211"/>
      <c r="G230" s="212"/>
      <c r="H230" s="211"/>
      <c r="I230" s="211"/>
      <c r="J230" s="211"/>
      <c r="K230" s="204"/>
      <c r="L230" s="13"/>
      <c r="M230" s="13"/>
      <c r="N230" s="13"/>
      <c r="O230" s="153"/>
      <c r="P230" s="154"/>
      <c r="Q230" s="154"/>
      <c r="R230" s="190"/>
      <c r="S230" s="190"/>
      <c r="T230" s="154"/>
      <c r="U230" s="153"/>
      <c r="V230" s="211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</row>
    <row r="231" customFormat="false" ht="15.75" hidden="false" customHeight="true" outlineLevel="0" collapsed="false">
      <c r="A231" s="20"/>
      <c r="B231" s="211"/>
      <c r="C231" s="211"/>
      <c r="D231" s="211"/>
      <c r="E231" s="211"/>
      <c r="F231" s="211"/>
      <c r="G231" s="211"/>
      <c r="H231" s="211"/>
      <c r="I231" s="211"/>
      <c r="J231" s="211"/>
      <c r="K231" s="211"/>
      <c r="L231" s="13"/>
      <c r="M231" s="13"/>
      <c r="N231" s="13"/>
      <c r="O231" s="153"/>
      <c r="P231" s="154"/>
      <c r="Q231" s="154"/>
      <c r="R231" s="190"/>
      <c r="S231" s="190"/>
      <c r="T231" s="154"/>
      <c r="U231" s="153"/>
      <c r="V231" s="211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</row>
    <row r="232" customFormat="false" ht="15.75" hidden="false" customHeight="true" outlineLevel="0" collapsed="false">
      <c r="A232" s="20"/>
      <c r="B232" s="211"/>
      <c r="C232" s="211"/>
      <c r="D232" s="211"/>
      <c r="E232" s="211"/>
      <c r="F232" s="211"/>
      <c r="G232" s="212"/>
      <c r="H232" s="211"/>
      <c r="I232" s="211"/>
      <c r="J232" s="211"/>
      <c r="K232" s="204"/>
      <c r="L232" s="204"/>
      <c r="M232" s="204"/>
      <c r="N232" s="204"/>
      <c r="O232" s="190"/>
      <c r="P232" s="213"/>
      <c r="Q232" s="213"/>
      <c r="R232" s="190"/>
      <c r="S232" s="190"/>
      <c r="T232" s="154"/>
      <c r="U232" s="153"/>
      <c r="V232" s="211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</row>
    <row r="233" customFormat="false" ht="15.75" hidden="false" customHeight="true" outlineLevel="0" collapsed="false">
      <c r="A233" s="20"/>
      <c r="B233" s="211"/>
      <c r="C233" s="211"/>
      <c r="D233" s="211"/>
      <c r="E233" s="211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211"/>
      <c r="R233" s="211"/>
      <c r="S233" s="211"/>
      <c r="T233" s="154"/>
      <c r="U233" s="153"/>
      <c r="V233" s="211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</row>
    <row r="234" customFormat="false" ht="15.75" hidden="false" customHeight="true" outlineLevel="0" collapsed="false">
      <c r="A234" s="20"/>
      <c r="B234" s="211"/>
      <c r="C234" s="211"/>
      <c r="D234" s="211"/>
      <c r="E234" s="211"/>
      <c r="F234" s="211"/>
      <c r="G234" s="211"/>
      <c r="H234" s="211"/>
      <c r="I234" s="211"/>
      <c r="J234" s="211"/>
      <c r="K234" s="211"/>
      <c r="L234" s="204"/>
      <c r="M234" s="204"/>
      <c r="N234" s="204"/>
      <c r="O234" s="190"/>
      <c r="P234" s="213"/>
      <c r="Q234" s="213"/>
      <c r="R234" s="190"/>
      <c r="S234" s="190"/>
      <c r="T234" s="154"/>
      <c r="U234" s="153"/>
      <c r="V234" s="211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</row>
    <row r="235" customFormat="false" ht="15.75" hidden="false" customHeight="true" outlineLevel="0" collapsed="false">
      <c r="A235" s="20"/>
      <c r="B235" s="211"/>
      <c r="C235" s="211"/>
      <c r="D235" s="211"/>
      <c r="E235" s="211"/>
      <c r="F235" s="211"/>
      <c r="G235" s="212"/>
      <c r="H235" s="211"/>
      <c r="I235" s="211"/>
      <c r="J235" s="211"/>
      <c r="K235" s="204"/>
      <c r="L235" s="204"/>
      <c r="M235" s="204"/>
      <c r="N235" s="204"/>
      <c r="O235" s="204"/>
      <c r="P235" s="204"/>
      <c r="Q235" s="204"/>
      <c r="R235" s="190"/>
      <c r="S235" s="190"/>
      <c r="T235" s="154"/>
      <c r="U235" s="153"/>
      <c r="V235" s="211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</row>
    <row r="236" customFormat="false" ht="15.75" hidden="false" customHeight="true" outlineLevel="0" collapsed="false">
      <c r="A236" s="20"/>
      <c r="B236" s="211"/>
      <c r="C236" s="211"/>
      <c r="D236" s="211"/>
      <c r="E236" s="211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211"/>
      <c r="R236" s="211"/>
      <c r="S236" s="211"/>
      <c r="T236" s="154"/>
      <c r="U236" s="153"/>
      <c r="V236" s="211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</row>
    <row r="237" customFormat="false" ht="15.75" hidden="false" customHeight="true" outlineLevel="0" collapsed="false">
      <c r="A237" s="20"/>
      <c r="B237" s="211"/>
      <c r="C237" s="211"/>
      <c r="D237" s="211"/>
      <c r="E237" s="211"/>
      <c r="F237" s="211"/>
      <c r="G237" s="211"/>
      <c r="H237" s="211"/>
      <c r="I237" s="211"/>
      <c r="J237" s="211"/>
      <c r="K237" s="211"/>
      <c r="L237" s="204"/>
      <c r="M237" s="204"/>
      <c r="N237" s="204"/>
      <c r="O237" s="190"/>
      <c r="P237" s="213"/>
      <c r="Q237" s="213"/>
      <c r="R237" s="190"/>
      <c r="S237" s="190"/>
      <c r="T237" s="154"/>
      <c r="U237" s="153"/>
      <c r="V237" s="211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</row>
    <row r="238" customFormat="false" ht="15.75" hidden="false" customHeight="true" outlineLevel="0" collapsed="false">
      <c r="A238" s="20"/>
      <c r="B238" s="211"/>
      <c r="C238" s="211"/>
      <c r="D238" s="211"/>
      <c r="E238" s="211"/>
      <c r="F238" s="211"/>
      <c r="G238" s="212"/>
      <c r="H238" s="211"/>
      <c r="I238" s="211"/>
      <c r="J238" s="211"/>
      <c r="K238" s="204"/>
      <c r="L238" s="204"/>
      <c r="M238" s="204"/>
      <c r="N238" s="204"/>
      <c r="O238" s="204"/>
      <c r="P238" s="204"/>
      <c r="Q238" s="204"/>
      <c r="R238" s="190"/>
      <c r="S238" s="190"/>
      <c r="T238" s="154"/>
      <c r="U238" s="153"/>
      <c r="V238" s="211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</row>
    <row r="239" customFormat="false" ht="15.75" hidden="false" customHeight="true" outlineLevel="0" collapsed="false">
      <c r="A239" s="20"/>
      <c r="B239" s="211"/>
      <c r="C239" s="211"/>
      <c r="D239" s="211"/>
      <c r="E239" s="211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211"/>
      <c r="R239" s="211"/>
      <c r="S239" s="211"/>
      <c r="T239" s="154"/>
      <c r="U239" s="153"/>
      <c r="V239" s="211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</row>
    <row r="240" customFormat="false" ht="15.75" hidden="false" customHeight="true" outlineLevel="0" collapsed="false">
      <c r="A240" s="20"/>
      <c r="B240" s="211"/>
      <c r="C240" s="211"/>
      <c r="D240" s="211"/>
      <c r="E240" s="211"/>
      <c r="F240" s="211"/>
      <c r="G240" s="211"/>
      <c r="H240" s="211"/>
      <c r="I240" s="211"/>
      <c r="J240" s="211"/>
      <c r="K240" s="211"/>
      <c r="L240" s="204"/>
      <c r="M240" s="204"/>
      <c r="N240" s="204"/>
      <c r="O240" s="190"/>
      <c r="P240" s="213"/>
      <c r="Q240" s="213"/>
      <c r="R240" s="190"/>
      <c r="S240" s="190"/>
      <c r="T240" s="154"/>
      <c r="U240" s="153"/>
      <c r="V240" s="211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</row>
    <row r="241" customFormat="false" ht="15.75" hidden="false" customHeight="true" outlineLevel="0" collapsed="false">
      <c r="A241" s="20"/>
      <c r="B241" s="211"/>
      <c r="C241" s="211"/>
      <c r="D241" s="211"/>
      <c r="E241" s="211"/>
      <c r="F241" s="211"/>
      <c r="G241" s="212"/>
      <c r="H241" s="211"/>
      <c r="I241" s="211"/>
      <c r="J241" s="211"/>
      <c r="K241" s="204"/>
      <c r="L241" s="204"/>
      <c r="M241" s="204"/>
      <c r="N241" s="204"/>
      <c r="O241" s="204"/>
      <c r="P241" s="204"/>
      <c r="Q241" s="204"/>
      <c r="R241" s="190"/>
      <c r="S241" s="190"/>
      <c r="T241" s="154"/>
      <c r="U241" s="153"/>
      <c r="V241" s="211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</row>
    <row r="242" customFormat="false" ht="15.75" hidden="false" customHeight="true" outlineLevel="0" collapsed="false">
      <c r="A242" s="20"/>
      <c r="B242" s="211"/>
      <c r="C242" s="211"/>
      <c r="D242" s="211"/>
      <c r="E242" s="211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211"/>
      <c r="R242" s="211"/>
      <c r="S242" s="211"/>
      <c r="T242" s="154"/>
      <c r="U242" s="153"/>
      <c r="V242" s="211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</row>
    <row r="243" customFormat="false" ht="15.75" hidden="false" customHeight="true" outlineLevel="0" collapsed="false">
      <c r="A243" s="20"/>
      <c r="B243" s="211"/>
      <c r="C243" s="211"/>
      <c r="D243" s="211"/>
      <c r="E243" s="211"/>
      <c r="F243" s="211"/>
      <c r="G243" s="212"/>
      <c r="H243" s="211"/>
      <c r="I243" s="211"/>
      <c r="J243" s="211"/>
      <c r="K243" s="204"/>
      <c r="L243" s="204"/>
      <c r="M243" s="204"/>
      <c r="N243" s="204"/>
      <c r="O243" s="190"/>
      <c r="P243" s="213"/>
      <c r="Q243" s="213"/>
      <c r="R243" s="190"/>
      <c r="S243" s="190"/>
      <c r="T243" s="154"/>
      <c r="U243" s="153"/>
      <c r="V243" s="211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</row>
    <row r="244" customFormat="false" ht="15.75" hidden="false" customHeight="true" outlineLevel="0" collapsed="false">
      <c r="A244" s="20"/>
      <c r="B244" s="211"/>
      <c r="C244" s="211"/>
      <c r="D244" s="211"/>
      <c r="E244" s="211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211"/>
      <c r="R244" s="211"/>
      <c r="S244" s="211"/>
      <c r="T244" s="154"/>
      <c r="U244" s="153"/>
      <c r="V244" s="211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</row>
    <row r="245" customFormat="false" ht="15.75" hidden="false" customHeight="true" outlineLevel="0" collapsed="false">
      <c r="A245" s="20"/>
      <c r="B245" s="211"/>
      <c r="C245" s="211"/>
      <c r="D245" s="211"/>
      <c r="E245" s="211"/>
      <c r="F245" s="211"/>
      <c r="G245" s="211"/>
      <c r="H245" s="211"/>
      <c r="I245" s="211"/>
      <c r="J245" s="211"/>
      <c r="K245" s="211"/>
      <c r="L245" s="204"/>
      <c r="M245" s="204"/>
      <c r="N245" s="204"/>
      <c r="O245" s="190"/>
      <c r="P245" s="213"/>
      <c r="Q245" s="213"/>
      <c r="R245" s="190"/>
      <c r="S245" s="190"/>
      <c r="T245" s="154"/>
      <c r="U245" s="153"/>
      <c r="V245" s="211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</row>
    <row r="246" customFormat="false" ht="15.75" hidden="false" customHeight="true" outlineLevel="0" collapsed="false">
      <c r="A246" s="20"/>
      <c r="B246" s="211"/>
      <c r="C246" s="211"/>
      <c r="D246" s="211"/>
      <c r="E246" s="211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211"/>
      <c r="R246" s="211"/>
      <c r="S246" s="211"/>
      <c r="T246" s="154"/>
      <c r="U246" s="153"/>
      <c r="V246" s="211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</row>
    <row r="247" customFormat="false" ht="15.75" hidden="false" customHeight="true" outlineLevel="0" collapsed="false">
      <c r="A247" s="20"/>
      <c r="B247" s="211"/>
      <c r="C247" s="211"/>
      <c r="D247" s="211"/>
      <c r="E247" s="211"/>
      <c r="F247" s="211"/>
      <c r="G247" s="212"/>
      <c r="H247" s="211"/>
      <c r="I247" s="211"/>
      <c r="J247" s="211"/>
      <c r="K247" s="204"/>
      <c r="L247" s="204"/>
      <c r="M247" s="204"/>
      <c r="N247" s="204"/>
      <c r="O247" s="204"/>
      <c r="P247" s="204"/>
      <c r="Q247" s="204"/>
      <c r="R247" s="190"/>
      <c r="S247" s="190"/>
      <c r="T247" s="154"/>
      <c r="U247" s="153"/>
      <c r="V247" s="211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</row>
    <row r="248" customFormat="false" ht="15.75" hidden="false" customHeight="true" outlineLevel="0" collapsed="false">
      <c r="A248" s="20"/>
      <c r="B248" s="211"/>
      <c r="C248" s="211"/>
      <c r="D248" s="211"/>
      <c r="E248" s="211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211"/>
      <c r="R248" s="211"/>
      <c r="S248" s="211"/>
      <c r="T248" s="154"/>
      <c r="U248" s="153"/>
      <c r="V248" s="211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</row>
    <row r="249" customFormat="false" ht="15.75" hidden="false" customHeight="true" outlineLevel="0" collapsed="false">
      <c r="A249" s="20"/>
      <c r="B249" s="211"/>
      <c r="C249" s="211"/>
      <c r="D249" s="211"/>
      <c r="E249" s="211"/>
      <c r="F249" s="211"/>
      <c r="G249" s="211"/>
      <c r="H249" s="211"/>
      <c r="I249" s="211"/>
      <c r="J249" s="211"/>
      <c r="K249" s="211"/>
      <c r="L249" s="204"/>
      <c r="M249" s="204"/>
      <c r="N249" s="204"/>
      <c r="O249" s="190"/>
      <c r="P249" s="213"/>
      <c r="Q249" s="213"/>
      <c r="R249" s="190"/>
      <c r="S249" s="190"/>
      <c r="T249" s="154"/>
      <c r="U249" s="153"/>
      <c r="V249" s="211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</row>
    <row r="250" customFormat="false" ht="15.75" hidden="false" customHeight="true" outlineLevel="0" collapsed="false">
      <c r="A250" s="20"/>
      <c r="B250" s="211"/>
      <c r="C250" s="211"/>
      <c r="D250" s="211"/>
      <c r="E250" s="211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211"/>
      <c r="R250" s="211"/>
      <c r="S250" s="211"/>
      <c r="T250" s="154"/>
      <c r="U250" s="153"/>
      <c r="V250" s="211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</row>
    <row r="251" customFormat="false" ht="15.75" hidden="false" customHeight="true" outlineLevel="0" collapsed="false">
      <c r="A251" s="20"/>
      <c r="B251" s="211"/>
      <c r="C251" s="211"/>
      <c r="D251" s="211"/>
      <c r="E251" s="211"/>
      <c r="F251" s="211"/>
      <c r="G251" s="212"/>
      <c r="H251" s="211"/>
      <c r="I251" s="211"/>
      <c r="J251" s="211"/>
      <c r="K251" s="204"/>
      <c r="L251" s="204"/>
      <c r="M251" s="204"/>
      <c r="N251" s="204"/>
      <c r="O251" s="204"/>
      <c r="P251" s="204"/>
      <c r="Q251" s="204"/>
      <c r="R251" s="190"/>
      <c r="S251" s="190"/>
      <c r="T251" s="154"/>
      <c r="U251" s="153"/>
      <c r="V251" s="211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</row>
    <row r="252" customFormat="false" ht="15.75" hidden="false" customHeight="true" outlineLevel="0" collapsed="false">
      <c r="A252" s="20"/>
      <c r="B252" s="211"/>
      <c r="C252" s="211"/>
      <c r="D252" s="211"/>
      <c r="E252" s="211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211"/>
      <c r="R252" s="211"/>
      <c r="S252" s="211"/>
      <c r="T252" s="154"/>
      <c r="U252" s="153"/>
      <c r="V252" s="211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</row>
    <row r="253" customFormat="false" ht="15.75" hidden="false" customHeight="true" outlineLevel="0" collapsed="false">
      <c r="A253" s="20"/>
      <c r="B253" s="211"/>
      <c r="C253" s="211"/>
      <c r="D253" s="211"/>
      <c r="E253" s="211"/>
      <c r="F253" s="211"/>
      <c r="G253" s="211"/>
      <c r="H253" s="211"/>
      <c r="I253" s="211"/>
      <c r="J253" s="211"/>
      <c r="K253" s="211"/>
      <c r="L253" s="204"/>
      <c r="M253" s="204"/>
      <c r="N253" s="204"/>
      <c r="O253" s="190"/>
      <c r="P253" s="213"/>
      <c r="Q253" s="213"/>
      <c r="R253" s="190"/>
      <c r="S253" s="190"/>
      <c r="T253" s="154"/>
      <c r="U253" s="153"/>
      <c r="V253" s="211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</row>
    <row r="254" customFormat="false" ht="15.75" hidden="false" customHeight="true" outlineLevel="0" collapsed="false">
      <c r="A254" s="20"/>
      <c r="B254" s="211"/>
      <c r="C254" s="211"/>
      <c r="D254" s="211"/>
      <c r="E254" s="211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211"/>
      <c r="R254" s="211"/>
      <c r="S254" s="211"/>
      <c r="T254" s="154"/>
      <c r="U254" s="153"/>
      <c r="V254" s="211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</row>
    <row r="255" customFormat="false" ht="15.75" hidden="false" customHeight="true" outlineLevel="0" collapsed="false">
      <c r="A255" s="20"/>
      <c r="B255" s="211"/>
      <c r="C255" s="211"/>
      <c r="D255" s="211"/>
      <c r="E255" s="211"/>
      <c r="F255" s="211"/>
      <c r="G255" s="212"/>
      <c r="H255" s="211"/>
      <c r="I255" s="211"/>
      <c r="J255" s="211"/>
      <c r="K255" s="204"/>
      <c r="L255" s="204"/>
      <c r="M255" s="204"/>
      <c r="N255" s="204"/>
      <c r="O255" s="204"/>
      <c r="P255" s="204"/>
      <c r="Q255" s="204"/>
      <c r="R255" s="190"/>
      <c r="S255" s="190"/>
      <c r="T255" s="154"/>
      <c r="U255" s="153"/>
      <c r="V255" s="211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</row>
    <row r="256" customFormat="false" ht="15.75" hidden="false" customHeight="true" outlineLevel="0" collapsed="false">
      <c r="A256" s="20"/>
      <c r="B256" s="211"/>
      <c r="C256" s="211"/>
      <c r="D256" s="211"/>
      <c r="E256" s="211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211"/>
      <c r="R256" s="211"/>
      <c r="S256" s="211"/>
      <c r="T256" s="154"/>
      <c r="U256" s="153"/>
      <c r="V256" s="211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</row>
    <row r="257" customFormat="false" ht="15.75" hidden="false" customHeight="true" outlineLevel="0" collapsed="false">
      <c r="A257" s="20"/>
      <c r="B257" s="211"/>
      <c r="C257" s="211"/>
      <c r="D257" s="211"/>
      <c r="E257" s="211"/>
      <c r="F257" s="211"/>
      <c r="G257" s="211"/>
      <c r="H257" s="211"/>
      <c r="I257" s="211"/>
      <c r="J257" s="211"/>
      <c r="K257" s="211"/>
      <c r="L257" s="204"/>
      <c r="M257" s="204"/>
      <c r="N257" s="204"/>
      <c r="O257" s="190"/>
      <c r="P257" s="213"/>
      <c r="Q257" s="213"/>
      <c r="R257" s="190"/>
      <c r="S257" s="190"/>
      <c r="T257" s="154"/>
      <c r="U257" s="153"/>
      <c r="V257" s="211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</row>
    <row r="258" customFormat="false" ht="15.75" hidden="false" customHeight="true" outlineLevel="0" collapsed="false">
      <c r="A258" s="20"/>
      <c r="B258" s="211"/>
      <c r="C258" s="211"/>
      <c r="D258" s="211"/>
      <c r="E258" s="211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211"/>
      <c r="R258" s="211"/>
      <c r="S258" s="211"/>
      <c r="T258" s="154"/>
      <c r="U258" s="153"/>
      <c r="V258" s="211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</row>
    <row r="259" customFormat="false" ht="15.75" hidden="false" customHeight="true" outlineLevel="0" collapsed="false">
      <c r="A259" s="20"/>
      <c r="B259" s="20"/>
      <c r="C259" s="20"/>
      <c r="D259" s="20"/>
      <c r="E259" s="20"/>
      <c r="F259" s="20"/>
      <c r="G259" s="15"/>
      <c r="H259" s="20"/>
      <c r="I259" s="20"/>
      <c r="J259" s="20"/>
      <c r="K259" s="13"/>
      <c r="L259" s="204"/>
      <c r="M259" s="204"/>
      <c r="N259" s="204"/>
      <c r="O259" s="204"/>
      <c r="P259" s="204"/>
      <c r="Q259" s="204"/>
      <c r="R259" s="153"/>
      <c r="S259" s="153"/>
      <c r="T259" s="154"/>
      <c r="U259" s="153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</row>
    <row r="260" customFormat="false" ht="15.75" hidden="false" customHeight="true" outlineLevel="0" collapsed="false">
      <c r="A260" s="20"/>
      <c r="B260" s="20"/>
      <c r="C260" s="20"/>
      <c r="D260" s="20"/>
      <c r="E260" s="20"/>
      <c r="F260" s="20"/>
      <c r="G260" s="15"/>
      <c r="H260" s="20"/>
      <c r="I260" s="20"/>
      <c r="J260" s="20"/>
      <c r="K260" s="13"/>
      <c r="L260" s="204"/>
      <c r="M260" s="204"/>
      <c r="N260" s="204"/>
      <c r="O260" s="204"/>
      <c r="P260" s="204"/>
      <c r="Q260" s="204"/>
      <c r="R260" s="153"/>
      <c r="S260" s="153"/>
      <c r="T260" s="154"/>
      <c r="U260" s="153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</row>
    <row r="261" customFormat="false" ht="15.75" hidden="false" customHeight="true" outlineLevel="0" collapsed="false">
      <c r="A261" s="20"/>
      <c r="B261" s="20"/>
      <c r="C261" s="20"/>
      <c r="D261" s="20"/>
      <c r="E261" s="20"/>
      <c r="F261" s="20"/>
      <c r="G261" s="15"/>
      <c r="H261" s="20"/>
      <c r="I261" s="20"/>
      <c r="J261" s="20"/>
      <c r="K261" s="13"/>
      <c r="L261" s="13"/>
      <c r="M261" s="13"/>
      <c r="N261" s="13"/>
      <c r="O261" s="153"/>
      <c r="P261" s="154"/>
      <c r="Q261" s="154"/>
      <c r="R261" s="153"/>
      <c r="S261" s="153"/>
      <c r="T261" s="154"/>
      <c r="U261" s="153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</row>
    <row r="262" customFormat="false" ht="15.75" hidden="false" customHeight="true" outlineLevel="0" collapsed="false">
      <c r="A262" s="20"/>
      <c r="B262" s="20"/>
      <c r="C262" s="20"/>
      <c r="D262" s="20"/>
      <c r="E262" s="20"/>
      <c r="F262" s="20"/>
      <c r="G262" s="15"/>
      <c r="H262" s="20"/>
      <c r="I262" s="20"/>
      <c r="J262" s="20"/>
      <c r="K262" s="13"/>
      <c r="L262" s="13"/>
      <c r="M262" s="13"/>
      <c r="N262" s="13"/>
      <c r="O262" s="153"/>
      <c r="P262" s="154"/>
      <c r="Q262" s="154"/>
      <c r="R262" s="153"/>
      <c r="S262" s="153"/>
      <c r="T262" s="154"/>
      <c r="U262" s="153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</row>
    <row r="263" customFormat="false" ht="15.75" hidden="false" customHeight="true" outlineLevel="0" collapsed="false">
      <c r="A263" s="20"/>
      <c r="B263" s="20"/>
      <c r="C263" s="20"/>
      <c r="D263" s="20"/>
      <c r="E263" s="20"/>
      <c r="F263" s="20"/>
      <c r="G263" s="15"/>
      <c r="H263" s="20"/>
      <c r="I263" s="20"/>
      <c r="J263" s="20"/>
      <c r="K263" s="13"/>
      <c r="L263" s="13"/>
      <c r="M263" s="13"/>
      <c r="N263" s="13"/>
      <c r="O263" s="153"/>
      <c r="P263" s="154"/>
      <c r="Q263" s="154"/>
      <c r="R263" s="153"/>
      <c r="S263" s="153"/>
      <c r="T263" s="154"/>
      <c r="U263" s="153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</row>
    <row r="264" customFormat="false" ht="15.75" hidden="false" customHeight="true" outlineLevel="0" collapsed="false">
      <c r="A264" s="20"/>
      <c r="B264" s="20"/>
      <c r="C264" s="20"/>
      <c r="D264" s="20"/>
      <c r="E264" s="20"/>
      <c r="F264" s="20"/>
      <c r="G264" s="15"/>
      <c r="H264" s="20"/>
      <c r="I264" s="20"/>
      <c r="J264" s="20"/>
      <c r="K264" s="13"/>
      <c r="L264" s="13"/>
      <c r="M264" s="13"/>
      <c r="N264" s="13"/>
      <c r="O264" s="153"/>
      <c r="P264" s="154"/>
      <c r="Q264" s="154"/>
      <c r="R264" s="153"/>
      <c r="S264" s="153"/>
      <c r="T264" s="154"/>
      <c r="U264" s="153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</row>
    <row r="265" customFormat="false" ht="15.75" hidden="false" customHeight="true" outlineLevel="0" collapsed="false">
      <c r="A265" s="20"/>
      <c r="B265" s="20"/>
      <c r="C265" s="20"/>
      <c r="D265" s="20"/>
      <c r="E265" s="20"/>
      <c r="F265" s="20"/>
      <c r="G265" s="15"/>
      <c r="H265" s="20"/>
      <c r="I265" s="20"/>
      <c r="J265" s="20"/>
      <c r="K265" s="13"/>
      <c r="L265" s="13"/>
      <c r="M265" s="13"/>
      <c r="N265" s="13"/>
      <c r="O265" s="153"/>
      <c r="P265" s="154"/>
      <c r="Q265" s="154"/>
      <c r="R265" s="153"/>
      <c r="S265" s="153"/>
      <c r="T265" s="154"/>
      <c r="U265" s="153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</row>
    <row r="266" customFormat="false" ht="15.75" hidden="false" customHeight="true" outlineLevel="0" collapsed="false">
      <c r="A266" s="20"/>
      <c r="B266" s="20"/>
      <c r="C266" s="20"/>
      <c r="D266" s="20"/>
      <c r="E266" s="20"/>
      <c r="F266" s="20"/>
      <c r="G266" s="15"/>
      <c r="H266" s="20"/>
      <c r="I266" s="20"/>
      <c r="J266" s="20"/>
      <c r="K266" s="13"/>
      <c r="L266" s="13"/>
      <c r="M266" s="13"/>
      <c r="N266" s="13"/>
      <c r="O266" s="153"/>
      <c r="P266" s="154"/>
      <c r="Q266" s="154"/>
      <c r="R266" s="153"/>
      <c r="S266" s="153"/>
      <c r="T266" s="154"/>
      <c r="U266" s="153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</row>
    <row r="267" customFormat="false" ht="15.75" hidden="false" customHeight="true" outlineLevel="0" collapsed="false">
      <c r="A267" s="20"/>
      <c r="B267" s="20"/>
      <c r="C267" s="20"/>
      <c r="D267" s="20"/>
      <c r="E267" s="20"/>
      <c r="F267" s="20"/>
      <c r="G267" s="15"/>
      <c r="H267" s="20"/>
      <c r="I267" s="20"/>
      <c r="J267" s="20"/>
      <c r="K267" s="13"/>
      <c r="L267" s="13"/>
      <c r="M267" s="13"/>
      <c r="N267" s="13"/>
      <c r="O267" s="153"/>
      <c r="P267" s="154"/>
      <c r="Q267" s="154"/>
      <c r="R267" s="153"/>
      <c r="S267" s="153"/>
      <c r="T267" s="154"/>
      <c r="U267" s="153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</row>
    <row r="268" customFormat="false" ht="15.75" hidden="false" customHeight="true" outlineLevel="0" collapsed="false">
      <c r="A268" s="20"/>
      <c r="B268" s="211"/>
      <c r="C268" s="211"/>
      <c r="D268" s="211"/>
      <c r="E268" s="211"/>
      <c r="F268" s="211"/>
      <c r="G268" s="212"/>
      <c r="H268" s="211"/>
      <c r="I268" s="211"/>
      <c r="J268" s="211"/>
      <c r="K268" s="204"/>
      <c r="L268" s="13"/>
      <c r="M268" s="13"/>
      <c r="N268" s="13"/>
      <c r="O268" s="153"/>
      <c r="P268" s="154"/>
      <c r="Q268" s="154"/>
      <c r="R268" s="190"/>
      <c r="S268" s="190"/>
      <c r="T268" s="154"/>
      <c r="U268" s="153"/>
      <c r="V268" s="211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</row>
    <row r="269" customFormat="false" ht="15.75" hidden="false" customHeight="true" outlineLevel="0" collapsed="false">
      <c r="A269" s="20"/>
      <c r="B269" s="211"/>
      <c r="C269" s="211"/>
      <c r="D269" s="211"/>
      <c r="E269" s="211"/>
      <c r="F269" s="211"/>
      <c r="G269" s="211"/>
      <c r="H269" s="211"/>
      <c r="I269" s="211"/>
      <c r="J269" s="211"/>
      <c r="K269" s="211"/>
      <c r="L269" s="13"/>
      <c r="M269" s="13"/>
      <c r="N269" s="13"/>
      <c r="O269" s="153"/>
      <c r="P269" s="154"/>
      <c r="Q269" s="154"/>
      <c r="R269" s="190"/>
      <c r="S269" s="190"/>
      <c r="T269" s="154"/>
      <c r="U269" s="153"/>
      <c r="V269" s="211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</row>
    <row r="270" customFormat="false" ht="15.75" hidden="false" customHeight="true" outlineLevel="0" collapsed="false">
      <c r="A270" s="20"/>
      <c r="B270" s="20"/>
      <c r="C270" s="20"/>
      <c r="D270" s="20"/>
      <c r="E270" s="20"/>
      <c r="F270" s="20"/>
      <c r="G270" s="15"/>
      <c r="H270" s="20"/>
      <c r="I270" s="20"/>
      <c r="J270" s="20"/>
      <c r="K270" s="13"/>
      <c r="L270" s="204"/>
      <c r="M270" s="204"/>
      <c r="N270" s="204"/>
      <c r="O270" s="190"/>
      <c r="P270" s="213"/>
      <c r="Q270" s="213"/>
      <c r="R270" s="153"/>
      <c r="S270" s="153"/>
      <c r="T270" s="154"/>
      <c r="U270" s="153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</row>
    <row r="271" customFormat="false" ht="15.75" hidden="false" customHeight="true" outlineLevel="0" collapsed="false">
      <c r="A271" s="20"/>
      <c r="B271" s="211"/>
      <c r="C271" s="211"/>
      <c r="D271" s="211"/>
      <c r="E271" s="211"/>
      <c r="F271" s="211"/>
      <c r="G271" s="212"/>
      <c r="H271" s="211"/>
      <c r="I271" s="211"/>
      <c r="J271" s="211"/>
      <c r="K271" s="204"/>
      <c r="L271" s="204"/>
      <c r="M271" s="204"/>
      <c r="N271" s="204"/>
      <c r="O271" s="204"/>
      <c r="P271" s="204"/>
      <c r="Q271" s="204"/>
      <c r="R271" s="190"/>
      <c r="S271" s="190"/>
      <c r="T271" s="154"/>
      <c r="U271" s="153"/>
      <c r="V271" s="211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</row>
    <row r="272" customFormat="false" ht="15.75" hidden="false" customHeight="true" outlineLevel="0" collapsed="false">
      <c r="A272" s="20"/>
      <c r="B272" s="211"/>
      <c r="C272" s="211"/>
      <c r="D272" s="211"/>
      <c r="E272" s="211"/>
      <c r="F272" s="211"/>
      <c r="G272" s="211"/>
      <c r="H272" s="211"/>
      <c r="I272" s="211"/>
      <c r="J272" s="211"/>
      <c r="K272" s="211"/>
      <c r="L272" s="13"/>
      <c r="M272" s="13"/>
      <c r="N272" s="13"/>
      <c r="O272" s="153"/>
      <c r="P272" s="154"/>
      <c r="Q272" s="154"/>
      <c r="R272" s="190"/>
      <c r="S272" s="190"/>
      <c r="T272" s="154"/>
      <c r="U272" s="153"/>
      <c r="V272" s="211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</row>
    <row r="273" customFormat="false" ht="15.75" hidden="false" customHeight="true" outlineLevel="0" collapsed="false">
      <c r="A273" s="20"/>
      <c r="B273" s="20"/>
      <c r="C273" s="20"/>
      <c r="D273" s="20"/>
      <c r="E273" s="20"/>
      <c r="F273" s="20"/>
      <c r="G273" s="15"/>
      <c r="H273" s="20"/>
      <c r="I273" s="20"/>
      <c r="J273" s="20"/>
      <c r="K273" s="13"/>
      <c r="L273" s="204"/>
      <c r="M273" s="204"/>
      <c r="N273" s="204"/>
      <c r="O273" s="190"/>
      <c r="P273" s="213"/>
      <c r="Q273" s="213"/>
      <c r="R273" s="153"/>
      <c r="S273" s="153"/>
      <c r="T273" s="154"/>
      <c r="U273" s="153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</row>
    <row r="274" customFormat="false" ht="15.75" hidden="false" customHeight="true" outlineLevel="0" collapsed="false">
      <c r="A274" s="20"/>
      <c r="B274" s="211"/>
      <c r="C274" s="211"/>
      <c r="D274" s="211"/>
      <c r="E274" s="211"/>
      <c r="F274" s="211"/>
      <c r="G274" s="212"/>
      <c r="H274" s="211"/>
      <c r="I274" s="211"/>
      <c r="J274" s="211"/>
      <c r="K274" s="204"/>
      <c r="L274" s="204"/>
      <c r="M274" s="204"/>
      <c r="N274" s="204"/>
      <c r="O274" s="204"/>
      <c r="P274" s="204"/>
      <c r="Q274" s="204"/>
      <c r="R274" s="190"/>
      <c r="S274" s="190"/>
      <c r="T274" s="154"/>
      <c r="U274" s="153"/>
      <c r="V274" s="211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</row>
    <row r="275" customFormat="false" ht="15.75" hidden="false" customHeight="true" outlineLevel="0" collapsed="false">
      <c r="A275" s="20"/>
      <c r="B275" s="211"/>
      <c r="C275" s="211"/>
      <c r="D275" s="211"/>
      <c r="E275" s="211"/>
      <c r="F275" s="211"/>
      <c r="G275" s="211"/>
      <c r="H275" s="211"/>
      <c r="I275" s="211"/>
      <c r="J275" s="211"/>
      <c r="K275" s="211"/>
      <c r="L275" s="13"/>
      <c r="M275" s="13"/>
      <c r="N275" s="13"/>
      <c r="O275" s="153"/>
      <c r="P275" s="154"/>
      <c r="Q275" s="154"/>
      <c r="R275" s="190"/>
      <c r="S275" s="190"/>
      <c r="T275" s="154"/>
      <c r="U275" s="153"/>
      <c r="V275" s="211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</row>
    <row r="276" customFormat="false" ht="15.75" hidden="false" customHeight="true" outlineLevel="0" collapsed="false">
      <c r="A276" s="20"/>
      <c r="B276" s="20"/>
      <c r="C276" s="20"/>
      <c r="D276" s="20"/>
      <c r="E276" s="20"/>
      <c r="F276" s="20"/>
      <c r="G276" s="15"/>
      <c r="H276" s="20"/>
      <c r="I276" s="20"/>
      <c r="J276" s="20"/>
      <c r="K276" s="13"/>
      <c r="L276" s="204"/>
      <c r="M276" s="204"/>
      <c r="N276" s="204"/>
      <c r="O276" s="153"/>
      <c r="P276" s="154"/>
      <c r="Q276" s="154"/>
      <c r="R276" s="153"/>
      <c r="S276" s="153"/>
      <c r="T276" s="154"/>
      <c r="U276" s="153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</row>
    <row r="277" customFormat="false" ht="15.75" hidden="false" customHeight="true" outlineLevel="0" collapsed="false">
      <c r="A277" s="20"/>
      <c r="B277" s="20"/>
      <c r="C277" s="20"/>
      <c r="D277" s="20"/>
      <c r="E277" s="20"/>
      <c r="F277" s="20"/>
      <c r="G277" s="15"/>
      <c r="H277" s="20"/>
      <c r="I277" s="20"/>
      <c r="J277" s="20"/>
      <c r="K277" s="13"/>
      <c r="L277" s="204"/>
      <c r="M277" s="204"/>
      <c r="N277" s="204"/>
      <c r="O277" s="153"/>
      <c r="P277" s="154"/>
      <c r="Q277" s="154"/>
      <c r="R277" s="153"/>
      <c r="S277" s="153"/>
      <c r="T277" s="154"/>
      <c r="U277" s="153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</row>
    <row r="278" customFormat="false" ht="15.75" hidden="false" customHeight="true" outlineLevel="0" collapsed="false">
      <c r="A278" s="20"/>
      <c r="B278" s="20"/>
      <c r="C278" s="20"/>
      <c r="D278" s="20"/>
      <c r="E278" s="20"/>
      <c r="F278" s="20"/>
      <c r="G278" s="15"/>
      <c r="H278" s="20"/>
      <c r="I278" s="20"/>
      <c r="J278" s="20"/>
      <c r="K278" s="13"/>
      <c r="L278" s="13"/>
      <c r="M278" s="13"/>
      <c r="N278" s="13"/>
      <c r="O278" s="153"/>
      <c r="P278" s="154"/>
      <c r="Q278" s="154"/>
      <c r="R278" s="153"/>
      <c r="S278" s="153"/>
      <c r="T278" s="154"/>
      <c r="U278" s="153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</row>
    <row r="279" customFormat="false" ht="15.75" hidden="false" customHeight="true" outlineLevel="0" collapsed="false">
      <c r="A279" s="20"/>
      <c r="B279" s="20"/>
      <c r="C279" s="20"/>
      <c r="D279" s="20"/>
      <c r="E279" s="20"/>
      <c r="F279" s="20"/>
      <c r="G279" s="15"/>
      <c r="H279" s="20"/>
      <c r="I279" s="20"/>
      <c r="J279" s="20"/>
      <c r="K279" s="13"/>
      <c r="L279" s="13"/>
      <c r="M279" s="13"/>
      <c r="N279" s="13"/>
      <c r="O279" s="153"/>
      <c r="P279" s="154"/>
      <c r="Q279" s="154"/>
      <c r="R279" s="153"/>
      <c r="S279" s="153"/>
      <c r="T279" s="154"/>
      <c r="U279" s="153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</row>
    <row r="280" customFormat="false" ht="15.75" hidden="false" customHeight="true" outlineLevel="0" collapsed="false">
      <c r="A280" s="20"/>
      <c r="B280" s="211"/>
      <c r="C280" s="211"/>
      <c r="D280" s="211"/>
      <c r="E280" s="211"/>
      <c r="F280" s="211"/>
      <c r="G280" s="212"/>
      <c r="H280" s="211"/>
      <c r="I280" s="211"/>
      <c r="J280" s="211"/>
      <c r="K280" s="204"/>
      <c r="L280" s="13"/>
      <c r="M280" s="13"/>
      <c r="N280" s="13"/>
      <c r="O280" s="153"/>
      <c r="P280" s="154"/>
      <c r="Q280" s="154"/>
      <c r="R280" s="190"/>
      <c r="S280" s="190"/>
      <c r="T280" s="154"/>
      <c r="U280" s="153"/>
      <c r="V280" s="211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</row>
    <row r="281" customFormat="false" ht="15.75" hidden="false" customHeight="true" outlineLevel="0" collapsed="false">
      <c r="A281" s="20"/>
      <c r="B281" s="211"/>
      <c r="C281" s="211"/>
      <c r="D281" s="211"/>
      <c r="E281" s="211"/>
      <c r="F281" s="211"/>
      <c r="G281" s="211"/>
      <c r="H281" s="211"/>
      <c r="I281" s="211"/>
      <c r="J281" s="211"/>
      <c r="K281" s="211"/>
      <c r="L281" s="13"/>
      <c r="M281" s="13"/>
      <c r="N281" s="13"/>
      <c r="O281" s="153"/>
      <c r="P281" s="154"/>
      <c r="Q281" s="154"/>
      <c r="R281" s="190"/>
      <c r="S281" s="190"/>
      <c r="T281" s="154"/>
      <c r="U281" s="153"/>
      <c r="V281" s="211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</row>
    <row r="282" customFormat="false" ht="15.75" hidden="false" customHeight="true" outlineLevel="0" collapsed="false">
      <c r="A282" s="20"/>
      <c r="B282" s="211"/>
      <c r="C282" s="211"/>
      <c r="D282" s="211"/>
      <c r="E282" s="211"/>
      <c r="F282" s="211"/>
      <c r="G282" s="212"/>
      <c r="H282" s="211"/>
      <c r="I282" s="211"/>
      <c r="J282" s="211"/>
      <c r="K282" s="204"/>
      <c r="L282" s="204"/>
      <c r="M282" s="204"/>
      <c r="N282" s="204"/>
      <c r="O282" s="190"/>
      <c r="P282" s="213"/>
      <c r="Q282" s="213"/>
      <c r="R282" s="190"/>
      <c r="S282" s="190"/>
      <c r="T282" s="154"/>
      <c r="U282" s="153"/>
      <c r="V282" s="211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</row>
    <row r="283" customFormat="false" ht="15.75" hidden="false" customHeight="true" outlineLevel="0" collapsed="false">
      <c r="A283" s="20"/>
      <c r="B283" s="211"/>
      <c r="C283" s="211"/>
      <c r="D283" s="211"/>
      <c r="E283" s="211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211"/>
      <c r="R283" s="211"/>
      <c r="S283" s="211"/>
      <c r="T283" s="154"/>
      <c r="U283" s="153"/>
      <c r="V283" s="211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</row>
    <row r="284" customFormat="false" ht="15.75" hidden="false" customHeight="true" outlineLevel="0" collapsed="false">
      <c r="A284" s="20"/>
      <c r="B284" s="211"/>
      <c r="C284" s="211"/>
      <c r="D284" s="211"/>
      <c r="E284" s="211"/>
      <c r="F284" s="211"/>
      <c r="G284" s="212"/>
      <c r="H284" s="211"/>
      <c r="I284" s="211"/>
      <c r="J284" s="211"/>
      <c r="K284" s="204"/>
      <c r="L284" s="204"/>
      <c r="M284" s="204"/>
      <c r="N284" s="204"/>
      <c r="O284" s="190"/>
      <c r="P284" s="213"/>
      <c r="Q284" s="213"/>
      <c r="R284" s="190"/>
      <c r="S284" s="190"/>
      <c r="T284" s="154"/>
      <c r="U284" s="153"/>
      <c r="V284" s="211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</row>
    <row r="285" customFormat="false" ht="15.75" hidden="false" customHeight="true" outlineLevel="0" collapsed="false">
      <c r="A285" s="20"/>
      <c r="B285" s="211"/>
      <c r="C285" s="211"/>
      <c r="D285" s="211"/>
      <c r="E285" s="211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211"/>
      <c r="R285" s="211"/>
      <c r="S285" s="211"/>
      <c r="T285" s="154"/>
      <c r="U285" s="153"/>
      <c r="V285" s="211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</row>
    <row r="286" customFormat="false" ht="15.75" hidden="false" customHeight="true" outlineLevel="0" collapsed="false">
      <c r="A286" s="20"/>
      <c r="B286" s="20"/>
      <c r="C286" s="20"/>
      <c r="D286" s="20"/>
      <c r="E286" s="20"/>
      <c r="F286" s="20"/>
      <c r="G286" s="15"/>
      <c r="H286" s="20"/>
      <c r="I286" s="20"/>
      <c r="J286" s="20"/>
      <c r="K286" s="13"/>
      <c r="L286" s="204"/>
      <c r="M286" s="204"/>
      <c r="N286" s="204"/>
      <c r="O286" s="190"/>
      <c r="P286" s="213"/>
      <c r="Q286" s="213"/>
      <c r="R286" s="153"/>
      <c r="S286" s="153"/>
      <c r="T286" s="154"/>
      <c r="U286" s="153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</row>
    <row r="287" customFormat="false" ht="15.75" hidden="false" customHeight="true" outlineLevel="0" collapsed="false">
      <c r="A287" s="20"/>
      <c r="B287" s="20"/>
      <c r="C287" s="20"/>
      <c r="D287" s="20"/>
      <c r="E287" s="20"/>
      <c r="F287" s="20"/>
      <c r="G287" s="15"/>
      <c r="H287" s="20"/>
      <c r="I287" s="20"/>
      <c r="J287" s="20"/>
      <c r="K287" s="13"/>
      <c r="L287" s="204"/>
      <c r="M287" s="204"/>
      <c r="N287" s="204"/>
      <c r="O287" s="204"/>
      <c r="P287" s="204"/>
      <c r="Q287" s="204"/>
      <c r="R287" s="153"/>
      <c r="S287" s="153"/>
      <c r="T287" s="154"/>
      <c r="U287" s="153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</row>
    <row r="288" customFormat="false" ht="15.75" hidden="false" customHeight="true" outlineLevel="0" collapsed="false">
      <c r="A288" s="20"/>
      <c r="B288" s="211"/>
      <c r="C288" s="211"/>
      <c r="D288" s="211"/>
      <c r="E288" s="211"/>
      <c r="F288" s="211"/>
      <c r="G288" s="212"/>
      <c r="H288" s="211"/>
      <c r="I288" s="211"/>
      <c r="J288" s="211"/>
      <c r="K288" s="204"/>
      <c r="L288" s="13"/>
      <c r="M288" s="13"/>
      <c r="N288" s="13"/>
      <c r="O288" s="153"/>
      <c r="P288" s="154"/>
      <c r="Q288" s="154"/>
      <c r="R288" s="190"/>
      <c r="S288" s="190"/>
      <c r="T288" s="153"/>
      <c r="U288" s="153"/>
      <c r="V288" s="211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</row>
    <row r="289" customFormat="false" ht="15.75" hidden="false" customHeight="true" outlineLevel="0" collapsed="false">
      <c r="A289" s="20"/>
      <c r="B289" s="211"/>
      <c r="C289" s="211"/>
      <c r="D289" s="211"/>
      <c r="E289" s="211"/>
      <c r="F289" s="211"/>
      <c r="G289" s="211"/>
      <c r="H289" s="211"/>
      <c r="I289" s="211"/>
      <c r="J289" s="211"/>
      <c r="K289" s="211"/>
      <c r="L289" s="13"/>
      <c r="M289" s="13"/>
      <c r="N289" s="13"/>
      <c r="O289" s="153"/>
      <c r="P289" s="154"/>
      <c r="Q289" s="154"/>
      <c r="R289" s="190"/>
      <c r="S289" s="190"/>
      <c r="T289" s="190"/>
      <c r="U289" s="190"/>
      <c r="V289" s="211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</row>
    <row r="290" customFormat="false" ht="15.75" hidden="false" customHeight="true" outlineLevel="0" collapsed="false">
      <c r="A290" s="20"/>
      <c r="B290" s="211"/>
      <c r="C290" s="211"/>
      <c r="D290" s="211"/>
      <c r="E290" s="211"/>
      <c r="F290" s="211"/>
      <c r="G290" s="211"/>
      <c r="H290" s="211"/>
      <c r="I290" s="211"/>
      <c r="J290" s="211"/>
      <c r="K290" s="211"/>
      <c r="L290" s="204"/>
      <c r="M290" s="204"/>
      <c r="N290" s="204"/>
      <c r="O290" s="153"/>
      <c r="P290" s="154"/>
      <c r="Q290" s="154"/>
      <c r="R290" s="190"/>
      <c r="S290" s="190"/>
      <c r="T290" s="190"/>
      <c r="U290" s="190"/>
      <c r="V290" s="19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</row>
    <row r="291" customFormat="false" ht="15.75" hidden="false" customHeight="true" outlineLevel="0" collapsed="false">
      <c r="A291" s="20"/>
      <c r="B291" s="20"/>
      <c r="C291" s="20"/>
      <c r="D291" s="20"/>
      <c r="E291" s="20"/>
      <c r="F291" s="20"/>
      <c r="G291" s="15"/>
      <c r="H291" s="20"/>
      <c r="I291" s="20"/>
      <c r="J291" s="20"/>
      <c r="K291" s="13"/>
      <c r="L291" s="204"/>
      <c r="M291" s="204"/>
      <c r="N291" s="204"/>
      <c r="O291" s="190"/>
      <c r="P291" s="213"/>
      <c r="Q291" s="213"/>
      <c r="R291" s="153"/>
      <c r="S291" s="153"/>
      <c r="T291" s="154"/>
      <c r="U291" s="153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</row>
    <row r="292" customFormat="false" ht="15.75" hidden="false" customHeight="true" outlineLevel="0" collapsed="false">
      <c r="A292" s="20"/>
      <c r="B292" s="137"/>
      <c r="C292" s="137"/>
      <c r="D292" s="137"/>
      <c r="E292" s="137"/>
      <c r="F292" s="137"/>
      <c r="G292" s="219"/>
      <c r="H292" s="137"/>
      <c r="I292" s="137"/>
      <c r="J292" s="137"/>
      <c r="K292" s="220"/>
      <c r="L292" s="204"/>
      <c r="M292" s="204"/>
      <c r="N292" s="204"/>
      <c r="O292" s="204"/>
      <c r="P292" s="204"/>
      <c r="Q292" s="204"/>
      <c r="R292" s="223"/>
      <c r="S292" s="223"/>
      <c r="T292" s="221"/>
      <c r="U292" s="223"/>
      <c r="V292" s="137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</row>
    <row r="293" customFormat="false" ht="15.75" hidden="false" customHeight="true" outlineLevel="0" collapsed="false">
      <c r="A293" s="20"/>
      <c r="B293" s="137"/>
      <c r="C293" s="137"/>
      <c r="D293" s="137"/>
      <c r="E293" s="137"/>
      <c r="F293" s="137"/>
      <c r="G293" s="219"/>
      <c r="H293" s="137"/>
      <c r="I293" s="137"/>
      <c r="J293" s="137"/>
      <c r="K293" s="220"/>
      <c r="L293" s="13"/>
      <c r="M293" s="13"/>
      <c r="N293" s="13"/>
      <c r="O293" s="190"/>
      <c r="P293" s="190"/>
      <c r="Q293" s="190"/>
      <c r="R293" s="223"/>
      <c r="S293" s="223"/>
      <c r="T293" s="221"/>
      <c r="U293" s="223"/>
      <c r="V293" s="137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</row>
    <row r="294" customFormat="false" ht="15.75" hidden="false" customHeight="true" outlineLevel="0" collapsed="false">
      <c r="A294" s="20"/>
      <c r="B294" s="20"/>
      <c r="C294" s="20"/>
      <c r="D294" s="20"/>
      <c r="E294" s="20"/>
      <c r="F294" s="20"/>
      <c r="G294" s="15"/>
      <c r="H294" s="20"/>
      <c r="I294" s="20"/>
      <c r="J294" s="20"/>
      <c r="K294" s="13"/>
      <c r="L294" s="220"/>
      <c r="M294" s="220"/>
      <c r="N294" s="220"/>
      <c r="O294" s="223"/>
      <c r="P294" s="221"/>
      <c r="Q294" s="221"/>
      <c r="R294" s="153"/>
      <c r="S294" s="153"/>
      <c r="T294" s="154"/>
      <c r="U294" s="153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</row>
    <row r="295" customFormat="false" ht="15.75" hidden="false" customHeight="true" outlineLevel="0" collapsed="false">
      <c r="A295" s="20"/>
      <c r="B295" s="20"/>
      <c r="C295" s="20"/>
      <c r="D295" s="20"/>
      <c r="E295" s="20"/>
      <c r="F295" s="20"/>
      <c r="G295" s="15"/>
      <c r="H295" s="20"/>
      <c r="I295" s="20"/>
      <c r="J295" s="20"/>
      <c r="K295" s="13"/>
      <c r="L295" s="220"/>
      <c r="M295" s="220"/>
      <c r="N295" s="220"/>
      <c r="O295" s="223"/>
      <c r="P295" s="221"/>
      <c r="Q295" s="221"/>
      <c r="R295" s="153"/>
      <c r="S295" s="153"/>
      <c r="T295" s="154"/>
      <c r="U295" s="153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</row>
    <row r="296" customFormat="false" ht="15.75" hidden="false" customHeight="true" outlineLevel="0" collapsed="false">
      <c r="A296" s="20"/>
      <c r="B296" s="20"/>
      <c r="C296" s="20"/>
      <c r="D296" s="20"/>
      <c r="E296" s="20"/>
      <c r="F296" s="20"/>
      <c r="G296" s="15"/>
      <c r="H296" s="20"/>
      <c r="I296" s="20"/>
      <c r="J296" s="20"/>
      <c r="K296" s="13"/>
      <c r="L296" s="13"/>
      <c r="M296" s="13"/>
      <c r="N296" s="13"/>
      <c r="O296" s="153"/>
      <c r="P296" s="154"/>
      <c r="Q296" s="154"/>
      <c r="R296" s="153"/>
      <c r="S296" s="153"/>
      <c r="T296" s="154"/>
      <c r="U296" s="153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</row>
    <row r="297" customFormat="false" ht="15.75" hidden="false" customHeight="true" outlineLevel="0" collapsed="false">
      <c r="A297" s="20"/>
      <c r="B297" s="20"/>
      <c r="C297" s="20"/>
      <c r="D297" s="20"/>
      <c r="E297" s="20"/>
      <c r="F297" s="20"/>
      <c r="G297" s="15"/>
      <c r="H297" s="20"/>
      <c r="I297" s="20"/>
      <c r="J297" s="20"/>
      <c r="K297" s="13"/>
      <c r="L297" s="13"/>
      <c r="M297" s="13"/>
      <c r="N297" s="13"/>
      <c r="O297" s="153"/>
      <c r="P297" s="154"/>
      <c r="Q297" s="154"/>
      <c r="R297" s="153"/>
      <c r="S297" s="153"/>
      <c r="T297" s="154"/>
      <c r="U297" s="153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</row>
    <row r="298" customFormat="false" ht="15.75" hidden="false" customHeight="true" outlineLevel="0" collapsed="false">
      <c r="A298" s="20"/>
      <c r="B298" s="20"/>
      <c r="C298" s="20"/>
      <c r="D298" s="20"/>
      <c r="E298" s="20"/>
      <c r="F298" s="20"/>
      <c r="G298" s="15"/>
      <c r="H298" s="20"/>
      <c r="I298" s="20"/>
      <c r="J298" s="20"/>
      <c r="K298" s="13"/>
      <c r="L298" s="13"/>
      <c r="M298" s="13"/>
      <c r="N298" s="13"/>
      <c r="O298" s="153"/>
      <c r="P298" s="154"/>
      <c r="Q298" s="154"/>
      <c r="R298" s="153"/>
      <c r="S298" s="153"/>
      <c r="T298" s="154"/>
      <c r="U298" s="153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</row>
    <row r="299" customFormat="false" ht="15.75" hidden="false" customHeight="true" outlineLevel="0" collapsed="false">
      <c r="A299" s="20"/>
      <c r="B299" s="211"/>
      <c r="C299" s="211"/>
      <c r="D299" s="211"/>
      <c r="E299" s="211"/>
      <c r="F299" s="211"/>
      <c r="G299" s="212"/>
      <c r="H299" s="211"/>
      <c r="I299" s="211"/>
      <c r="J299" s="211"/>
      <c r="K299" s="204"/>
      <c r="L299" s="13"/>
      <c r="M299" s="13"/>
      <c r="N299" s="13"/>
      <c r="O299" s="153"/>
      <c r="P299" s="154"/>
      <c r="Q299" s="154"/>
      <c r="R299" s="190"/>
      <c r="S299" s="190"/>
      <c r="T299" s="154"/>
      <c r="U299" s="153"/>
      <c r="V299" s="211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</row>
    <row r="300" customFormat="false" ht="15.75" hidden="false" customHeight="true" outlineLevel="0" collapsed="false">
      <c r="A300" s="20"/>
      <c r="B300" s="211"/>
      <c r="C300" s="211"/>
      <c r="D300" s="211"/>
      <c r="E300" s="211"/>
      <c r="F300" s="211"/>
      <c r="G300" s="211"/>
      <c r="H300" s="211"/>
      <c r="I300" s="211"/>
      <c r="J300" s="211"/>
      <c r="K300" s="211"/>
      <c r="L300" s="13"/>
      <c r="M300" s="13"/>
      <c r="N300" s="13"/>
      <c r="O300" s="153"/>
      <c r="P300" s="154"/>
      <c r="Q300" s="154"/>
      <c r="R300" s="190"/>
      <c r="S300" s="190"/>
      <c r="T300" s="154"/>
      <c r="U300" s="153"/>
      <c r="V300" s="211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</row>
    <row r="301" customFormat="false" ht="15.75" hidden="false" customHeight="true" outlineLevel="0" collapsed="false">
      <c r="A301" s="20"/>
      <c r="B301" s="20"/>
      <c r="C301" s="20"/>
      <c r="D301" s="20"/>
      <c r="E301" s="20"/>
      <c r="F301" s="20"/>
      <c r="G301" s="15"/>
      <c r="H301" s="20"/>
      <c r="I301" s="20"/>
      <c r="J301" s="20"/>
      <c r="K301" s="13"/>
      <c r="L301" s="204"/>
      <c r="M301" s="204"/>
      <c r="N301" s="204"/>
      <c r="O301" s="190"/>
      <c r="P301" s="213"/>
      <c r="Q301" s="213"/>
      <c r="R301" s="153"/>
      <c r="S301" s="153"/>
      <c r="T301" s="154"/>
      <c r="U301" s="153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</row>
    <row r="302" customFormat="false" ht="15.75" hidden="false" customHeight="true" outlineLevel="0" collapsed="false">
      <c r="A302" s="20"/>
      <c r="B302" s="20"/>
      <c r="C302" s="20"/>
      <c r="D302" s="20"/>
      <c r="E302" s="20"/>
      <c r="F302" s="20"/>
      <c r="G302" s="15"/>
      <c r="H302" s="20"/>
      <c r="I302" s="20"/>
      <c r="J302" s="20"/>
      <c r="K302" s="13"/>
      <c r="L302" s="204"/>
      <c r="M302" s="204"/>
      <c r="N302" s="204"/>
      <c r="O302" s="204"/>
      <c r="P302" s="204"/>
      <c r="Q302" s="204"/>
      <c r="R302" s="153"/>
      <c r="S302" s="153"/>
      <c r="T302" s="154"/>
      <c r="U302" s="153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</row>
    <row r="303" customFormat="false" ht="15.75" hidden="false" customHeight="true" outlineLevel="0" collapsed="false">
      <c r="A303" s="20"/>
      <c r="B303" s="20"/>
      <c r="C303" s="20"/>
      <c r="D303" s="20"/>
      <c r="E303" s="20"/>
      <c r="F303" s="20"/>
      <c r="G303" s="15"/>
      <c r="H303" s="20"/>
      <c r="I303" s="20"/>
      <c r="J303" s="20"/>
      <c r="K303" s="13"/>
      <c r="L303" s="13"/>
      <c r="M303" s="13"/>
      <c r="N303" s="13"/>
      <c r="O303" s="153"/>
      <c r="P303" s="154"/>
      <c r="Q303" s="154"/>
      <c r="R303" s="153"/>
      <c r="S303" s="153"/>
      <c r="T303" s="154"/>
      <c r="U303" s="153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</row>
    <row r="304" customFormat="false" ht="15.75" hidden="false" customHeight="true" outlineLevel="0" collapsed="false">
      <c r="A304" s="20"/>
      <c r="B304" s="137"/>
      <c r="C304" s="137"/>
      <c r="D304" s="137"/>
      <c r="E304" s="137"/>
      <c r="F304" s="137"/>
      <c r="G304" s="219"/>
      <c r="H304" s="137"/>
      <c r="I304" s="137"/>
      <c r="J304" s="137"/>
      <c r="K304" s="220"/>
      <c r="L304" s="13"/>
      <c r="M304" s="13"/>
      <c r="N304" s="13"/>
      <c r="O304" s="153"/>
      <c r="P304" s="154"/>
      <c r="Q304" s="154"/>
      <c r="R304" s="223"/>
      <c r="S304" s="223"/>
      <c r="T304" s="221"/>
      <c r="U304" s="223"/>
      <c r="V304" s="137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</row>
    <row r="305" customFormat="false" ht="15.75" hidden="false" customHeight="true" outlineLevel="0" collapsed="false">
      <c r="A305" s="20"/>
      <c r="B305" s="20"/>
      <c r="C305" s="20"/>
      <c r="D305" s="20"/>
      <c r="E305" s="20"/>
      <c r="F305" s="20"/>
      <c r="G305" s="15"/>
      <c r="H305" s="20"/>
      <c r="I305" s="20"/>
      <c r="J305" s="20"/>
      <c r="K305" s="13"/>
      <c r="L305" s="13"/>
      <c r="M305" s="13"/>
      <c r="N305" s="13"/>
      <c r="O305" s="153"/>
      <c r="P305" s="154"/>
      <c r="Q305" s="154"/>
      <c r="R305" s="153"/>
      <c r="S305" s="153"/>
      <c r="T305" s="154"/>
      <c r="U305" s="153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</row>
    <row r="306" customFormat="false" ht="15.75" hidden="false" customHeight="true" outlineLevel="0" collapsed="false">
      <c r="A306" s="20"/>
      <c r="B306" s="137"/>
      <c r="C306" s="137"/>
      <c r="D306" s="137"/>
      <c r="E306" s="137"/>
      <c r="F306" s="137"/>
      <c r="G306" s="219"/>
      <c r="H306" s="137"/>
      <c r="I306" s="137"/>
      <c r="J306" s="137"/>
      <c r="K306" s="220"/>
      <c r="L306" s="220"/>
      <c r="M306" s="220"/>
      <c r="N306" s="220"/>
      <c r="O306" s="223"/>
      <c r="P306" s="221"/>
      <c r="Q306" s="221"/>
      <c r="R306" s="223"/>
      <c r="S306" s="223"/>
      <c r="T306" s="221"/>
      <c r="U306" s="223"/>
      <c r="V306" s="137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</row>
    <row r="307" customFormat="false" ht="15.75" hidden="false" customHeight="true" outlineLevel="0" collapsed="false">
      <c r="A307" s="20"/>
      <c r="B307" s="20"/>
      <c r="C307" s="20"/>
      <c r="D307" s="20"/>
      <c r="E307" s="20"/>
      <c r="F307" s="20"/>
      <c r="G307" s="15"/>
      <c r="H307" s="20"/>
      <c r="I307" s="20"/>
      <c r="J307" s="20"/>
      <c r="K307" s="13"/>
      <c r="L307" s="13"/>
      <c r="M307" s="13"/>
      <c r="N307" s="13"/>
      <c r="O307" s="153"/>
      <c r="P307" s="154"/>
      <c r="Q307" s="154"/>
      <c r="R307" s="153"/>
      <c r="S307" s="153"/>
      <c r="T307" s="154"/>
      <c r="U307" s="153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</row>
    <row r="308" customFormat="false" ht="15.75" hidden="false" customHeight="true" outlineLevel="0" collapsed="false">
      <c r="A308" s="20"/>
      <c r="B308" s="211"/>
      <c r="C308" s="211"/>
      <c r="D308" s="211"/>
      <c r="E308" s="211"/>
      <c r="F308" s="211"/>
      <c r="G308" s="212"/>
      <c r="H308" s="211"/>
      <c r="I308" s="211"/>
      <c r="J308" s="211"/>
      <c r="K308" s="204"/>
      <c r="L308" s="220"/>
      <c r="M308" s="220"/>
      <c r="N308" s="220"/>
      <c r="O308" s="223"/>
      <c r="P308" s="221"/>
      <c r="Q308" s="221"/>
      <c r="R308" s="190"/>
      <c r="S308" s="190"/>
      <c r="T308" s="154"/>
      <c r="U308" s="153"/>
      <c r="V308" s="211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</row>
    <row r="309" customFormat="false" ht="15.75" hidden="false" customHeight="true" outlineLevel="0" collapsed="false">
      <c r="A309" s="20"/>
      <c r="B309" s="211"/>
      <c r="C309" s="211"/>
      <c r="D309" s="211"/>
      <c r="E309" s="211"/>
      <c r="F309" s="211"/>
      <c r="G309" s="211"/>
      <c r="H309" s="211"/>
      <c r="I309" s="211"/>
      <c r="J309" s="211"/>
      <c r="K309" s="211"/>
      <c r="L309" s="13"/>
      <c r="M309" s="13"/>
      <c r="N309" s="13"/>
      <c r="O309" s="153"/>
      <c r="P309" s="154"/>
      <c r="Q309" s="154"/>
      <c r="R309" s="190"/>
      <c r="S309" s="190"/>
      <c r="T309" s="154"/>
      <c r="U309" s="153"/>
      <c r="V309" s="211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</row>
    <row r="310" customFormat="false" ht="15.75" hidden="false" customHeight="true" outlineLevel="0" collapsed="false">
      <c r="A310" s="20"/>
      <c r="B310" s="211"/>
      <c r="C310" s="211"/>
      <c r="D310" s="211"/>
      <c r="E310" s="211"/>
      <c r="F310" s="211"/>
      <c r="G310" s="212"/>
      <c r="H310" s="211"/>
      <c r="I310" s="211"/>
      <c r="J310" s="211"/>
      <c r="K310" s="204"/>
      <c r="L310" s="204"/>
      <c r="M310" s="204"/>
      <c r="N310" s="204"/>
      <c r="O310" s="190"/>
      <c r="P310" s="213"/>
      <c r="Q310" s="213"/>
      <c r="R310" s="190"/>
      <c r="S310" s="190"/>
      <c r="T310" s="154"/>
      <c r="U310" s="153"/>
      <c r="V310" s="211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</row>
    <row r="311" customFormat="false" ht="15.75" hidden="false" customHeight="true" outlineLevel="0" collapsed="false">
      <c r="A311" s="20"/>
      <c r="B311" s="211"/>
      <c r="C311" s="211"/>
      <c r="D311" s="211"/>
      <c r="E311" s="211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211"/>
      <c r="R311" s="211"/>
      <c r="S311" s="211"/>
      <c r="T311" s="154"/>
      <c r="U311" s="153"/>
      <c r="V311" s="211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</row>
    <row r="312" customFormat="false" ht="15.75" hidden="false" customHeight="true" outlineLevel="0" collapsed="false">
      <c r="A312" s="20"/>
      <c r="B312" s="211"/>
      <c r="C312" s="211"/>
      <c r="D312" s="211"/>
      <c r="E312" s="211"/>
      <c r="F312" s="211"/>
      <c r="G312" s="212"/>
      <c r="H312" s="211"/>
      <c r="I312" s="211"/>
      <c r="J312" s="211"/>
      <c r="K312" s="204"/>
      <c r="L312" s="204"/>
      <c r="M312" s="204"/>
      <c r="N312" s="204"/>
      <c r="O312" s="190"/>
      <c r="P312" s="213"/>
      <c r="Q312" s="213"/>
      <c r="R312" s="190"/>
      <c r="S312" s="190"/>
      <c r="T312" s="154"/>
      <c r="U312" s="153"/>
      <c r="V312" s="211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</row>
    <row r="313" customFormat="false" ht="15.75" hidden="false" customHeight="true" outlineLevel="0" collapsed="false">
      <c r="A313" s="20"/>
      <c r="B313" s="211"/>
      <c r="C313" s="211"/>
      <c r="D313" s="211"/>
      <c r="E313" s="211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211"/>
      <c r="R313" s="211"/>
      <c r="S313" s="211"/>
      <c r="T313" s="154"/>
      <c r="U313" s="153"/>
      <c r="V313" s="211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</row>
    <row r="314" customFormat="false" ht="15.75" hidden="false" customHeight="true" outlineLevel="0" collapsed="false">
      <c r="A314" s="20"/>
      <c r="B314" s="211"/>
      <c r="C314" s="211"/>
      <c r="D314" s="211"/>
      <c r="E314" s="211"/>
      <c r="F314" s="211"/>
      <c r="G314" s="212"/>
      <c r="H314" s="211"/>
      <c r="I314" s="211"/>
      <c r="J314" s="211"/>
      <c r="K314" s="204"/>
      <c r="L314" s="204"/>
      <c r="M314" s="204"/>
      <c r="N314" s="204"/>
      <c r="O314" s="190"/>
      <c r="P314" s="213"/>
      <c r="Q314" s="213"/>
      <c r="R314" s="190"/>
      <c r="S314" s="190"/>
      <c r="T314" s="154"/>
      <c r="U314" s="153"/>
      <c r="V314" s="211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</row>
    <row r="315" customFormat="false" ht="15.75" hidden="false" customHeight="true" outlineLevel="0" collapsed="false">
      <c r="A315" s="20"/>
      <c r="B315" s="211"/>
      <c r="C315" s="211"/>
      <c r="D315" s="211"/>
      <c r="E315" s="211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211"/>
      <c r="R315" s="211"/>
      <c r="S315" s="211"/>
      <c r="T315" s="154"/>
      <c r="U315" s="153"/>
      <c r="V315" s="211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</row>
    <row r="316" customFormat="false" ht="15.75" hidden="false" customHeight="true" outlineLevel="0" collapsed="false">
      <c r="A316" s="20"/>
      <c r="B316" s="211"/>
      <c r="C316" s="211"/>
      <c r="D316" s="211"/>
      <c r="E316" s="211"/>
      <c r="F316" s="211"/>
      <c r="G316" s="212"/>
      <c r="H316" s="211"/>
      <c r="I316" s="211"/>
      <c r="J316" s="211"/>
      <c r="K316" s="204"/>
      <c r="L316" s="204"/>
      <c r="M316" s="204"/>
      <c r="N316" s="204"/>
      <c r="O316" s="190"/>
      <c r="P316" s="213"/>
      <c r="Q316" s="213"/>
      <c r="R316" s="213"/>
      <c r="S316" s="213"/>
      <c r="T316" s="154"/>
      <c r="U316" s="154"/>
      <c r="V316" s="211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</row>
    <row r="317" customFormat="false" ht="15.75" hidden="false" customHeight="true" outlineLevel="0" collapsed="false">
      <c r="A317" s="20"/>
      <c r="B317" s="211"/>
      <c r="C317" s="211"/>
      <c r="D317" s="211"/>
      <c r="E317" s="211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211"/>
      <c r="R317" s="211"/>
      <c r="S317" s="211"/>
      <c r="T317" s="154"/>
      <c r="U317" s="154"/>
      <c r="V317" s="211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</row>
    <row r="318" customFormat="false" ht="15.75" hidden="false" customHeight="true" outlineLevel="0" collapsed="false">
      <c r="A318" s="20"/>
      <c r="B318" s="211"/>
      <c r="C318" s="211"/>
      <c r="D318" s="211"/>
      <c r="E318" s="211"/>
      <c r="F318" s="211"/>
      <c r="G318" s="212"/>
      <c r="H318" s="211"/>
      <c r="I318" s="211"/>
      <c r="J318" s="211"/>
      <c r="K318" s="204"/>
      <c r="L318" s="204"/>
      <c r="M318" s="204"/>
      <c r="N318" s="204"/>
      <c r="O318" s="213"/>
      <c r="P318" s="213"/>
      <c r="Q318" s="213"/>
      <c r="R318" s="213"/>
      <c r="S318" s="213"/>
      <c r="T318" s="154"/>
      <c r="U318" s="153"/>
      <c r="V318" s="211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</row>
    <row r="319" customFormat="false" ht="15.75" hidden="false" customHeight="true" outlineLevel="0" collapsed="false">
      <c r="A319" s="20"/>
      <c r="B319" s="211"/>
      <c r="C319" s="211"/>
      <c r="D319" s="211"/>
      <c r="E319" s="211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211"/>
      <c r="R319" s="211"/>
      <c r="S319" s="211"/>
      <c r="T319" s="154"/>
      <c r="U319" s="153"/>
      <c r="V319" s="211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</row>
    <row r="320" customFormat="false" ht="15.75" hidden="false" customHeight="true" outlineLevel="0" collapsed="false">
      <c r="A320" s="20"/>
      <c r="B320" s="211"/>
      <c r="C320" s="211"/>
      <c r="D320" s="211"/>
      <c r="E320" s="211"/>
      <c r="F320" s="211"/>
      <c r="G320" s="211"/>
      <c r="H320" s="211"/>
      <c r="I320" s="211"/>
      <c r="J320" s="211"/>
      <c r="K320" s="211"/>
      <c r="L320" s="204"/>
      <c r="M320" s="204"/>
      <c r="N320" s="204"/>
      <c r="O320" s="153"/>
      <c r="P320" s="154"/>
      <c r="Q320" s="154"/>
      <c r="R320" s="213"/>
      <c r="S320" s="213"/>
      <c r="T320" s="154"/>
      <c r="U320" s="153"/>
      <c r="V320" s="211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</row>
    <row r="321" customFormat="false" ht="15.75" hidden="false" customHeight="true" outlineLevel="0" collapsed="false">
      <c r="A321" s="20"/>
      <c r="B321" s="20"/>
      <c r="C321" s="20"/>
      <c r="D321" s="20"/>
      <c r="E321" s="20"/>
      <c r="F321" s="20"/>
      <c r="G321" s="15"/>
      <c r="H321" s="20"/>
      <c r="I321" s="20"/>
      <c r="J321" s="20"/>
      <c r="K321" s="13"/>
      <c r="L321" s="204"/>
      <c r="M321" s="204"/>
      <c r="N321" s="204"/>
      <c r="O321" s="190"/>
      <c r="P321" s="213"/>
      <c r="Q321" s="213"/>
      <c r="R321" s="153"/>
      <c r="S321" s="153"/>
      <c r="T321" s="154"/>
      <c r="U321" s="153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</row>
    <row r="322" customFormat="false" ht="15.75" hidden="false" customHeight="true" outlineLevel="0" collapsed="false">
      <c r="A322" s="20"/>
      <c r="B322" s="20"/>
      <c r="C322" s="20"/>
      <c r="D322" s="20"/>
      <c r="E322" s="20"/>
      <c r="F322" s="20"/>
      <c r="G322" s="15"/>
      <c r="H322" s="20"/>
      <c r="I322" s="20"/>
      <c r="J322" s="20"/>
      <c r="K322" s="13"/>
      <c r="L322" s="204"/>
      <c r="M322" s="204"/>
      <c r="N322" s="204"/>
      <c r="O322" s="204"/>
      <c r="P322" s="204"/>
      <c r="Q322" s="204"/>
      <c r="R322" s="153"/>
      <c r="S322" s="153"/>
      <c r="T322" s="154"/>
      <c r="U322" s="153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</row>
    <row r="323" customFormat="false" ht="15.75" hidden="false" customHeight="true" outlineLevel="0" collapsed="false">
      <c r="A323" s="20"/>
      <c r="B323" s="20"/>
      <c r="C323" s="20"/>
      <c r="D323" s="20"/>
      <c r="E323" s="20"/>
      <c r="F323" s="20"/>
      <c r="G323" s="15"/>
      <c r="H323" s="20"/>
      <c r="I323" s="20"/>
      <c r="J323" s="20"/>
      <c r="K323" s="13"/>
      <c r="L323" s="13"/>
      <c r="M323" s="13"/>
      <c r="N323" s="13"/>
      <c r="O323" s="154"/>
      <c r="P323" s="154"/>
      <c r="Q323" s="154"/>
      <c r="R323" s="154"/>
      <c r="S323" s="154"/>
      <c r="T323" s="154"/>
      <c r="U323" s="154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</row>
    <row r="324" customFormat="false" ht="15.75" hidden="false" customHeight="true" outlineLevel="0" collapsed="false">
      <c r="A324" s="20"/>
      <c r="B324" s="137"/>
      <c r="C324" s="137"/>
      <c r="D324" s="222"/>
      <c r="E324" s="137"/>
      <c r="F324" s="222"/>
      <c r="G324" s="225"/>
      <c r="H324" s="222"/>
      <c r="I324" s="222"/>
      <c r="J324" s="222"/>
      <c r="K324" s="220"/>
      <c r="L324" s="13"/>
      <c r="M324" s="13"/>
      <c r="N324" s="13"/>
      <c r="O324" s="154"/>
      <c r="P324" s="154"/>
      <c r="Q324" s="154"/>
      <c r="R324" s="223"/>
      <c r="S324" s="223"/>
      <c r="T324" s="224"/>
      <c r="U324" s="223"/>
      <c r="V324" s="222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</row>
    <row r="325" customFormat="false" ht="15.75" hidden="false" customHeight="true" outlineLevel="0" collapsed="false">
      <c r="A325" s="20"/>
      <c r="B325" s="137"/>
      <c r="C325" s="137"/>
      <c r="D325" s="222"/>
      <c r="E325" s="137"/>
      <c r="F325" s="222"/>
      <c r="G325" s="222"/>
      <c r="H325" s="222"/>
      <c r="I325" s="222"/>
      <c r="J325" s="222"/>
      <c r="K325" s="220"/>
      <c r="L325" s="13"/>
      <c r="M325" s="13"/>
      <c r="N325" s="13"/>
      <c r="O325" s="154"/>
      <c r="P325" s="154"/>
      <c r="Q325" s="154"/>
      <c r="R325" s="223"/>
      <c r="S325" s="223"/>
      <c r="T325" s="224"/>
      <c r="U325" s="223"/>
      <c r="V325" s="222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</row>
    <row r="326" customFormat="false" ht="15.75" hidden="false" customHeight="true" outlineLevel="0" collapsed="false">
      <c r="A326" s="20"/>
      <c r="B326" s="20"/>
      <c r="C326" s="20"/>
      <c r="D326" s="20"/>
      <c r="E326" s="20"/>
      <c r="F326" s="211"/>
      <c r="G326" s="212"/>
      <c r="H326" s="211"/>
      <c r="I326" s="211"/>
      <c r="J326" s="211"/>
      <c r="K326" s="13"/>
      <c r="L326" s="220"/>
      <c r="M326" s="220"/>
      <c r="N326" s="220"/>
      <c r="O326" s="223"/>
      <c r="P326" s="224"/>
      <c r="Q326" s="224"/>
      <c r="R326" s="153"/>
      <c r="S326" s="153"/>
      <c r="T326" s="213"/>
      <c r="U326" s="153"/>
      <c r="V326" s="211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</row>
    <row r="327" customFormat="false" ht="15.75" hidden="false" customHeight="true" outlineLevel="0" collapsed="false">
      <c r="A327" s="20"/>
      <c r="B327" s="20"/>
      <c r="C327" s="20"/>
      <c r="D327" s="20"/>
      <c r="E327" s="20"/>
      <c r="F327" s="211"/>
      <c r="G327" s="211"/>
      <c r="H327" s="211"/>
      <c r="I327" s="211"/>
      <c r="J327" s="211"/>
      <c r="K327" s="13"/>
      <c r="L327" s="220"/>
      <c r="M327" s="220"/>
      <c r="N327" s="220"/>
      <c r="O327" s="223"/>
      <c r="P327" s="224"/>
      <c r="Q327" s="224"/>
      <c r="R327" s="153"/>
      <c r="S327" s="153"/>
      <c r="T327" s="213"/>
      <c r="U327" s="153"/>
      <c r="V327" s="211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</row>
    <row r="328" customFormat="false" ht="15.75" hidden="false" customHeight="true" outlineLevel="0" collapsed="false">
      <c r="A328" s="20"/>
      <c r="B328" s="137"/>
      <c r="C328" s="137"/>
      <c r="D328" s="222"/>
      <c r="E328" s="137"/>
      <c r="F328" s="222"/>
      <c r="G328" s="225"/>
      <c r="H328" s="222"/>
      <c r="I328" s="222"/>
      <c r="J328" s="222"/>
      <c r="K328" s="220"/>
      <c r="L328" s="13"/>
      <c r="M328" s="13"/>
      <c r="N328" s="13"/>
      <c r="O328" s="153"/>
      <c r="P328" s="213"/>
      <c r="Q328" s="213"/>
      <c r="R328" s="223"/>
      <c r="S328" s="223"/>
      <c r="T328" s="224"/>
      <c r="U328" s="223"/>
      <c r="V328" s="222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</row>
    <row r="329" customFormat="false" ht="15.75" hidden="false" customHeight="true" outlineLevel="0" collapsed="false">
      <c r="A329" s="20"/>
      <c r="B329" s="137"/>
      <c r="C329" s="137"/>
      <c r="D329" s="222"/>
      <c r="E329" s="137"/>
      <c r="F329" s="222"/>
      <c r="G329" s="222"/>
      <c r="H329" s="222"/>
      <c r="I329" s="222"/>
      <c r="J329" s="222"/>
      <c r="K329" s="220"/>
      <c r="L329" s="13"/>
      <c r="M329" s="13"/>
      <c r="N329" s="13"/>
      <c r="O329" s="153"/>
      <c r="P329" s="213"/>
      <c r="Q329" s="213"/>
      <c r="R329" s="223"/>
      <c r="S329" s="223"/>
      <c r="T329" s="224"/>
      <c r="U329" s="223"/>
      <c r="V329" s="222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</row>
    <row r="330" customFormat="false" ht="15.75" hidden="false" customHeight="true" outlineLevel="0" collapsed="false">
      <c r="A330" s="20"/>
      <c r="B330" s="20"/>
      <c r="C330" s="20"/>
      <c r="D330" s="211"/>
      <c r="E330" s="20"/>
      <c r="F330" s="211"/>
      <c r="G330" s="212"/>
      <c r="H330" s="211"/>
      <c r="I330" s="211"/>
      <c r="J330" s="211"/>
      <c r="K330" s="13"/>
      <c r="L330" s="220"/>
      <c r="M330" s="137"/>
      <c r="N330" s="220"/>
      <c r="O330" s="223"/>
      <c r="P330" s="224"/>
      <c r="Q330" s="224"/>
      <c r="R330" s="153"/>
      <c r="S330" s="153"/>
      <c r="T330" s="213"/>
      <c r="U330" s="153"/>
      <c r="V330" s="211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</row>
    <row r="331" customFormat="false" ht="15.75" hidden="false" customHeight="true" outlineLevel="0" collapsed="false">
      <c r="A331" s="20"/>
      <c r="B331" s="20"/>
      <c r="C331" s="20"/>
      <c r="D331" s="211"/>
      <c r="E331" s="20"/>
      <c r="F331" s="211"/>
      <c r="G331" s="211"/>
      <c r="H331" s="211"/>
      <c r="I331" s="211"/>
      <c r="J331" s="211"/>
      <c r="K331" s="13"/>
      <c r="L331" s="220"/>
      <c r="M331" s="137"/>
      <c r="N331" s="220"/>
      <c r="O331" s="223"/>
      <c r="P331" s="224"/>
      <c r="Q331" s="224"/>
      <c r="R331" s="153"/>
      <c r="S331" s="153"/>
      <c r="T331" s="213"/>
      <c r="U331" s="153"/>
      <c r="V331" s="211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</row>
    <row r="332" customFormat="false" ht="15.75" hidden="false" customHeight="true" outlineLevel="0" collapsed="false">
      <c r="A332" s="20"/>
      <c r="B332" s="20"/>
      <c r="C332" s="20"/>
      <c r="D332" s="211"/>
      <c r="E332" s="20"/>
      <c r="F332" s="211"/>
      <c r="G332" s="211"/>
      <c r="H332" s="211"/>
      <c r="I332" s="211"/>
      <c r="J332" s="211"/>
      <c r="K332" s="13"/>
      <c r="L332" s="13"/>
      <c r="M332" s="13"/>
      <c r="N332" s="13"/>
      <c r="O332" s="153"/>
      <c r="P332" s="213"/>
      <c r="Q332" s="213"/>
      <c r="R332" s="153"/>
      <c r="S332" s="153"/>
      <c r="T332" s="213"/>
      <c r="U332" s="153"/>
      <c r="V332" s="211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</row>
    <row r="333" customFormat="false" ht="15.75" hidden="false" customHeight="true" outlineLevel="0" collapsed="false">
      <c r="A333" s="20"/>
      <c r="B333" s="137"/>
      <c r="C333" s="137"/>
      <c r="D333" s="137"/>
      <c r="E333" s="137"/>
      <c r="F333" s="137"/>
      <c r="G333" s="219"/>
      <c r="H333" s="137"/>
      <c r="I333" s="137"/>
      <c r="J333" s="137"/>
      <c r="K333" s="220"/>
      <c r="L333" s="13"/>
      <c r="M333" s="13"/>
      <c r="N333" s="13"/>
      <c r="O333" s="153"/>
      <c r="P333" s="213"/>
      <c r="Q333" s="213"/>
      <c r="R333" s="223"/>
      <c r="S333" s="223"/>
      <c r="T333" s="221"/>
      <c r="U333" s="223"/>
      <c r="V333" s="137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</row>
    <row r="334" customFormat="false" ht="15.75" hidden="false" customHeight="true" outlineLevel="0" collapsed="false">
      <c r="A334" s="20"/>
      <c r="B334" s="20"/>
      <c r="C334" s="20"/>
      <c r="D334" s="20"/>
      <c r="E334" s="20"/>
      <c r="F334" s="20"/>
      <c r="G334" s="15"/>
      <c r="H334" s="20"/>
      <c r="I334" s="20"/>
      <c r="J334" s="20"/>
      <c r="K334" s="13"/>
      <c r="L334" s="13"/>
      <c r="M334" s="13"/>
      <c r="N334" s="13"/>
      <c r="O334" s="153"/>
      <c r="P334" s="213"/>
      <c r="Q334" s="213"/>
      <c r="R334" s="153"/>
      <c r="S334" s="153"/>
      <c r="T334" s="154"/>
      <c r="U334" s="153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</row>
    <row r="335" customFormat="false" ht="15.75" hidden="false" customHeight="true" outlineLevel="0" collapsed="false">
      <c r="A335" s="20"/>
      <c r="B335" s="137"/>
      <c r="C335" s="137"/>
      <c r="D335" s="137"/>
      <c r="E335" s="137"/>
      <c r="F335" s="137"/>
      <c r="G335" s="219"/>
      <c r="H335" s="137"/>
      <c r="I335" s="137"/>
      <c r="J335" s="137"/>
      <c r="K335" s="220"/>
      <c r="L335" s="220"/>
      <c r="M335" s="220"/>
      <c r="N335" s="220"/>
      <c r="O335" s="223"/>
      <c r="P335" s="221"/>
      <c r="Q335" s="221"/>
      <c r="R335" s="223"/>
      <c r="S335" s="223"/>
      <c r="T335" s="221"/>
      <c r="U335" s="223"/>
      <c r="V335" s="137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</row>
    <row r="336" customFormat="false" ht="15.75" hidden="false" customHeight="true" outlineLevel="0" collapsed="false">
      <c r="A336" s="20"/>
      <c r="B336" s="20"/>
      <c r="C336" s="20"/>
      <c r="D336" s="20"/>
      <c r="E336" s="20"/>
      <c r="F336" s="20"/>
      <c r="G336" s="15"/>
      <c r="H336" s="20"/>
      <c r="I336" s="20"/>
      <c r="J336" s="20"/>
      <c r="K336" s="13"/>
      <c r="L336" s="13"/>
      <c r="M336" s="13"/>
      <c r="N336" s="13"/>
      <c r="O336" s="153"/>
      <c r="P336" s="154"/>
      <c r="Q336" s="154"/>
      <c r="R336" s="153"/>
      <c r="S336" s="153"/>
      <c r="T336" s="154"/>
      <c r="U336" s="153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</row>
    <row r="337" customFormat="false" ht="15.75" hidden="false" customHeight="true" outlineLevel="0" collapsed="false">
      <c r="A337" s="20"/>
      <c r="B337" s="137"/>
      <c r="C337" s="137"/>
      <c r="D337" s="137"/>
      <c r="E337" s="137"/>
      <c r="F337" s="137"/>
      <c r="G337" s="219"/>
      <c r="H337" s="137"/>
      <c r="I337" s="137"/>
      <c r="J337" s="137"/>
      <c r="K337" s="220"/>
      <c r="L337" s="220"/>
      <c r="M337" s="220"/>
      <c r="N337" s="220"/>
      <c r="O337" s="223"/>
      <c r="P337" s="221"/>
      <c r="Q337" s="221"/>
      <c r="R337" s="223"/>
      <c r="S337" s="223"/>
      <c r="T337" s="221"/>
      <c r="U337" s="223"/>
      <c r="V337" s="137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</row>
    <row r="338" customFormat="false" ht="15.75" hidden="false" customHeight="true" outlineLevel="0" collapsed="false">
      <c r="A338" s="20"/>
      <c r="B338" s="211"/>
      <c r="C338" s="211"/>
      <c r="D338" s="211"/>
      <c r="E338" s="211"/>
      <c r="F338" s="211"/>
      <c r="G338" s="212"/>
      <c r="H338" s="211"/>
      <c r="I338" s="211"/>
      <c r="J338" s="211"/>
      <c r="K338" s="204"/>
      <c r="L338" s="13"/>
      <c r="M338" s="13"/>
      <c r="N338" s="13"/>
      <c r="O338" s="153"/>
      <c r="P338" s="154"/>
      <c r="Q338" s="154"/>
      <c r="R338" s="190"/>
      <c r="S338" s="190"/>
      <c r="T338" s="154"/>
      <c r="U338" s="153"/>
      <c r="V338" s="211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</row>
    <row r="339" customFormat="false" ht="15.75" hidden="false" customHeight="true" outlineLevel="0" collapsed="false">
      <c r="A339" s="20"/>
      <c r="B339" s="211"/>
      <c r="C339" s="211"/>
      <c r="D339" s="211"/>
      <c r="E339" s="211"/>
      <c r="F339" s="211"/>
      <c r="G339" s="211"/>
      <c r="H339" s="211"/>
      <c r="I339" s="211"/>
      <c r="J339" s="211"/>
      <c r="K339" s="211"/>
      <c r="L339" s="220"/>
      <c r="M339" s="220"/>
      <c r="N339" s="220"/>
      <c r="O339" s="223"/>
      <c r="P339" s="221"/>
      <c r="Q339" s="221"/>
      <c r="R339" s="190"/>
      <c r="S339" s="190"/>
      <c r="T339" s="154"/>
      <c r="U339" s="153"/>
      <c r="V339" s="211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</row>
    <row r="340" customFormat="false" ht="15.75" hidden="false" customHeight="true" outlineLevel="0" collapsed="false">
      <c r="A340" s="20"/>
      <c r="B340" s="137"/>
      <c r="C340" s="137"/>
      <c r="D340" s="137"/>
      <c r="E340" s="137"/>
      <c r="F340" s="137"/>
      <c r="G340" s="219"/>
      <c r="H340" s="137"/>
      <c r="I340" s="137"/>
      <c r="J340" s="137"/>
      <c r="K340" s="220"/>
      <c r="L340" s="204"/>
      <c r="M340" s="204"/>
      <c r="N340" s="204"/>
      <c r="O340" s="190"/>
      <c r="P340" s="213"/>
      <c r="Q340" s="213"/>
      <c r="R340" s="223"/>
      <c r="S340" s="223"/>
      <c r="T340" s="221"/>
      <c r="U340" s="223"/>
      <c r="V340" s="137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</row>
    <row r="341" customFormat="false" ht="15.75" hidden="false" customHeight="true" outlineLevel="0" collapsed="false">
      <c r="A341" s="20"/>
      <c r="B341" s="137"/>
      <c r="C341" s="137"/>
      <c r="D341" s="137"/>
      <c r="E341" s="137"/>
      <c r="F341" s="137"/>
      <c r="G341" s="219"/>
      <c r="H341" s="137"/>
      <c r="I341" s="137"/>
      <c r="J341" s="137"/>
      <c r="K341" s="220"/>
      <c r="L341" s="204"/>
      <c r="M341" s="204"/>
      <c r="N341" s="204"/>
      <c r="O341" s="204"/>
      <c r="P341" s="204"/>
      <c r="Q341" s="204"/>
      <c r="R341" s="223"/>
      <c r="S341" s="223"/>
      <c r="T341" s="221"/>
      <c r="U341" s="223"/>
      <c r="V341" s="137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</row>
    <row r="342" customFormat="false" ht="15.75" hidden="false" customHeight="true" outlineLevel="0" collapsed="false">
      <c r="A342" s="20"/>
      <c r="B342" s="211"/>
      <c r="C342" s="211"/>
      <c r="D342" s="211"/>
      <c r="E342" s="211"/>
      <c r="F342" s="211"/>
      <c r="G342" s="212"/>
      <c r="H342" s="211"/>
      <c r="I342" s="211"/>
      <c r="J342" s="211"/>
      <c r="K342" s="204"/>
      <c r="L342" s="220"/>
      <c r="M342" s="220"/>
      <c r="N342" s="220"/>
      <c r="O342" s="223"/>
      <c r="P342" s="221"/>
      <c r="Q342" s="221"/>
      <c r="R342" s="190"/>
      <c r="S342" s="190"/>
      <c r="T342" s="154"/>
      <c r="U342" s="153"/>
      <c r="V342" s="211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</row>
    <row r="343" customFormat="false" ht="15.75" hidden="false" customHeight="true" outlineLevel="0" collapsed="false">
      <c r="A343" s="20"/>
      <c r="B343" s="211"/>
      <c r="C343" s="211"/>
      <c r="D343" s="211"/>
      <c r="E343" s="211"/>
      <c r="F343" s="211"/>
      <c r="G343" s="211"/>
      <c r="H343" s="211"/>
      <c r="I343" s="211"/>
      <c r="J343" s="211"/>
      <c r="K343" s="211"/>
      <c r="L343" s="220"/>
      <c r="M343" s="220"/>
      <c r="N343" s="220"/>
      <c r="O343" s="223"/>
      <c r="P343" s="221"/>
      <c r="Q343" s="221"/>
      <c r="R343" s="190"/>
      <c r="S343" s="190"/>
      <c r="T343" s="154"/>
      <c r="U343" s="153"/>
      <c r="V343" s="211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</row>
    <row r="344" customFormat="false" ht="15.75" hidden="false" customHeight="true" outlineLevel="0" collapsed="false">
      <c r="A344" s="20"/>
      <c r="B344" s="211"/>
      <c r="C344" s="211"/>
      <c r="D344" s="211"/>
      <c r="E344" s="211"/>
      <c r="F344" s="211"/>
      <c r="G344" s="212"/>
      <c r="H344" s="211"/>
      <c r="I344" s="211"/>
      <c r="J344" s="211"/>
      <c r="K344" s="204"/>
      <c r="L344" s="204"/>
      <c r="M344" s="204"/>
      <c r="N344" s="204"/>
      <c r="O344" s="190"/>
      <c r="P344" s="213"/>
      <c r="Q344" s="213"/>
      <c r="R344" s="190"/>
      <c r="S344" s="190"/>
      <c r="T344" s="154"/>
      <c r="U344" s="153"/>
      <c r="V344" s="211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</row>
    <row r="345" customFormat="false" ht="15.75" hidden="false" customHeight="true" outlineLevel="0" collapsed="false">
      <c r="A345" s="20"/>
      <c r="B345" s="211"/>
      <c r="C345" s="211"/>
      <c r="D345" s="211"/>
      <c r="E345" s="211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211"/>
      <c r="R345" s="211"/>
      <c r="S345" s="211"/>
      <c r="T345" s="154"/>
      <c r="U345" s="153"/>
      <c r="V345" s="211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</row>
    <row r="346" customFormat="false" ht="15.75" hidden="false" customHeight="true" outlineLevel="0" collapsed="false">
      <c r="A346" s="20"/>
      <c r="B346" s="20"/>
      <c r="C346" s="20"/>
      <c r="D346" s="20"/>
      <c r="E346" s="20"/>
      <c r="F346" s="20"/>
      <c r="G346" s="15"/>
      <c r="H346" s="20"/>
      <c r="I346" s="20"/>
      <c r="J346" s="20"/>
      <c r="K346" s="13"/>
      <c r="L346" s="204"/>
      <c r="M346" s="204"/>
      <c r="N346" s="204"/>
      <c r="O346" s="190"/>
      <c r="P346" s="213"/>
      <c r="Q346" s="213"/>
      <c r="R346" s="154"/>
      <c r="S346" s="154"/>
      <c r="T346" s="154"/>
      <c r="U346" s="154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</row>
    <row r="347" customFormat="false" ht="15.75" hidden="false" customHeight="true" outlineLevel="0" collapsed="false">
      <c r="A347" s="20"/>
      <c r="B347" s="20"/>
      <c r="C347" s="20"/>
      <c r="D347" s="20"/>
      <c r="E347" s="20"/>
      <c r="F347" s="20"/>
      <c r="G347" s="15"/>
      <c r="H347" s="20"/>
      <c r="I347" s="20"/>
      <c r="J347" s="20"/>
      <c r="K347" s="13"/>
      <c r="L347" s="204"/>
      <c r="M347" s="204"/>
      <c r="N347" s="204"/>
      <c r="O347" s="204"/>
      <c r="P347" s="204"/>
      <c r="Q347" s="204"/>
      <c r="R347" s="154"/>
      <c r="S347" s="154"/>
      <c r="T347" s="154"/>
      <c r="U347" s="154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</row>
    <row r="348" customFormat="false" ht="15.75" hidden="false" customHeight="true" outlineLevel="0" collapsed="false">
      <c r="A348" s="20"/>
      <c r="B348" s="20"/>
      <c r="C348" s="20"/>
      <c r="D348" s="20"/>
      <c r="E348" s="20"/>
      <c r="F348" s="20"/>
      <c r="G348" s="15"/>
      <c r="H348" s="20"/>
      <c r="I348" s="20"/>
      <c r="J348" s="20"/>
      <c r="K348" s="13"/>
      <c r="L348" s="13"/>
      <c r="M348" s="13"/>
      <c r="N348" s="13"/>
      <c r="O348" s="153"/>
      <c r="P348" s="154"/>
      <c r="Q348" s="154"/>
      <c r="R348" s="154"/>
      <c r="S348" s="154"/>
      <c r="T348" s="154"/>
      <c r="U348" s="154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</row>
    <row r="349" customFormat="false" ht="15.75" hidden="false" customHeight="true" outlineLevel="0" collapsed="false">
      <c r="A349" s="20"/>
      <c r="B349" s="20"/>
      <c r="C349" s="20"/>
      <c r="D349" s="20"/>
      <c r="E349" s="20"/>
      <c r="F349" s="20"/>
      <c r="G349" s="15"/>
      <c r="H349" s="20"/>
      <c r="I349" s="20"/>
      <c r="J349" s="20"/>
      <c r="K349" s="13"/>
      <c r="L349" s="13"/>
      <c r="M349" s="13"/>
      <c r="N349" s="13"/>
      <c r="O349" s="153"/>
      <c r="P349" s="154"/>
      <c r="Q349" s="154"/>
      <c r="R349" s="154"/>
      <c r="S349" s="154"/>
      <c r="T349" s="154"/>
      <c r="U349" s="154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</row>
    <row r="350" customFormat="false" ht="15.75" hidden="false" customHeight="true" outlineLevel="0" collapsed="false">
      <c r="A350" s="20"/>
      <c r="B350" s="211"/>
      <c r="C350" s="211"/>
      <c r="D350" s="211"/>
      <c r="E350" s="211"/>
      <c r="F350" s="211"/>
      <c r="G350" s="212"/>
      <c r="H350" s="211"/>
      <c r="I350" s="211"/>
      <c r="J350" s="211"/>
      <c r="K350" s="204"/>
      <c r="L350" s="13"/>
      <c r="M350" s="13"/>
      <c r="N350" s="13"/>
      <c r="O350" s="153"/>
      <c r="P350" s="154"/>
      <c r="Q350" s="154"/>
      <c r="R350" s="190"/>
      <c r="S350" s="190"/>
      <c r="T350" s="154"/>
      <c r="U350" s="153"/>
      <c r="V350" s="211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</row>
    <row r="351" customFormat="false" ht="15.75" hidden="false" customHeight="true" outlineLevel="0" collapsed="false">
      <c r="A351" s="20"/>
      <c r="B351" s="211"/>
      <c r="C351" s="211"/>
      <c r="D351" s="211"/>
      <c r="E351" s="211"/>
      <c r="F351" s="211"/>
      <c r="G351" s="211"/>
      <c r="H351" s="211"/>
      <c r="I351" s="211"/>
      <c r="J351" s="211"/>
      <c r="K351" s="211"/>
      <c r="L351" s="13"/>
      <c r="M351" s="13"/>
      <c r="N351" s="13"/>
      <c r="O351" s="153"/>
      <c r="P351" s="154"/>
      <c r="Q351" s="154"/>
      <c r="R351" s="190"/>
      <c r="S351" s="190"/>
      <c r="T351" s="154"/>
      <c r="U351" s="153"/>
      <c r="V351" s="211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</row>
    <row r="352" customFormat="false" ht="15.75" hidden="false" customHeight="true" outlineLevel="0" collapsed="false">
      <c r="A352" s="20"/>
      <c r="B352" s="20"/>
      <c r="C352" s="20"/>
      <c r="D352" s="20"/>
      <c r="E352" s="20"/>
      <c r="F352" s="20"/>
      <c r="G352" s="15"/>
      <c r="H352" s="20"/>
      <c r="I352" s="20"/>
      <c r="J352" s="20"/>
      <c r="K352" s="13"/>
      <c r="L352" s="204"/>
      <c r="M352" s="204"/>
      <c r="N352" s="204"/>
      <c r="O352" s="190"/>
      <c r="P352" s="213"/>
      <c r="Q352" s="213"/>
      <c r="R352" s="154"/>
      <c r="S352" s="154"/>
      <c r="T352" s="154"/>
      <c r="U352" s="154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</row>
    <row r="353" customFormat="false" ht="15.75" hidden="false" customHeight="true" outlineLevel="0" collapsed="false">
      <c r="A353" s="20"/>
      <c r="B353" s="211"/>
      <c r="C353" s="211"/>
      <c r="D353" s="211"/>
      <c r="E353" s="211"/>
      <c r="F353" s="211"/>
      <c r="G353" s="212"/>
      <c r="H353" s="211"/>
      <c r="I353" s="211"/>
      <c r="J353" s="211"/>
      <c r="K353" s="204"/>
      <c r="L353" s="204"/>
      <c r="M353" s="204"/>
      <c r="N353" s="204"/>
      <c r="O353" s="204"/>
      <c r="P353" s="204"/>
      <c r="Q353" s="204"/>
      <c r="R353" s="190"/>
      <c r="S353" s="190"/>
      <c r="T353" s="154"/>
      <c r="U353" s="153"/>
      <c r="V353" s="211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</row>
    <row r="354" customFormat="false" ht="15.75" hidden="false" customHeight="true" outlineLevel="0" collapsed="false">
      <c r="A354" s="20"/>
      <c r="B354" s="211"/>
      <c r="C354" s="211"/>
      <c r="D354" s="211"/>
      <c r="E354" s="211"/>
      <c r="F354" s="211"/>
      <c r="G354" s="211"/>
      <c r="H354" s="211"/>
      <c r="I354" s="211"/>
      <c r="J354" s="211"/>
      <c r="K354" s="211"/>
      <c r="L354" s="13"/>
      <c r="M354" s="13"/>
      <c r="N354" s="13"/>
      <c r="O354" s="153"/>
      <c r="P354" s="154"/>
      <c r="Q354" s="154"/>
      <c r="R354" s="190"/>
      <c r="S354" s="190"/>
      <c r="T354" s="154"/>
      <c r="U354" s="153"/>
      <c r="V354" s="211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</row>
    <row r="355" customFormat="false" ht="15.75" hidden="false" customHeight="true" outlineLevel="0" collapsed="false">
      <c r="A355" s="20"/>
      <c r="B355" s="20"/>
      <c r="C355" s="20"/>
      <c r="D355" s="20"/>
      <c r="E355" s="20"/>
      <c r="F355" s="20"/>
      <c r="G355" s="15"/>
      <c r="H355" s="20"/>
      <c r="I355" s="20"/>
      <c r="J355" s="20"/>
      <c r="K355" s="13"/>
      <c r="L355" s="204"/>
      <c r="M355" s="204"/>
      <c r="N355" s="204"/>
      <c r="O355" s="190"/>
      <c r="P355" s="213"/>
      <c r="Q355" s="213"/>
      <c r="R355" s="154"/>
      <c r="S355" s="154"/>
      <c r="T355" s="154"/>
      <c r="U355" s="154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</row>
    <row r="356" customFormat="false" ht="15.75" hidden="false" customHeight="true" outlineLevel="0" collapsed="false">
      <c r="A356" s="20"/>
      <c r="B356" s="20"/>
      <c r="C356" s="20"/>
      <c r="D356" s="20"/>
      <c r="E356" s="20"/>
      <c r="F356" s="20"/>
      <c r="G356" s="15"/>
      <c r="H356" s="20"/>
      <c r="I356" s="20"/>
      <c r="J356" s="20"/>
      <c r="K356" s="13"/>
      <c r="L356" s="204"/>
      <c r="M356" s="204"/>
      <c r="N356" s="204"/>
      <c r="O356" s="204"/>
      <c r="P356" s="204"/>
      <c r="Q356" s="204"/>
      <c r="R356" s="154"/>
      <c r="S356" s="154"/>
      <c r="T356" s="154"/>
      <c r="U356" s="154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</row>
    <row r="357" customFormat="false" ht="15.75" hidden="false" customHeight="true" outlineLevel="0" collapsed="false">
      <c r="A357" s="137"/>
      <c r="B357" s="137"/>
      <c r="C357" s="137"/>
      <c r="D357" s="137"/>
      <c r="E357" s="137"/>
      <c r="F357" s="137"/>
      <c r="G357" s="219"/>
      <c r="H357" s="137"/>
      <c r="I357" s="137"/>
      <c r="J357" s="137"/>
      <c r="K357" s="220"/>
      <c r="L357" s="13"/>
      <c r="M357" s="13"/>
      <c r="N357" s="13"/>
      <c r="O357" s="153"/>
      <c r="P357" s="154"/>
      <c r="Q357" s="154"/>
      <c r="R357" s="154"/>
      <c r="S357" s="154"/>
      <c r="T357" s="221"/>
      <c r="U357" s="154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7"/>
      <c r="AF357" s="137"/>
      <c r="AG357" s="137"/>
      <c r="AH357" s="137"/>
      <c r="AI357" s="137"/>
      <c r="AJ357" s="137"/>
      <c r="AK357" s="137"/>
      <c r="AL357" s="137"/>
      <c r="AM357" s="137"/>
      <c r="AN357" s="137"/>
      <c r="AO357" s="137"/>
      <c r="AP357" s="137"/>
      <c r="AQ357" s="137"/>
      <c r="AR357" s="137"/>
    </row>
    <row r="358" customFormat="false" ht="15.75" hidden="false" customHeight="true" outlineLevel="0" collapsed="false">
      <c r="A358" s="20"/>
      <c r="B358" s="20"/>
      <c r="C358" s="20"/>
      <c r="D358" s="20"/>
      <c r="E358" s="20"/>
      <c r="F358" s="20"/>
      <c r="G358" s="15"/>
      <c r="H358" s="20"/>
      <c r="I358" s="20"/>
      <c r="J358" s="20"/>
      <c r="K358" s="13"/>
      <c r="L358" s="13"/>
      <c r="M358" s="13"/>
      <c r="N358" s="13"/>
      <c r="O358" s="153"/>
      <c r="P358" s="154"/>
      <c r="Q358" s="154"/>
      <c r="R358" s="154"/>
      <c r="S358" s="154"/>
      <c r="T358" s="154"/>
      <c r="U358" s="154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</row>
    <row r="359" customFormat="false" ht="15.75" hidden="false" customHeight="true" outlineLevel="0" collapsed="false">
      <c r="A359" s="20"/>
      <c r="B359" s="20"/>
      <c r="C359" s="20"/>
      <c r="D359" s="20"/>
      <c r="E359" s="20"/>
      <c r="F359" s="20"/>
      <c r="G359" s="15"/>
      <c r="H359" s="20"/>
      <c r="I359" s="20"/>
      <c r="J359" s="20"/>
      <c r="K359" s="13"/>
      <c r="L359" s="220"/>
      <c r="M359" s="220"/>
      <c r="N359" s="220"/>
      <c r="O359" s="153"/>
      <c r="P359" s="221"/>
      <c r="Q359" s="154"/>
      <c r="R359" s="154"/>
      <c r="S359" s="154"/>
      <c r="T359" s="154"/>
      <c r="U359" s="154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</row>
    <row r="360" customFormat="false" ht="15.75" hidden="false" customHeight="true" outlineLevel="0" collapsed="false">
      <c r="A360" s="20"/>
      <c r="B360" s="20"/>
      <c r="C360" s="20"/>
      <c r="D360" s="20"/>
      <c r="E360" s="20"/>
      <c r="F360" s="20"/>
      <c r="G360" s="15"/>
      <c r="H360" s="20"/>
      <c r="I360" s="20"/>
      <c r="J360" s="20"/>
      <c r="K360" s="13"/>
      <c r="L360" s="13"/>
      <c r="M360" s="13"/>
      <c r="N360" s="13"/>
      <c r="O360" s="153"/>
      <c r="P360" s="154"/>
      <c r="Q360" s="154"/>
      <c r="R360" s="154"/>
      <c r="S360" s="154"/>
      <c r="T360" s="154"/>
      <c r="U360" s="154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</row>
    <row r="361" customFormat="false" ht="15.75" hidden="false" customHeight="true" outlineLevel="0" collapsed="false">
      <c r="A361" s="20"/>
      <c r="B361" s="20"/>
      <c r="C361" s="20"/>
      <c r="D361" s="20"/>
      <c r="E361" s="20"/>
      <c r="F361" s="20"/>
      <c r="G361" s="15"/>
      <c r="H361" s="20"/>
      <c r="I361" s="20"/>
      <c r="J361" s="20"/>
      <c r="K361" s="13"/>
      <c r="L361" s="13"/>
      <c r="M361" s="13"/>
      <c r="N361" s="13"/>
      <c r="O361" s="153"/>
      <c r="P361" s="154"/>
      <c r="Q361" s="154"/>
      <c r="R361" s="154"/>
      <c r="S361" s="154"/>
      <c r="T361" s="154"/>
      <c r="U361" s="154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</row>
    <row r="362" customFormat="false" ht="15.75" hidden="false" customHeight="true" outlineLevel="0" collapsed="false">
      <c r="A362" s="137"/>
      <c r="B362" s="137"/>
      <c r="C362" s="137"/>
      <c r="D362" s="137"/>
      <c r="E362" s="137"/>
      <c r="F362" s="137"/>
      <c r="G362" s="219"/>
      <c r="H362" s="137"/>
      <c r="I362" s="137"/>
      <c r="J362" s="137"/>
      <c r="K362" s="220"/>
      <c r="L362" s="13"/>
      <c r="M362" s="13"/>
      <c r="N362" s="13"/>
      <c r="O362" s="153"/>
      <c r="P362" s="154"/>
      <c r="Q362" s="154"/>
      <c r="R362" s="221"/>
      <c r="S362" s="221"/>
      <c r="T362" s="221"/>
      <c r="U362" s="221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7"/>
      <c r="AF362" s="137"/>
      <c r="AG362" s="137"/>
      <c r="AH362" s="137"/>
      <c r="AI362" s="137"/>
      <c r="AJ362" s="137"/>
      <c r="AK362" s="137"/>
      <c r="AL362" s="137"/>
      <c r="AM362" s="137"/>
      <c r="AN362" s="137"/>
      <c r="AO362" s="137"/>
      <c r="AP362" s="137"/>
      <c r="AQ362" s="137"/>
      <c r="AR362" s="137"/>
    </row>
    <row r="363" customFormat="false" ht="15.75" hidden="false" customHeight="true" outlineLevel="0" collapsed="false">
      <c r="A363" s="20"/>
      <c r="B363" s="20"/>
      <c r="C363" s="20"/>
      <c r="D363" s="20"/>
      <c r="E363" s="20"/>
      <c r="F363" s="20"/>
      <c r="G363" s="15"/>
      <c r="H363" s="20"/>
      <c r="I363" s="20"/>
      <c r="J363" s="20"/>
      <c r="K363" s="13"/>
      <c r="L363" s="13"/>
      <c r="M363" s="13"/>
      <c r="N363" s="13"/>
      <c r="O363" s="153"/>
      <c r="P363" s="154"/>
      <c r="Q363" s="154"/>
      <c r="R363" s="154"/>
      <c r="S363" s="154"/>
      <c r="T363" s="154"/>
      <c r="U363" s="154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</row>
    <row r="364" customFormat="false" ht="15.75" hidden="false" customHeight="true" outlineLevel="0" collapsed="false">
      <c r="A364" s="20"/>
      <c r="B364" s="20"/>
      <c r="C364" s="20"/>
      <c r="D364" s="20"/>
      <c r="E364" s="20"/>
      <c r="F364" s="20"/>
      <c r="G364" s="15"/>
      <c r="H364" s="20"/>
      <c r="I364" s="20"/>
      <c r="J364" s="20"/>
      <c r="K364" s="13"/>
      <c r="L364" s="220"/>
      <c r="M364" s="220"/>
      <c r="N364" s="220"/>
      <c r="O364" s="223"/>
      <c r="P364" s="221"/>
      <c r="Q364" s="221"/>
      <c r="R364" s="154"/>
      <c r="S364" s="154"/>
      <c r="T364" s="154"/>
      <c r="U364" s="154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</row>
    <row r="365" customFormat="false" ht="15.75" hidden="false" customHeight="true" outlineLevel="0" collapsed="false">
      <c r="A365" s="20"/>
      <c r="B365" s="211"/>
      <c r="C365" s="211"/>
      <c r="D365" s="211"/>
      <c r="E365" s="211"/>
      <c r="F365" s="211"/>
      <c r="G365" s="212"/>
      <c r="H365" s="211"/>
      <c r="I365" s="211"/>
      <c r="J365" s="211"/>
      <c r="K365" s="204"/>
      <c r="L365" s="13"/>
      <c r="M365" s="13"/>
      <c r="N365" s="13"/>
      <c r="O365" s="153"/>
      <c r="P365" s="154"/>
      <c r="Q365" s="154"/>
      <c r="R365" s="190"/>
      <c r="S365" s="190"/>
      <c r="T365" s="154"/>
      <c r="U365" s="153"/>
      <c r="V365" s="211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</row>
    <row r="366" customFormat="false" ht="15.75" hidden="false" customHeight="true" outlineLevel="0" collapsed="false">
      <c r="A366" s="20"/>
      <c r="B366" s="211"/>
      <c r="C366" s="211"/>
      <c r="D366" s="211"/>
      <c r="E366" s="211"/>
      <c r="F366" s="211"/>
      <c r="G366" s="211"/>
      <c r="H366" s="211"/>
      <c r="I366" s="211"/>
      <c r="J366" s="211"/>
      <c r="K366" s="211"/>
      <c r="L366" s="13"/>
      <c r="M366" s="13"/>
      <c r="N366" s="13"/>
      <c r="O366" s="153"/>
      <c r="P366" s="154"/>
      <c r="Q366" s="154"/>
      <c r="R366" s="190"/>
      <c r="S366" s="190"/>
      <c r="T366" s="154"/>
      <c r="U366" s="153"/>
      <c r="V366" s="211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</row>
    <row r="367" customFormat="false" ht="15.75" hidden="false" customHeight="true" outlineLevel="0" collapsed="false">
      <c r="A367" s="20"/>
      <c r="B367" s="20"/>
      <c r="C367" s="20"/>
      <c r="D367" s="20"/>
      <c r="E367" s="20"/>
      <c r="F367" s="20"/>
      <c r="G367" s="15"/>
      <c r="H367" s="20"/>
      <c r="I367" s="20"/>
      <c r="J367" s="20"/>
      <c r="K367" s="13"/>
      <c r="L367" s="204"/>
      <c r="M367" s="204"/>
      <c r="N367" s="204"/>
      <c r="O367" s="190"/>
      <c r="P367" s="213"/>
      <c r="Q367" s="213"/>
      <c r="R367" s="154"/>
      <c r="S367" s="154"/>
      <c r="T367" s="154"/>
      <c r="U367" s="154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</row>
    <row r="368" customFormat="false" ht="15.75" hidden="false" customHeight="true" outlineLevel="0" collapsed="false">
      <c r="A368" s="20"/>
      <c r="B368" s="20"/>
      <c r="C368" s="20"/>
      <c r="D368" s="20"/>
      <c r="E368" s="20"/>
      <c r="F368" s="20"/>
      <c r="G368" s="15"/>
      <c r="H368" s="20"/>
      <c r="I368" s="20"/>
      <c r="J368" s="20"/>
      <c r="K368" s="13"/>
      <c r="L368" s="204"/>
      <c r="M368" s="204"/>
      <c r="N368" s="204"/>
      <c r="O368" s="204"/>
      <c r="P368" s="204"/>
      <c r="Q368" s="204"/>
      <c r="R368" s="154"/>
      <c r="S368" s="154"/>
      <c r="T368" s="154"/>
      <c r="U368" s="154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</row>
    <row r="369" customFormat="false" ht="15.75" hidden="false" customHeight="true" outlineLevel="0" collapsed="false">
      <c r="A369" s="20"/>
      <c r="B369" s="20"/>
      <c r="C369" s="20"/>
      <c r="D369" s="20"/>
      <c r="E369" s="20"/>
      <c r="F369" s="20"/>
      <c r="G369" s="15"/>
      <c r="H369" s="20"/>
      <c r="I369" s="20"/>
      <c r="J369" s="20"/>
      <c r="K369" s="13"/>
      <c r="L369" s="13"/>
      <c r="M369" s="13"/>
      <c r="N369" s="13"/>
      <c r="O369" s="153"/>
      <c r="P369" s="154"/>
      <c r="Q369" s="154"/>
      <c r="R369" s="154"/>
      <c r="S369" s="154"/>
      <c r="T369" s="154"/>
      <c r="U369" s="154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</row>
    <row r="370" customFormat="false" ht="15.75" hidden="false" customHeight="true" outlineLevel="0" collapsed="false">
      <c r="A370" s="20"/>
      <c r="B370" s="20"/>
      <c r="C370" s="20"/>
      <c r="D370" s="20"/>
      <c r="E370" s="20"/>
      <c r="F370" s="20"/>
      <c r="G370" s="15"/>
      <c r="H370" s="20"/>
      <c r="I370" s="20"/>
      <c r="J370" s="20"/>
      <c r="K370" s="13"/>
      <c r="L370" s="13"/>
      <c r="M370" s="13"/>
      <c r="N370" s="13"/>
      <c r="O370" s="153"/>
      <c r="P370" s="154"/>
      <c r="Q370" s="154"/>
      <c r="R370" s="154"/>
      <c r="S370" s="154"/>
      <c r="T370" s="154"/>
      <c r="U370" s="154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</row>
    <row r="371" customFormat="false" ht="15.75" hidden="false" customHeight="true" outlineLevel="0" collapsed="false">
      <c r="A371" s="20"/>
      <c r="B371" s="20"/>
      <c r="C371" s="20"/>
      <c r="D371" s="20"/>
      <c r="E371" s="20"/>
      <c r="F371" s="20"/>
      <c r="G371" s="15"/>
      <c r="H371" s="20"/>
      <c r="I371" s="20"/>
      <c r="J371" s="20"/>
      <c r="K371" s="13"/>
      <c r="L371" s="13"/>
      <c r="M371" s="13"/>
      <c r="N371" s="13"/>
      <c r="O371" s="153"/>
      <c r="P371" s="154"/>
      <c r="Q371" s="154"/>
      <c r="R371" s="154"/>
      <c r="S371" s="154"/>
      <c r="T371" s="154"/>
      <c r="U371" s="154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</row>
    <row r="372" customFormat="false" ht="15.75" hidden="false" customHeight="true" outlineLevel="0" collapsed="false">
      <c r="A372" s="20"/>
      <c r="B372" s="211"/>
      <c r="C372" s="211"/>
      <c r="D372" s="211"/>
      <c r="E372" s="211"/>
      <c r="F372" s="211"/>
      <c r="G372" s="212"/>
      <c r="H372" s="211"/>
      <c r="I372" s="211"/>
      <c r="J372" s="211"/>
      <c r="K372" s="204"/>
      <c r="L372" s="13"/>
      <c r="M372" s="13"/>
      <c r="N372" s="13"/>
      <c r="O372" s="153"/>
      <c r="P372" s="154"/>
      <c r="Q372" s="154"/>
      <c r="R372" s="190"/>
      <c r="S372" s="190"/>
      <c r="T372" s="154"/>
      <c r="U372" s="153"/>
      <c r="V372" s="211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</row>
    <row r="373" customFormat="false" ht="15.75" hidden="false" customHeight="true" outlineLevel="0" collapsed="false">
      <c r="A373" s="20"/>
      <c r="B373" s="211"/>
      <c r="C373" s="211"/>
      <c r="D373" s="211"/>
      <c r="E373" s="211"/>
      <c r="F373" s="211"/>
      <c r="G373" s="211"/>
      <c r="H373" s="211"/>
      <c r="I373" s="211"/>
      <c r="J373" s="211"/>
      <c r="K373" s="211"/>
      <c r="L373" s="13"/>
      <c r="M373" s="13"/>
      <c r="N373" s="13"/>
      <c r="O373" s="153"/>
      <c r="P373" s="154"/>
      <c r="Q373" s="154"/>
      <c r="R373" s="190"/>
      <c r="S373" s="190"/>
      <c r="T373" s="154"/>
      <c r="U373" s="153"/>
      <c r="V373" s="211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</row>
    <row r="374" customFormat="false" ht="15.75" hidden="false" customHeight="true" outlineLevel="0" collapsed="false">
      <c r="A374" s="20"/>
      <c r="B374" s="211"/>
      <c r="C374" s="211"/>
      <c r="D374" s="211"/>
      <c r="E374" s="211"/>
      <c r="F374" s="211"/>
      <c r="G374" s="212"/>
      <c r="H374" s="211"/>
      <c r="I374" s="211"/>
      <c r="J374" s="211"/>
      <c r="K374" s="204"/>
      <c r="L374" s="204"/>
      <c r="M374" s="204"/>
      <c r="N374" s="204"/>
      <c r="O374" s="190"/>
      <c r="P374" s="213"/>
      <c r="Q374" s="213"/>
      <c r="R374" s="190"/>
      <c r="S374" s="190"/>
      <c r="T374" s="154"/>
      <c r="U374" s="153"/>
      <c r="V374" s="211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</row>
    <row r="375" customFormat="false" ht="15.75" hidden="false" customHeight="true" outlineLevel="0" collapsed="false">
      <c r="A375" s="20"/>
      <c r="B375" s="211"/>
      <c r="C375" s="211"/>
      <c r="D375" s="211"/>
      <c r="E375" s="211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211"/>
      <c r="R375" s="211"/>
      <c r="S375" s="211"/>
      <c r="T375" s="154"/>
      <c r="U375" s="153"/>
      <c r="V375" s="211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</row>
    <row r="376" customFormat="false" ht="15.75" hidden="false" customHeight="true" outlineLevel="0" collapsed="false">
      <c r="A376" s="20"/>
      <c r="B376" s="20"/>
      <c r="C376" s="20"/>
      <c r="D376" s="20"/>
      <c r="E376" s="20"/>
      <c r="F376" s="20"/>
      <c r="G376" s="15"/>
      <c r="H376" s="20"/>
      <c r="I376" s="20"/>
      <c r="J376" s="20"/>
      <c r="K376" s="13"/>
      <c r="L376" s="204"/>
      <c r="M376" s="204"/>
      <c r="N376" s="204"/>
      <c r="O376" s="190"/>
      <c r="P376" s="213"/>
      <c r="Q376" s="213"/>
      <c r="R376" s="154"/>
      <c r="S376" s="154"/>
      <c r="T376" s="154"/>
      <c r="U376" s="154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</row>
    <row r="377" customFormat="false" ht="15.75" hidden="false" customHeight="true" outlineLevel="0" collapsed="false">
      <c r="A377" s="20"/>
      <c r="B377" s="20"/>
      <c r="C377" s="20"/>
      <c r="D377" s="20"/>
      <c r="E377" s="20"/>
      <c r="F377" s="20"/>
      <c r="G377" s="15"/>
      <c r="H377" s="20"/>
      <c r="I377" s="20"/>
      <c r="J377" s="20"/>
      <c r="K377" s="13"/>
      <c r="L377" s="204"/>
      <c r="M377" s="204"/>
      <c r="N377" s="204"/>
      <c r="O377" s="204"/>
      <c r="P377" s="204"/>
      <c r="Q377" s="204"/>
      <c r="R377" s="154"/>
      <c r="S377" s="154"/>
      <c r="T377" s="154"/>
      <c r="U377" s="154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</row>
    <row r="378" customFormat="false" ht="15.75" hidden="false" customHeight="true" outlineLevel="0" collapsed="false">
      <c r="A378" s="20"/>
      <c r="B378" s="20"/>
      <c r="C378" s="20"/>
      <c r="D378" s="20"/>
      <c r="E378" s="20"/>
      <c r="F378" s="20"/>
      <c r="G378" s="15"/>
      <c r="H378" s="20"/>
      <c r="I378" s="20"/>
      <c r="J378" s="20"/>
      <c r="K378" s="13"/>
      <c r="L378" s="13"/>
      <c r="M378" s="13"/>
      <c r="N378" s="13"/>
      <c r="O378" s="153"/>
      <c r="P378" s="154"/>
      <c r="Q378" s="154"/>
      <c r="R378" s="154"/>
      <c r="S378" s="154"/>
      <c r="T378" s="154"/>
      <c r="U378" s="154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</row>
    <row r="379" customFormat="false" ht="15.75" hidden="false" customHeight="true" outlineLevel="0" collapsed="false">
      <c r="A379" s="20"/>
      <c r="B379" s="20"/>
      <c r="C379" s="20"/>
      <c r="D379" s="20"/>
      <c r="E379" s="20"/>
      <c r="F379" s="20"/>
      <c r="G379" s="15"/>
      <c r="H379" s="20"/>
      <c r="I379" s="20"/>
      <c r="J379" s="20"/>
      <c r="K379" s="13"/>
      <c r="L379" s="13"/>
      <c r="M379" s="13"/>
      <c r="N379" s="13"/>
      <c r="O379" s="153"/>
      <c r="P379" s="154"/>
      <c r="Q379" s="154"/>
      <c r="R379" s="154"/>
      <c r="S379" s="154"/>
      <c r="T379" s="154"/>
      <c r="U379" s="154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</row>
    <row r="380" customFormat="false" ht="15.75" hidden="false" customHeight="true" outlineLevel="0" collapsed="false">
      <c r="A380" s="20"/>
      <c r="B380" s="20"/>
      <c r="C380" s="20"/>
      <c r="D380" s="20"/>
      <c r="E380" s="20"/>
      <c r="F380" s="20"/>
      <c r="G380" s="15"/>
      <c r="H380" s="20"/>
      <c r="I380" s="20"/>
      <c r="J380" s="20"/>
      <c r="K380" s="13"/>
      <c r="L380" s="13"/>
      <c r="M380" s="13"/>
      <c r="N380" s="13"/>
      <c r="O380" s="153"/>
      <c r="P380" s="154"/>
      <c r="Q380" s="154"/>
      <c r="R380" s="154"/>
      <c r="S380" s="154"/>
      <c r="T380" s="154"/>
      <c r="U380" s="154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</row>
    <row r="381" customFormat="false" ht="15.75" hidden="false" customHeight="true" outlineLevel="0" collapsed="false">
      <c r="A381" s="137"/>
      <c r="B381" s="137"/>
      <c r="C381" s="137"/>
      <c r="D381" s="137"/>
      <c r="E381" s="137"/>
      <c r="F381" s="137"/>
      <c r="G381" s="219"/>
      <c r="H381" s="137"/>
      <c r="I381" s="137"/>
      <c r="J381" s="137"/>
      <c r="K381" s="220"/>
      <c r="L381" s="13"/>
      <c r="M381" s="13"/>
      <c r="N381" s="13"/>
      <c r="O381" s="153"/>
      <c r="P381" s="154"/>
      <c r="Q381" s="154"/>
      <c r="R381" s="221"/>
      <c r="S381" s="221"/>
      <c r="T381" s="221"/>
      <c r="U381" s="221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7"/>
      <c r="AF381" s="137"/>
      <c r="AG381" s="137"/>
      <c r="AH381" s="137"/>
      <c r="AI381" s="137"/>
      <c r="AJ381" s="137"/>
      <c r="AK381" s="137"/>
      <c r="AL381" s="137"/>
      <c r="AM381" s="137"/>
      <c r="AN381" s="137"/>
      <c r="AO381" s="137"/>
      <c r="AP381" s="137"/>
      <c r="AQ381" s="137"/>
      <c r="AR381" s="137"/>
    </row>
    <row r="382" customFormat="false" ht="15.75" hidden="false" customHeight="true" outlineLevel="0" collapsed="false">
      <c r="A382" s="20"/>
      <c r="B382" s="211"/>
      <c r="C382" s="211"/>
      <c r="D382" s="211"/>
      <c r="E382" s="211"/>
      <c r="F382" s="211"/>
      <c r="G382" s="212"/>
      <c r="H382" s="211"/>
      <c r="I382" s="211"/>
      <c r="J382" s="211"/>
      <c r="K382" s="204"/>
      <c r="L382" s="13"/>
      <c r="M382" s="13"/>
      <c r="N382" s="13"/>
      <c r="O382" s="153"/>
      <c r="P382" s="154"/>
      <c r="Q382" s="154"/>
      <c r="R382" s="213"/>
      <c r="S382" s="213"/>
      <c r="T382" s="154"/>
      <c r="U382" s="154"/>
      <c r="V382" s="211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</row>
    <row r="383" customFormat="false" ht="15.75" hidden="false" customHeight="true" outlineLevel="0" collapsed="false">
      <c r="A383" s="20"/>
      <c r="B383" s="211"/>
      <c r="C383" s="211"/>
      <c r="D383" s="211"/>
      <c r="E383" s="211"/>
      <c r="F383" s="211"/>
      <c r="G383" s="211"/>
      <c r="H383" s="211"/>
      <c r="I383" s="211"/>
      <c r="J383" s="211"/>
      <c r="K383" s="211"/>
      <c r="L383" s="220"/>
      <c r="M383" s="220"/>
      <c r="N383" s="220"/>
      <c r="O383" s="223"/>
      <c r="P383" s="221"/>
      <c r="Q383" s="221"/>
      <c r="R383" s="213"/>
      <c r="S383" s="213"/>
      <c r="T383" s="154"/>
      <c r="U383" s="154"/>
      <c r="V383" s="211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</row>
    <row r="384" customFormat="false" ht="15.75" hidden="false" customHeight="true" outlineLevel="0" collapsed="false">
      <c r="A384" s="20"/>
      <c r="B384" s="211"/>
      <c r="C384" s="211"/>
      <c r="D384" s="211"/>
      <c r="E384" s="211"/>
      <c r="F384" s="211"/>
      <c r="G384" s="212"/>
      <c r="H384" s="211"/>
      <c r="I384" s="211"/>
      <c r="J384" s="211"/>
      <c r="K384" s="204"/>
      <c r="L384" s="204"/>
      <c r="M384" s="204"/>
      <c r="N384" s="204"/>
      <c r="O384" s="190"/>
      <c r="P384" s="213"/>
      <c r="Q384" s="213"/>
      <c r="R384" s="190"/>
      <c r="S384" s="190"/>
      <c r="T384" s="154"/>
      <c r="U384" s="153"/>
      <c r="V384" s="211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</row>
    <row r="385" customFormat="false" ht="15.75" hidden="false" customHeight="true" outlineLevel="0" collapsed="false">
      <c r="A385" s="20"/>
      <c r="B385" s="211"/>
      <c r="C385" s="211"/>
      <c r="D385" s="211"/>
      <c r="E385" s="211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211"/>
      <c r="R385" s="211"/>
      <c r="S385" s="211"/>
      <c r="T385" s="154"/>
      <c r="U385" s="153"/>
      <c r="V385" s="211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</row>
    <row r="386" customFormat="false" ht="15.75" hidden="false" customHeight="true" outlineLevel="0" collapsed="false">
      <c r="A386" s="20"/>
      <c r="B386" s="20"/>
      <c r="C386" s="20"/>
      <c r="D386" s="20"/>
      <c r="E386" s="20"/>
      <c r="F386" s="20"/>
      <c r="G386" s="15"/>
      <c r="H386" s="20"/>
      <c r="I386" s="20"/>
      <c r="J386" s="20"/>
      <c r="K386" s="13"/>
      <c r="L386" s="204"/>
      <c r="M386" s="204"/>
      <c r="N386" s="204"/>
      <c r="O386" s="190"/>
      <c r="P386" s="213"/>
      <c r="Q386" s="213"/>
      <c r="R386" s="154"/>
      <c r="S386" s="154"/>
      <c r="T386" s="154"/>
      <c r="U386" s="154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</row>
    <row r="387" customFormat="false" ht="15.75" hidden="false" customHeight="true" outlineLevel="0" collapsed="false">
      <c r="A387" s="20"/>
      <c r="B387" s="20"/>
      <c r="C387" s="20"/>
      <c r="D387" s="20"/>
      <c r="E387" s="20"/>
      <c r="F387" s="20"/>
      <c r="G387" s="15"/>
      <c r="H387" s="20"/>
      <c r="I387" s="20"/>
      <c r="J387" s="20"/>
      <c r="K387" s="13"/>
      <c r="L387" s="204"/>
      <c r="M387" s="204"/>
      <c r="N387" s="204"/>
      <c r="O387" s="204"/>
      <c r="P387" s="204"/>
      <c r="Q387" s="204"/>
      <c r="R387" s="154"/>
      <c r="S387" s="154"/>
      <c r="T387" s="154"/>
      <c r="U387" s="154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</row>
    <row r="388" customFormat="false" ht="15.75" hidden="false" customHeight="true" outlineLevel="0" collapsed="false">
      <c r="A388" s="20"/>
      <c r="B388" s="20"/>
      <c r="C388" s="20"/>
      <c r="D388" s="20"/>
      <c r="E388" s="20"/>
      <c r="F388" s="20"/>
      <c r="G388" s="15"/>
      <c r="H388" s="20"/>
      <c r="I388" s="20"/>
      <c r="J388" s="20"/>
      <c r="K388" s="13"/>
      <c r="L388" s="13"/>
      <c r="M388" s="13"/>
      <c r="N388" s="13"/>
      <c r="O388" s="153"/>
      <c r="P388" s="154"/>
      <c r="Q388" s="154"/>
      <c r="R388" s="154"/>
      <c r="S388" s="154"/>
      <c r="T388" s="154"/>
      <c r="U388" s="154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</row>
    <row r="389" customFormat="false" ht="15.75" hidden="false" customHeight="true" outlineLevel="0" collapsed="false">
      <c r="A389" s="20"/>
      <c r="B389" s="20"/>
      <c r="C389" s="20"/>
      <c r="D389" s="20"/>
      <c r="E389" s="20"/>
      <c r="F389" s="20"/>
      <c r="G389" s="15"/>
      <c r="H389" s="20"/>
      <c r="I389" s="20"/>
      <c r="J389" s="20"/>
      <c r="K389" s="13"/>
      <c r="L389" s="13"/>
      <c r="M389" s="13"/>
      <c r="N389" s="13"/>
      <c r="O389" s="153"/>
      <c r="P389" s="154"/>
      <c r="Q389" s="154"/>
      <c r="R389" s="154"/>
      <c r="S389" s="154"/>
      <c r="T389" s="154"/>
      <c r="U389" s="154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</row>
    <row r="390" customFormat="false" ht="15.75" hidden="false" customHeight="true" outlineLevel="0" collapsed="false">
      <c r="A390" s="20"/>
      <c r="B390" s="20"/>
      <c r="C390" s="20"/>
      <c r="D390" s="20"/>
      <c r="E390" s="20"/>
      <c r="F390" s="20"/>
      <c r="G390" s="15"/>
      <c r="H390" s="20"/>
      <c r="I390" s="20"/>
      <c r="J390" s="20"/>
      <c r="K390" s="13"/>
      <c r="L390" s="13"/>
      <c r="M390" s="13"/>
      <c r="N390" s="13"/>
      <c r="O390" s="153"/>
      <c r="P390" s="154"/>
      <c r="Q390" s="154"/>
      <c r="R390" s="154"/>
      <c r="S390" s="154"/>
      <c r="T390" s="154"/>
      <c r="U390" s="154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</row>
    <row r="391" customFormat="false" ht="15.75" hidden="false" customHeight="true" outlineLevel="0" collapsed="false">
      <c r="A391" s="20"/>
      <c r="B391" s="20"/>
      <c r="C391" s="20"/>
      <c r="D391" s="20"/>
      <c r="E391" s="20"/>
      <c r="F391" s="20"/>
      <c r="G391" s="15"/>
      <c r="H391" s="20"/>
      <c r="I391" s="20"/>
      <c r="J391" s="20"/>
      <c r="K391" s="13"/>
      <c r="L391" s="13"/>
      <c r="M391" s="13"/>
      <c r="N391" s="13"/>
      <c r="O391" s="153"/>
      <c r="P391" s="154"/>
      <c r="Q391" s="154"/>
      <c r="R391" s="154"/>
      <c r="S391" s="154"/>
      <c r="T391" s="154"/>
      <c r="U391" s="154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</row>
    <row r="392" customFormat="false" ht="15.75" hidden="false" customHeight="true" outlineLevel="0" collapsed="false">
      <c r="A392" s="20"/>
      <c r="B392" s="20"/>
      <c r="C392" s="20"/>
      <c r="D392" s="20"/>
      <c r="E392" s="20"/>
      <c r="F392" s="20"/>
      <c r="G392" s="15"/>
      <c r="H392" s="20"/>
      <c r="I392" s="20"/>
      <c r="J392" s="20"/>
      <c r="K392" s="13"/>
      <c r="L392" s="13"/>
      <c r="M392" s="13"/>
      <c r="N392" s="13"/>
      <c r="O392" s="153"/>
      <c r="P392" s="154"/>
      <c r="Q392" s="154"/>
      <c r="R392" s="154"/>
      <c r="S392" s="154"/>
      <c r="T392" s="154"/>
      <c r="U392" s="154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</row>
    <row r="393" customFormat="false" ht="15.75" hidden="false" customHeight="true" outlineLevel="0" collapsed="false">
      <c r="A393" s="20"/>
      <c r="B393" s="211"/>
      <c r="C393" s="211"/>
      <c r="D393" s="211"/>
      <c r="E393" s="211"/>
      <c r="F393" s="211"/>
      <c r="G393" s="212"/>
      <c r="H393" s="211"/>
      <c r="I393" s="211"/>
      <c r="J393" s="211"/>
      <c r="K393" s="204"/>
      <c r="L393" s="13"/>
      <c r="M393" s="13"/>
      <c r="N393" s="13"/>
      <c r="O393" s="153"/>
      <c r="P393" s="154"/>
      <c r="Q393" s="154"/>
      <c r="R393" s="190"/>
      <c r="S393" s="190"/>
      <c r="T393" s="154"/>
      <c r="U393" s="153"/>
      <c r="V393" s="211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</row>
    <row r="394" customFormat="false" ht="15.75" hidden="false" customHeight="true" outlineLevel="0" collapsed="false">
      <c r="A394" s="20"/>
      <c r="B394" s="211"/>
      <c r="C394" s="211"/>
      <c r="D394" s="211"/>
      <c r="E394" s="211"/>
      <c r="F394" s="211"/>
      <c r="G394" s="211"/>
      <c r="H394" s="211"/>
      <c r="I394" s="211"/>
      <c r="J394" s="211"/>
      <c r="K394" s="211"/>
      <c r="L394" s="13"/>
      <c r="M394" s="13"/>
      <c r="N394" s="13"/>
      <c r="O394" s="153"/>
      <c r="P394" s="154"/>
      <c r="Q394" s="154"/>
      <c r="R394" s="190"/>
      <c r="S394" s="190"/>
      <c r="T394" s="154"/>
      <c r="U394" s="153"/>
      <c r="V394" s="211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</row>
    <row r="395" customFormat="false" ht="15.75" hidden="false" customHeight="true" outlineLevel="0" collapsed="false">
      <c r="A395" s="20"/>
      <c r="B395" s="211"/>
      <c r="C395" s="211"/>
      <c r="D395" s="211"/>
      <c r="E395" s="211"/>
      <c r="F395" s="211"/>
      <c r="G395" s="212"/>
      <c r="H395" s="211"/>
      <c r="I395" s="211"/>
      <c r="J395" s="211"/>
      <c r="K395" s="204"/>
      <c r="L395" s="204"/>
      <c r="M395" s="204"/>
      <c r="N395" s="204"/>
      <c r="O395" s="190"/>
      <c r="P395" s="213"/>
      <c r="Q395" s="213"/>
      <c r="R395" s="190"/>
      <c r="S395" s="190"/>
      <c r="T395" s="154"/>
      <c r="U395" s="153"/>
      <c r="V395" s="211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</row>
    <row r="396" customFormat="false" ht="15.75" hidden="false" customHeight="true" outlineLevel="0" collapsed="false">
      <c r="A396" s="20"/>
      <c r="B396" s="211"/>
      <c r="C396" s="211"/>
      <c r="D396" s="211"/>
      <c r="E396" s="211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211"/>
      <c r="R396" s="211"/>
      <c r="S396" s="211"/>
      <c r="T396" s="154"/>
      <c r="U396" s="153"/>
      <c r="V396" s="211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</row>
    <row r="397" customFormat="false" ht="15.75" hidden="false" customHeight="true" outlineLevel="0" collapsed="false">
      <c r="A397" s="20"/>
      <c r="B397" s="20"/>
      <c r="C397" s="20"/>
      <c r="D397" s="20"/>
      <c r="E397" s="20"/>
      <c r="F397" s="20"/>
      <c r="G397" s="15"/>
      <c r="H397" s="20"/>
      <c r="I397" s="20"/>
      <c r="J397" s="20"/>
      <c r="K397" s="13"/>
      <c r="L397" s="204"/>
      <c r="M397" s="204"/>
      <c r="N397" s="204"/>
      <c r="O397" s="190"/>
      <c r="P397" s="213"/>
      <c r="Q397" s="213"/>
      <c r="R397" s="154"/>
      <c r="S397" s="154"/>
      <c r="T397" s="154"/>
      <c r="U397" s="154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</row>
    <row r="398" customFormat="false" ht="15.75" hidden="false" customHeight="true" outlineLevel="0" collapsed="false">
      <c r="A398" s="20"/>
      <c r="B398" s="20"/>
      <c r="C398" s="20"/>
      <c r="D398" s="20"/>
      <c r="E398" s="20"/>
      <c r="F398" s="20"/>
      <c r="G398" s="15"/>
      <c r="H398" s="20"/>
      <c r="I398" s="20"/>
      <c r="J398" s="20"/>
      <c r="K398" s="20"/>
      <c r="L398" s="204"/>
      <c r="M398" s="204"/>
      <c r="N398" s="204"/>
      <c r="O398" s="204"/>
      <c r="P398" s="204"/>
      <c r="Q398" s="204"/>
      <c r="R398" s="154"/>
      <c r="S398" s="154"/>
      <c r="T398" s="154"/>
      <c r="U398" s="154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</row>
    <row r="399" customFormat="false" ht="15.75" hidden="false" customHeight="true" outlineLevel="0" collapsed="false">
      <c r="A399" s="20"/>
      <c r="B399" s="20"/>
      <c r="C399" s="20"/>
      <c r="D399" s="20"/>
      <c r="E399" s="20"/>
      <c r="F399" s="20"/>
      <c r="G399" s="15"/>
      <c r="H399" s="20"/>
      <c r="I399" s="20"/>
      <c r="J399" s="20"/>
      <c r="K399" s="20"/>
      <c r="L399" s="13"/>
      <c r="M399" s="13"/>
      <c r="N399" s="13"/>
      <c r="O399" s="153"/>
      <c r="P399" s="154"/>
      <c r="Q399" s="154"/>
      <c r="R399" s="154"/>
      <c r="S399" s="154"/>
      <c r="T399" s="154"/>
      <c r="U399" s="154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</row>
    <row r="400" customFormat="false" ht="15.75" hidden="false" customHeight="true" outlineLevel="0" collapsed="false">
      <c r="A400" s="20"/>
      <c r="B400" s="20"/>
      <c r="C400" s="20"/>
      <c r="D400" s="20"/>
      <c r="E400" s="20"/>
      <c r="F400" s="20"/>
      <c r="G400" s="15"/>
      <c r="H400" s="20"/>
      <c r="I400" s="20"/>
      <c r="J400" s="20"/>
      <c r="K400" s="20"/>
      <c r="L400" s="13"/>
      <c r="M400" s="13"/>
      <c r="N400" s="13"/>
      <c r="O400" s="153"/>
      <c r="P400" s="154"/>
      <c r="Q400" s="154"/>
      <c r="R400" s="154"/>
      <c r="S400" s="154"/>
      <c r="T400" s="154"/>
      <c r="U400" s="154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</row>
    <row r="401" customFormat="false" ht="15.75" hidden="false" customHeight="true" outlineLevel="0" collapsed="false">
      <c r="A401" s="20"/>
      <c r="B401" s="20"/>
      <c r="C401" s="20"/>
      <c r="D401" s="20"/>
      <c r="E401" s="20"/>
      <c r="F401" s="20"/>
      <c r="G401" s="15"/>
      <c r="H401" s="20"/>
      <c r="I401" s="20"/>
      <c r="J401" s="20"/>
      <c r="K401" s="20"/>
      <c r="L401" s="13"/>
      <c r="M401" s="13"/>
      <c r="N401" s="13"/>
      <c r="O401" s="153"/>
      <c r="P401" s="154"/>
      <c r="Q401" s="154"/>
      <c r="R401" s="154"/>
      <c r="S401" s="154"/>
      <c r="T401" s="154"/>
      <c r="U401" s="154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</row>
    <row r="402" customFormat="false" ht="15.75" hidden="false" customHeight="true" outlineLevel="0" collapsed="false">
      <c r="A402" s="20"/>
      <c r="B402" s="20"/>
      <c r="C402" s="20"/>
      <c r="D402" s="20"/>
      <c r="E402" s="20"/>
      <c r="F402" s="20"/>
      <c r="G402" s="15"/>
      <c r="H402" s="20"/>
      <c r="I402" s="20"/>
      <c r="J402" s="20"/>
      <c r="K402" s="20"/>
      <c r="L402" s="13"/>
      <c r="M402" s="13"/>
      <c r="N402" s="13"/>
      <c r="O402" s="153"/>
      <c r="P402" s="154"/>
      <c r="Q402" s="154"/>
      <c r="R402" s="154"/>
      <c r="S402" s="154"/>
      <c r="T402" s="154"/>
      <c r="U402" s="154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</row>
    <row r="403" customFormat="false" ht="15.75" hidden="false" customHeight="true" outlineLevel="0" collapsed="false">
      <c r="A403" s="20"/>
      <c r="B403" s="20"/>
      <c r="C403" s="20"/>
      <c r="D403" s="20"/>
      <c r="E403" s="20"/>
      <c r="F403" s="20"/>
      <c r="G403" s="15"/>
      <c r="H403" s="20"/>
      <c r="I403" s="20"/>
      <c r="J403" s="20"/>
      <c r="K403" s="20"/>
      <c r="L403" s="13"/>
      <c r="M403" s="13"/>
      <c r="N403" s="13"/>
      <c r="O403" s="153"/>
      <c r="P403" s="154"/>
      <c r="Q403" s="154"/>
      <c r="R403" s="154"/>
      <c r="S403" s="154"/>
      <c r="T403" s="154"/>
      <c r="U403" s="154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</row>
    <row r="404" customFormat="false" ht="15.75" hidden="false" customHeight="true" outlineLevel="0" collapsed="false">
      <c r="A404" s="20"/>
      <c r="B404" s="20"/>
      <c r="C404" s="20"/>
      <c r="D404" s="20"/>
      <c r="E404" s="20"/>
      <c r="F404" s="20"/>
      <c r="G404" s="15"/>
      <c r="H404" s="20"/>
      <c r="I404" s="20"/>
      <c r="J404" s="20"/>
      <c r="K404" s="20"/>
      <c r="L404" s="13"/>
      <c r="M404" s="13"/>
      <c r="N404" s="13"/>
      <c r="O404" s="153"/>
      <c r="P404" s="154"/>
      <c r="Q404" s="154"/>
      <c r="R404" s="154"/>
      <c r="S404" s="154"/>
      <c r="T404" s="154"/>
      <c r="U404" s="154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</row>
    <row r="405" customFormat="false" ht="15.75" hidden="false" customHeight="true" outlineLevel="0" collapsed="false">
      <c r="A405" s="20"/>
      <c r="B405" s="20"/>
      <c r="C405" s="20"/>
      <c r="D405" s="20"/>
      <c r="E405" s="20"/>
      <c r="F405" s="20"/>
      <c r="G405" s="15"/>
      <c r="H405" s="20"/>
      <c r="I405" s="20"/>
      <c r="J405" s="20"/>
      <c r="K405" s="20"/>
      <c r="L405" s="13"/>
      <c r="M405" s="13"/>
      <c r="N405" s="13"/>
      <c r="O405" s="153"/>
      <c r="P405" s="154"/>
      <c r="Q405" s="154"/>
      <c r="R405" s="154"/>
      <c r="S405" s="154"/>
      <c r="T405" s="154"/>
      <c r="U405" s="154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</row>
    <row r="406" customFormat="false" ht="15.75" hidden="false" customHeight="true" outlineLevel="0" collapsed="false">
      <c r="A406" s="20"/>
      <c r="B406" s="20"/>
      <c r="C406" s="20"/>
      <c r="D406" s="20"/>
      <c r="E406" s="20"/>
      <c r="F406" s="20"/>
      <c r="G406" s="15"/>
      <c r="H406" s="20"/>
      <c r="I406" s="20"/>
      <c r="J406" s="20"/>
      <c r="K406" s="20"/>
      <c r="L406" s="13"/>
      <c r="M406" s="13"/>
      <c r="N406" s="13"/>
      <c r="O406" s="153"/>
      <c r="P406" s="154"/>
      <c r="Q406" s="154"/>
      <c r="R406" s="154"/>
      <c r="S406" s="154"/>
      <c r="T406" s="154"/>
      <c r="U406" s="154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</row>
    <row r="407" customFormat="false" ht="15.75" hidden="false" customHeight="true" outlineLevel="0" collapsed="false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13"/>
      <c r="M407" s="13"/>
      <c r="N407" s="13"/>
      <c r="O407" s="153"/>
      <c r="P407" s="154"/>
      <c r="Q407" s="154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</row>
    <row r="408" customFormat="false" ht="15.75" hidden="false" customHeight="true" outlineLevel="0" collapsed="false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13"/>
      <c r="M408" s="13"/>
      <c r="N408" s="13"/>
      <c r="O408" s="153"/>
      <c r="P408" s="154"/>
      <c r="Q408" s="154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</row>
    <row r="409" customFormat="false" ht="15.75" hidden="false" customHeight="true" outlineLevel="0" collapsed="false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</row>
    <row r="410" customFormat="false" ht="15.75" hidden="false" customHeight="true" outlineLevel="0" collapsed="false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</row>
    <row r="411" customFormat="false" ht="15.75" hidden="false" customHeight="true" outlineLevel="0" collapsed="false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</row>
    <row r="412" customFormat="false" ht="15.75" hidden="false" customHeight="true" outlineLevel="0" collapsed="false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</row>
    <row r="413" customFormat="false" ht="15.75" hidden="false" customHeight="true" outlineLevel="0" collapsed="false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</row>
    <row r="414" customFormat="false" ht="15.75" hidden="false" customHeight="true" outlineLevel="0" collapsed="false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</row>
    <row r="415" customFormat="false" ht="15.75" hidden="false" customHeight="true" outlineLevel="0" collapsed="false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</row>
    <row r="416" customFormat="false" ht="15.75" hidden="false" customHeight="true" outlineLevel="0" collapsed="false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</row>
    <row r="417" customFormat="false" ht="15.75" hidden="false" customHeight="true" outlineLevel="0" collapsed="false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</row>
    <row r="418" customFormat="false" ht="15.75" hidden="false" customHeight="true" outlineLevel="0" collapsed="false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</row>
    <row r="419" customFormat="false" ht="15.75" hidden="false" customHeight="true" outlineLevel="0" collapsed="false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</row>
    <row r="420" customFormat="false" ht="15.75" hidden="false" customHeight="true" outlineLevel="0" collapsed="false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</row>
    <row r="421" customFormat="false" ht="15.75" hidden="false" customHeight="true" outlineLevel="0" collapsed="false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</row>
    <row r="422" customFormat="false" ht="15.75" hidden="false" customHeight="true" outlineLevel="0" collapsed="false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</row>
    <row r="423" customFormat="false" ht="15.75" hidden="false" customHeight="true" outlineLevel="0" collapsed="false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</row>
    <row r="424" customFormat="false" ht="15.75" hidden="false" customHeight="true" outlineLevel="0" collapsed="false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</row>
    <row r="425" customFormat="false" ht="15.75" hidden="false" customHeight="true" outlineLevel="0" collapsed="false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</row>
    <row r="426" customFormat="false" ht="15.75" hidden="false" customHeight="true" outlineLevel="0" collapsed="false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</row>
    <row r="427" customFormat="false" ht="15.75" hidden="false" customHeight="true" outlineLevel="0" collapsed="false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</row>
    <row r="428" customFormat="false" ht="15.75" hidden="false" customHeight="true" outlineLevel="0" collapsed="false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</row>
    <row r="429" customFormat="false" ht="15.75" hidden="false" customHeight="true" outlineLevel="0" collapsed="false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</row>
    <row r="430" customFormat="false" ht="15.75" hidden="false" customHeight="true" outlineLevel="0" collapsed="false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</row>
    <row r="431" customFormat="false" ht="15.75" hidden="false" customHeight="true" outlineLevel="0" collapsed="false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</row>
    <row r="432" customFormat="false" ht="15.75" hidden="false" customHeight="true" outlineLevel="0" collapsed="false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</row>
    <row r="433" customFormat="false" ht="15.75" hidden="false" customHeight="true" outlineLevel="0" collapsed="false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</row>
    <row r="434" customFormat="false" ht="15.75" hidden="false" customHeight="true" outlineLevel="0" collapsed="false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</row>
    <row r="435" customFormat="false" ht="15.75" hidden="false" customHeight="true" outlineLevel="0" collapsed="false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</row>
    <row r="436" customFormat="false" ht="15.75" hidden="false" customHeight="true" outlineLevel="0" collapsed="false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</row>
    <row r="437" customFormat="false" ht="15.75" hidden="false" customHeight="true" outlineLevel="0" collapsed="false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</row>
    <row r="438" customFormat="false" ht="15.75" hidden="false" customHeight="true" outlineLevel="0" collapsed="false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</row>
    <row r="439" customFormat="false" ht="15.75" hidden="false" customHeight="true" outlineLevel="0" collapsed="false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</row>
    <row r="440" customFormat="false" ht="15.75" hidden="false" customHeight="true" outlineLevel="0" collapsed="false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</row>
    <row r="441" customFormat="false" ht="15.75" hidden="false" customHeight="true" outlineLevel="0" collapsed="false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</row>
    <row r="442" customFormat="false" ht="15.75" hidden="false" customHeight="true" outlineLevel="0" collapsed="false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</row>
    <row r="443" customFormat="false" ht="15.75" hidden="false" customHeight="true" outlineLevel="0" collapsed="false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</row>
    <row r="444" customFormat="false" ht="15.75" hidden="false" customHeight="true" outlineLevel="0" collapsed="false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</row>
    <row r="445" customFormat="false" ht="15.75" hidden="false" customHeight="true" outlineLevel="0" collapsed="false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</row>
    <row r="446" customFormat="false" ht="15.75" hidden="false" customHeight="true" outlineLevel="0" collapsed="false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</row>
    <row r="447" customFormat="false" ht="15.75" hidden="false" customHeight="true" outlineLevel="0" collapsed="false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</row>
    <row r="448" customFormat="false" ht="15.75" hidden="false" customHeight="true" outlineLevel="0" collapsed="false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</row>
    <row r="449" customFormat="false" ht="15.75" hidden="false" customHeight="true" outlineLevel="0" collapsed="false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</row>
    <row r="450" customFormat="false" ht="15.75" hidden="false" customHeight="true" outlineLevel="0" collapsed="false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</row>
    <row r="451" customFormat="false" ht="15.75" hidden="false" customHeight="true" outlineLevel="0" collapsed="false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</row>
    <row r="452" customFormat="false" ht="15.75" hidden="false" customHeight="true" outlineLevel="0" collapsed="false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</row>
    <row r="453" customFormat="false" ht="15.75" hidden="false" customHeight="true" outlineLevel="0" collapsed="false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</row>
    <row r="454" customFormat="false" ht="15.75" hidden="false" customHeight="true" outlineLevel="0" collapsed="false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</row>
    <row r="455" customFormat="false" ht="15.75" hidden="false" customHeight="true" outlineLevel="0" collapsed="false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</row>
    <row r="456" customFormat="false" ht="15.75" hidden="false" customHeight="true" outlineLevel="0" collapsed="false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</row>
    <row r="457" customFormat="false" ht="15.75" hidden="false" customHeight="true" outlineLevel="0" collapsed="false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</row>
    <row r="458" customFormat="false" ht="15.75" hidden="false" customHeight="true" outlineLevel="0" collapsed="false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</row>
    <row r="459" customFormat="false" ht="15.75" hidden="false" customHeight="true" outlineLevel="0" collapsed="false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</row>
    <row r="460" customFormat="false" ht="15.75" hidden="false" customHeight="true" outlineLevel="0" collapsed="false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</row>
    <row r="461" customFormat="false" ht="15.75" hidden="false" customHeight="true" outlineLevel="0" collapsed="false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</row>
    <row r="462" customFormat="false" ht="15.75" hidden="false" customHeight="true" outlineLevel="0" collapsed="false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</row>
    <row r="463" customFormat="false" ht="15.75" hidden="false" customHeight="true" outlineLevel="0" collapsed="false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</row>
    <row r="464" customFormat="false" ht="15.75" hidden="false" customHeight="true" outlineLevel="0" collapsed="false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</row>
    <row r="465" customFormat="false" ht="15.75" hidden="false" customHeight="true" outlineLevel="0" collapsed="false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</row>
    <row r="466" customFormat="false" ht="15.75" hidden="false" customHeight="true" outlineLevel="0" collapsed="false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</row>
    <row r="467" customFormat="false" ht="15.75" hidden="false" customHeight="true" outlineLevel="0" collapsed="false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</row>
    <row r="468" customFormat="false" ht="15.75" hidden="false" customHeight="true" outlineLevel="0" collapsed="false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</row>
    <row r="469" customFormat="false" ht="15.75" hidden="false" customHeight="true" outlineLevel="0" collapsed="false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</row>
    <row r="470" customFormat="false" ht="15.75" hidden="false" customHeight="true" outlineLevel="0" collapsed="false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</row>
    <row r="471" customFormat="false" ht="15.75" hidden="false" customHeight="true" outlineLevel="0" collapsed="false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</row>
    <row r="472" customFormat="false" ht="15.75" hidden="false" customHeight="true" outlineLevel="0" collapsed="false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</row>
    <row r="473" customFormat="false" ht="15.75" hidden="false" customHeight="true" outlineLevel="0" collapsed="false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</row>
    <row r="474" customFormat="false" ht="15.75" hidden="false" customHeight="true" outlineLevel="0" collapsed="false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</row>
    <row r="475" customFormat="false" ht="15.75" hidden="false" customHeight="true" outlineLevel="0" collapsed="false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</row>
    <row r="476" customFormat="false" ht="15.75" hidden="false" customHeight="true" outlineLevel="0" collapsed="false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</row>
    <row r="477" customFormat="false" ht="15.75" hidden="false" customHeight="true" outlineLevel="0" collapsed="false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</row>
    <row r="478" customFormat="false" ht="15.75" hidden="false" customHeight="true" outlineLevel="0" collapsed="false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</row>
    <row r="479" customFormat="false" ht="15.75" hidden="false" customHeight="true" outlineLevel="0" collapsed="false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</row>
    <row r="480" customFormat="false" ht="15.75" hidden="false" customHeight="true" outlineLevel="0" collapsed="false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</row>
    <row r="481" customFormat="false" ht="15.75" hidden="false" customHeight="true" outlineLevel="0" collapsed="false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</row>
    <row r="482" customFormat="false" ht="15.75" hidden="false" customHeight="true" outlineLevel="0" collapsed="false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</row>
    <row r="483" customFormat="false" ht="15.75" hidden="false" customHeight="true" outlineLevel="0" collapsed="false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</row>
    <row r="484" customFormat="false" ht="15.75" hidden="false" customHeight="true" outlineLevel="0" collapsed="false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</row>
    <row r="485" customFormat="false" ht="15.75" hidden="false" customHeight="true" outlineLevel="0" collapsed="false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</row>
    <row r="486" customFormat="false" ht="15.75" hidden="false" customHeight="true" outlineLevel="0" collapsed="false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</row>
    <row r="487" customFormat="false" ht="15.75" hidden="false" customHeight="true" outlineLevel="0" collapsed="false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</row>
    <row r="488" customFormat="false" ht="15.75" hidden="false" customHeight="true" outlineLevel="0" collapsed="false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</row>
    <row r="489" customFormat="false" ht="15.75" hidden="false" customHeight="true" outlineLevel="0" collapsed="false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</row>
    <row r="490" customFormat="false" ht="15.75" hidden="false" customHeight="true" outlineLevel="0" collapsed="false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</row>
    <row r="491" customFormat="false" ht="15.75" hidden="false" customHeight="true" outlineLevel="0" collapsed="false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</row>
    <row r="492" customFormat="false" ht="15.75" hidden="false" customHeight="true" outlineLevel="0" collapsed="false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</row>
    <row r="493" customFormat="false" ht="15.75" hidden="false" customHeight="true" outlineLevel="0" collapsed="false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</row>
    <row r="494" customFormat="false" ht="15.75" hidden="false" customHeight="true" outlineLevel="0" collapsed="false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</row>
    <row r="495" customFormat="false" ht="15.75" hidden="false" customHeight="true" outlineLevel="0" collapsed="false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</row>
    <row r="496" customFormat="false" ht="15.75" hidden="false" customHeight="true" outlineLevel="0" collapsed="false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</row>
    <row r="497" customFormat="false" ht="15.75" hidden="false" customHeight="true" outlineLevel="0" collapsed="false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</row>
    <row r="498" customFormat="false" ht="15.75" hidden="false" customHeight="true" outlineLevel="0" collapsed="false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</row>
    <row r="499" customFormat="false" ht="15.75" hidden="false" customHeight="true" outlineLevel="0" collapsed="false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</row>
    <row r="500" customFormat="false" ht="15.75" hidden="false" customHeight="true" outlineLevel="0" collapsed="false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</row>
    <row r="501" customFormat="false" ht="15.75" hidden="false" customHeight="true" outlineLevel="0" collapsed="false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</row>
    <row r="502" customFormat="false" ht="15.75" hidden="false" customHeight="true" outlineLevel="0" collapsed="false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</row>
    <row r="503" customFormat="false" ht="15.75" hidden="false" customHeight="true" outlineLevel="0" collapsed="false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</row>
    <row r="504" customFormat="false" ht="15.75" hidden="false" customHeight="true" outlineLevel="0" collapsed="false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</row>
    <row r="505" customFormat="false" ht="15.75" hidden="false" customHeight="true" outlineLevel="0" collapsed="false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</row>
    <row r="506" customFormat="false" ht="15.75" hidden="false" customHeight="true" outlineLevel="0" collapsed="false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</row>
    <row r="507" customFormat="false" ht="15.75" hidden="false" customHeight="true" outlineLevel="0" collapsed="false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</row>
    <row r="508" customFormat="false" ht="15.75" hidden="false" customHeight="true" outlineLevel="0" collapsed="false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</row>
    <row r="509" customFormat="false" ht="15.75" hidden="false" customHeight="true" outlineLevel="0" collapsed="false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</row>
    <row r="510" customFormat="false" ht="15.75" hidden="false" customHeight="true" outlineLevel="0" collapsed="false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</row>
    <row r="511" customFormat="false" ht="15.75" hidden="false" customHeight="true" outlineLevel="0" collapsed="false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</row>
    <row r="512" customFormat="false" ht="15.75" hidden="false" customHeight="true" outlineLevel="0" collapsed="false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</row>
    <row r="513" customFormat="false" ht="15.75" hidden="false" customHeight="true" outlineLevel="0" collapsed="false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</row>
    <row r="514" customFormat="false" ht="15.75" hidden="false" customHeight="true" outlineLevel="0" collapsed="false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</row>
    <row r="515" customFormat="false" ht="15.75" hidden="false" customHeight="true" outlineLevel="0" collapsed="false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</row>
    <row r="516" customFormat="false" ht="15.75" hidden="false" customHeight="true" outlineLevel="0" collapsed="false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</row>
    <row r="517" customFormat="false" ht="15.75" hidden="false" customHeight="true" outlineLevel="0" collapsed="false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</row>
    <row r="518" customFormat="false" ht="15.75" hidden="false" customHeight="true" outlineLevel="0" collapsed="false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</row>
    <row r="519" customFormat="false" ht="15.75" hidden="false" customHeight="true" outlineLevel="0" collapsed="false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</row>
    <row r="520" customFormat="false" ht="15.75" hidden="false" customHeight="true" outlineLevel="0" collapsed="false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</row>
    <row r="521" customFormat="false" ht="15.75" hidden="false" customHeight="true" outlineLevel="0" collapsed="false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</row>
    <row r="522" customFormat="false" ht="15.75" hidden="false" customHeight="true" outlineLevel="0" collapsed="false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</row>
    <row r="523" customFormat="false" ht="15.75" hidden="false" customHeight="true" outlineLevel="0" collapsed="false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</row>
    <row r="524" customFormat="false" ht="15.75" hidden="false" customHeight="true" outlineLevel="0" collapsed="false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</row>
    <row r="525" customFormat="false" ht="15.75" hidden="false" customHeight="true" outlineLevel="0" collapsed="false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</row>
    <row r="526" customFormat="false" ht="15.75" hidden="false" customHeight="true" outlineLevel="0" collapsed="false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</row>
    <row r="527" customFormat="false" ht="15.75" hidden="false" customHeight="true" outlineLevel="0" collapsed="false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</row>
    <row r="528" customFormat="false" ht="15.75" hidden="false" customHeight="true" outlineLevel="0" collapsed="false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</row>
    <row r="529" customFormat="false" ht="15.75" hidden="false" customHeight="true" outlineLevel="0" collapsed="false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</row>
    <row r="530" customFormat="false" ht="15.75" hidden="false" customHeight="true" outlineLevel="0" collapsed="false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</row>
    <row r="531" customFormat="false" ht="15.75" hidden="false" customHeight="true" outlineLevel="0" collapsed="false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</row>
    <row r="532" customFormat="false" ht="15.75" hidden="false" customHeight="true" outlineLevel="0" collapsed="false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</row>
    <row r="533" customFormat="false" ht="15.75" hidden="false" customHeight="true" outlineLevel="0" collapsed="false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</row>
    <row r="534" customFormat="false" ht="15.75" hidden="false" customHeight="true" outlineLevel="0" collapsed="false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</row>
    <row r="535" customFormat="false" ht="15.75" hidden="false" customHeight="true" outlineLevel="0" collapsed="false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</row>
    <row r="536" customFormat="false" ht="15.75" hidden="false" customHeight="true" outlineLevel="0" collapsed="false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</row>
    <row r="537" customFormat="false" ht="15.75" hidden="false" customHeight="true" outlineLevel="0" collapsed="false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</row>
    <row r="538" customFormat="false" ht="15.75" hidden="false" customHeight="true" outlineLevel="0" collapsed="false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</row>
    <row r="539" customFormat="false" ht="15.75" hidden="false" customHeight="true" outlineLevel="0" collapsed="false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</row>
    <row r="540" customFormat="false" ht="15.75" hidden="false" customHeight="true" outlineLevel="0" collapsed="false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</row>
    <row r="541" customFormat="false" ht="15.75" hidden="false" customHeight="true" outlineLevel="0" collapsed="false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</row>
    <row r="542" customFormat="false" ht="15.75" hidden="false" customHeight="true" outlineLevel="0" collapsed="false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</row>
    <row r="543" customFormat="false" ht="15.75" hidden="false" customHeight="true" outlineLevel="0" collapsed="false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</row>
    <row r="544" customFormat="false" ht="15.75" hidden="false" customHeight="true" outlineLevel="0" collapsed="false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</row>
    <row r="545" customFormat="false" ht="15.75" hidden="false" customHeight="true" outlineLevel="0" collapsed="false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</row>
    <row r="546" customFormat="false" ht="15.75" hidden="false" customHeight="true" outlineLevel="0" collapsed="false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</row>
    <row r="547" customFormat="false" ht="15.75" hidden="false" customHeight="true" outlineLevel="0" collapsed="false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</row>
    <row r="548" customFormat="false" ht="15.75" hidden="false" customHeight="true" outlineLevel="0" collapsed="false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</row>
    <row r="549" customFormat="false" ht="15.75" hidden="false" customHeight="true" outlineLevel="0" collapsed="false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</row>
    <row r="550" customFormat="false" ht="15.75" hidden="false" customHeight="true" outlineLevel="0" collapsed="false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</row>
    <row r="551" customFormat="false" ht="15.75" hidden="false" customHeight="true" outlineLevel="0" collapsed="false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</row>
    <row r="552" customFormat="false" ht="15.75" hidden="false" customHeight="true" outlineLevel="0" collapsed="false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</row>
    <row r="553" customFormat="false" ht="15.75" hidden="false" customHeight="true" outlineLevel="0" collapsed="false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</row>
    <row r="554" customFormat="false" ht="15.75" hidden="false" customHeight="true" outlineLevel="0" collapsed="false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</row>
    <row r="555" customFormat="false" ht="15.75" hidden="false" customHeight="true" outlineLevel="0" collapsed="false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</row>
    <row r="556" customFormat="false" ht="15.75" hidden="false" customHeight="true" outlineLevel="0" collapsed="false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</row>
    <row r="557" customFormat="false" ht="15.75" hidden="false" customHeight="true" outlineLevel="0" collapsed="false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</row>
    <row r="558" customFormat="false" ht="15.75" hidden="false" customHeight="true" outlineLevel="0" collapsed="false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</row>
    <row r="559" customFormat="false" ht="15.75" hidden="false" customHeight="true" outlineLevel="0" collapsed="false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</row>
    <row r="560" customFormat="false" ht="15.75" hidden="false" customHeight="true" outlineLevel="0" collapsed="false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</row>
    <row r="561" customFormat="false" ht="15.75" hidden="false" customHeight="true" outlineLevel="0" collapsed="false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</row>
    <row r="562" customFormat="false" ht="15.75" hidden="false" customHeight="true" outlineLevel="0" collapsed="false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</row>
    <row r="563" customFormat="false" ht="15.75" hidden="false" customHeight="true" outlineLevel="0" collapsed="false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</row>
    <row r="564" customFormat="false" ht="15.75" hidden="false" customHeight="true" outlineLevel="0" collapsed="false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</row>
    <row r="565" customFormat="false" ht="15.75" hidden="false" customHeight="true" outlineLevel="0" collapsed="false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</row>
    <row r="566" customFormat="false" ht="15.75" hidden="false" customHeight="true" outlineLevel="0" collapsed="false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</row>
    <row r="567" customFormat="false" ht="15.75" hidden="false" customHeight="true" outlineLevel="0" collapsed="false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</row>
    <row r="568" customFormat="false" ht="15.75" hidden="false" customHeight="true" outlineLevel="0" collapsed="false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</row>
    <row r="569" customFormat="false" ht="15.75" hidden="false" customHeight="true" outlineLevel="0" collapsed="false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</row>
    <row r="570" customFormat="false" ht="15.75" hidden="false" customHeight="true" outlineLevel="0" collapsed="false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</row>
    <row r="571" customFormat="false" ht="15.75" hidden="false" customHeight="true" outlineLevel="0" collapsed="false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</row>
    <row r="572" customFormat="false" ht="15.75" hidden="false" customHeight="true" outlineLevel="0" collapsed="false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</row>
    <row r="573" customFormat="false" ht="15.75" hidden="false" customHeight="true" outlineLevel="0" collapsed="false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</row>
    <row r="574" customFormat="false" ht="15.75" hidden="false" customHeight="true" outlineLevel="0" collapsed="false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</row>
    <row r="575" customFormat="false" ht="15.75" hidden="false" customHeight="true" outlineLevel="0" collapsed="false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</row>
    <row r="576" customFormat="false" ht="15.75" hidden="false" customHeight="true" outlineLevel="0" collapsed="false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</row>
    <row r="577" customFormat="false" ht="15.75" hidden="false" customHeight="true" outlineLevel="0" collapsed="false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</row>
    <row r="578" customFormat="false" ht="15.75" hidden="false" customHeight="true" outlineLevel="0" collapsed="false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</row>
    <row r="579" customFormat="false" ht="15.75" hidden="false" customHeight="true" outlineLevel="0" collapsed="false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</row>
    <row r="580" customFormat="false" ht="15.75" hidden="false" customHeight="true" outlineLevel="0" collapsed="false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</row>
    <row r="581" customFormat="false" ht="15.75" hidden="false" customHeight="true" outlineLevel="0" collapsed="false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</row>
    <row r="582" customFormat="false" ht="15.75" hidden="false" customHeight="true" outlineLevel="0" collapsed="false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</row>
    <row r="583" customFormat="false" ht="15.75" hidden="false" customHeight="true" outlineLevel="0" collapsed="false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</row>
    <row r="584" customFormat="false" ht="15.75" hidden="false" customHeight="true" outlineLevel="0" collapsed="false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</row>
    <row r="585" customFormat="false" ht="15.75" hidden="false" customHeight="true" outlineLevel="0" collapsed="false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</row>
    <row r="586" customFormat="false" ht="15.75" hidden="false" customHeight="true" outlineLevel="0" collapsed="false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</row>
    <row r="587" customFormat="false" ht="15.75" hidden="false" customHeight="true" outlineLevel="0" collapsed="false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</row>
    <row r="588" customFormat="false" ht="15.75" hidden="false" customHeight="true" outlineLevel="0" collapsed="false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</row>
    <row r="589" customFormat="false" ht="15.75" hidden="false" customHeight="true" outlineLevel="0" collapsed="false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</row>
    <row r="590" customFormat="false" ht="15.75" hidden="false" customHeight="true" outlineLevel="0" collapsed="false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</row>
    <row r="591" customFormat="false" ht="15.75" hidden="false" customHeight="true" outlineLevel="0" collapsed="false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</row>
    <row r="592" customFormat="false" ht="15.75" hidden="false" customHeight="true" outlineLevel="0" collapsed="false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</row>
    <row r="593" customFormat="false" ht="15.75" hidden="false" customHeight="true" outlineLevel="0" collapsed="false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</row>
    <row r="594" customFormat="false" ht="15.75" hidden="false" customHeight="true" outlineLevel="0" collapsed="false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</row>
    <row r="595" customFormat="false" ht="15.75" hidden="false" customHeight="true" outlineLevel="0" collapsed="false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</row>
    <row r="596" customFormat="false" ht="15.75" hidden="false" customHeight="true" outlineLevel="0" collapsed="false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</row>
    <row r="597" customFormat="false" ht="15.75" hidden="false" customHeight="true" outlineLevel="0" collapsed="false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</row>
    <row r="598" customFormat="false" ht="15.75" hidden="false" customHeight="true" outlineLevel="0" collapsed="false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</row>
    <row r="599" customFormat="false" ht="15.75" hidden="false" customHeight="true" outlineLevel="0" collapsed="false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</row>
    <row r="600" customFormat="false" ht="15.75" hidden="false" customHeight="true" outlineLevel="0" collapsed="false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</row>
    <row r="601" customFormat="false" ht="15.75" hidden="false" customHeight="true" outlineLevel="0" collapsed="false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</row>
    <row r="602" customFormat="false" ht="15.75" hidden="false" customHeight="true" outlineLevel="0" collapsed="false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</row>
    <row r="603" customFormat="false" ht="15.75" hidden="false" customHeight="true" outlineLevel="0" collapsed="false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</row>
    <row r="604" customFormat="false" ht="15.75" hidden="false" customHeight="true" outlineLevel="0" collapsed="false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</row>
    <row r="605" customFormat="false" ht="15.75" hidden="false" customHeight="true" outlineLevel="0" collapsed="false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</row>
    <row r="606" customFormat="false" ht="15.75" hidden="false" customHeight="true" outlineLevel="0" collapsed="false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</row>
    <row r="607" customFormat="false" ht="15.75" hidden="false" customHeight="true" outlineLevel="0" collapsed="false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</row>
    <row r="608" customFormat="false" ht="15.75" hidden="false" customHeight="true" outlineLevel="0" collapsed="false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</row>
    <row r="609" customFormat="false" ht="15.75" hidden="false" customHeight="true" outlineLevel="0" collapsed="false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</row>
    <row r="610" customFormat="false" ht="15.75" hidden="false" customHeight="true" outlineLevel="0" collapsed="false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</row>
    <row r="611" customFormat="false" ht="15.75" hidden="false" customHeight="true" outlineLevel="0" collapsed="false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</row>
    <row r="612" customFormat="false" ht="15.75" hidden="false" customHeight="true" outlineLevel="0" collapsed="false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</row>
    <row r="613" customFormat="false" ht="15.75" hidden="false" customHeight="true" outlineLevel="0" collapsed="false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</row>
    <row r="614" customFormat="false" ht="15.75" hidden="false" customHeight="true" outlineLevel="0" collapsed="false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</row>
    <row r="615" customFormat="false" ht="15.75" hidden="false" customHeight="true" outlineLevel="0" collapsed="false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</row>
    <row r="616" customFormat="false" ht="15.75" hidden="false" customHeight="true" outlineLevel="0" collapsed="false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</row>
    <row r="617" customFormat="false" ht="15.75" hidden="false" customHeight="true" outlineLevel="0" collapsed="false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</row>
    <row r="618" customFormat="false" ht="15.75" hidden="false" customHeight="true" outlineLevel="0" collapsed="false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</row>
    <row r="619" customFormat="false" ht="15.75" hidden="false" customHeight="true" outlineLevel="0" collapsed="false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</row>
    <row r="620" customFormat="false" ht="15.75" hidden="false" customHeight="true" outlineLevel="0" collapsed="false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</row>
    <row r="621" customFormat="false" ht="15.75" hidden="false" customHeight="true" outlineLevel="0" collapsed="false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</row>
    <row r="622" customFormat="false" ht="15.75" hidden="false" customHeight="true" outlineLevel="0" collapsed="false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</row>
    <row r="623" customFormat="false" ht="15.75" hidden="false" customHeight="true" outlineLevel="0" collapsed="false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</row>
    <row r="624" customFormat="false" ht="15.75" hidden="false" customHeight="true" outlineLevel="0" collapsed="false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</row>
    <row r="625" customFormat="false" ht="15.75" hidden="false" customHeight="true" outlineLevel="0" collapsed="false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</row>
    <row r="626" customFormat="false" ht="15.75" hidden="false" customHeight="true" outlineLevel="0" collapsed="false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</row>
    <row r="627" customFormat="false" ht="15.75" hidden="false" customHeight="true" outlineLevel="0" collapsed="false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</row>
    <row r="628" customFormat="false" ht="15.75" hidden="false" customHeight="true" outlineLevel="0" collapsed="false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</row>
    <row r="629" customFormat="false" ht="15.75" hidden="false" customHeight="true" outlineLevel="0" collapsed="false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</row>
    <row r="630" customFormat="false" ht="15.75" hidden="false" customHeight="true" outlineLevel="0" collapsed="false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</row>
    <row r="631" customFormat="false" ht="15.75" hidden="false" customHeight="true" outlineLevel="0" collapsed="false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</row>
    <row r="632" customFormat="false" ht="15.75" hidden="false" customHeight="true" outlineLevel="0" collapsed="false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</row>
    <row r="633" customFormat="false" ht="15.75" hidden="false" customHeight="true" outlineLevel="0" collapsed="false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</row>
    <row r="634" customFormat="false" ht="15.75" hidden="false" customHeight="true" outlineLevel="0" collapsed="false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</row>
    <row r="635" customFormat="false" ht="15.75" hidden="false" customHeight="true" outlineLevel="0" collapsed="false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</row>
    <row r="636" customFormat="false" ht="15.75" hidden="false" customHeight="true" outlineLevel="0" collapsed="false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</row>
    <row r="637" customFormat="false" ht="15.75" hidden="false" customHeight="true" outlineLevel="0" collapsed="false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</row>
    <row r="638" customFormat="false" ht="15.75" hidden="false" customHeight="true" outlineLevel="0" collapsed="false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</row>
    <row r="639" customFormat="false" ht="15.75" hidden="false" customHeight="true" outlineLevel="0" collapsed="false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</row>
    <row r="640" customFormat="false" ht="15.75" hidden="false" customHeight="true" outlineLevel="0" collapsed="false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</row>
    <row r="641" customFormat="false" ht="15.75" hidden="false" customHeight="true" outlineLevel="0" collapsed="false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</row>
    <row r="642" customFormat="false" ht="15.75" hidden="false" customHeight="true" outlineLevel="0" collapsed="false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</row>
    <row r="643" customFormat="false" ht="15.75" hidden="false" customHeight="true" outlineLevel="0" collapsed="false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</row>
    <row r="644" customFormat="false" ht="15.75" hidden="false" customHeight="true" outlineLevel="0" collapsed="false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</row>
    <row r="645" customFormat="false" ht="15.75" hidden="false" customHeight="true" outlineLevel="0" collapsed="false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</row>
    <row r="646" customFormat="false" ht="15.75" hidden="false" customHeight="true" outlineLevel="0" collapsed="false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</row>
    <row r="647" customFormat="false" ht="15.75" hidden="false" customHeight="true" outlineLevel="0" collapsed="false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</row>
    <row r="648" customFormat="false" ht="15.75" hidden="false" customHeight="true" outlineLevel="0" collapsed="false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</row>
    <row r="649" customFormat="false" ht="15.75" hidden="false" customHeight="true" outlineLevel="0" collapsed="false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</row>
    <row r="650" customFormat="false" ht="15.75" hidden="false" customHeight="true" outlineLevel="0" collapsed="false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</row>
    <row r="651" customFormat="false" ht="15.75" hidden="false" customHeight="true" outlineLevel="0" collapsed="false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</row>
    <row r="652" customFormat="false" ht="15.75" hidden="false" customHeight="true" outlineLevel="0" collapsed="false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</row>
    <row r="653" customFormat="false" ht="15.75" hidden="false" customHeight="true" outlineLevel="0" collapsed="false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</row>
    <row r="654" customFormat="false" ht="15.75" hidden="false" customHeight="true" outlineLevel="0" collapsed="false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</row>
    <row r="655" customFormat="false" ht="15.75" hidden="false" customHeight="true" outlineLevel="0" collapsed="false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</row>
    <row r="656" customFormat="false" ht="15.75" hidden="false" customHeight="true" outlineLevel="0" collapsed="false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</row>
    <row r="657" customFormat="false" ht="15.75" hidden="false" customHeight="true" outlineLevel="0" collapsed="false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</row>
    <row r="658" customFormat="false" ht="15.75" hidden="false" customHeight="true" outlineLevel="0" collapsed="false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</row>
    <row r="659" customFormat="false" ht="15.75" hidden="false" customHeight="true" outlineLevel="0" collapsed="false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</row>
    <row r="660" customFormat="false" ht="15.75" hidden="false" customHeight="true" outlineLevel="0" collapsed="false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</row>
    <row r="661" customFormat="false" ht="15.75" hidden="false" customHeight="true" outlineLevel="0" collapsed="false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</row>
    <row r="662" customFormat="false" ht="15.75" hidden="false" customHeight="true" outlineLevel="0" collapsed="false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</row>
    <row r="663" customFormat="false" ht="15.75" hidden="false" customHeight="true" outlineLevel="0" collapsed="false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</row>
    <row r="664" customFormat="false" ht="15.75" hidden="false" customHeight="true" outlineLevel="0" collapsed="false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</row>
    <row r="665" customFormat="false" ht="15.75" hidden="false" customHeight="true" outlineLevel="0" collapsed="false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</row>
    <row r="666" customFormat="false" ht="15.75" hidden="false" customHeight="true" outlineLevel="0" collapsed="false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</row>
    <row r="667" customFormat="false" ht="15.75" hidden="false" customHeight="true" outlineLevel="0" collapsed="false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</row>
    <row r="668" customFormat="false" ht="15.75" hidden="false" customHeight="true" outlineLevel="0" collapsed="false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</row>
    <row r="669" customFormat="false" ht="15.75" hidden="false" customHeight="true" outlineLevel="0" collapsed="fals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</row>
    <row r="670" customFormat="false" ht="15.75" hidden="false" customHeight="true" outlineLevel="0" collapsed="false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</row>
    <row r="671" customFormat="false" ht="15.75" hidden="false" customHeight="true" outlineLevel="0" collapsed="false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</row>
    <row r="672" customFormat="false" ht="15.75" hidden="false" customHeight="true" outlineLevel="0" collapsed="false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</row>
    <row r="673" customFormat="false" ht="15.75" hidden="false" customHeight="true" outlineLevel="0" collapsed="false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</row>
    <row r="674" customFormat="false" ht="15.75" hidden="false" customHeight="true" outlineLevel="0" collapsed="false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</row>
    <row r="675" customFormat="false" ht="15.75" hidden="false" customHeight="true" outlineLevel="0" collapsed="false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</row>
    <row r="676" customFormat="false" ht="15.75" hidden="false" customHeight="true" outlineLevel="0" collapsed="false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</row>
    <row r="677" customFormat="false" ht="15.75" hidden="false" customHeight="true" outlineLevel="0" collapsed="false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</row>
    <row r="678" customFormat="false" ht="15.75" hidden="false" customHeight="true" outlineLevel="0" collapsed="false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</row>
    <row r="679" customFormat="false" ht="15.75" hidden="false" customHeight="true" outlineLevel="0" collapsed="false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</row>
    <row r="680" customFormat="false" ht="15.75" hidden="false" customHeight="true" outlineLevel="0" collapsed="false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</row>
    <row r="681" customFormat="false" ht="15.75" hidden="false" customHeight="true" outlineLevel="0" collapsed="false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</row>
    <row r="682" customFormat="false" ht="15.75" hidden="false" customHeight="true" outlineLevel="0" collapsed="false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</row>
    <row r="683" customFormat="false" ht="15.75" hidden="false" customHeight="true" outlineLevel="0" collapsed="false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</row>
    <row r="684" customFormat="false" ht="15.75" hidden="false" customHeight="true" outlineLevel="0" collapsed="false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</row>
    <row r="685" customFormat="false" ht="15.75" hidden="false" customHeight="true" outlineLevel="0" collapsed="false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</row>
    <row r="686" customFormat="false" ht="15.75" hidden="false" customHeight="true" outlineLevel="0" collapsed="false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</row>
    <row r="687" customFormat="false" ht="15.75" hidden="false" customHeight="true" outlineLevel="0" collapsed="false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</row>
    <row r="688" customFormat="false" ht="15.75" hidden="false" customHeight="true" outlineLevel="0" collapsed="false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</row>
    <row r="689" customFormat="false" ht="15.75" hidden="false" customHeight="true" outlineLevel="0" collapsed="false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</row>
    <row r="690" customFormat="false" ht="15.75" hidden="false" customHeight="true" outlineLevel="0" collapsed="false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</row>
    <row r="691" customFormat="false" ht="15.75" hidden="false" customHeight="true" outlineLevel="0" collapsed="false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</row>
    <row r="692" customFormat="false" ht="15.75" hidden="false" customHeight="true" outlineLevel="0" collapsed="false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</row>
    <row r="693" customFormat="false" ht="15.75" hidden="false" customHeight="true" outlineLevel="0" collapsed="false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</row>
    <row r="694" customFormat="false" ht="15.75" hidden="false" customHeight="true" outlineLevel="0" collapsed="false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</row>
    <row r="695" customFormat="false" ht="15.75" hidden="false" customHeight="true" outlineLevel="0" collapsed="false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</row>
    <row r="696" customFormat="false" ht="15.75" hidden="false" customHeight="true" outlineLevel="0" collapsed="false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</row>
    <row r="697" customFormat="false" ht="15.75" hidden="false" customHeight="true" outlineLevel="0" collapsed="false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</row>
    <row r="698" customFormat="false" ht="15.75" hidden="false" customHeight="true" outlineLevel="0" collapsed="false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</row>
    <row r="699" customFormat="false" ht="15.75" hidden="false" customHeight="true" outlineLevel="0" collapsed="false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</row>
    <row r="700" customFormat="false" ht="15.75" hidden="false" customHeight="true" outlineLevel="0" collapsed="false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</row>
    <row r="701" customFormat="false" ht="15.75" hidden="false" customHeight="true" outlineLevel="0" collapsed="false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</row>
    <row r="702" customFormat="false" ht="15.75" hidden="false" customHeight="true" outlineLevel="0" collapsed="false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</row>
    <row r="703" customFormat="false" ht="15.75" hidden="false" customHeight="true" outlineLevel="0" collapsed="false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</row>
    <row r="704" customFormat="false" ht="15.75" hidden="false" customHeight="true" outlineLevel="0" collapsed="false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</row>
    <row r="705" customFormat="false" ht="15.75" hidden="false" customHeight="true" outlineLevel="0" collapsed="false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</row>
    <row r="706" customFormat="false" ht="15.75" hidden="false" customHeight="true" outlineLevel="0" collapsed="false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</row>
    <row r="707" customFormat="false" ht="15.75" hidden="false" customHeight="true" outlineLevel="0" collapsed="false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</row>
    <row r="708" customFormat="false" ht="15.75" hidden="false" customHeight="true" outlineLevel="0" collapsed="false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</row>
    <row r="709" customFormat="false" ht="15.75" hidden="false" customHeight="true" outlineLevel="0" collapsed="false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</row>
    <row r="710" customFormat="false" ht="15.75" hidden="false" customHeight="true" outlineLevel="0" collapsed="false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</row>
    <row r="711" customFormat="false" ht="15.75" hidden="false" customHeight="true" outlineLevel="0" collapsed="false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</row>
    <row r="712" customFormat="false" ht="15.75" hidden="false" customHeight="true" outlineLevel="0" collapsed="false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</row>
    <row r="713" customFormat="false" ht="15.75" hidden="false" customHeight="true" outlineLevel="0" collapsed="false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</row>
    <row r="714" customFormat="false" ht="15.75" hidden="false" customHeight="true" outlineLevel="0" collapsed="false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</row>
    <row r="715" customFormat="false" ht="15.75" hidden="false" customHeight="true" outlineLevel="0" collapsed="false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</row>
    <row r="716" customFormat="false" ht="15.75" hidden="false" customHeight="true" outlineLevel="0" collapsed="false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</row>
    <row r="717" customFormat="false" ht="15.75" hidden="false" customHeight="true" outlineLevel="0" collapsed="false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</row>
    <row r="718" customFormat="false" ht="15.75" hidden="false" customHeight="true" outlineLevel="0" collapsed="false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</row>
    <row r="719" customFormat="false" ht="15.75" hidden="false" customHeight="true" outlineLevel="0" collapsed="false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</row>
    <row r="720" customFormat="false" ht="15.75" hidden="false" customHeight="true" outlineLevel="0" collapsed="false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</row>
    <row r="721" customFormat="false" ht="15.75" hidden="false" customHeight="true" outlineLevel="0" collapsed="false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</row>
    <row r="722" customFormat="false" ht="15.75" hidden="false" customHeight="true" outlineLevel="0" collapsed="false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</row>
    <row r="723" customFormat="false" ht="15.75" hidden="false" customHeight="true" outlineLevel="0" collapsed="false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</row>
    <row r="724" customFormat="false" ht="15.75" hidden="false" customHeight="true" outlineLevel="0" collapsed="false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</row>
    <row r="725" customFormat="false" ht="15.75" hidden="false" customHeight="true" outlineLevel="0" collapsed="false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</row>
    <row r="726" customFormat="false" ht="15.75" hidden="false" customHeight="true" outlineLevel="0" collapsed="false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</row>
    <row r="727" customFormat="false" ht="15.75" hidden="false" customHeight="true" outlineLevel="0" collapsed="false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</row>
    <row r="728" customFormat="false" ht="15.75" hidden="false" customHeight="true" outlineLevel="0" collapsed="false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</row>
    <row r="729" customFormat="false" ht="15.75" hidden="false" customHeight="true" outlineLevel="0" collapsed="false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</row>
    <row r="730" customFormat="false" ht="15.75" hidden="false" customHeight="true" outlineLevel="0" collapsed="false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</row>
    <row r="731" customFormat="false" ht="15.75" hidden="false" customHeight="true" outlineLevel="0" collapsed="false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</row>
    <row r="732" customFormat="false" ht="15.75" hidden="false" customHeight="true" outlineLevel="0" collapsed="false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</row>
    <row r="733" customFormat="false" ht="15.75" hidden="false" customHeight="true" outlineLevel="0" collapsed="false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</row>
    <row r="734" customFormat="false" ht="15.75" hidden="false" customHeight="true" outlineLevel="0" collapsed="false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</row>
    <row r="735" customFormat="false" ht="15.75" hidden="false" customHeight="true" outlineLevel="0" collapsed="false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</row>
    <row r="736" customFormat="false" ht="15.75" hidden="false" customHeight="true" outlineLevel="0" collapsed="false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</row>
    <row r="737" customFormat="false" ht="15.75" hidden="false" customHeight="true" outlineLevel="0" collapsed="false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</row>
    <row r="738" customFormat="false" ht="15.75" hidden="false" customHeight="true" outlineLevel="0" collapsed="false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</row>
    <row r="739" customFormat="false" ht="15.75" hidden="false" customHeight="true" outlineLevel="0" collapsed="false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</row>
    <row r="740" customFormat="false" ht="15.75" hidden="false" customHeight="true" outlineLevel="0" collapsed="false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</row>
    <row r="741" customFormat="false" ht="15.75" hidden="false" customHeight="true" outlineLevel="0" collapsed="false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</row>
    <row r="742" customFormat="false" ht="15.75" hidden="false" customHeight="true" outlineLevel="0" collapsed="false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</row>
    <row r="743" customFormat="false" ht="15.75" hidden="false" customHeight="true" outlineLevel="0" collapsed="false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</row>
    <row r="744" customFormat="false" ht="15.75" hidden="false" customHeight="true" outlineLevel="0" collapsed="false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</row>
    <row r="745" customFormat="false" ht="15.75" hidden="false" customHeight="true" outlineLevel="0" collapsed="false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</row>
    <row r="746" customFormat="false" ht="15.75" hidden="false" customHeight="true" outlineLevel="0" collapsed="false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</row>
    <row r="747" customFormat="false" ht="15.75" hidden="false" customHeight="true" outlineLevel="0" collapsed="false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</row>
    <row r="748" customFormat="false" ht="15.75" hidden="false" customHeight="true" outlineLevel="0" collapsed="false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</row>
    <row r="749" customFormat="false" ht="15.75" hidden="false" customHeight="true" outlineLevel="0" collapsed="false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</row>
    <row r="750" customFormat="false" ht="15.75" hidden="false" customHeight="true" outlineLevel="0" collapsed="false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</row>
    <row r="751" customFormat="false" ht="15.75" hidden="false" customHeight="true" outlineLevel="0" collapsed="false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</row>
    <row r="752" customFormat="false" ht="15.75" hidden="false" customHeight="true" outlineLevel="0" collapsed="false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</row>
    <row r="753" customFormat="false" ht="15.75" hidden="false" customHeight="true" outlineLevel="0" collapsed="false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</row>
    <row r="754" customFormat="false" ht="15.75" hidden="false" customHeight="true" outlineLevel="0" collapsed="false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</row>
    <row r="755" customFormat="false" ht="15.75" hidden="false" customHeight="true" outlineLevel="0" collapsed="false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</row>
    <row r="756" customFormat="false" ht="15.75" hidden="false" customHeight="true" outlineLevel="0" collapsed="false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</row>
    <row r="757" customFormat="false" ht="15.75" hidden="false" customHeight="true" outlineLevel="0" collapsed="false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</row>
    <row r="758" customFormat="false" ht="15.75" hidden="false" customHeight="true" outlineLevel="0" collapsed="false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</row>
    <row r="759" customFormat="false" ht="15.75" hidden="false" customHeight="true" outlineLevel="0" collapsed="false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</row>
    <row r="760" customFormat="false" ht="15.75" hidden="false" customHeight="true" outlineLevel="0" collapsed="false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</row>
    <row r="761" customFormat="false" ht="15.75" hidden="false" customHeight="true" outlineLevel="0" collapsed="false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</row>
    <row r="762" customFormat="false" ht="15.75" hidden="false" customHeight="true" outlineLevel="0" collapsed="false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</row>
    <row r="763" customFormat="false" ht="15.75" hidden="false" customHeight="true" outlineLevel="0" collapsed="false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</row>
    <row r="764" customFormat="false" ht="15.75" hidden="false" customHeight="true" outlineLevel="0" collapsed="false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</row>
    <row r="765" customFormat="false" ht="15.75" hidden="false" customHeight="true" outlineLevel="0" collapsed="false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</row>
    <row r="766" customFormat="false" ht="15.75" hidden="false" customHeight="true" outlineLevel="0" collapsed="false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</row>
    <row r="767" customFormat="false" ht="15.75" hidden="false" customHeight="true" outlineLevel="0" collapsed="false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</row>
    <row r="768" customFormat="false" ht="15.75" hidden="false" customHeight="true" outlineLevel="0" collapsed="false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</row>
    <row r="769" customFormat="false" ht="15.75" hidden="false" customHeight="true" outlineLevel="0" collapsed="false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</row>
    <row r="770" customFormat="false" ht="15.75" hidden="false" customHeight="true" outlineLevel="0" collapsed="false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</row>
    <row r="771" customFormat="false" ht="15.75" hidden="false" customHeight="true" outlineLevel="0" collapsed="false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</row>
    <row r="772" customFormat="false" ht="15.75" hidden="false" customHeight="true" outlineLevel="0" collapsed="false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</row>
    <row r="773" customFormat="false" ht="15.75" hidden="false" customHeight="true" outlineLevel="0" collapsed="false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</row>
    <row r="774" customFormat="false" ht="15.75" hidden="false" customHeight="true" outlineLevel="0" collapsed="false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</row>
    <row r="775" customFormat="false" ht="15.75" hidden="false" customHeight="true" outlineLevel="0" collapsed="false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</row>
    <row r="776" customFormat="false" ht="15.75" hidden="false" customHeight="true" outlineLevel="0" collapsed="false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</row>
    <row r="777" customFormat="false" ht="15.75" hidden="false" customHeight="true" outlineLevel="0" collapsed="false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</row>
    <row r="778" customFormat="false" ht="15.75" hidden="false" customHeight="true" outlineLevel="0" collapsed="false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</row>
    <row r="779" customFormat="false" ht="15.75" hidden="false" customHeight="true" outlineLevel="0" collapsed="false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</row>
    <row r="780" customFormat="false" ht="15.75" hidden="false" customHeight="true" outlineLevel="0" collapsed="false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</row>
    <row r="781" customFormat="false" ht="15.75" hidden="false" customHeight="true" outlineLevel="0" collapsed="false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</row>
    <row r="782" customFormat="false" ht="15.75" hidden="false" customHeight="true" outlineLevel="0" collapsed="false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</row>
    <row r="783" customFormat="false" ht="15.75" hidden="false" customHeight="true" outlineLevel="0" collapsed="false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</row>
    <row r="784" customFormat="false" ht="15.75" hidden="false" customHeight="true" outlineLevel="0" collapsed="false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</row>
    <row r="785" customFormat="false" ht="15.75" hidden="false" customHeight="true" outlineLevel="0" collapsed="false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</row>
    <row r="786" customFormat="false" ht="15.75" hidden="false" customHeight="true" outlineLevel="0" collapsed="false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</row>
    <row r="787" customFormat="false" ht="15.75" hidden="false" customHeight="true" outlineLevel="0" collapsed="false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</row>
    <row r="788" customFormat="false" ht="15.75" hidden="false" customHeight="true" outlineLevel="0" collapsed="false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</row>
    <row r="789" customFormat="false" ht="15.75" hidden="false" customHeight="true" outlineLevel="0" collapsed="false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</row>
    <row r="790" customFormat="false" ht="15.75" hidden="false" customHeight="true" outlineLevel="0" collapsed="false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</row>
    <row r="791" customFormat="false" ht="15.75" hidden="false" customHeight="true" outlineLevel="0" collapsed="false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</row>
    <row r="792" customFormat="false" ht="15.75" hidden="false" customHeight="true" outlineLevel="0" collapsed="false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</row>
    <row r="793" customFormat="false" ht="15.75" hidden="false" customHeight="true" outlineLevel="0" collapsed="false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</row>
    <row r="794" customFormat="false" ht="15.75" hidden="false" customHeight="true" outlineLevel="0" collapsed="false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</row>
    <row r="795" customFormat="false" ht="15.75" hidden="false" customHeight="true" outlineLevel="0" collapsed="false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</row>
    <row r="796" customFormat="false" ht="15.75" hidden="false" customHeight="true" outlineLevel="0" collapsed="false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</row>
    <row r="797" customFormat="false" ht="15.75" hidden="false" customHeight="true" outlineLevel="0" collapsed="false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</row>
    <row r="798" customFormat="false" ht="15.75" hidden="false" customHeight="true" outlineLevel="0" collapsed="false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</row>
    <row r="799" customFormat="false" ht="15.75" hidden="false" customHeight="true" outlineLevel="0" collapsed="false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</row>
    <row r="800" customFormat="false" ht="15.75" hidden="false" customHeight="true" outlineLevel="0" collapsed="false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</row>
    <row r="801" customFormat="false" ht="15.75" hidden="false" customHeight="true" outlineLevel="0" collapsed="false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</row>
    <row r="802" customFormat="false" ht="15.75" hidden="false" customHeight="true" outlineLevel="0" collapsed="false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</row>
    <row r="803" customFormat="false" ht="15.75" hidden="false" customHeight="true" outlineLevel="0" collapsed="false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</row>
    <row r="804" customFormat="false" ht="15.75" hidden="false" customHeight="true" outlineLevel="0" collapsed="false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</row>
    <row r="805" customFormat="false" ht="15.75" hidden="false" customHeight="true" outlineLevel="0" collapsed="false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</row>
    <row r="806" customFormat="false" ht="15.75" hidden="false" customHeight="true" outlineLevel="0" collapsed="false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</row>
    <row r="807" customFormat="false" ht="15.75" hidden="false" customHeight="true" outlineLevel="0" collapsed="false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</row>
    <row r="808" customFormat="false" ht="15.75" hidden="false" customHeight="true" outlineLevel="0" collapsed="false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</row>
    <row r="809" customFormat="false" ht="15.75" hidden="false" customHeight="true" outlineLevel="0" collapsed="false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</row>
    <row r="810" customFormat="false" ht="15.75" hidden="false" customHeight="true" outlineLevel="0" collapsed="false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</row>
    <row r="811" customFormat="false" ht="15.75" hidden="false" customHeight="true" outlineLevel="0" collapsed="false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</row>
    <row r="812" customFormat="false" ht="15.75" hidden="false" customHeight="true" outlineLevel="0" collapsed="false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</row>
    <row r="813" customFormat="false" ht="15.75" hidden="false" customHeight="true" outlineLevel="0" collapsed="false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</row>
    <row r="814" customFormat="false" ht="15.75" hidden="false" customHeight="true" outlineLevel="0" collapsed="false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</row>
    <row r="815" customFormat="false" ht="15.75" hidden="false" customHeight="true" outlineLevel="0" collapsed="false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</row>
    <row r="816" customFormat="false" ht="15.75" hidden="false" customHeight="true" outlineLevel="0" collapsed="false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</row>
    <row r="817" customFormat="false" ht="15.75" hidden="false" customHeight="true" outlineLevel="0" collapsed="false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</row>
    <row r="818" customFormat="false" ht="15.75" hidden="false" customHeight="true" outlineLevel="0" collapsed="false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</row>
    <row r="819" customFormat="false" ht="15.75" hidden="false" customHeight="true" outlineLevel="0" collapsed="false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</row>
    <row r="820" customFormat="false" ht="15.75" hidden="false" customHeight="true" outlineLevel="0" collapsed="false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</row>
    <row r="821" customFormat="false" ht="15.75" hidden="false" customHeight="true" outlineLevel="0" collapsed="false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</row>
    <row r="822" customFormat="false" ht="15.75" hidden="false" customHeight="true" outlineLevel="0" collapsed="false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</row>
    <row r="823" customFormat="false" ht="15.75" hidden="false" customHeight="true" outlineLevel="0" collapsed="false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</row>
    <row r="824" customFormat="false" ht="15.75" hidden="false" customHeight="true" outlineLevel="0" collapsed="false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</row>
    <row r="825" customFormat="false" ht="15.75" hidden="false" customHeight="true" outlineLevel="0" collapsed="false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</row>
    <row r="826" customFormat="false" ht="15.75" hidden="false" customHeight="true" outlineLevel="0" collapsed="false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</row>
    <row r="827" customFormat="false" ht="15.75" hidden="false" customHeight="true" outlineLevel="0" collapsed="false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</row>
    <row r="828" customFormat="false" ht="15.75" hidden="false" customHeight="true" outlineLevel="0" collapsed="false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</row>
    <row r="829" customFormat="false" ht="15.75" hidden="false" customHeight="true" outlineLevel="0" collapsed="false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</row>
    <row r="830" customFormat="false" ht="15.75" hidden="false" customHeight="true" outlineLevel="0" collapsed="false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</row>
    <row r="831" customFormat="false" ht="15.75" hidden="false" customHeight="true" outlineLevel="0" collapsed="false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</row>
    <row r="832" customFormat="false" ht="15.75" hidden="false" customHeight="true" outlineLevel="0" collapsed="false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</row>
    <row r="833" customFormat="false" ht="15.75" hidden="false" customHeight="true" outlineLevel="0" collapsed="false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</row>
    <row r="834" customFormat="false" ht="15.75" hidden="false" customHeight="true" outlineLevel="0" collapsed="false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</row>
    <row r="835" customFormat="false" ht="15.75" hidden="false" customHeight="true" outlineLevel="0" collapsed="false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</row>
    <row r="836" customFormat="false" ht="15.75" hidden="false" customHeight="true" outlineLevel="0" collapsed="false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</row>
    <row r="837" customFormat="false" ht="15.75" hidden="false" customHeight="true" outlineLevel="0" collapsed="false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</row>
    <row r="838" customFormat="false" ht="15.75" hidden="false" customHeight="true" outlineLevel="0" collapsed="false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</row>
    <row r="839" customFormat="false" ht="15.75" hidden="false" customHeight="true" outlineLevel="0" collapsed="false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</row>
    <row r="840" customFormat="false" ht="15.75" hidden="false" customHeight="true" outlineLevel="0" collapsed="false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</row>
    <row r="841" customFormat="false" ht="15.75" hidden="false" customHeight="true" outlineLevel="0" collapsed="false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</row>
    <row r="842" customFormat="false" ht="15.75" hidden="false" customHeight="true" outlineLevel="0" collapsed="false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</row>
    <row r="843" customFormat="false" ht="15.75" hidden="false" customHeight="true" outlineLevel="0" collapsed="false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</row>
    <row r="844" customFormat="false" ht="15.75" hidden="false" customHeight="true" outlineLevel="0" collapsed="false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</row>
    <row r="845" customFormat="false" ht="15.75" hidden="false" customHeight="true" outlineLevel="0" collapsed="false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</row>
    <row r="846" customFormat="false" ht="15.75" hidden="false" customHeight="true" outlineLevel="0" collapsed="false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</row>
    <row r="847" customFormat="false" ht="15.75" hidden="false" customHeight="true" outlineLevel="0" collapsed="false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</row>
    <row r="848" customFormat="false" ht="15.75" hidden="false" customHeight="true" outlineLevel="0" collapsed="false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</row>
    <row r="849" customFormat="false" ht="15.75" hidden="false" customHeight="true" outlineLevel="0" collapsed="false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</row>
    <row r="850" customFormat="false" ht="15.75" hidden="false" customHeight="true" outlineLevel="0" collapsed="false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</row>
    <row r="851" customFormat="false" ht="15.75" hidden="false" customHeight="true" outlineLevel="0" collapsed="false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</row>
    <row r="852" customFormat="false" ht="15.75" hidden="false" customHeight="true" outlineLevel="0" collapsed="false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</row>
    <row r="853" customFormat="false" ht="15.75" hidden="false" customHeight="true" outlineLevel="0" collapsed="false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</row>
    <row r="854" customFormat="false" ht="15.75" hidden="false" customHeight="true" outlineLevel="0" collapsed="false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</row>
    <row r="855" customFormat="false" ht="15.75" hidden="false" customHeight="true" outlineLevel="0" collapsed="false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</row>
    <row r="856" customFormat="false" ht="15.75" hidden="false" customHeight="true" outlineLevel="0" collapsed="false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</row>
    <row r="857" customFormat="false" ht="15.75" hidden="false" customHeight="true" outlineLevel="0" collapsed="false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</row>
    <row r="858" customFormat="false" ht="15.75" hidden="false" customHeight="true" outlineLevel="0" collapsed="false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</row>
    <row r="859" customFormat="false" ht="15.75" hidden="false" customHeight="true" outlineLevel="0" collapsed="false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</row>
    <row r="860" customFormat="false" ht="15.75" hidden="false" customHeight="true" outlineLevel="0" collapsed="false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</row>
    <row r="861" customFormat="false" ht="15.75" hidden="false" customHeight="true" outlineLevel="0" collapsed="false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</row>
    <row r="862" customFormat="false" ht="15.75" hidden="false" customHeight="true" outlineLevel="0" collapsed="false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</row>
    <row r="863" customFormat="false" ht="15.75" hidden="false" customHeight="true" outlineLevel="0" collapsed="false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</row>
    <row r="864" customFormat="false" ht="15.75" hidden="false" customHeight="true" outlineLevel="0" collapsed="false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</row>
    <row r="865" customFormat="false" ht="15.75" hidden="false" customHeight="true" outlineLevel="0" collapsed="false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</row>
    <row r="866" customFormat="false" ht="15.75" hidden="false" customHeight="true" outlineLevel="0" collapsed="false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</row>
    <row r="867" customFormat="false" ht="15.75" hidden="false" customHeight="true" outlineLevel="0" collapsed="false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</row>
    <row r="868" customFormat="false" ht="15.75" hidden="false" customHeight="true" outlineLevel="0" collapsed="false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</row>
    <row r="869" customFormat="false" ht="15.75" hidden="false" customHeight="true" outlineLevel="0" collapsed="false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</row>
    <row r="870" customFormat="false" ht="15.75" hidden="false" customHeight="true" outlineLevel="0" collapsed="false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</row>
    <row r="871" customFormat="false" ht="15.75" hidden="false" customHeight="true" outlineLevel="0" collapsed="false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</row>
    <row r="872" customFormat="false" ht="15.75" hidden="false" customHeight="true" outlineLevel="0" collapsed="false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</row>
    <row r="873" customFormat="false" ht="15.75" hidden="false" customHeight="true" outlineLevel="0" collapsed="false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</row>
    <row r="874" customFormat="false" ht="15.75" hidden="false" customHeight="true" outlineLevel="0" collapsed="false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</row>
    <row r="875" customFormat="false" ht="15.75" hidden="false" customHeight="true" outlineLevel="0" collapsed="false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</row>
    <row r="876" customFormat="false" ht="15.75" hidden="false" customHeight="true" outlineLevel="0" collapsed="false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</row>
    <row r="877" customFormat="false" ht="15.75" hidden="false" customHeight="true" outlineLevel="0" collapsed="false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</row>
    <row r="878" customFormat="false" ht="15.75" hidden="false" customHeight="true" outlineLevel="0" collapsed="false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</row>
    <row r="879" customFormat="false" ht="15.75" hidden="false" customHeight="true" outlineLevel="0" collapsed="false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</row>
    <row r="880" customFormat="false" ht="15.75" hidden="false" customHeight="true" outlineLevel="0" collapsed="false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</row>
    <row r="881" customFormat="false" ht="15.75" hidden="false" customHeight="true" outlineLevel="0" collapsed="false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</row>
    <row r="882" customFormat="false" ht="15.75" hidden="false" customHeight="true" outlineLevel="0" collapsed="false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</row>
    <row r="883" customFormat="false" ht="15.75" hidden="false" customHeight="true" outlineLevel="0" collapsed="false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</row>
    <row r="884" customFormat="false" ht="15.75" hidden="false" customHeight="true" outlineLevel="0" collapsed="false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</row>
    <row r="885" customFormat="false" ht="15.75" hidden="false" customHeight="true" outlineLevel="0" collapsed="false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</row>
    <row r="886" customFormat="false" ht="15.75" hidden="false" customHeight="true" outlineLevel="0" collapsed="false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</row>
    <row r="887" customFormat="false" ht="15.75" hidden="false" customHeight="true" outlineLevel="0" collapsed="false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</row>
    <row r="888" customFormat="false" ht="15.75" hidden="false" customHeight="true" outlineLevel="0" collapsed="false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</row>
    <row r="889" customFormat="false" ht="15.75" hidden="false" customHeight="true" outlineLevel="0" collapsed="false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</row>
    <row r="890" customFormat="false" ht="15.75" hidden="false" customHeight="true" outlineLevel="0" collapsed="false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</row>
    <row r="891" customFormat="false" ht="15.75" hidden="false" customHeight="true" outlineLevel="0" collapsed="false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</row>
    <row r="892" customFormat="false" ht="15.75" hidden="false" customHeight="true" outlineLevel="0" collapsed="false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</row>
    <row r="893" customFormat="false" ht="15.75" hidden="false" customHeight="true" outlineLevel="0" collapsed="false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</row>
    <row r="894" customFormat="false" ht="15.75" hidden="false" customHeight="true" outlineLevel="0" collapsed="false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</row>
    <row r="895" customFormat="false" ht="15.75" hidden="false" customHeight="true" outlineLevel="0" collapsed="false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</row>
    <row r="896" customFormat="false" ht="15.75" hidden="false" customHeight="true" outlineLevel="0" collapsed="false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</row>
    <row r="897" customFormat="false" ht="15.75" hidden="false" customHeight="true" outlineLevel="0" collapsed="false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</row>
    <row r="898" customFormat="false" ht="15.75" hidden="false" customHeight="true" outlineLevel="0" collapsed="false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</row>
    <row r="899" customFormat="false" ht="15.75" hidden="false" customHeight="true" outlineLevel="0" collapsed="false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</row>
    <row r="900" customFormat="false" ht="15.75" hidden="false" customHeight="true" outlineLevel="0" collapsed="false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</row>
    <row r="901" customFormat="false" ht="15.75" hidden="false" customHeight="true" outlineLevel="0" collapsed="false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</row>
    <row r="902" customFormat="false" ht="15.75" hidden="false" customHeight="true" outlineLevel="0" collapsed="false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</row>
    <row r="903" customFormat="false" ht="15.75" hidden="false" customHeight="true" outlineLevel="0" collapsed="false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</row>
    <row r="904" customFormat="false" ht="15.75" hidden="false" customHeight="true" outlineLevel="0" collapsed="false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</row>
    <row r="905" customFormat="false" ht="15.75" hidden="false" customHeight="true" outlineLevel="0" collapsed="false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</row>
    <row r="906" customFormat="false" ht="15.75" hidden="false" customHeight="true" outlineLevel="0" collapsed="false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</row>
    <row r="907" customFormat="false" ht="15.75" hidden="false" customHeight="true" outlineLevel="0" collapsed="false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</row>
    <row r="908" customFormat="false" ht="15.75" hidden="false" customHeight="true" outlineLevel="0" collapsed="false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</row>
    <row r="909" customFormat="false" ht="15.75" hidden="false" customHeight="true" outlineLevel="0" collapsed="false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</row>
    <row r="910" customFormat="false" ht="15.75" hidden="false" customHeight="true" outlineLevel="0" collapsed="false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</row>
    <row r="911" customFormat="false" ht="15.75" hidden="false" customHeight="true" outlineLevel="0" collapsed="false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</row>
    <row r="912" customFormat="false" ht="15.75" hidden="false" customHeight="true" outlineLevel="0" collapsed="false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</row>
    <row r="913" customFormat="false" ht="15.75" hidden="false" customHeight="true" outlineLevel="0" collapsed="false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</row>
    <row r="914" customFormat="false" ht="15.75" hidden="false" customHeight="true" outlineLevel="0" collapsed="false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</row>
    <row r="915" customFormat="false" ht="15.75" hidden="false" customHeight="true" outlineLevel="0" collapsed="false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</row>
    <row r="916" customFormat="false" ht="15.75" hidden="false" customHeight="true" outlineLevel="0" collapsed="false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</row>
    <row r="917" customFormat="false" ht="15.75" hidden="false" customHeight="true" outlineLevel="0" collapsed="false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</row>
    <row r="918" customFormat="false" ht="15.75" hidden="false" customHeight="true" outlineLevel="0" collapsed="false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</row>
    <row r="919" customFormat="false" ht="15.75" hidden="false" customHeight="true" outlineLevel="0" collapsed="false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</row>
    <row r="920" customFormat="false" ht="15.75" hidden="false" customHeight="true" outlineLevel="0" collapsed="false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</row>
    <row r="921" customFormat="false" ht="15.75" hidden="false" customHeight="true" outlineLevel="0" collapsed="false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</row>
    <row r="922" customFormat="false" ht="15.75" hidden="false" customHeight="true" outlineLevel="0" collapsed="false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</row>
    <row r="923" customFormat="false" ht="15.75" hidden="false" customHeight="true" outlineLevel="0" collapsed="false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</row>
    <row r="924" customFormat="false" ht="15.75" hidden="false" customHeight="true" outlineLevel="0" collapsed="false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</row>
    <row r="925" customFormat="false" ht="15.75" hidden="false" customHeight="true" outlineLevel="0" collapsed="false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</row>
    <row r="926" customFormat="false" ht="15.75" hidden="false" customHeight="true" outlineLevel="0" collapsed="false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</row>
    <row r="927" customFormat="false" ht="15.75" hidden="false" customHeight="true" outlineLevel="0" collapsed="false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</row>
    <row r="928" customFormat="false" ht="15.75" hidden="false" customHeight="true" outlineLevel="0" collapsed="false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</row>
    <row r="929" customFormat="false" ht="15.75" hidden="false" customHeight="true" outlineLevel="0" collapsed="false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</row>
    <row r="930" customFormat="false" ht="15.75" hidden="false" customHeight="true" outlineLevel="0" collapsed="false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</row>
    <row r="931" customFormat="false" ht="15.75" hidden="false" customHeight="true" outlineLevel="0" collapsed="false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</row>
    <row r="932" customFormat="false" ht="15.75" hidden="false" customHeight="true" outlineLevel="0" collapsed="false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</row>
    <row r="933" customFormat="false" ht="15.75" hidden="false" customHeight="true" outlineLevel="0" collapsed="false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</row>
    <row r="934" customFormat="false" ht="15.75" hidden="false" customHeight="true" outlineLevel="0" collapsed="false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</row>
    <row r="935" customFormat="false" ht="15.75" hidden="false" customHeight="true" outlineLevel="0" collapsed="false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</row>
    <row r="936" customFormat="false" ht="15.75" hidden="false" customHeight="true" outlineLevel="0" collapsed="false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</row>
    <row r="937" customFormat="false" ht="15.75" hidden="false" customHeight="true" outlineLevel="0" collapsed="false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</row>
    <row r="938" customFormat="false" ht="15.75" hidden="false" customHeight="true" outlineLevel="0" collapsed="false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</row>
    <row r="939" customFormat="false" ht="15.75" hidden="false" customHeight="true" outlineLevel="0" collapsed="false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</row>
    <row r="940" customFormat="false" ht="15.75" hidden="false" customHeight="true" outlineLevel="0" collapsed="false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</row>
    <row r="941" customFormat="false" ht="15.75" hidden="false" customHeight="true" outlineLevel="0" collapsed="false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</row>
    <row r="942" customFormat="false" ht="15.75" hidden="false" customHeight="true" outlineLevel="0" collapsed="false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</row>
    <row r="943" customFormat="false" ht="15.75" hidden="false" customHeight="true" outlineLevel="0" collapsed="false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</row>
    <row r="944" customFormat="false" ht="15.75" hidden="false" customHeight="true" outlineLevel="0" collapsed="false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</row>
    <row r="945" customFormat="false" ht="15.75" hidden="false" customHeight="true" outlineLevel="0" collapsed="false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</row>
    <row r="946" customFormat="false" ht="15.75" hidden="false" customHeight="true" outlineLevel="0" collapsed="false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</row>
    <row r="947" customFormat="false" ht="15.75" hidden="false" customHeight="true" outlineLevel="0" collapsed="false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</row>
    <row r="948" customFormat="false" ht="15.75" hidden="false" customHeight="true" outlineLevel="0" collapsed="false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</row>
    <row r="949" customFormat="false" ht="15.75" hidden="false" customHeight="true" outlineLevel="0" collapsed="false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</row>
    <row r="950" customFormat="false" ht="15.75" hidden="false" customHeight="true" outlineLevel="0" collapsed="false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</row>
    <row r="951" customFormat="false" ht="15.75" hidden="false" customHeight="true" outlineLevel="0" collapsed="false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</row>
    <row r="952" customFormat="false" ht="15.75" hidden="false" customHeight="true" outlineLevel="0" collapsed="false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</row>
    <row r="953" customFormat="false" ht="15.75" hidden="false" customHeight="true" outlineLevel="0" collapsed="false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</row>
    <row r="954" customFormat="false" ht="15.75" hidden="false" customHeight="true" outlineLevel="0" collapsed="false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</row>
    <row r="955" customFormat="false" ht="15.75" hidden="false" customHeight="true" outlineLevel="0" collapsed="false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</row>
    <row r="956" customFormat="false" ht="15.75" hidden="false" customHeight="true" outlineLevel="0" collapsed="false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</row>
    <row r="957" customFormat="false" ht="15.75" hidden="false" customHeight="true" outlineLevel="0" collapsed="false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</row>
    <row r="958" customFormat="false" ht="15.75" hidden="false" customHeight="true" outlineLevel="0" collapsed="false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</row>
    <row r="959" customFormat="false" ht="15.75" hidden="false" customHeight="true" outlineLevel="0" collapsed="false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</row>
    <row r="960" customFormat="false" ht="15.75" hidden="false" customHeight="true" outlineLevel="0" collapsed="false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</row>
    <row r="961" customFormat="false" ht="15.75" hidden="false" customHeight="true" outlineLevel="0" collapsed="false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</row>
    <row r="962" customFormat="false" ht="15.75" hidden="false" customHeight="true" outlineLevel="0" collapsed="false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</row>
    <row r="963" customFormat="false" ht="15.75" hidden="false" customHeight="true" outlineLevel="0" collapsed="false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</row>
    <row r="964" customFormat="false" ht="15.75" hidden="false" customHeight="true" outlineLevel="0" collapsed="false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</row>
    <row r="965" customFormat="false" ht="15.75" hidden="false" customHeight="true" outlineLevel="0" collapsed="false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</row>
    <row r="966" customFormat="false" ht="15.75" hidden="false" customHeight="true" outlineLevel="0" collapsed="false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</row>
    <row r="967" customFormat="false" ht="15.75" hidden="false" customHeight="true" outlineLevel="0" collapsed="false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</row>
    <row r="968" customFormat="false" ht="15.75" hidden="false" customHeight="true" outlineLevel="0" collapsed="false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</row>
    <row r="969" customFormat="false" ht="15.75" hidden="false" customHeight="true" outlineLevel="0" collapsed="false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</row>
    <row r="970" customFormat="false" ht="15.75" hidden="false" customHeight="true" outlineLevel="0" collapsed="false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</row>
    <row r="971" customFormat="false" ht="15.75" hidden="false" customHeight="true" outlineLevel="0" collapsed="false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</row>
    <row r="972" customFormat="false" ht="15.75" hidden="false" customHeight="true" outlineLevel="0" collapsed="false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</row>
    <row r="973" customFormat="false" ht="15.75" hidden="false" customHeight="true" outlineLevel="0" collapsed="false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</row>
    <row r="974" customFormat="false" ht="15.75" hidden="false" customHeight="true" outlineLevel="0" collapsed="false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</row>
    <row r="975" customFormat="false" ht="15.75" hidden="false" customHeight="true" outlineLevel="0" collapsed="false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</row>
    <row r="976" customFormat="false" ht="15.75" hidden="false" customHeight="true" outlineLevel="0" collapsed="false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</row>
    <row r="977" customFormat="false" ht="15.75" hidden="false" customHeight="true" outlineLevel="0" collapsed="false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</row>
    <row r="978" customFormat="false" ht="15.75" hidden="false" customHeight="true" outlineLevel="0" collapsed="false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</row>
    <row r="979" customFormat="false" ht="15.75" hidden="false" customHeight="true" outlineLevel="0" collapsed="false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</row>
    <row r="980" customFormat="false" ht="15.75" hidden="false" customHeight="true" outlineLevel="0" collapsed="false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</row>
    <row r="981" customFormat="false" ht="15.75" hidden="false" customHeight="true" outlineLevel="0" collapsed="false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</row>
    <row r="982" customFormat="false" ht="15.75" hidden="false" customHeight="true" outlineLevel="0" collapsed="false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</row>
    <row r="983" customFormat="false" ht="15.75" hidden="false" customHeight="true" outlineLevel="0" collapsed="false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</row>
    <row r="984" customFormat="false" ht="15.75" hidden="false" customHeight="true" outlineLevel="0" collapsed="false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</row>
    <row r="985" customFormat="false" ht="15.75" hidden="false" customHeight="true" outlineLevel="0" collapsed="false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</row>
    <row r="986" customFormat="false" ht="15.75" hidden="false" customHeight="true" outlineLevel="0" collapsed="false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</row>
    <row r="987" customFormat="false" ht="15.75" hidden="false" customHeight="true" outlineLevel="0" collapsed="false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</row>
    <row r="988" customFormat="false" ht="15.75" hidden="false" customHeight="true" outlineLevel="0" collapsed="false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</row>
    <row r="989" customFormat="false" ht="15.75" hidden="false" customHeight="true" outlineLevel="0" collapsed="false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</row>
    <row r="990" customFormat="false" ht="15.75" hidden="false" customHeight="true" outlineLevel="0" collapsed="false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</row>
    <row r="991" customFormat="false" ht="15.75" hidden="false" customHeight="true" outlineLevel="0" collapsed="false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</row>
    <row r="992" customFormat="false" ht="15.75" hidden="false" customHeight="true" outlineLevel="0" collapsed="false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</row>
    <row r="993" customFormat="false" ht="15.75" hidden="false" customHeight="true" outlineLevel="0" collapsed="false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</row>
    <row r="994" customFormat="false" ht="15.75" hidden="false" customHeight="true" outlineLevel="0" collapsed="false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</row>
    <row r="995" customFormat="false" ht="15.75" hidden="false" customHeight="true" outlineLevel="0" collapsed="false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</row>
    <row r="996" customFormat="false" ht="15.75" hidden="false" customHeight="true" outlineLevel="0" collapsed="false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</row>
    <row r="997" customFormat="false" ht="15.75" hidden="false" customHeight="true" outlineLevel="0" collapsed="false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</row>
    <row r="998" customFormat="false" ht="15.75" hidden="false" customHeight="true" outlineLevel="0" collapsed="false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</row>
    <row r="999" customFormat="false" ht="15.75" hidden="false" customHeight="true" outlineLevel="0" collapsed="false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</row>
    <row r="1000" customFormat="false" ht="15.75" hidden="false" customHeight="true" outlineLevel="0" collapsed="false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</row>
    <row r="1001" customFormat="false" ht="15.75" hidden="false" customHeight="true" outlineLevel="0" collapsed="false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</row>
    <row r="1002" customFormat="false" ht="15.75" hidden="false" customHeight="true" outlineLevel="0" collapsed="false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</row>
    <row r="1003" customFormat="false" ht="15.75" hidden="false" customHeight="true" outlineLevel="0" collapsed="false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</row>
    <row r="1004" customFormat="false" ht="15.75" hidden="false" customHeight="true" outlineLevel="0" collapsed="false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</row>
    <row r="1005" customFormat="false" ht="15.75" hidden="false" customHeight="true" outlineLevel="0" collapsed="false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</row>
    <row r="1006" customFormat="false" ht="15.75" hidden="false" customHeight="true" outlineLevel="0" collapsed="false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</row>
    <row r="1007" customFormat="false" ht="15.75" hidden="false" customHeight="true" outlineLevel="0" collapsed="false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</row>
    <row r="1008" customFormat="false" ht="15.75" hidden="false" customHeight="true" outlineLevel="0" collapsed="false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</row>
    <row r="1009" customFormat="false" ht="15.75" hidden="false" customHeight="true" outlineLevel="0" collapsed="false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</row>
    <row r="1010" customFormat="false" ht="15.75" hidden="false" customHeight="true" outlineLevel="0" collapsed="false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</row>
    <row r="1011" customFormat="false" ht="15.75" hidden="false" customHeight="true" outlineLevel="0" collapsed="false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</row>
  </sheetData>
  <mergeCells count="1635">
    <mergeCell ref="B1:K1"/>
    <mergeCell ref="E3:E14"/>
    <mergeCell ref="R4:R7"/>
    <mergeCell ref="S4:S7"/>
    <mergeCell ref="V4:V7"/>
    <mergeCell ref="R8:R11"/>
    <mergeCell ref="S8:S11"/>
    <mergeCell ref="V8:V11"/>
    <mergeCell ref="R12:R13"/>
    <mergeCell ref="S12:S13"/>
    <mergeCell ref="V12:V13"/>
    <mergeCell ref="E15:E26"/>
    <mergeCell ref="R15:R16"/>
    <mergeCell ref="S15:S16"/>
    <mergeCell ref="V15:V16"/>
    <mergeCell ref="R17:R18"/>
    <mergeCell ref="S17:S18"/>
    <mergeCell ref="V17:V18"/>
    <mergeCell ref="L19:L20"/>
    <mergeCell ref="R20:R21"/>
    <mergeCell ref="S20:S21"/>
    <mergeCell ref="V20:V21"/>
    <mergeCell ref="L22:L23"/>
    <mergeCell ref="R24:R25"/>
    <mergeCell ref="S24:S25"/>
    <mergeCell ref="V24:V25"/>
    <mergeCell ref="L26:L27"/>
    <mergeCell ref="R26:R27"/>
    <mergeCell ref="S26:S27"/>
    <mergeCell ref="V26:V27"/>
    <mergeCell ref="E27:E38"/>
    <mergeCell ref="L28:L29"/>
    <mergeCell ref="M28:M29"/>
    <mergeCell ref="N28:N29"/>
    <mergeCell ref="O28:O29"/>
    <mergeCell ref="P28:P29"/>
    <mergeCell ref="Q28:Q29"/>
    <mergeCell ref="R28:R29"/>
    <mergeCell ref="S28:S29"/>
    <mergeCell ref="V28:V29"/>
    <mergeCell ref="L30:L31"/>
    <mergeCell ref="M30:M31"/>
    <mergeCell ref="N30:N31"/>
    <mergeCell ref="O30:O31"/>
    <mergeCell ref="P30:P31"/>
    <mergeCell ref="Q30:Q31"/>
    <mergeCell ref="R30:R31"/>
    <mergeCell ref="S30:S31"/>
    <mergeCell ref="V30:V31"/>
    <mergeCell ref="L32:L33"/>
    <mergeCell ref="M32:M33"/>
    <mergeCell ref="N32:N33"/>
    <mergeCell ref="O32:O33"/>
    <mergeCell ref="P32:P33"/>
    <mergeCell ref="Q32:Q33"/>
    <mergeCell ref="R32:R33"/>
    <mergeCell ref="S32:S33"/>
    <mergeCell ref="V32:V33"/>
    <mergeCell ref="L34:L35"/>
    <mergeCell ref="M34:M35"/>
    <mergeCell ref="N34:N35"/>
    <mergeCell ref="O34:O35"/>
    <mergeCell ref="P34:P35"/>
    <mergeCell ref="Q34:Q35"/>
    <mergeCell ref="R37:R38"/>
    <mergeCell ref="S37:S38"/>
    <mergeCell ref="V37:V38"/>
    <mergeCell ref="E39:E50"/>
    <mergeCell ref="L39:L40"/>
    <mergeCell ref="M39:M40"/>
    <mergeCell ref="N39:N40"/>
    <mergeCell ref="O39:O40"/>
    <mergeCell ref="P39:P40"/>
    <mergeCell ref="Q39:Q40"/>
    <mergeCell ref="R43:R45"/>
    <mergeCell ref="S43:S45"/>
    <mergeCell ref="V44:V45"/>
    <mergeCell ref="L45:L47"/>
    <mergeCell ref="M45:M47"/>
    <mergeCell ref="N45:N47"/>
    <mergeCell ref="O46:O47"/>
    <mergeCell ref="P46:P47"/>
    <mergeCell ref="Q46:Q47"/>
    <mergeCell ref="R47:R48"/>
    <mergeCell ref="S47:S48"/>
    <mergeCell ref="V47:V48"/>
    <mergeCell ref="L49:L50"/>
    <mergeCell ref="M49:M50"/>
    <mergeCell ref="N49:N50"/>
    <mergeCell ref="O49:O50"/>
    <mergeCell ref="P49:P50"/>
    <mergeCell ref="Q49:Q50"/>
    <mergeCell ref="B52:B53"/>
    <mergeCell ref="C52:C53"/>
    <mergeCell ref="D52:D53"/>
    <mergeCell ref="E52:E53"/>
    <mergeCell ref="F52:F53"/>
    <mergeCell ref="G52:G53"/>
    <mergeCell ref="H52:H53"/>
    <mergeCell ref="I52:I53"/>
    <mergeCell ref="J52:J53"/>
    <mergeCell ref="K52:K53"/>
    <mergeCell ref="R52:R53"/>
    <mergeCell ref="S52:S53"/>
    <mergeCell ref="V52:V53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V54:V55"/>
    <mergeCell ref="B56:B57"/>
    <mergeCell ref="C56:C57"/>
    <mergeCell ref="D56:D57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V56:V57"/>
    <mergeCell ref="B58:B59"/>
    <mergeCell ref="C58:C59"/>
    <mergeCell ref="D58:D59"/>
    <mergeCell ref="E58:E59"/>
    <mergeCell ref="F58:F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V58:V59"/>
    <mergeCell ref="L60:L61"/>
    <mergeCell ref="M60:M61"/>
    <mergeCell ref="N60:N61"/>
    <mergeCell ref="O60:O61"/>
    <mergeCell ref="P60:P61"/>
    <mergeCell ref="Q60:Q61"/>
    <mergeCell ref="B62:B63"/>
    <mergeCell ref="C62:C63"/>
    <mergeCell ref="D62:D63"/>
    <mergeCell ref="E62:E63"/>
    <mergeCell ref="F62:F63"/>
    <mergeCell ref="G62:G63"/>
    <mergeCell ref="H62:H63"/>
    <mergeCell ref="I62:I63"/>
    <mergeCell ref="J62:J63"/>
    <mergeCell ref="K62:K63"/>
    <mergeCell ref="R62:R63"/>
    <mergeCell ref="S62:S63"/>
    <mergeCell ref="V62:V63"/>
    <mergeCell ref="L64:L65"/>
    <mergeCell ref="M64:M65"/>
    <mergeCell ref="N64:N65"/>
    <mergeCell ref="O64:O65"/>
    <mergeCell ref="P64:P65"/>
    <mergeCell ref="Q64:Q65"/>
    <mergeCell ref="B66:B69"/>
    <mergeCell ref="C66:C69"/>
    <mergeCell ref="D66:D69"/>
    <mergeCell ref="E66:E69"/>
    <mergeCell ref="F66:F69"/>
    <mergeCell ref="G66:G69"/>
    <mergeCell ref="H66:H69"/>
    <mergeCell ref="I66:I69"/>
    <mergeCell ref="J66:J69"/>
    <mergeCell ref="K66:K69"/>
    <mergeCell ref="R66:R69"/>
    <mergeCell ref="S66:S69"/>
    <mergeCell ref="V66:V69"/>
    <mergeCell ref="L68:L71"/>
    <mergeCell ref="M68:M71"/>
    <mergeCell ref="N68:N71"/>
    <mergeCell ref="O68:O71"/>
    <mergeCell ref="P68:P71"/>
    <mergeCell ref="Q68:Q71"/>
    <mergeCell ref="B71:B72"/>
    <mergeCell ref="C71:C72"/>
    <mergeCell ref="D71:D72"/>
    <mergeCell ref="E71:E72"/>
    <mergeCell ref="F71:F72"/>
    <mergeCell ref="G71:G72"/>
    <mergeCell ref="H71:H72"/>
    <mergeCell ref="I71:I72"/>
    <mergeCell ref="J71:J72"/>
    <mergeCell ref="K71:K72"/>
    <mergeCell ref="R71:R72"/>
    <mergeCell ref="S71:S72"/>
    <mergeCell ref="V71:V72"/>
    <mergeCell ref="L73:L74"/>
    <mergeCell ref="M73:M74"/>
    <mergeCell ref="N73:N74"/>
    <mergeCell ref="O73:O74"/>
    <mergeCell ref="P73:P74"/>
    <mergeCell ref="Q73:Q74"/>
    <mergeCell ref="B74:B75"/>
    <mergeCell ref="C74:C75"/>
    <mergeCell ref="D74:D75"/>
    <mergeCell ref="E74:E75"/>
    <mergeCell ref="F74:F75"/>
    <mergeCell ref="G74:G75"/>
    <mergeCell ref="H74:H75"/>
    <mergeCell ref="I74:I75"/>
    <mergeCell ref="J74:J75"/>
    <mergeCell ref="K74:K75"/>
    <mergeCell ref="R74:R75"/>
    <mergeCell ref="S74:S75"/>
    <mergeCell ref="V74:V75"/>
    <mergeCell ref="L76:L77"/>
    <mergeCell ref="M76:M77"/>
    <mergeCell ref="N76:N77"/>
    <mergeCell ref="O76:O77"/>
    <mergeCell ref="P76:P77"/>
    <mergeCell ref="Q76:Q77"/>
    <mergeCell ref="B78:B79"/>
    <mergeCell ref="C78:C79"/>
    <mergeCell ref="D78:D79"/>
    <mergeCell ref="E78:E79"/>
    <mergeCell ref="F78:F79"/>
    <mergeCell ref="G78:G79"/>
    <mergeCell ref="H78:H79"/>
    <mergeCell ref="I78:I79"/>
    <mergeCell ref="J78:J79"/>
    <mergeCell ref="K78:K79"/>
    <mergeCell ref="R78:R79"/>
    <mergeCell ref="S78:S79"/>
    <mergeCell ref="V78:V79"/>
    <mergeCell ref="L80:L81"/>
    <mergeCell ref="M80:M81"/>
    <mergeCell ref="N80:N81"/>
    <mergeCell ref="O80:O81"/>
    <mergeCell ref="P80:P81"/>
    <mergeCell ref="Q80:Q81"/>
    <mergeCell ref="B81:B83"/>
    <mergeCell ref="C81:C83"/>
    <mergeCell ref="D81:D83"/>
    <mergeCell ref="E81:E83"/>
    <mergeCell ref="F81:F83"/>
    <mergeCell ref="G81:G83"/>
    <mergeCell ref="H81:H83"/>
    <mergeCell ref="I81:I83"/>
    <mergeCell ref="J81:J83"/>
    <mergeCell ref="K81:K83"/>
    <mergeCell ref="R81:R83"/>
    <mergeCell ref="S81:S83"/>
    <mergeCell ref="V81:V86"/>
    <mergeCell ref="L83:L85"/>
    <mergeCell ref="M83:M85"/>
    <mergeCell ref="N83:N85"/>
    <mergeCell ref="O83:O85"/>
    <mergeCell ref="P83:P85"/>
    <mergeCell ref="Q83:Q85"/>
    <mergeCell ref="B84:B86"/>
    <mergeCell ref="C84:C86"/>
    <mergeCell ref="D84:D86"/>
    <mergeCell ref="E84:E86"/>
    <mergeCell ref="F84:F86"/>
    <mergeCell ref="G84:G86"/>
    <mergeCell ref="H84:H86"/>
    <mergeCell ref="I84:I86"/>
    <mergeCell ref="J84:J86"/>
    <mergeCell ref="K84:K86"/>
    <mergeCell ref="R84:R86"/>
    <mergeCell ref="S84:S86"/>
    <mergeCell ref="L86:L88"/>
    <mergeCell ref="M86:M88"/>
    <mergeCell ref="N86:N88"/>
    <mergeCell ref="O86:O88"/>
    <mergeCell ref="P86:P88"/>
    <mergeCell ref="Q86:Q88"/>
    <mergeCell ref="B93:B94"/>
    <mergeCell ref="C93:C94"/>
    <mergeCell ref="D93:D94"/>
    <mergeCell ref="E93:E94"/>
    <mergeCell ref="F93:F94"/>
    <mergeCell ref="G93:G94"/>
    <mergeCell ref="H93:H94"/>
    <mergeCell ref="I93:I94"/>
    <mergeCell ref="J93:J94"/>
    <mergeCell ref="K93:K94"/>
    <mergeCell ref="R93:R94"/>
    <mergeCell ref="S93:S94"/>
    <mergeCell ref="V93:V94"/>
    <mergeCell ref="B95:B96"/>
    <mergeCell ref="C95:C96"/>
    <mergeCell ref="D95:D96"/>
    <mergeCell ref="E95:E96"/>
    <mergeCell ref="F95:F96"/>
    <mergeCell ref="G95:G96"/>
    <mergeCell ref="H95:H96"/>
    <mergeCell ref="I95:I96"/>
    <mergeCell ref="J95:J96"/>
    <mergeCell ref="K95:K96"/>
    <mergeCell ref="L95:L96"/>
    <mergeCell ref="M95:M96"/>
    <mergeCell ref="N95:N96"/>
    <mergeCell ref="O95:O96"/>
    <mergeCell ref="P95:P96"/>
    <mergeCell ref="Q95:Q96"/>
    <mergeCell ref="R95:R96"/>
    <mergeCell ref="S95:S96"/>
    <mergeCell ref="V95:V96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V97:V98"/>
    <mergeCell ref="L99:L100"/>
    <mergeCell ref="M99:M100"/>
    <mergeCell ref="N99:N100"/>
    <mergeCell ref="O99:O100"/>
    <mergeCell ref="P99:P100"/>
    <mergeCell ref="Q99:Q100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R102:R103"/>
    <mergeCell ref="S102:S103"/>
    <mergeCell ref="V102:V103"/>
    <mergeCell ref="L104:L105"/>
    <mergeCell ref="M104:M105"/>
    <mergeCell ref="N104:N105"/>
    <mergeCell ref="O104:O105"/>
    <mergeCell ref="P104:P105"/>
    <mergeCell ref="Q104:Q105"/>
    <mergeCell ref="B106:B107"/>
    <mergeCell ref="C106:C107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R106:R107"/>
    <mergeCell ref="S106:S107"/>
    <mergeCell ref="V106:V107"/>
    <mergeCell ref="L108:L109"/>
    <mergeCell ref="M108:M109"/>
    <mergeCell ref="N108:N109"/>
    <mergeCell ref="O108:O109"/>
    <mergeCell ref="P108:P109"/>
    <mergeCell ref="Q108:Q109"/>
    <mergeCell ref="B114:B115"/>
    <mergeCell ref="C114:C115"/>
    <mergeCell ref="D114:D115"/>
    <mergeCell ref="E114:E115"/>
    <mergeCell ref="F114:F115"/>
    <mergeCell ref="G114:G115"/>
    <mergeCell ref="H114:H115"/>
    <mergeCell ref="I114:I115"/>
    <mergeCell ref="J114:J115"/>
    <mergeCell ref="K114:K115"/>
    <mergeCell ref="R114:R115"/>
    <mergeCell ref="S114:S115"/>
    <mergeCell ref="V114:V115"/>
    <mergeCell ref="L116:L117"/>
    <mergeCell ref="M116:M117"/>
    <mergeCell ref="N116:N117"/>
    <mergeCell ref="O116:O117"/>
    <mergeCell ref="P116:P117"/>
    <mergeCell ref="Q116:Q117"/>
    <mergeCell ref="V118:V120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J122:J123"/>
    <mergeCell ref="K122:K123"/>
    <mergeCell ref="R122:R123"/>
    <mergeCell ref="S122:S123"/>
    <mergeCell ref="V122:V123"/>
    <mergeCell ref="L124:L125"/>
    <mergeCell ref="M124:M125"/>
    <mergeCell ref="N124:N125"/>
    <mergeCell ref="O124:O125"/>
    <mergeCell ref="P124:P125"/>
    <mergeCell ref="Q124:Q125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R125:R126"/>
    <mergeCell ref="S125:S126"/>
    <mergeCell ref="V125:V126"/>
    <mergeCell ref="L127:L128"/>
    <mergeCell ref="M127:M128"/>
    <mergeCell ref="N127:N128"/>
    <mergeCell ref="O127:O128"/>
    <mergeCell ref="P127:P128"/>
    <mergeCell ref="Q127:Q128"/>
    <mergeCell ref="T127:T128"/>
    <mergeCell ref="V127:V128"/>
    <mergeCell ref="O129:O130"/>
    <mergeCell ref="P129:P130"/>
    <mergeCell ref="Q129:Q130"/>
    <mergeCell ref="B130:B131"/>
    <mergeCell ref="C130:C131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R130:R131"/>
    <mergeCell ref="S130:S131"/>
    <mergeCell ref="V130:V131"/>
    <mergeCell ref="L132:L133"/>
    <mergeCell ref="M132:M133"/>
    <mergeCell ref="N132:N133"/>
    <mergeCell ref="O132:O133"/>
    <mergeCell ref="P132:P133"/>
    <mergeCell ref="Q132:Q133"/>
    <mergeCell ref="V135:V136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K137:K138"/>
    <mergeCell ref="R137:R138"/>
    <mergeCell ref="S137:S138"/>
    <mergeCell ref="V137:V138"/>
    <mergeCell ref="L139:L140"/>
    <mergeCell ref="M139:M140"/>
    <mergeCell ref="N139:N140"/>
    <mergeCell ref="O139:O140"/>
    <mergeCell ref="P139:P140"/>
    <mergeCell ref="Q139:Q140"/>
    <mergeCell ref="B140:B141"/>
    <mergeCell ref="C140:C141"/>
    <mergeCell ref="D140:D141"/>
    <mergeCell ref="E140:E141"/>
    <mergeCell ref="F140:F141"/>
    <mergeCell ref="G140:G141"/>
    <mergeCell ref="H140:H141"/>
    <mergeCell ref="I140:I141"/>
    <mergeCell ref="J140:J141"/>
    <mergeCell ref="K140:K141"/>
    <mergeCell ref="R140:R141"/>
    <mergeCell ref="S140:S141"/>
    <mergeCell ref="V140:V141"/>
    <mergeCell ref="L142:L143"/>
    <mergeCell ref="M142:M143"/>
    <mergeCell ref="N142:N143"/>
    <mergeCell ref="O142:O143"/>
    <mergeCell ref="P142:P143"/>
    <mergeCell ref="Q142:Q143"/>
    <mergeCell ref="B144:B145"/>
    <mergeCell ref="C144:C145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R144:R145"/>
    <mergeCell ref="S144:S145"/>
    <mergeCell ref="V144:V145"/>
    <mergeCell ref="L146:L147"/>
    <mergeCell ref="M146:M147"/>
    <mergeCell ref="N146:N147"/>
    <mergeCell ref="O146:O147"/>
    <mergeCell ref="P146:P147"/>
    <mergeCell ref="Q146:Q147"/>
    <mergeCell ref="B156:B157"/>
    <mergeCell ref="C156:C157"/>
    <mergeCell ref="D156:D157"/>
    <mergeCell ref="E156:E157"/>
    <mergeCell ref="F156:F157"/>
    <mergeCell ref="G156:G157"/>
    <mergeCell ref="H156:H157"/>
    <mergeCell ref="I156:I157"/>
    <mergeCell ref="J156:J157"/>
    <mergeCell ref="K156:K157"/>
    <mergeCell ref="R156:R157"/>
    <mergeCell ref="S156:S157"/>
    <mergeCell ref="V156:V157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V158:V159"/>
    <mergeCell ref="B160:B161"/>
    <mergeCell ref="C160:C161"/>
    <mergeCell ref="D160:D161"/>
    <mergeCell ref="E160:E161"/>
    <mergeCell ref="F160:F161"/>
    <mergeCell ref="G160:G161"/>
    <mergeCell ref="H160:H161"/>
    <mergeCell ref="I160:I161"/>
    <mergeCell ref="J160:J161"/>
    <mergeCell ref="K160:K161"/>
    <mergeCell ref="L160:L161"/>
    <mergeCell ref="M160:M161"/>
    <mergeCell ref="N160:N161"/>
    <mergeCell ref="O160:O161"/>
    <mergeCell ref="P160:P161"/>
    <mergeCell ref="Q160:Q161"/>
    <mergeCell ref="R160:R161"/>
    <mergeCell ref="S160:S161"/>
    <mergeCell ref="V160:V161"/>
    <mergeCell ref="L162:L163"/>
    <mergeCell ref="M162:M163"/>
    <mergeCell ref="N162:N163"/>
    <mergeCell ref="O162:O163"/>
    <mergeCell ref="P162:P163"/>
    <mergeCell ref="Q162:Q163"/>
    <mergeCell ref="T162:T163"/>
    <mergeCell ref="V162:V163"/>
    <mergeCell ref="P164:P165"/>
    <mergeCell ref="Q164:Q165"/>
    <mergeCell ref="V166:V167"/>
    <mergeCell ref="B169:B171"/>
    <mergeCell ref="C169:C171"/>
    <mergeCell ref="D169:D171"/>
    <mergeCell ref="E169:E171"/>
    <mergeCell ref="F169:F171"/>
    <mergeCell ref="G169:G171"/>
    <mergeCell ref="H169:H171"/>
    <mergeCell ref="I169:I171"/>
    <mergeCell ref="J169:J171"/>
    <mergeCell ref="K169:K171"/>
    <mergeCell ref="R169:R171"/>
    <mergeCell ref="S169:S171"/>
    <mergeCell ref="V169:V171"/>
    <mergeCell ref="L171:L173"/>
    <mergeCell ref="M171:M173"/>
    <mergeCell ref="N171:N173"/>
    <mergeCell ref="O171:O173"/>
    <mergeCell ref="P171:P173"/>
    <mergeCell ref="Q171:Q173"/>
    <mergeCell ref="B172:B173"/>
    <mergeCell ref="C172:C173"/>
    <mergeCell ref="D172:D173"/>
    <mergeCell ref="E172:E173"/>
    <mergeCell ref="F172:F173"/>
    <mergeCell ref="G172:G173"/>
    <mergeCell ref="H172:H173"/>
    <mergeCell ref="I172:I173"/>
    <mergeCell ref="J172:J173"/>
    <mergeCell ref="K172:K173"/>
    <mergeCell ref="R172:R173"/>
    <mergeCell ref="S172:S173"/>
    <mergeCell ref="V172:V173"/>
    <mergeCell ref="L174:L175"/>
    <mergeCell ref="M174:M175"/>
    <mergeCell ref="N174:N175"/>
    <mergeCell ref="O174:O175"/>
    <mergeCell ref="P174:P175"/>
    <mergeCell ref="Q174:Q175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J175:J176"/>
    <mergeCell ref="K175:K176"/>
    <mergeCell ref="R175:R176"/>
    <mergeCell ref="S175:S176"/>
    <mergeCell ref="V175:V176"/>
    <mergeCell ref="L177:L178"/>
    <mergeCell ref="M177:M178"/>
    <mergeCell ref="N177:N178"/>
    <mergeCell ref="O177:O178"/>
    <mergeCell ref="P177:P178"/>
    <mergeCell ref="Q177:Q178"/>
    <mergeCell ref="B178:B179"/>
    <mergeCell ref="C178:C179"/>
    <mergeCell ref="D178:D179"/>
    <mergeCell ref="E178:E179"/>
    <mergeCell ref="F178:F179"/>
    <mergeCell ref="G178:G179"/>
    <mergeCell ref="H178:H179"/>
    <mergeCell ref="I178:I179"/>
    <mergeCell ref="J178:J179"/>
    <mergeCell ref="K178:K179"/>
    <mergeCell ref="R178:R179"/>
    <mergeCell ref="S178:S179"/>
    <mergeCell ref="V178:V179"/>
    <mergeCell ref="L180:L181"/>
    <mergeCell ref="M180:M181"/>
    <mergeCell ref="N180:N181"/>
    <mergeCell ref="O180:O181"/>
    <mergeCell ref="P180:P181"/>
    <mergeCell ref="Q180:Q181"/>
    <mergeCell ref="V180:V181"/>
    <mergeCell ref="B193:B194"/>
    <mergeCell ref="C193:C194"/>
    <mergeCell ref="D193:D194"/>
    <mergeCell ref="E193:E194"/>
    <mergeCell ref="F193:F194"/>
    <mergeCell ref="G193:G194"/>
    <mergeCell ref="H193:H194"/>
    <mergeCell ref="I193:I194"/>
    <mergeCell ref="J193:J194"/>
    <mergeCell ref="K193:K194"/>
    <mergeCell ref="R193:R194"/>
    <mergeCell ref="U193:U194"/>
    <mergeCell ref="V193:V194"/>
    <mergeCell ref="B195:B196"/>
    <mergeCell ref="C195:C196"/>
    <mergeCell ref="D195:D196"/>
    <mergeCell ref="E195:E196"/>
    <mergeCell ref="F195:F196"/>
    <mergeCell ref="G195:G196"/>
    <mergeCell ref="H195:H196"/>
    <mergeCell ref="I195:I196"/>
    <mergeCell ref="J195:J196"/>
    <mergeCell ref="K195:K196"/>
    <mergeCell ref="L195:L196"/>
    <mergeCell ref="M195:M196"/>
    <mergeCell ref="N195:N196"/>
    <mergeCell ref="O195:O196"/>
    <mergeCell ref="P195:P196"/>
    <mergeCell ref="Q195:Q196"/>
    <mergeCell ref="R195:R196"/>
    <mergeCell ref="S195:S196"/>
    <mergeCell ref="V195:V196"/>
    <mergeCell ref="L197:L198"/>
    <mergeCell ref="M197:M198"/>
    <mergeCell ref="N197:N198"/>
    <mergeCell ref="O197:O198"/>
    <mergeCell ref="P197:P198"/>
    <mergeCell ref="Q197:Q198"/>
    <mergeCell ref="B198:B199"/>
    <mergeCell ref="C198:C199"/>
    <mergeCell ref="D198:D199"/>
    <mergeCell ref="E198:E199"/>
    <mergeCell ref="F198:F199"/>
    <mergeCell ref="G198:G199"/>
    <mergeCell ref="H198:H199"/>
    <mergeCell ref="I198:I199"/>
    <mergeCell ref="J198:J199"/>
    <mergeCell ref="K198:K199"/>
    <mergeCell ref="R198:R199"/>
    <mergeCell ref="S198:S199"/>
    <mergeCell ref="V198:V199"/>
    <mergeCell ref="L200:L201"/>
    <mergeCell ref="M200:M201"/>
    <mergeCell ref="N200:N201"/>
    <mergeCell ref="O200:O201"/>
    <mergeCell ref="P200:P201"/>
    <mergeCell ref="Q200:Q201"/>
    <mergeCell ref="B201:B202"/>
    <mergeCell ref="C201:C202"/>
    <mergeCell ref="D201:D202"/>
    <mergeCell ref="E201:E202"/>
    <mergeCell ref="F201:F202"/>
    <mergeCell ref="G201:G202"/>
    <mergeCell ref="H201:H202"/>
    <mergeCell ref="I201:I202"/>
    <mergeCell ref="J201:J202"/>
    <mergeCell ref="K201:K202"/>
    <mergeCell ref="R201:R202"/>
    <mergeCell ref="S201:S202"/>
    <mergeCell ref="V201:V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6"/>
    <mergeCell ref="Q203:Q206"/>
    <mergeCell ref="R203:R204"/>
    <mergeCell ref="S203:S204"/>
    <mergeCell ref="L205:L206"/>
    <mergeCell ref="M205:M206"/>
    <mergeCell ref="N205:N206"/>
    <mergeCell ref="O205:O206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R206:R207"/>
    <mergeCell ref="S206:S207"/>
    <mergeCell ref="V206:V207"/>
    <mergeCell ref="L208:L209"/>
    <mergeCell ref="M208:M209"/>
    <mergeCell ref="N208:N209"/>
    <mergeCell ref="O208:O209"/>
    <mergeCell ref="P208:P209"/>
    <mergeCell ref="Q208:Q209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R209:R210"/>
    <mergeCell ref="S209:S210"/>
    <mergeCell ref="V209:V210"/>
    <mergeCell ref="B211:B212"/>
    <mergeCell ref="C211:C212"/>
    <mergeCell ref="D211:D212"/>
    <mergeCell ref="E211:E212"/>
    <mergeCell ref="F211:F212"/>
    <mergeCell ref="G211:G212"/>
    <mergeCell ref="H211:H212"/>
    <mergeCell ref="I211:I212"/>
    <mergeCell ref="J211:J212"/>
    <mergeCell ref="K211:K212"/>
    <mergeCell ref="L211:L212"/>
    <mergeCell ref="M211:M212"/>
    <mergeCell ref="N211:N212"/>
    <mergeCell ref="O211:O212"/>
    <mergeCell ref="P211:P212"/>
    <mergeCell ref="Q211:Q212"/>
    <mergeCell ref="R211:R212"/>
    <mergeCell ref="S211:S212"/>
    <mergeCell ref="V211:V212"/>
    <mergeCell ref="L213:L214"/>
    <mergeCell ref="M213:M214"/>
    <mergeCell ref="N213:N214"/>
    <mergeCell ref="O213:O214"/>
    <mergeCell ref="P213:P214"/>
    <mergeCell ref="Q213:Q214"/>
    <mergeCell ref="B214:B215"/>
    <mergeCell ref="C214:C215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R214:R215"/>
    <mergeCell ref="S214:S215"/>
    <mergeCell ref="V214:V215"/>
    <mergeCell ref="B216:B217"/>
    <mergeCell ref="C216:C217"/>
    <mergeCell ref="D216:D217"/>
    <mergeCell ref="E216:E217"/>
    <mergeCell ref="F216:F217"/>
    <mergeCell ref="G216:G21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S216:S217"/>
    <mergeCell ref="V216:V217"/>
    <mergeCell ref="B218:B220"/>
    <mergeCell ref="C218:C220"/>
    <mergeCell ref="D218:D220"/>
    <mergeCell ref="E218:E220"/>
    <mergeCell ref="F218:F220"/>
    <mergeCell ref="G218:G220"/>
    <mergeCell ref="H218:H220"/>
    <mergeCell ref="I218:I220"/>
    <mergeCell ref="J218:J220"/>
    <mergeCell ref="K218:K220"/>
    <mergeCell ref="L218:L219"/>
    <mergeCell ref="M218:M219"/>
    <mergeCell ref="N218:N219"/>
    <mergeCell ref="O218:O219"/>
    <mergeCell ref="P218:P219"/>
    <mergeCell ref="Q218:Q219"/>
    <mergeCell ref="R218:R220"/>
    <mergeCell ref="S218:S220"/>
    <mergeCell ref="V218:V220"/>
    <mergeCell ref="L220:L222"/>
    <mergeCell ref="M220:M222"/>
    <mergeCell ref="N220:N222"/>
    <mergeCell ref="O220:O222"/>
    <mergeCell ref="P220:P222"/>
    <mergeCell ref="Q220:Q222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R221:R222"/>
    <mergeCell ref="S221:S222"/>
    <mergeCell ref="V221:V222"/>
    <mergeCell ref="B223:B224"/>
    <mergeCell ref="C223:C224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V223:V224"/>
    <mergeCell ref="B225:B226"/>
    <mergeCell ref="C225:C226"/>
    <mergeCell ref="D225:D226"/>
    <mergeCell ref="E225:E226"/>
    <mergeCell ref="F225:F226"/>
    <mergeCell ref="G225:G226"/>
    <mergeCell ref="H225:H226"/>
    <mergeCell ref="I225:I226"/>
    <mergeCell ref="J225:J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5:S226"/>
    <mergeCell ref="V225:V226"/>
    <mergeCell ref="L227:L228"/>
    <mergeCell ref="M227:M228"/>
    <mergeCell ref="N227:N228"/>
    <mergeCell ref="O227:O228"/>
    <mergeCell ref="P227:P228"/>
    <mergeCell ref="Q227:Q228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R230:R231"/>
    <mergeCell ref="S230:S231"/>
    <mergeCell ref="V230:V231"/>
    <mergeCell ref="B232:B234"/>
    <mergeCell ref="C232:C234"/>
    <mergeCell ref="D232:D234"/>
    <mergeCell ref="E232:E234"/>
    <mergeCell ref="F232:F234"/>
    <mergeCell ref="G232:G234"/>
    <mergeCell ref="H232:H234"/>
    <mergeCell ref="I232:I234"/>
    <mergeCell ref="J232:J234"/>
    <mergeCell ref="K232:K234"/>
    <mergeCell ref="L232:L233"/>
    <mergeCell ref="M232:M233"/>
    <mergeCell ref="N232:N233"/>
    <mergeCell ref="O232:O233"/>
    <mergeCell ref="P232:P233"/>
    <mergeCell ref="Q232:Q233"/>
    <mergeCell ref="R232:R234"/>
    <mergeCell ref="S232:S234"/>
    <mergeCell ref="V232:V240"/>
    <mergeCell ref="L234:L236"/>
    <mergeCell ref="M234:M236"/>
    <mergeCell ref="N234:N236"/>
    <mergeCell ref="O234:O236"/>
    <mergeCell ref="P234:P236"/>
    <mergeCell ref="Q234:Q236"/>
    <mergeCell ref="B235:B237"/>
    <mergeCell ref="C235:C237"/>
    <mergeCell ref="D235:D237"/>
    <mergeCell ref="E235:E237"/>
    <mergeCell ref="F235:F237"/>
    <mergeCell ref="G235:G237"/>
    <mergeCell ref="H235:H237"/>
    <mergeCell ref="I235:I237"/>
    <mergeCell ref="J235:J237"/>
    <mergeCell ref="K235:K237"/>
    <mergeCell ref="R235:R237"/>
    <mergeCell ref="S235:S237"/>
    <mergeCell ref="L237:L239"/>
    <mergeCell ref="M237:M239"/>
    <mergeCell ref="N237:N239"/>
    <mergeCell ref="O237:O239"/>
    <mergeCell ref="P237:P239"/>
    <mergeCell ref="Q237:Q239"/>
    <mergeCell ref="B238:B240"/>
    <mergeCell ref="C238:C240"/>
    <mergeCell ref="D238:D240"/>
    <mergeCell ref="E238:E240"/>
    <mergeCell ref="F238:F240"/>
    <mergeCell ref="G238:G240"/>
    <mergeCell ref="H238:H240"/>
    <mergeCell ref="I238:I240"/>
    <mergeCell ref="J238:J240"/>
    <mergeCell ref="K238:K240"/>
    <mergeCell ref="R238:R240"/>
    <mergeCell ref="S238:S240"/>
    <mergeCell ref="L240:L242"/>
    <mergeCell ref="M240:M242"/>
    <mergeCell ref="N240:N242"/>
    <mergeCell ref="O240:O242"/>
    <mergeCell ref="P240:P242"/>
    <mergeCell ref="Q240:Q242"/>
    <mergeCell ref="B241:B242"/>
    <mergeCell ref="C241:C242"/>
    <mergeCell ref="D241:D242"/>
    <mergeCell ref="E241:E242"/>
    <mergeCell ref="F241:F242"/>
    <mergeCell ref="G241:G242"/>
    <mergeCell ref="H241:H242"/>
    <mergeCell ref="I241:I242"/>
    <mergeCell ref="J241:J242"/>
    <mergeCell ref="K241:K242"/>
    <mergeCell ref="R241:R242"/>
    <mergeCell ref="S241:S242"/>
    <mergeCell ref="V241:V242"/>
    <mergeCell ref="B243:B246"/>
    <mergeCell ref="C243:C246"/>
    <mergeCell ref="D243:D246"/>
    <mergeCell ref="E243:E246"/>
    <mergeCell ref="F243:F246"/>
    <mergeCell ref="G243:G246"/>
    <mergeCell ref="H243:H246"/>
    <mergeCell ref="I243:I246"/>
    <mergeCell ref="J243:J246"/>
    <mergeCell ref="K243:K246"/>
    <mergeCell ref="L243:L244"/>
    <mergeCell ref="M243:M244"/>
    <mergeCell ref="N243:N244"/>
    <mergeCell ref="O243:O244"/>
    <mergeCell ref="P243:P244"/>
    <mergeCell ref="Q243:Q244"/>
    <mergeCell ref="R243:R246"/>
    <mergeCell ref="S243:S246"/>
    <mergeCell ref="V243:V258"/>
    <mergeCell ref="L245:L248"/>
    <mergeCell ref="M245:M248"/>
    <mergeCell ref="N245:N248"/>
    <mergeCell ref="O245:O248"/>
    <mergeCell ref="P245:P248"/>
    <mergeCell ref="Q245:Q248"/>
    <mergeCell ref="B247:B250"/>
    <mergeCell ref="C247:C250"/>
    <mergeCell ref="D247:D250"/>
    <mergeCell ref="E247:E250"/>
    <mergeCell ref="F247:F250"/>
    <mergeCell ref="G247:G250"/>
    <mergeCell ref="H247:H250"/>
    <mergeCell ref="I247:I250"/>
    <mergeCell ref="J247:J250"/>
    <mergeCell ref="K247:K250"/>
    <mergeCell ref="R247:R250"/>
    <mergeCell ref="S247:S250"/>
    <mergeCell ref="L249:L252"/>
    <mergeCell ref="M249:M252"/>
    <mergeCell ref="N249:N252"/>
    <mergeCell ref="O249:O252"/>
    <mergeCell ref="P249:P252"/>
    <mergeCell ref="Q249:Q252"/>
    <mergeCell ref="B251:B254"/>
    <mergeCell ref="C251:C254"/>
    <mergeCell ref="D251:D254"/>
    <mergeCell ref="E251:E254"/>
    <mergeCell ref="F251:F254"/>
    <mergeCell ref="G251:G254"/>
    <mergeCell ref="H251:H254"/>
    <mergeCell ref="I251:I254"/>
    <mergeCell ref="J251:J254"/>
    <mergeCell ref="K251:K254"/>
    <mergeCell ref="R251:R254"/>
    <mergeCell ref="S251:S254"/>
    <mergeCell ref="L253:L256"/>
    <mergeCell ref="M253:M256"/>
    <mergeCell ref="N253:N256"/>
    <mergeCell ref="O253:O256"/>
    <mergeCell ref="P253:P256"/>
    <mergeCell ref="Q253:Q256"/>
    <mergeCell ref="B255:B258"/>
    <mergeCell ref="C255:C258"/>
    <mergeCell ref="D255:D258"/>
    <mergeCell ref="E255:E258"/>
    <mergeCell ref="F255:F258"/>
    <mergeCell ref="G255:G258"/>
    <mergeCell ref="H255:H258"/>
    <mergeCell ref="I255:I258"/>
    <mergeCell ref="J255:J258"/>
    <mergeCell ref="K255:K258"/>
    <mergeCell ref="R255:R258"/>
    <mergeCell ref="S255:S258"/>
    <mergeCell ref="L257:L260"/>
    <mergeCell ref="M257:M260"/>
    <mergeCell ref="N257:N260"/>
    <mergeCell ref="O257:O260"/>
    <mergeCell ref="P257:P260"/>
    <mergeCell ref="Q257:Q260"/>
    <mergeCell ref="B268:B269"/>
    <mergeCell ref="C268:C269"/>
    <mergeCell ref="D268:D269"/>
    <mergeCell ref="E268:E269"/>
    <mergeCell ref="F268:F269"/>
    <mergeCell ref="G268:G269"/>
    <mergeCell ref="H268:H269"/>
    <mergeCell ref="I268:I269"/>
    <mergeCell ref="J268:J269"/>
    <mergeCell ref="K268:K269"/>
    <mergeCell ref="R268:R269"/>
    <mergeCell ref="S268:S269"/>
    <mergeCell ref="V268:V269"/>
    <mergeCell ref="L270:L271"/>
    <mergeCell ref="M270:M271"/>
    <mergeCell ref="N270:N271"/>
    <mergeCell ref="O270:O271"/>
    <mergeCell ref="P270:P271"/>
    <mergeCell ref="Q270:Q271"/>
    <mergeCell ref="B271:B272"/>
    <mergeCell ref="C271:C272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R271:R272"/>
    <mergeCell ref="S271:S272"/>
    <mergeCell ref="V271:V272"/>
    <mergeCell ref="L273:L274"/>
    <mergeCell ref="M273:M274"/>
    <mergeCell ref="N273:N274"/>
    <mergeCell ref="O273:O274"/>
    <mergeCell ref="P273:P274"/>
    <mergeCell ref="Q273:Q274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K274:K275"/>
    <mergeCell ref="R274:R275"/>
    <mergeCell ref="S274:S275"/>
    <mergeCell ref="V274:V275"/>
    <mergeCell ref="L276:L277"/>
    <mergeCell ref="M276:M277"/>
    <mergeCell ref="N276:N277"/>
    <mergeCell ref="B280:B281"/>
    <mergeCell ref="C280:C281"/>
    <mergeCell ref="D280:D281"/>
    <mergeCell ref="E280:E281"/>
    <mergeCell ref="F280:F281"/>
    <mergeCell ref="G280:G281"/>
    <mergeCell ref="H280:H281"/>
    <mergeCell ref="I280:I281"/>
    <mergeCell ref="J280:J281"/>
    <mergeCell ref="K280:K281"/>
    <mergeCell ref="R280:R281"/>
    <mergeCell ref="S280:S281"/>
    <mergeCell ref="V280:V281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N282:N283"/>
    <mergeCell ref="O282:O283"/>
    <mergeCell ref="P282:P283"/>
    <mergeCell ref="Q282:Q283"/>
    <mergeCell ref="R282:R283"/>
    <mergeCell ref="S282:S283"/>
    <mergeCell ref="V282:V283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N284:N285"/>
    <mergeCell ref="O284:O285"/>
    <mergeCell ref="P284:P285"/>
    <mergeCell ref="Q284:Q285"/>
    <mergeCell ref="R284:R285"/>
    <mergeCell ref="S284:S285"/>
    <mergeCell ref="V284:V285"/>
    <mergeCell ref="L286:L287"/>
    <mergeCell ref="M286:M287"/>
    <mergeCell ref="N286:N287"/>
    <mergeCell ref="O286:O287"/>
    <mergeCell ref="P286:P287"/>
    <mergeCell ref="Q286:Q287"/>
    <mergeCell ref="B288:B290"/>
    <mergeCell ref="C288:C290"/>
    <mergeCell ref="D288:D290"/>
    <mergeCell ref="E288:E290"/>
    <mergeCell ref="F288:F290"/>
    <mergeCell ref="G288:G290"/>
    <mergeCell ref="H288:H290"/>
    <mergeCell ref="I288:I290"/>
    <mergeCell ref="J288:J290"/>
    <mergeCell ref="K288:K290"/>
    <mergeCell ref="R288:R290"/>
    <mergeCell ref="S288:S290"/>
    <mergeCell ref="V288:V290"/>
    <mergeCell ref="T289:T290"/>
    <mergeCell ref="U289:U290"/>
    <mergeCell ref="L290:L292"/>
    <mergeCell ref="M290:M292"/>
    <mergeCell ref="N290:N292"/>
    <mergeCell ref="O291:O293"/>
    <mergeCell ref="P291:P293"/>
    <mergeCell ref="Q291:Q293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R299:R300"/>
    <mergeCell ref="S299:S300"/>
    <mergeCell ref="V299:V300"/>
    <mergeCell ref="L301:L302"/>
    <mergeCell ref="M301:M302"/>
    <mergeCell ref="N301:N302"/>
    <mergeCell ref="O301:O302"/>
    <mergeCell ref="P301:P302"/>
    <mergeCell ref="Q301:Q302"/>
    <mergeCell ref="B308:B309"/>
    <mergeCell ref="C308:C309"/>
    <mergeCell ref="D308:D309"/>
    <mergeCell ref="E308:E309"/>
    <mergeCell ref="F308:F309"/>
    <mergeCell ref="G308:G309"/>
    <mergeCell ref="H308:H309"/>
    <mergeCell ref="I308:I309"/>
    <mergeCell ref="J308:J309"/>
    <mergeCell ref="K308:K309"/>
    <mergeCell ref="R308:R309"/>
    <mergeCell ref="S308:S309"/>
    <mergeCell ref="V308:V309"/>
    <mergeCell ref="B310:B311"/>
    <mergeCell ref="C310:C311"/>
    <mergeCell ref="D310:D311"/>
    <mergeCell ref="E310:E311"/>
    <mergeCell ref="F310:F311"/>
    <mergeCell ref="G310:G311"/>
    <mergeCell ref="H310:H311"/>
    <mergeCell ref="I310:I311"/>
    <mergeCell ref="J310:J311"/>
    <mergeCell ref="K310:K311"/>
    <mergeCell ref="L310:L311"/>
    <mergeCell ref="M310:M311"/>
    <mergeCell ref="N310:N311"/>
    <mergeCell ref="O310:O311"/>
    <mergeCell ref="P310:P311"/>
    <mergeCell ref="Q310:Q311"/>
    <mergeCell ref="R310:R311"/>
    <mergeCell ref="S310:S311"/>
    <mergeCell ref="V310:V311"/>
    <mergeCell ref="B312:B313"/>
    <mergeCell ref="C312:C313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N312:N313"/>
    <mergeCell ref="O312:O313"/>
    <mergeCell ref="P312:P313"/>
    <mergeCell ref="Q312:Q313"/>
    <mergeCell ref="R312:R313"/>
    <mergeCell ref="S312:S313"/>
    <mergeCell ref="V312:V313"/>
    <mergeCell ref="B314:B315"/>
    <mergeCell ref="C314:C315"/>
    <mergeCell ref="D314:D315"/>
    <mergeCell ref="E314:E315"/>
    <mergeCell ref="F314:F315"/>
    <mergeCell ref="G314:G315"/>
    <mergeCell ref="H314:H315"/>
    <mergeCell ref="I314:I315"/>
    <mergeCell ref="J314:J315"/>
    <mergeCell ref="K314:K315"/>
    <mergeCell ref="L314:L315"/>
    <mergeCell ref="M314:M315"/>
    <mergeCell ref="N314:N315"/>
    <mergeCell ref="O314:O315"/>
    <mergeCell ref="P314:P315"/>
    <mergeCell ref="Q314:Q315"/>
    <mergeCell ref="R314:R315"/>
    <mergeCell ref="S314:S315"/>
    <mergeCell ref="V314:V315"/>
    <mergeCell ref="B316:B317"/>
    <mergeCell ref="C316:C317"/>
    <mergeCell ref="D316:D317"/>
    <mergeCell ref="E316:E317"/>
    <mergeCell ref="F316:F317"/>
    <mergeCell ref="G316:G317"/>
    <mergeCell ref="H316:H317"/>
    <mergeCell ref="I316:I317"/>
    <mergeCell ref="J316:J317"/>
    <mergeCell ref="K316:K317"/>
    <mergeCell ref="L316:L317"/>
    <mergeCell ref="M316:M317"/>
    <mergeCell ref="N316:N317"/>
    <mergeCell ref="O316:O317"/>
    <mergeCell ref="P316:P317"/>
    <mergeCell ref="Q316:Q317"/>
    <mergeCell ref="R316:R317"/>
    <mergeCell ref="S316:S317"/>
    <mergeCell ref="V316:V317"/>
    <mergeCell ref="B318:B320"/>
    <mergeCell ref="C318:C320"/>
    <mergeCell ref="D318:D320"/>
    <mergeCell ref="E318:E320"/>
    <mergeCell ref="F318:F320"/>
    <mergeCell ref="G318:G320"/>
    <mergeCell ref="H318:H320"/>
    <mergeCell ref="I318:I320"/>
    <mergeCell ref="J318:J320"/>
    <mergeCell ref="K318:K320"/>
    <mergeCell ref="L318:L319"/>
    <mergeCell ref="M318:M319"/>
    <mergeCell ref="N318:N319"/>
    <mergeCell ref="O318:O319"/>
    <mergeCell ref="P318:P319"/>
    <mergeCell ref="Q318:Q319"/>
    <mergeCell ref="R318:R320"/>
    <mergeCell ref="S318:S320"/>
    <mergeCell ref="V318:V320"/>
    <mergeCell ref="L320:L322"/>
    <mergeCell ref="M320:M322"/>
    <mergeCell ref="N320:N322"/>
    <mergeCell ref="O321:O322"/>
    <mergeCell ref="P321:P322"/>
    <mergeCell ref="Q321:Q322"/>
    <mergeCell ref="D324:D325"/>
    <mergeCell ref="F324:F325"/>
    <mergeCell ref="G324:G325"/>
    <mergeCell ref="H324:H325"/>
    <mergeCell ref="I324:I325"/>
    <mergeCell ref="J324:J325"/>
    <mergeCell ref="T324:T325"/>
    <mergeCell ref="V324:V325"/>
    <mergeCell ref="F326:F327"/>
    <mergeCell ref="G326:G327"/>
    <mergeCell ref="H326:H327"/>
    <mergeCell ref="I326:I327"/>
    <mergeCell ref="J326:J327"/>
    <mergeCell ref="P326:P327"/>
    <mergeCell ref="Q326:Q327"/>
    <mergeCell ref="T326:T327"/>
    <mergeCell ref="V326:V327"/>
    <mergeCell ref="D328:D329"/>
    <mergeCell ref="F328:F329"/>
    <mergeCell ref="G328:G329"/>
    <mergeCell ref="H328:H329"/>
    <mergeCell ref="I328:I329"/>
    <mergeCell ref="J328:J329"/>
    <mergeCell ref="P328:P329"/>
    <mergeCell ref="Q328:Q329"/>
    <mergeCell ref="T328:T329"/>
    <mergeCell ref="V328:V329"/>
    <mergeCell ref="D330:D332"/>
    <mergeCell ref="F330:F332"/>
    <mergeCell ref="G330:G332"/>
    <mergeCell ref="H330:H332"/>
    <mergeCell ref="I330:I332"/>
    <mergeCell ref="J330:J332"/>
    <mergeCell ref="P330:P331"/>
    <mergeCell ref="Q330:Q331"/>
    <mergeCell ref="T330:T332"/>
    <mergeCell ref="V330:V332"/>
    <mergeCell ref="P332:P334"/>
    <mergeCell ref="Q332:Q334"/>
    <mergeCell ref="B338:B339"/>
    <mergeCell ref="C338:C339"/>
    <mergeCell ref="D338:D339"/>
    <mergeCell ref="E338:E339"/>
    <mergeCell ref="F338:F339"/>
    <mergeCell ref="G338:G339"/>
    <mergeCell ref="H338:H339"/>
    <mergeCell ref="I338:I339"/>
    <mergeCell ref="J338:J339"/>
    <mergeCell ref="K338:K339"/>
    <mergeCell ref="R338:R339"/>
    <mergeCell ref="S338:S339"/>
    <mergeCell ref="V338:V339"/>
    <mergeCell ref="L340:L341"/>
    <mergeCell ref="M340:M341"/>
    <mergeCell ref="N340:N341"/>
    <mergeCell ref="O340:O341"/>
    <mergeCell ref="P340:P341"/>
    <mergeCell ref="Q340:Q341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J342:J343"/>
    <mergeCell ref="K342:K343"/>
    <mergeCell ref="R342:R343"/>
    <mergeCell ref="S342:S343"/>
    <mergeCell ref="V342:V343"/>
    <mergeCell ref="B344:B345"/>
    <mergeCell ref="C344:C345"/>
    <mergeCell ref="D344:D345"/>
    <mergeCell ref="E344:E345"/>
    <mergeCell ref="F344:F345"/>
    <mergeCell ref="G344:G345"/>
    <mergeCell ref="H344:H345"/>
    <mergeCell ref="I344:I345"/>
    <mergeCell ref="J344:J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V344:V345"/>
    <mergeCell ref="L346:L347"/>
    <mergeCell ref="M346:M347"/>
    <mergeCell ref="N346:N347"/>
    <mergeCell ref="O346:O347"/>
    <mergeCell ref="P346:P347"/>
    <mergeCell ref="Q346:Q347"/>
    <mergeCell ref="B350:B351"/>
    <mergeCell ref="C350:C351"/>
    <mergeCell ref="D350:D351"/>
    <mergeCell ref="E350:E351"/>
    <mergeCell ref="F350:F351"/>
    <mergeCell ref="G350:G351"/>
    <mergeCell ref="H350:H351"/>
    <mergeCell ref="I350:I351"/>
    <mergeCell ref="J350:J351"/>
    <mergeCell ref="K350:K351"/>
    <mergeCell ref="R350:R351"/>
    <mergeCell ref="S350:S351"/>
    <mergeCell ref="V350:V351"/>
    <mergeCell ref="L352:L353"/>
    <mergeCell ref="M352:M353"/>
    <mergeCell ref="N352:N353"/>
    <mergeCell ref="O352:O353"/>
    <mergeCell ref="P352:P353"/>
    <mergeCell ref="Q352:Q353"/>
    <mergeCell ref="B353:B354"/>
    <mergeCell ref="C353:C354"/>
    <mergeCell ref="D353:D354"/>
    <mergeCell ref="E353:E354"/>
    <mergeCell ref="F353:F354"/>
    <mergeCell ref="G353:G354"/>
    <mergeCell ref="H353:H354"/>
    <mergeCell ref="I353:I354"/>
    <mergeCell ref="J353:J354"/>
    <mergeCell ref="K353:K354"/>
    <mergeCell ref="R353:R354"/>
    <mergeCell ref="S353:S354"/>
    <mergeCell ref="V353:V354"/>
    <mergeCell ref="L355:L356"/>
    <mergeCell ref="M355:M356"/>
    <mergeCell ref="N355:N356"/>
    <mergeCell ref="O355:O356"/>
    <mergeCell ref="P355:P356"/>
    <mergeCell ref="Q355:Q356"/>
    <mergeCell ref="B365:B366"/>
    <mergeCell ref="C365:C366"/>
    <mergeCell ref="D365:D366"/>
    <mergeCell ref="E365:E366"/>
    <mergeCell ref="F365:F366"/>
    <mergeCell ref="G365:G366"/>
    <mergeCell ref="H365:H366"/>
    <mergeCell ref="I365:I366"/>
    <mergeCell ref="J365:J366"/>
    <mergeCell ref="K365:K366"/>
    <mergeCell ref="R365:R366"/>
    <mergeCell ref="S365:S366"/>
    <mergeCell ref="V365:V366"/>
    <mergeCell ref="L367:L368"/>
    <mergeCell ref="M367:M368"/>
    <mergeCell ref="N367:N368"/>
    <mergeCell ref="O367:O368"/>
    <mergeCell ref="P367:P368"/>
    <mergeCell ref="Q367:Q368"/>
    <mergeCell ref="B372:B373"/>
    <mergeCell ref="C372:C373"/>
    <mergeCell ref="D372:D373"/>
    <mergeCell ref="E372:E373"/>
    <mergeCell ref="F372:F373"/>
    <mergeCell ref="G372:G373"/>
    <mergeCell ref="H372:H373"/>
    <mergeCell ref="I372:I373"/>
    <mergeCell ref="J372:J373"/>
    <mergeCell ref="K372:K373"/>
    <mergeCell ref="R372:R373"/>
    <mergeCell ref="S372:S373"/>
    <mergeCell ref="V372:V373"/>
    <mergeCell ref="B374:B375"/>
    <mergeCell ref="C374:C375"/>
    <mergeCell ref="D374:D375"/>
    <mergeCell ref="E374:E375"/>
    <mergeCell ref="F374:F375"/>
    <mergeCell ref="G374:G375"/>
    <mergeCell ref="H374:H375"/>
    <mergeCell ref="I374:I375"/>
    <mergeCell ref="J374:J375"/>
    <mergeCell ref="K374:K375"/>
    <mergeCell ref="L374:L375"/>
    <mergeCell ref="M374:M375"/>
    <mergeCell ref="N374:N375"/>
    <mergeCell ref="O374:O375"/>
    <mergeCell ref="P374:P375"/>
    <mergeCell ref="Q374:Q375"/>
    <mergeCell ref="R374:R375"/>
    <mergeCell ref="S374:S375"/>
    <mergeCell ref="V374:V375"/>
    <mergeCell ref="L376:L377"/>
    <mergeCell ref="M376:M377"/>
    <mergeCell ref="N376:N377"/>
    <mergeCell ref="O376:O377"/>
    <mergeCell ref="P376:P377"/>
    <mergeCell ref="Q376:Q377"/>
    <mergeCell ref="B382:B383"/>
    <mergeCell ref="C382:C383"/>
    <mergeCell ref="D382:D383"/>
    <mergeCell ref="E382:E383"/>
    <mergeCell ref="F382:F383"/>
    <mergeCell ref="G382:G383"/>
    <mergeCell ref="H382:H383"/>
    <mergeCell ref="I382:I383"/>
    <mergeCell ref="J382:J383"/>
    <mergeCell ref="K382:K383"/>
    <mergeCell ref="R382:R383"/>
    <mergeCell ref="S382:S383"/>
    <mergeCell ref="V382:V383"/>
    <mergeCell ref="B384:B385"/>
    <mergeCell ref="C384:C385"/>
    <mergeCell ref="D384:D385"/>
    <mergeCell ref="E384:E385"/>
    <mergeCell ref="F384:F385"/>
    <mergeCell ref="G384:G385"/>
    <mergeCell ref="H384:H385"/>
    <mergeCell ref="I384:I385"/>
    <mergeCell ref="J384:J385"/>
    <mergeCell ref="K384:K385"/>
    <mergeCell ref="L384:L385"/>
    <mergeCell ref="M384:M385"/>
    <mergeCell ref="N384:N385"/>
    <mergeCell ref="O384:O385"/>
    <mergeCell ref="P384:P385"/>
    <mergeCell ref="Q384:Q385"/>
    <mergeCell ref="R384:R385"/>
    <mergeCell ref="S384:S385"/>
    <mergeCell ref="V384:V385"/>
    <mergeCell ref="L386:L387"/>
    <mergeCell ref="M386:M387"/>
    <mergeCell ref="N386:N387"/>
    <mergeCell ref="O386:O387"/>
    <mergeCell ref="P386:P387"/>
    <mergeCell ref="Q386:Q387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J393:J394"/>
    <mergeCell ref="K393:K394"/>
    <mergeCell ref="R393:R394"/>
    <mergeCell ref="S393:S394"/>
    <mergeCell ref="V393:V394"/>
    <mergeCell ref="B395:B396"/>
    <mergeCell ref="C395:C396"/>
    <mergeCell ref="D395:D396"/>
    <mergeCell ref="E395:E396"/>
    <mergeCell ref="F395:F396"/>
    <mergeCell ref="G395:G396"/>
    <mergeCell ref="H395:H396"/>
    <mergeCell ref="I395:I396"/>
    <mergeCell ref="J395:J396"/>
    <mergeCell ref="K395:K396"/>
    <mergeCell ref="L395:L396"/>
    <mergeCell ref="M395:M396"/>
    <mergeCell ref="N395:N396"/>
    <mergeCell ref="O395:O396"/>
    <mergeCell ref="P395:P396"/>
    <mergeCell ref="Q395:Q396"/>
    <mergeCell ref="R395:R396"/>
    <mergeCell ref="S395:S396"/>
    <mergeCell ref="V395:V396"/>
    <mergeCell ref="L397:L398"/>
    <mergeCell ref="M397:M398"/>
    <mergeCell ref="N397:N398"/>
    <mergeCell ref="O397:O398"/>
    <mergeCell ref="P397:P398"/>
    <mergeCell ref="Q397:Q39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O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9.88"/>
    <col collapsed="false" customWidth="true" hidden="false" outlineLevel="0" max="3" min="3" style="0" width="10.88"/>
    <col collapsed="false" customWidth="true" hidden="false" outlineLevel="0" max="4" min="4" style="0" width="20.75"/>
    <col collapsed="false" customWidth="true" hidden="false" outlineLevel="0" max="5" min="5" style="0" width="14.75"/>
    <col collapsed="false" customWidth="true" hidden="false" outlineLevel="0" max="8" min="8" style="0" width="9.38"/>
  </cols>
  <sheetData>
    <row r="1" customFormat="false" ht="15.75" hidden="false" customHeight="true" outlineLevel="0" collapsed="false">
      <c r="A1" s="195"/>
      <c r="B1" s="226" t="s">
        <v>197</v>
      </c>
      <c r="C1" s="226"/>
      <c r="D1" s="226"/>
      <c r="E1" s="226"/>
    </row>
    <row r="2" customFormat="false" ht="15.75" hidden="false" customHeight="true" outlineLevel="0" collapsed="false">
      <c r="A2" s="4"/>
    </row>
    <row r="3" customFormat="false" ht="15.75" hidden="false" customHeight="true" outlineLevel="0" collapsed="false">
      <c r="A3" s="4" t="s">
        <v>198</v>
      </c>
    </row>
    <row r="4" customFormat="false" ht="15.75" hidden="false" customHeight="true" outlineLevel="0" collapsed="false">
      <c r="A4" s="172" t="s">
        <v>188</v>
      </c>
      <c r="B4" s="174" t="s">
        <v>13</v>
      </c>
      <c r="C4" s="174" t="s">
        <v>189</v>
      </c>
      <c r="D4" s="172" t="s">
        <v>190</v>
      </c>
      <c r="E4" s="175" t="s">
        <v>199</v>
      </c>
      <c r="F4" s="175" t="s">
        <v>191</v>
      </c>
      <c r="G4" s="227" t="s">
        <v>192</v>
      </c>
      <c r="H4" s="163"/>
      <c r="I4" s="163"/>
      <c r="J4" s="163"/>
      <c r="K4" s="163"/>
    </row>
    <row r="5" customFormat="false" ht="15.75" hidden="false" customHeight="true" outlineLevel="0" collapsed="false">
      <c r="A5" s="176" t="n">
        <v>2470</v>
      </c>
      <c r="B5" s="178" t="s">
        <v>16</v>
      </c>
      <c r="C5" s="178" t="n">
        <v>417</v>
      </c>
      <c r="D5" s="179" t="n">
        <v>45931</v>
      </c>
      <c r="E5" s="228" t="s">
        <v>70</v>
      </c>
      <c r="F5" s="178" t="n">
        <f aca="false">756+300</f>
        <v>1056</v>
      </c>
      <c r="G5" s="229" t="n">
        <f aca="false">C5-F5</f>
        <v>-639</v>
      </c>
      <c r="H5" s="230"/>
      <c r="J5" s="184"/>
      <c r="K5" s="231"/>
    </row>
    <row r="6" customFormat="false" ht="15.75" hidden="false" customHeight="true" outlineLevel="0" collapsed="false">
      <c r="A6" s="187" t="n">
        <v>2550</v>
      </c>
      <c r="B6" s="34" t="s">
        <v>58</v>
      </c>
      <c r="C6" s="34" t="n">
        <v>80</v>
      </c>
      <c r="D6" s="179"/>
      <c r="E6" s="179"/>
      <c r="F6" s="34" t="n">
        <v>63</v>
      </c>
      <c r="G6" s="232" t="n">
        <f aca="false">C6-F6</f>
        <v>17</v>
      </c>
      <c r="H6" s="230"/>
    </row>
    <row r="7" customFormat="false" ht="15.75" hidden="false" customHeight="true" outlineLevel="0" collapsed="false">
      <c r="A7" s="187" t="n">
        <v>2731</v>
      </c>
      <c r="B7" s="34" t="s">
        <v>18</v>
      </c>
      <c r="C7" s="34" t="n">
        <v>11</v>
      </c>
      <c r="D7" s="179"/>
      <c r="E7" s="179"/>
      <c r="F7" s="34" t="n">
        <v>41</v>
      </c>
      <c r="G7" s="233" t="n">
        <f aca="false">C7-F7</f>
        <v>-30</v>
      </c>
      <c r="H7" s="234" t="s">
        <v>200</v>
      </c>
      <c r="I7" s="234"/>
      <c r="J7" s="234"/>
      <c r="K7" s="234"/>
      <c r="L7" s="234"/>
      <c r="M7" s="234"/>
      <c r="N7" s="234"/>
      <c r="O7" s="234"/>
    </row>
    <row r="8" customFormat="false" ht="15.75" hidden="false" customHeight="true" outlineLevel="0" collapsed="false">
      <c r="A8" s="194" t="n">
        <v>2959</v>
      </c>
      <c r="B8" s="34" t="s">
        <v>24</v>
      </c>
      <c r="C8" s="34" t="n">
        <v>48</v>
      </c>
      <c r="D8" s="179"/>
      <c r="E8" s="179"/>
      <c r="F8" s="34" t="n">
        <v>47</v>
      </c>
      <c r="G8" s="232" t="n">
        <f aca="false">C8-F8</f>
        <v>1</v>
      </c>
      <c r="H8" s="230"/>
      <c r="I8" s="235"/>
      <c r="J8" s="236"/>
      <c r="K8" s="237"/>
      <c r="L8" s="238"/>
      <c r="M8" s="238"/>
    </row>
    <row r="9" customFormat="false" ht="15.75" hidden="false" customHeight="true" outlineLevel="0" collapsed="false">
      <c r="A9" s="194" t="n">
        <v>2953</v>
      </c>
      <c r="B9" s="34" t="s">
        <v>196</v>
      </c>
      <c r="C9" s="34" t="n">
        <v>137</v>
      </c>
      <c r="D9" s="179"/>
      <c r="E9" s="179"/>
      <c r="F9" s="34" t="n">
        <v>132</v>
      </c>
      <c r="G9" s="232" t="n">
        <f aca="false">C9-F9</f>
        <v>5</v>
      </c>
      <c r="H9" s="230"/>
      <c r="I9" s="230"/>
      <c r="J9" s="184"/>
      <c r="K9" s="231"/>
    </row>
    <row r="10" customFormat="false" ht="15.75" hidden="false" customHeight="true" outlineLevel="0" collapsed="false">
      <c r="A10" s="194" t="n">
        <v>2946</v>
      </c>
      <c r="B10" s="34" t="s">
        <v>91</v>
      </c>
      <c r="C10" s="34" t="n">
        <v>265</v>
      </c>
      <c r="D10" s="179"/>
      <c r="E10" s="179"/>
      <c r="F10" s="34" t="n">
        <v>258</v>
      </c>
      <c r="G10" s="232" t="n">
        <f aca="false">C10-F10</f>
        <v>7</v>
      </c>
      <c r="H10" s="231"/>
      <c r="I10" s="231"/>
      <c r="J10" s="231"/>
      <c r="K10" s="231"/>
      <c r="L10" s="231"/>
    </row>
    <row r="11" customFormat="false" ht="15.75" hidden="false" customHeight="true" outlineLevel="0" collapsed="false">
      <c r="A11" s="194" t="n">
        <v>3006</v>
      </c>
      <c r="B11" s="34" t="s">
        <v>25</v>
      </c>
      <c r="C11" s="34" t="n">
        <v>51</v>
      </c>
      <c r="D11" s="179"/>
      <c r="E11" s="179"/>
      <c r="F11" s="34" t="n">
        <v>28</v>
      </c>
      <c r="G11" s="232" t="n">
        <f aca="false">C11-F11</f>
        <v>23</v>
      </c>
      <c r="H11" s="234" t="s">
        <v>200</v>
      </c>
      <c r="I11" s="234"/>
      <c r="J11" s="234"/>
      <c r="K11" s="234"/>
      <c r="L11" s="234"/>
      <c r="M11" s="234"/>
      <c r="N11" s="234"/>
      <c r="O11" s="234"/>
    </row>
    <row r="12" customFormat="false" ht="15.75" hidden="false" customHeight="true" outlineLevel="0" collapsed="false">
      <c r="A12" s="194" t="n">
        <v>3007</v>
      </c>
      <c r="B12" s="34" t="s">
        <v>27</v>
      </c>
      <c r="C12" s="195"/>
      <c r="D12" s="179"/>
      <c r="E12" s="179"/>
      <c r="F12" s="195"/>
      <c r="G12" s="239"/>
      <c r="H12" s="231"/>
      <c r="I12" s="231"/>
      <c r="J12" s="231"/>
      <c r="K12" s="231"/>
      <c r="L12" s="231"/>
    </row>
    <row r="13" customFormat="false" ht="15.75" hidden="false" customHeight="true" outlineLevel="0" collapsed="false">
      <c r="A13" s="194" t="n">
        <v>3008</v>
      </c>
      <c r="B13" s="34" t="s">
        <v>28</v>
      </c>
      <c r="C13" s="34" t="n">
        <v>6</v>
      </c>
      <c r="D13" s="179"/>
      <c r="E13" s="179"/>
      <c r="F13" s="34" t="n">
        <v>3</v>
      </c>
      <c r="G13" s="232" t="n">
        <f aca="false">C13-F13</f>
        <v>3</v>
      </c>
      <c r="H13" s="231"/>
      <c r="I13" s="231"/>
      <c r="J13" s="231"/>
      <c r="K13" s="231"/>
      <c r="L13" s="231"/>
    </row>
    <row r="14" customFormat="false" ht="15.75" hidden="false" customHeight="true" outlineLevel="0" collapsed="false">
      <c r="A14" s="194" t="n">
        <v>3009</v>
      </c>
      <c r="B14" s="34" t="s">
        <v>29</v>
      </c>
      <c r="C14" s="195"/>
      <c r="D14" s="179"/>
      <c r="E14" s="179"/>
      <c r="F14" s="195"/>
      <c r="G14" s="239"/>
      <c r="H14" s="231"/>
      <c r="I14" s="231"/>
      <c r="J14" s="231"/>
      <c r="K14" s="231"/>
      <c r="L14" s="231"/>
    </row>
    <row r="15" customFormat="false" ht="15.75" hidden="false" customHeight="true" outlineLevel="0" collapsed="false">
      <c r="A15" s="194" t="n">
        <v>3010</v>
      </c>
      <c r="B15" s="34" t="s">
        <v>186</v>
      </c>
      <c r="C15" s="34" t="n">
        <v>6</v>
      </c>
      <c r="D15" s="179"/>
      <c r="E15" s="179"/>
      <c r="F15" s="34" t="n">
        <v>4</v>
      </c>
      <c r="G15" s="232" t="n">
        <f aca="false">C15-F15</f>
        <v>2</v>
      </c>
      <c r="H15" s="234" t="s">
        <v>200</v>
      </c>
      <c r="I15" s="234"/>
      <c r="J15" s="234"/>
      <c r="K15" s="234"/>
      <c r="L15" s="234"/>
      <c r="M15" s="234"/>
      <c r="N15" s="234"/>
      <c r="O15" s="234"/>
    </row>
    <row r="16" customFormat="false" ht="15.75" hidden="false" customHeight="true" outlineLevel="0" collapsed="false">
      <c r="A16" s="198" t="n">
        <v>3049</v>
      </c>
      <c r="B16" s="199" t="s">
        <v>99</v>
      </c>
      <c r="C16" s="199" t="n">
        <v>356</v>
      </c>
      <c r="D16" s="179"/>
      <c r="E16" s="179"/>
      <c r="F16" s="199" t="n">
        <v>297</v>
      </c>
      <c r="G16" s="240" t="n">
        <f aca="false">C16-F16</f>
        <v>59</v>
      </c>
      <c r="H16" s="231"/>
      <c r="I16" s="231"/>
      <c r="J16" s="231"/>
      <c r="K16" s="231"/>
      <c r="L16" s="231"/>
    </row>
    <row r="17" customFormat="false" ht="15.75" hidden="false" customHeight="true" outlineLevel="0" collapsed="false">
      <c r="A17" s="176" t="n">
        <v>2470</v>
      </c>
      <c r="B17" s="178" t="s">
        <v>16</v>
      </c>
      <c r="C17" s="34" t="n">
        <v>417</v>
      </c>
      <c r="D17" s="179" t="n">
        <v>45901</v>
      </c>
      <c r="E17" s="228" t="s">
        <v>66</v>
      </c>
      <c r="F17" s="178" t="n">
        <f aca="false">796+277</f>
        <v>1073</v>
      </c>
      <c r="G17" s="241" t="n">
        <f aca="false">C17-F17</f>
        <v>-656</v>
      </c>
      <c r="H17" s="231"/>
      <c r="I17" s="231"/>
      <c r="J17" s="231"/>
      <c r="K17" s="231"/>
      <c r="L17" s="231"/>
    </row>
    <row r="18" customFormat="false" ht="15.75" hidden="false" customHeight="true" outlineLevel="0" collapsed="false">
      <c r="A18" s="187" t="n">
        <v>2550</v>
      </c>
      <c r="B18" s="34" t="s">
        <v>58</v>
      </c>
      <c r="C18" s="34" t="n">
        <v>80</v>
      </c>
      <c r="D18" s="179"/>
      <c r="E18" s="179"/>
      <c r="F18" s="34" t="n">
        <v>71</v>
      </c>
      <c r="G18" s="232" t="n">
        <f aca="false">C18-F18</f>
        <v>9</v>
      </c>
      <c r="H18" s="231"/>
      <c r="I18" s="231"/>
      <c r="J18" s="231"/>
      <c r="K18" s="231"/>
      <c r="L18" s="231"/>
    </row>
    <row r="19" customFormat="false" ht="15.75" hidden="false" customHeight="true" outlineLevel="0" collapsed="false">
      <c r="A19" s="187" t="n">
        <v>2731</v>
      </c>
      <c r="B19" s="34" t="s">
        <v>18</v>
      </c>
      <c r="C19" s="34" t="n">
        <v>11</v>
      </c>
      <c r="D19" s="179"/>
      <c r="E19" s="179"/>
      <c r="F19" s="34" t="n">
        <v>32</v>
      </c>
      <c r="G19" s="232" t="n">
        <f aca="false">C19-F19</f>
        <v>-21</v>
      </c>
      <c r="H19" s="231"/>
      <c r="I19" s="231"/>
      <c r="J19" s="231"/>
      <c r="K19" s="231"/>
      <c r="L19" s="231"/>
    </row>
    <row r="20" customFormat="false" ht="15.75" hidden="false" customHeight="true" outlineLevel="0" collapsed="false">
      <c r="A20" s="194" t="n">
        <v>2959</v>
      </c>
      <c r="B20" s="34" t="s">
        <v>24</v>
      </c>
      <c r="C20" s="34" t="n">
        <v>48</v>
      </c>
      <c r="D20" s="179"/>
      <c r="E20" s="179"/>
      <c r="F20" s="34" t="n">
        <v>47</v>
      </c>
      <c r="G20" s="232" t="n">
        <f aca="false">C20-F20</f>
        <v>1</v>
      </c>
      <c r="H20" s="231"/>
      <c r="I20" s="231"/>
      <c r="J20" s="231"/>
      <c r="K20" s="231"/>
      <c r="L20" s="231"/>
    </row>
    <row r="21" customFormat="false" ht="15.75" hidden="false" customHeight="true" outlineLevel="0" collapsed="false">
      <c r="A21" s="194" t="n">
        <v>2953</v>
      </c>
      <c r="B21" s="34" t="s">
        <v>196</v>
      </c>
      <c r="C21" s="34" t="n">
        <v>137</v>
      </c>
      <c r="D21" s="179"/>
      <c r="E21" s="179"/>
      <c r="F21" s="34" t="n">
        <v>132</v>
      </c>
      <c r="G21" s="232" t="n">
        <f aca="false">C21-F21</f>
        <v>5</v>
      </c>
      <c r="H21" s="231"/>
      <c r="I21" s="231"/>
      <c r="J21" s="231"/>
      <c r="K21" s="231"/>
      <c r="L21" s="231"/>
    </row>
    <row r="22" customFormat="false" ht="15.75" hidden="false" customHeight="true" outlineLevel="0" collapsed="false">
      <c r="A22" s="194" t="n">
        <v>2946</v>
      </c>
      <c r="B22" s="34" t="s">
        <v>91</v>
      </c>
      <c r="C22" s="195"/>
      <c r="D22" s="179"/>
      <c r="E22" s="179"/>
      <c r="F22" s="195"/>
      <c r="G22" s="239"/>
      <c r="H22" s="231"/>
      <c r="I22" s="231"/>
      <c r="J22" s="231"/>
      <c r="K22" s="231"/>
      <c r="L22" s="231"/>
    </row>
    <row r="23" customFormat="false" ht="15.75" hidden="false" customHeight="true" outlineLevel="0" collapsed="false">
      <c r="A23" s="194" t="n">
        <v>3006</v>
      </c>
      <c r="B23" s="34" t="s">
        <v>25</v>
      </c>
      <c r="C23" s="34" t="n">
        <v>51</v>
      </c>
      <c r="D23" s="179"/>
      <c r="E23" s="179"/>
      <c r="F23" s="34" t="n">
        <v>26</v>
      </c>
      <c r="G23" s="232" t="n">
        <f aca="false">C23-F23</f>
        <v>25</v>
      </c>
      <c r="H23" s="231"/>
      <c r="I23" s="231"/>
      <c r="J23" s="231"/>
      <c r="K23" s="231"/>
      <c r="L23" s="231"/>
    </row>
    <row r="24" customFormat="false" ht="15.75" hidden="false" customHeight="true" outlineLevel="0" collapsed="false">
      <c r="A24" s="194" t="n">
        <v>3007</v>
      </c>
      <c r="B24" s="34" t="s">
        <v>27</v>
      </c>
      <c r="C24" s="34" t="n">
        <v>37</v>
      </c>
      <c r="D24" s="179"/>
      <c r="E24" s="179"/>
      <c r="F24" s="34" t="n">
        <v>28</v>
      </c>
      <c r="G24" s="232" t="n">
        <f aca="false">C24-F24</f>
        <v>9</v>
      </c>
      <c r="H24" s="231"/>
      <c r="I24" s="231"/>
      <c r="J24" s="231"/>
      <c r="K24" s="231"/>
      <c r="L24" s="231"/>
    </row>
    <row r="25" customFormat="false" ht="15.75" hidden="false" customHeight="true" outlineLevel="0" collapsed="false">
      <c r="A25" s="194" t="n">
        <v>3008</v>
      </c>
      <c r="B25" s="34" t="s">
        <v>28</v>
      </c>
      <c r="C25" s="34" t="n">
        <v>6</v>
      </c>
      <c r="D25" s="179"/>
      <c r="E25" s="179"/>
      <c r="F25" s="34" t="n">
        <v>3</v>
      </c>
      <c r="G25" s="232" t="n">
        <f aca="false">C25-F25</f>
        <v>3</v>
      </c>
      <c r="H25" s="231"/>
      <c r="I25" s="231"/>
      <c r="J25" s="231"/>
      <c r="K25" s="231"/>
      <c r="L25" s="231"/>
    </row>
    <row r="26" customFormat="false" ht="15.75" hidden="false" customHeight="true" outlineLevel="0" collapsed="false">
      <c r="A26" s="194" t="n">
        <v>3009</v>
      </c>
      <c r="B26" s="34" t="s">
        <v>29</v>
      </c>
      <c r="C26" s="34" t="n">
        <v>30</v>
      </c>
      <c r="D26" s="179"/>
      <c r="E26" s="179"/>
      <c r="F26" s="34" t="n">
        <v>29</v>
      </c>
      <c r="G26" s="232" t="n">
        <f aca="false">C26-F26</f>
        <v>1</v>
      </c>
      <c r="H26" s="234" t="s">
        <v>200</v>
      </c>
      <c r="I26" s="234"/>
      <c r="J26" s="234"/>
      <c r="K26" s="234"/>
      <c r="L26" s="234"/>
      <c r="M26" s="234"/>
      <c r="N26" s="234"/>
      <c r="O26" s="234"/>
    </row>
    <row r="27" customFormat="false" ht="15.75" hidden="false" customHeight="true" outlineLevel="0" collapsed="false">
      <c r="A27" s="194" t="n">
        <v>3010</v>
      </c>
      <c r="B27" s="34" t="s">
        <v>186</v>
      </c>
      <c r="C27" s="34" t="n">
        <v>6</v>
      </c>
      <c r="D27" s="179"/>
      <c r="E27" s="179"/>
      <c r="F27" s="34" t="n">
        <v>3</v>
      </c>
      <c r="G27" s="232" t="n">
        <f aca="false">C27-F27</f>
        <v>3</v>
      </c>
      <c r="H27" s="231"/>
      <c r="I27" s="231"/>
      <c r="J27" s="231"/>
      <c r="K27" s="231"/>
      <c r="L27" s="231"/>
    </row>
    <row r="28" customFormat="false" ht="15.75" hidden="false" customHeight="true" outlineLevel="0" collapsed="false">
      <c r="A28" s="198" t="n">
        <v>3049</v>
      </c>
      <c r="B28" s="199" t="s">
        <v>99</v>
      </c>
      <c r="C28" s="199" t="n">
        <v>356</v>
      </c>
      <c r="D28" s="179"/>
      <c r="E28" s="179"/>
      <c r="F28" s="199" t="n">
        <v>307</v>
      </c>
      <c r="G28" s="240" t="n">
        <f aca="false">C28-F28</f>
        <v>49</v>
      </c>
      <c r="H28" s="231"/>
      <c r="I28" s="231"/>
      <c r="J28" s="231"/>
      <c r="K28" s="231"/>
      <c r="L28" s="231"/>
    </row>
    <row r="29" customFormat="false" ht="15.75" hidden="false" customHeight="true" outlineLevel="0" collapsed="false">
      <c r="A29" s="176" t="n">
        <v>2470</v>
      </c>
      <c r="B29" s="178" t="s">
        <v>16</v>
      </c>
      <c r="C29" s="208"/>
      <c r="D29" s="179" t="n">
        <v>45870</v>
      </c>
      <c r="E29" s="228" t="s">
        <v>56</v>
      </c>
      <c r="F29" s="209"/>
      <c r="G29" s="242"/>
      <c r="H29" s="231"/>
      <c r="I29" s="231"/>
      <c r="J29" s="231"/>
      <c r="K29" s="231"/>
      <c r="L29" s="231"/>
    </row>
    <row r="30" customFormat="false" ht="15.75" hidden="false" customHeight="true" outlineLevel="0" collapsed="false">
      <c r="A30" s="187" t="n">
        <v>2550</v>
      </c>
      <c r="B30" s="34" t="s">
        <v>58</v>
      </c>
      <c r="C30" s="34" t="n">
        <v>83</v>
      </c>
      <c r="D30" s="179"/>
      <c r="E30" s="179"/>
      <c r="F30" s="34" t="n">
        <v>70</v>
      </c>
      <c r="G30" s="232" t="n">
        <f aca="false">C30-F30</f>
        <v>13</v>
      </c>
      <c r="H30" s="231"/>
      <c r="I30" s="231"/>
      <c r="J30" s="231"/>
      <c r="K30" s="231"/>
      <c r="L30" s="231"/>
    </row>
    <row r="31" customFormat="false" ht="15.75" hidden="false" customHeight="true" outlineLevel="0" collapsed="false">
      <c r="A31" s="187" t="n">
        <v>2731</v>
      </c>
      <c r="B31" s="243" t="s">
        <v>18</v>
      </c>
      <c r="C31" s="34" t="n">
        <v>11</v>
      </c>
      <c r="D31" s="179"/>
      <c r="E31" s="179"/>
      <c r="F31" s="34" t="n">
        <v>36</v>
      </c>
      <c r="G31" s="241" t="n">
        <f aca="false">C31-F31</f>
        <v>-25</v>
      </c>
      <c r="H31" s="231"/>
      <c r="I31" s="231"/>
      <c r="J31" s="231"/>
      <c r="K31" s="231"/>
      <c r="L31" s="231"/>
    </row>
    <row r="32" customFormat="false" ht="15.75" hidden="false" customHeight="true" outlineLevel="0" collapsed="false">
      <c r="A32" s="194" t="n">
        <v>2959</v>
      </c>
      <c r="B32" s="243" t="s">
        <v>24</v>
      </c>
      <c r="C32" s="34" t="n">
        <v>48</v>
      </c>
      <c r="D32" s="179"/>
      <c r="E32" s="179"/>
      <c r="F32" s="34" t="n">
        <v>47</v>
      </c>
      <c r="G32" s="232" t="n">
        <f aca="false">C32-F32</f>
        <v>1</v>
      </c>
      <c r="H32" s="231"/>
      <c r="I32" s="231"/>
      <c r="J32" s="231"/>
      <c r="K32" s="231"/>
      <c r="L32" s="231"/>
    </row>
    <row r="33" customFormat="false" ht="15.75" hidden="false" customHeight="true" outlineLevel="0" collapsed="false">
      <c r="A33" s="194" t="n">
        <v>2953</v>
      </c>
      <c r="B33" s="243" t="s">
        <v>196</v>
      </c>
      <c r="C33" s="34" t="n">
        <v>137</v>
      </c>
      <c r="D33" s="179"/>
      <c r="E33" s="179"/>
      <c r="F33" s="34" t="n">
        <v>132</v>
      </c>
      <c r="G33" s="232" t="n">
        <f aca="false">C33-F33</f>
        <v>5</v>
      </c>
      <c r="H33" s="231"/>
      <c r="I33" s="231"/>
      <c r="J33" s="231"/>
      <c r="K33" s="231"/>
      <c r="L33" s="231"/>
    </row>
    <row r="34" customFormat="false" ht="15.75" hidden="false" customHeight="true" outlineLevel="0" collapsed="false">
      <c r="A34" s="194" t="n">
        <v>2946</v>
      </c>
      <c r="B34" s="243" t="s">
        <v>91</v>
      </c>
      <c r="C34" s="195"/>
      <c r="D34" s="179"/>
      <c r="E34" s="179"/>
      <c r="F34" s="195"/>
      <c r="G34" s="239"/>
      <c r="H34" s="231"/>
      <c r="I34" s="231"/>
      <c r="J34" s="231"/>
      <c r="K34" s="231"/>
      <c r="L34" s="231"/>
    </row>
    <row r="35" customFormat="false" ht="15.75" hidden="false" customHeight="true" outlineLevel="0" collapsed="false">
      <c r="A35" s="194" t="n">
        <v>3006</v>
      </c>
      <c r="B35" s="243" t="s">
        <v>25</v>
      </c>
      <c r="C35" s="34" t="n">
        <v>51</v>
      </c>
      <c r="D35" s="179"/>
      <c r="E35" s="179"/>
      <c r="F35" s="34" t="n">
        <v>36</v>
      </c>
      <c r="G35" s="232" t="n">
        <f aca="false">C35-F35</f>
        <v>15</v>
      </c>
      <c r="H35" s="231"/>
      <c r="I35" s="231"/>
      <c r="J35" s="231"/>
      <c r="K35" s="231"/>
      <c r="L35" s="231"/>
    </row>
    <row r="36" customFormat="false" ht="15.75" hidden="false" customHeight="true" outlineLevel="0" collapsed="false">
      <c r="A36" s="194" t="n">
        <v>3007</v>
      </c>
      <c r="B36" s="243" t="s">
        <v>27</v>
      </c>
      <c r="C36" s="34" t="n">
        <v>38</v>
      </c>
      <c r="D36" s="179"/>
      <c r="E36" s="179"/>
      <c r="F36" s="34" t="n">
        <v>29</v>
      </c>
      <c r="G36" s="241" t="n">
        <f aca="false">C36-F36</f>
        <v>9</v>
      </c>
      <c r="H36" s="231"/>
      <c r="I36" s="231"/>
      <c r="J36" s="231"/>
      <c r="K36" s="231"/>
      <c r="L36" s="231"/>
    </row>
    <row r="37" customFormat="false" ht="15.75" hidden="false" customHeight="true" outlineLevel="0" collapsed="false">
      <c r="A37" s="194" t="n">
        <v>3008</v>
      </c>
      <c r="B37" s="243" t="s">
        <v>28</v>
      </c>
      <c r="C37" s="34" t="n">
        <v>6</v>
      </c>
      <c r="D37" s="179"/>
      <c r="E37" s="179"/>
      <c r="F37" s="34" t="n">
        <v>11</v>
      </c>
      <c r="G37" s="241" t="n">
        <f aca="false">C37-F37</f>
        <v>-5</v>
      </c>
      <c r="H37" s="230"/>
      <c r="I37" s="230"/>
      <c r="J37" s="20"/>
      <c r="K37" s="231"/>
    </row>
    <row r="38" customFormat="false" ht="15.75" hidden="false" customHeight="true" outlineLevel="0" collapsed="false">
      <c r="A38" s="194" t="n">
        <v>3009</v>
      </c>
      <c r="B38" s="243" t="s">
        <v>29</v>
      </c>
      <c r="C38" s="34" t="n">
        <v>30</v>
      </c>
      <c r="D38" s="179"/>
      <c r="E38" s="179"/>
      <c r="F38" s="34" t="n">
        <v>27</v>
      </c>
      <c r="G38" s="241" t="n">
        <f aca="false">C38-F38</f>
        <v>3</v>
      </c>
      <c r="H38" s="230"/>
      <c r="I38" s="230"/>
      <c r="J38" s="20"/>
      <c r="K38" s="231"/>
    </row>
    <row r="39" customFormat="false" ht="15.75" hidden="false" customHeight="true" outlineLevel="0" collapsed="false">
      <c r="A39" s="194" t="n">
        <v>3010</v>
      </c>
      <c r="B39" s="243" t="s">
        <v>186</v>
      </c>
      <c r="C39" s="34" t="n">
        <v>6</v>
      </c>
      <c r="D39" s="179"/>
      <c r="E39" s="179"/>
      <c r="F39" s="34" t="n">
        <v>4</v>
      </c>
      <c r="G39" s="241" t="n">
        <f aca="false">C39-F39</f>
        <v>2</v>
      </c>
      <c r="H39" s="230"/>
      <c r="I39" s="230"/>
      <c r="J39" s="230"/>
      <c r="K39" s="230"/>
      <c r="L39" s="230"/>
    </row>
    <row r="40" customFormat="false" ht="15.75" hidden="false" customHeight="true" outlineLevel="0" collapsed="false">
      <c r="A40" s="198" t="n">
        <v>3049</v>
      </c>
      <c r="B40" s="243" t="s">
        <v>99</v>
      </c>
      <c r="C40" s="199" t="n">
        <v>362</v>
      </c>
      <c r="D40" s="179"/>
      <c r="E40" s="179"/>
      <c r="F40" s="199" t="n">
        <v>366</v>
      </c>
      <c r="G40" s="241" t="n">
        <f aca="false">C40-F40</f>
        <v>-4</v>
      </c>
      <c r="H40" s="230"/>
      <c r="I40" s="230"/>
      <c r="J40" s="230"/>
      <c r="K40" s="230"/>
      <c r="L40" s="230"/>
    </row>
    <row r="41" customFormat="false" ht="15.75" hidden="false" customHeight="true" outlineLevel="0" collapsed="false">
      <c r="A41" s="176" t="n">
        <v>2470</v>
      </c>
      <c r="B41" s="244" t="s">
        <v>16</v>
      </c>
      <c r="C41" s="209"/>
      <c r="D41" s="179" t="n">
        <v>45839</v>
      </c>
      <c r="E41" s="228" t="s">
        <v>59</v>
      </c>
      <c r="F41" s="209"/>
      <c r="G41" s="242"/>
      <c r="H41" s="230"/>
      <c r="I41" s="230"/>
      <c r="J41" s="230"/>
      <c r="K41" s="230"/>
      <c r="L41" s="230"/>
    </row>
    <row r="42" customFormat="false" ht="15.75" hidden="false" customHeight="true" outlineLevel="0" collapsed="false">
      <c r="A42" s="187" t="n">
        <v>2550</v>
      </c>
      <c r="B42" s="243" t="s">
        <v>58</v>
      </c>
      <c r="C42" s="34" t="n">
        <v>93</v>
      </c>
      <c r="D42" s="179"/>
      <c r="E42" s="179"/>
      <c r="F42" s="34" t="n">
        <v>83</v>
      </c>
      <c r="G42" s="232" t="n">
        <f aca="false">C42-F42</f>
        <v>10</v>
      </c>
      <c r="H42" s="230"/>
      <c r="I42" s="230"/>
      <c r="J42" s="230"/>
      <c r="K42" s="230"/>
      <c r="L42" s="230"/>
    </row>
    <row r="43" customFormat="false" ht="15.75" hidden="false" customHeight="true" outlineLevel="0" collapsed="false">
      <c r="A43" s="187" t="n">
        <v>2731</v>
      </c>
      <c r="B43" s="243" t="s">
        <v>18</v>
      </c>
      <c r="C43" s="34" t="n">
        <v>11</v>
      </c>
      <c r="D43" s="179"/>
      <c r="E43" s="179"/>
      <c r="F43" s="34" t="n">
        <v>38</v>
      </c>
      <c r="G43" s="241" t="n">
        <f aca="false">C43-F43</f>
        <v>-27</v>
      </c>
      <c r="H43" s="230"/>
      <c r="I43" s="230"/>
      <c r="J43" s="230"/>
      <c r="K43" s="230"/>
      <c r="L43" s="230"/>
    </row>
    <row r="44" customFormat="false" ht="15.75" hidden="false" customHeight="true" outlineLevel="0" collapsed="false">
      <c r="A44" s="194" t="n">
        <v>2959</v>
      </c>
      <c r="B44" s="243" t="s">
        <v>24</v>
      </c>
      <c r="C44" s="34" t="n">
        <v>48</v>
      </c>
      <c r="D44" s="179"/>
      <c r="E44" s="179"/>
      <c r="F44" s="34" t="n">
        <v>48</v>
      </c>
      <c r="G44" s="232" t="n">
        <f aca="false">C44-F44</f>
        <v>0</v>
      </c>
      <c r="H44" s="230"/>
      <c r="I44" s="230"/>
      <c r="J44" s="230"/>
      <c r="K44" s="230"/>
      <c r="L44" s="230"/>
    </row>
    <row r="45" customFormat="false" ht="15.75" hidden="false" customHeight="true" outlineLevel="0" collapsed="false">
      <c r="A45" s="194" t="n">
        <v>2953</v>
      </c>
      <c r="B45" s="243" t="s">
        <v>196</v>
      </c>
      <c r="C45" s="34" t="n">
        <v>140</v>
      </c>
      <c r="D45" s="179"/>
      <c r="E45" s="179"/>
      <c r="F45" s="34" t="n">
        <v>138</v>
      </c>
      <c r="G45" s="232" t="n">
        <f aca="false">C45-F45</f>
        <v>2</v>
      </c>
      <c r="H45" s="230"/>
      <c r="I45" s="230"/>
      <c r="J45" s="230"/>
      <c r="K45" s="230"/>
      <c r="L45" s="230"/>
    </row>
    <row r="46" customFormat="false" ht="15.75" hidden="false" customHeight="true" outlineLevel="0" collapsed="false">
      <c r="A46" s="194" t="n">
        <v>2946</v>
      </c>
      <c r="B46" s="243" t="s">
        <v>91</v>
      </c>
      <c r="C46" s="195"/>
      <c r="D46" s="179"/>
      <c r="E46" s="179"/>
      <c r="F46" s="195"/>
      <c r="G46" s="239"/>
      <c r="H46" s="230"/>
      <c r="I46" s="230"/>
      <c r="J46" s="230"/>
      <c r="K46" s="230"/>
      <c r="L46" s="230"/>
    </row>
    <row r="47" customFormat="false" ht="15.75" hidden="false" customHeight="true" outlineLevel="0" collapsed="false">
      <c r="A47" s="194" t="n">
        <v>3006</v>
      </c>
      <c r="B47" s="243" t="s">
        <v>25</v>
      </c>
      <c r="C47" s="34" t="n">
        <v>58</v>
      </c>
      <c r="D47" s="179"/>
      <c r="E47" s="179"/>
      <c r="F47" s="34" t="n">
        <v>58</v>
      </c>
      <c r="G47" s="232" t="n">
        <f aca="false">C47-F47</f>
        <v>0</v>
      </c>
      <c r="H47" s="230"/>
      <c r="I47" s="230"/>
      <c r="J47" s="230"/>
      <c r="K47" s="230"/>
      <c r="L47" s="230"/>
    </row>
    <row r="48" customFormat="false" ht="15.75" hidden="false" customHeight="true" outlineLevel="0" collapsed="false">
      <c r="A48" s="194" t="n">
        <v>3007</v>
      </c>
      <c r="B48" s="243" t="s">
        <v>27</v>
      </c>
      <c r="C48" s="34" t="n">
        <v>38</v>
      </c>
      <c r="D48" s="179"/>
      <c r="E48" s="179"/>
      <c r="F48" s="34" t="n">
        <v>62</v>
      </c>
      <c r="G48" s="232" t="n">
        <f aca="false">C48-F48</f>
        <v>-24</v>
      </c>
      <c r="H48" s="230"/>
      <c r="I48" s="230"/>
      <c r="J48" s="230"/>
      <c r="K48" s="230"/>
      <c r="L48" s="230"/>
    </row>
    <row r="49" customFormat="false" ht="15.75" hidden="false" customHeight="true" outlineLevel="0" collapsed="false">
      <c r="A49" s="194" t="n">
        <v>3008</v>
      </c>
      <c r="B49" s="243" t="s">
        <v>28</v>
      </c>
      <c r="C49" s="34" t="n">
        <v>12</v>
      </c>
      <c r="D49" s="179"/>
      <c r="E49" s="179"/>
      <c r="F49" s="34" t="n">
        <v>31</v>
      </c>
      <c r="G49" s="232" t="n">
        <f aca="false">C49-F49</f>
        <v>-19</v>
      </c>
      <c r="H49" s="230"/>
      <c r="I49" s="230"/>
      <c r="J49" s="230"/>
      <c r="K49" s="230"/>
      <c r="L49" s="230"/>
    </row>
    <row r="50" customFormat="false" ht="15.75" hidden="false" customHeight="true" outlineLevel="0" collapsed="false">
      <c r="A50" s="194" t="n">
        <v>3009</v>
      </c>
      <c r="B50" s="243" t="s">
        <v>29</v>
      </c>
      <c r="C50" s="34" t="n">
        <v>30</v>
      </c>
      <c r="D50" s="179"/>
      <c r="E50" s="179"/>
      <c r="F50" s="34" t="n">
        <v>30</v>
      </c>
      <c r="G50" s="232" t="n">
        <f aca="false">C50-F50</f>
        <v>0</v>
      </c>
      <c r="H50" s="230"/>
      <c r="I50" s="230"/>
      <c r="J50" s="230"/>
      <c r="K50" s="230"/>
      <c r="L50" s="230"/>
    </row>
    <row r="51" customFormat="false" ht="15.75" hidden="false" customHeight="true" outlineLevel="0" collapsed="false">
      <c r="A51" s="194" t="n">
        <v>3010</v>
      </c>
      <c r="B51" s="243" t="s">
        <v>186</v>
      </c>
      <c r="C51" s="34" t="n">
        <v>7</v>
      </c>
      <c r="D51" s="179"/>
      <c r="E51" s="179"/>
      <c r="F51" s="34" t="n">
        <v>21</v>
      </c>
      <c r="G51" s="232" t="n">
        <f aca="false">C51-F51</f>
        <v>-14</v>
      </c>
      <c r="H51" s="230"/>
      <c r="I51" s="230"/>
      <c r="J51" s="230"/>
      <c r="K51" s="230"/>
      <c r="L51" s="230"/>
    </row>
    <row r="52" customFormat="false" ht="15.75" hidden="false" customHeight="true" outlineLevel="0" collapsed="false">
      <c r="A52" s="198" t="n">
        <v>3049</v>
      </c>
      <c r="B52" s="199" t="s">
        <v>99</v>
      </c>
      <c r="C52" s="210"/>
      <c r="D52" s="179"/>
      <c r="E52" s="179"/>
      <c r="F52" s="210"/>
      <c r="G52" s="245"/>
      <c r="H52" s="230"/>
      <c r="I52" s="230"/>
      <c r="J52" s="230"/>
      <c r="K52" s="230"/>
      <c r="L52" s="230"/>
    </row>
  </sheetData>
  <mergeCells count="13">
    <mergeCell ref="B1:E1"/>
    <mergeCell ref="D5:D16"/>
    <mergeCell ref="E5:E16"/>
    <mergeCell ref="H7:O7"/>
    <mergeCell ref="H11:O11"/>
    <mergeCell ref="H15:O15"/>
    <mergeCell ref="D17:D28"/>
    <mergeCell ref="E17:E28"/>
    <mergeCell ref="H26:O26"/>
    <mergeCell ref="D29:D40"/>
    <mergeCell ref="E29:E40"/>
    <mergeCell ref="D41:D52"/>
    <mergeCell ref="E41:E52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4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.12"/>
    <col collapsed="false" customWidth="true" hidden="false" outlineLevel="0" max="2" min="2" style="0" width="9.75"/>
    <col collapsed="false" customWidth="true" hidden="false" outlineLevel="0" max="3" min="3" style="0" width="6.12"/>
    <col collapsed="false" customWidth="true" hidden="false" outlineLevel="0" max="4" min="4" style="0" width="11"/>
    <col collapsed="false" customWidth="true" hidden="false" outlineLevel="0" max="6" min="6" style="0" width="12.25"/>
    <col collapsed="false" customWidth="true" hidden="false" outlineLevel="0" max="7" min="7" style="0" width="5.13"/>
    <col collapsed="false" customWidth="true" hidden="false" outlineLevel="0" max="8" min="8" style="0" width="10.38"/>
    <col collapsed="false" customWidth="true" hidden="false" outlineLevel="0" max="9" min="9" style="0" width="5"/>
    <col collapsed="false" customWidth="true" hidden="false" outlineLevel="0" max="10" min="10" style="0" width="8.63"/>
    <col collapsed="false" customWidth="true" hidden="false" outlineLevel="0" max="11" min="11" style="0" width="10.13"/>
    <col collapsed="false" customWidth="true" hidden="false" outlineLevel="0" max="12" min="12" style="0" width="11.25"/>
    <col collapsed="false" customWidth="true" hidden="false" outlineLevel="0" max="13" min="13" style="0" width="10.63"/>
    <col collapsed="false" customWidth="true" hidden="false" outlineLevel="0" max="14" min="14" style="0" width="11"/>
    <col collapsed="false" customWidth="true" hidden="false" outlineLevel="0" max="15" min="15" style="0" width="6.63"/>
    <col collapsed="false" customWidth="true" hidden="false" outlineLevel="0" max="16" min="16" style="0" width="9.75"/>
    <col collapsed="false" customWidth="true" hidden="false" outlineLevel="0" max="17" min="17" style="0" width="5.63"/>
    <col collapsed="false" customWidth="true" hidden="false" outlineLevel="0" max="18" min="18" style="0" width="10.38"/>
    <col collapsed="false" customWidth="true" hidden="false" outlineLevel="0" max="19" min="19" style="0" width="11.75"/>
    <col collapsed="false" customWidth="true" hidden="false" outlineLevel="0" max="20" min="20" style="0" width="10.25"/>
    <col collapsed="false" customWidth="true" hidden="false" outlineLevel="0" max="21" min="21" style="0" width="5.38"/>
    <col collapsed="false" customWidth="true" hidden="false" outlineLevel="0" max="23" min="23" style="0" width="7"/>
    <col collapsed="false" customWidth="true" hidden="false" outlineLevel="0" max="25" min="25" style="0" width="7.38"/>
  </cols>
  <sheetData>
    <row r="1" customFormat="false" ht="15.75" hidden="false" customHeight="true" outlineLevel="0" collapsed="false">
      <c r="B1" s="246" t="s">
        <v>201</v>
      </c>
      <c r="C1" s="246"/>
    </row>
    <row r="2" customFormat="false" ht="15.75" hidden="false" customHeight="true" outlineLevel="0" collapsed="false"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</row>
    <row r="3" customFormat="false" ht="15.75" hidden="false" customHeight="true" outlineLevel="0" collapsed="false">
      <c r="C3" s="247" t="s">
        <v>202</v>
      </c>
      <c r="D3" s="247"/>
      <c r="E3" s="247" t="s">
        <v>58</v>
      </c>
      <c r="F3" s="247"/>
      <c r="G3" s="247" t="s">
        <v>18</v>
      </c>
      <c r="H3" s="247"/>
      <c r="I3" s="247" t="s">
        <v>203</v>
      </c>
      <c r="J3" s="247"/>
      <c r="K3" s="247" t="s">
        <v>204</v>
      </c>
      <c r="L3" s="247"/>
      <c r="M3" s="247" t="s">
        <v>205</v>
      </c>
      <c r="N3" s="247"/>
      <c r="O3" s="247" t="s">
        <v>206</v>
      </c>
      <c r="P3" s="247"/>
      <c r="Q3" s="247" t="s">
        <v>27</v>
      </c>
      <c r="R3" s="247"/>
      <c r="S3" s="247" t="s">
        <v>28</v>
      </c>
      <c r="T3" s="247"/>
      <c r="U3" s="247" t="s">
        <v>29</v>
      </c>
      <c r="V3" s="247"/>
      <c r="W3" s="247" t="s">
        <v>186</v>
      </c>
      <c r="X3" s="247"/>
      <c r="Y3" s="247" t="s">
        <v>99</v>
      </c>
      <c r="Z3" s="247"/>
    </row>
    <row r="4" customFormat="false" ht="15.75" hidden="false" customHeight="true" outlineLevel="0" collapsed="false">
      <c r="C4" s="248" t="s">
        <v>37</v>
      </c>
      <c r="D4" s="249" t="s">
        <v>207</v>
      </c>
      <c r="E4" s="248" t="s">
        <v>37</v>
      </c>
      <c r="F4" s="249" t="s">
        <v>207</v>
      </c>
      <c r="G4" s="248" t="s">
        <v>37</v>
      </c>
      <c r="H4" s="249" t="s">
        <v>207</v>
      </c>
      <c r="I4" s="248" t="s">
        <v>37</v>
      </c>
      <c r="J4" s="249" t="s">
        <v>207</v>
      </c>
      <c r="K4" s="248" t="s">
        <v>37</v>
      </c>
      <c r="L4" s="249" t="s">
        <v>207</v>
      </c>
      <c r="M4" s="248" t="s">
        <v>37</v>
      </c>
      <c r="N4" s="249" t="s">
        <v>207</v>
      </c>
      <c r="O4" s="248" t="s">
        <v>37</v>
      </c>
      <c r="P4" s="249" t="s">
        <v>207</v>
      </c>
      <c r="Q4" s="248" t="s">
        <v>37</v>
      </c>
      <c r="R4" s="249" t="s">
        <v>207</v>
      </c>
      <c r="S4" s="248" t="s">
        <v>37</v>
      </c>
      <c r="T4" s="249" t="s">
        <v>207</v>
      </c>
      <c r="U4" s="248" t="s">
        <v>37</v>
      </c>
      <c r="V4" s="249" t="s">
        <v>207</v>
      </c>
      <c r="W4" s="248" t="s">
        <v>37</v>
      </c>
      <c r="X4" s="249" t="s">
        <v>207</v>
      </c>
      <c r="Y4" s="248" t="s">
        <v>37</v>
      </c>
      <c r="Z4" s="249" t="s">
        <v>207</v>
      </c>
    </row>
    <row r="5" customFormat="false" ht="15.75" hidden="false" customHeight="true" outlineLevel="0" collapsed="false">
      <c r="A5" s="6"/>
      <c r="B5" s="250" t="s">
        <v>208</v>
      </c>
      <c r="C5" s="194" t="n">
        <v>86</v>
      </c>
      <c r="D5" s="251" t="n">
        <v>14920</v>
      </c>
      <c r="E5" s="194" t="n">
        <v>13</v>
      </c>
      <c r="F5" s="251" t="n">
        <v>760</v>
      </c>
      <c r="G5" s="252" t="n">
        <v>5</v>
      </c>
      <c r="H5" s="251" t="n">
        <v>300</v>
      </c>
      <c r="I5" s="194" t="n">
        <v>0</v>
      </c>
      <c r="J5" s="251" t="n">
        <v>0</v>
      </c>
      <c r="K5" s="194" t="n">
        <v>2</v>
      </c>
      <c r="L5" s="251" t="n">
        <v>300</v>
      </c>
      <c r="M5" s="194" t="n">
        <v>0</v>
      </c>
      <c r="N5" s="251" t="n">
        <v>0</v>
      </c>
      <c r="O5" s="194" t="s">
        <v>6</v>
      </c>
      <c r="P5" s="232" t="s">
        <v>6</v>
      </c>
      <c r="Q5" s="194" t="s">
        <v>6</v>
      </c>
      <c r="R5" s="232" t="s">
        <v>6</v>
      </c>
      <c r="S5" s="194" t="s">
        <v>6</v>
      </c>
      <c r="T5" s="251" t="s">
        <v>6</v>
      </c>
      <c r="U5" s="194" t="s">
        <v>6</v>
      </c>
      <c r="V5" s="251" t="s">
        <v>6</v>
      </c>
      <c r="W5" s="194" t="s">
        <v>6</v>
      </c>
      <c r="X5" s="251" t="s">
        <v>6</v>
      </c>
      <c r="Y5" s="194" t="s">
        <v>6</v>
      </c>
      <c r="Z5" s="232" t="s">
        <v>6</v>
      </c>
    </row>
    <row r="6" customFormat="false" ht="15.75" hidden="false" customHeight="true" outlineLevel="0" collapsed="false">
      <c r="A6" s="6"/>
      <c r="B6" s="250" t="s">
        <v>209</v>
      </c>
      <c r="C6" s="194" t="n">
        <v>78</v>
      </c>
      <c r="D6" s="251" t="n">
        <v>13080</v>
      </c>
      <c r="E6" s="194" t="n">
        <v>13</v>
      </c>
      <c r="F6" s="251" t="n">
        <v>770</v>
      </c>
      <c r="G6" s="252" t="n">
        <v>1</v>
      </c>
      <c r="H6" s="251" t="n">
        <v>60</v>
      </c>
      <c r="I6" s="194" t="n">
        <v>1</v>
      </c>
      <c r="J6" s="251" t="n">
        <v>50</v>
      </c>
      <c r="K6" s="194" t="n">
        <v>1</v>
      </c>
      <c r="L6" s="251" t="n">
        <v>150</v>
      </c>
      <c r="M6" s="194" t="n">
        <v>1</v>
      </c>
      <c r="N6" s="251" t="n">
        <v>100</v>
      </c>
      <c r="O6" s="194" t="s">
        <v>6</v>
      </c>
      <c r="P6" s="232" t="s">
        <v>6</v>
      </c>
      <c r="Q6" s="194" t="s">
        <v>6</v>
      </c>
      <c r="R6" s="232" t="s">
        <v>6</v>
      </c>
      <c r="S6" s="194" t="s">
        <v>6</v>
      </c>
      <c r="T6" s="251" t="s">
        <v>6</v>
      </c>
      <c r="U6" s="194" t="s">
        <v>6</v>
      </c>
      <c r="V6" s="251" t="s">
        <v>6</v>
      </c>
      <c r="W6" s="194" t="s">
        <v>6</v>
      </c>
      <c r="X6" s="251" t="s">
        <v>6</v>
      </c>
      <c r="Y6" s="194" t="s">
        <v>6</v>
      </c>
      <c r="Z6" s="232" t="s">
        <v>6</v>
      </c>
    </row>
    <row r="7" customFormat="false" ht="15.75" hidden="false" customHeight="true" outlineLevel="0" collapsed="false">
      <c r="A7" s="6"/>
      <c r="B7" s="250" t="s">
        <v>210</v>
      </c>
      <c r="C7" s="194" t="n">
        <v>98</v>
      </c>
      <c r="D7" s="251" t="n">
        <v>16630</v>
      </c>
      <c r="E7" s="194" t="n">
        <v>8</v>
      </c>
      <c r="F7" s="251" t="n">
        <v>480</v>
      </c>
      <c r="G7" s="252" t="n">
        <v>4</v>
      </c>
      <c r="H7" s="251" t="n">
        <v>240</v>
      </c>
      <c r="I7" s="194" t="n">
        <v>0</v>
      </c>
      <c r="J7" s="251" t="n">
        <v>0</v>
      </c>
      <c r="K7" s="194" t="n">
        <v>0</v>
      </c>
      <c r="L7" s="251" t="n">
        <v>0</v>
      </c>
      <c r="M7" s="194" t="n">
        <v>3</v>
      </c>
      <c r="N7" s="251" t="n">
        <v>300</v>
      </c>
      <c r="O7" s="194" t="s">
        <v>6</v>
      </c>
      <c r="P7" s="232" t="s">
        <v>6</v>
      </c>
      <c r="Q7" s="194" t="s">
        <v>6</v>
      </c>
      <c r="R7" s="232" t="s">
        <v>6</v>
      </c>
      <c r="S7" s="194" t="s">
        <v>6</v>
      </c>
      <c r="T7" s="251" t="s">
        <v>6</v>
      </c>
      <c r="U7" s="194" t="s">
        <v>6</v>
      </c>
      <c r="V7" s="251" t="s">
        <v>6</v>
      </c>
      <c r="W7" s="194" t="s">
        <v>6</v>
      </c>
      <c r="X7" s="251" t="s">
        <v>6</v>
      </c>
      <c r="Y7" s="194" t="s">
        <v>6</v>
      </c>
      <c r="Z7" s="232" t="s">
        <v>6</v>
      </c>
    </row>
    <row r="8" customFormat="false" ht="15.75" hidden="false" customHeight="true" outlineLevel="0" collapsed="false">
      <c r="A8" s="6"/>
      <c r="B8" s="250" t="s">
        <v>211</v>
      </c>
      <c r="C8" s="194" t="n">
        <v>127</v>
      </c>
      <c r="D8" s="251" t="n">
        <v>21400</v>
      </c>
      <c r="E8" s="194" t="n">
        <v>12</v>
      </c>
      <c r="F8" s="251" t="n">
        <v>720</v>
      </c>
      <c r="G8" s="194" t="n">
        <v>3</v>
      </c>
      <c r="H8" s="251" t="n">
        <v>170</v>
      </c>
      <c r="I8" s="194" t="n">
        <v>1</v>
      </c>
      <c r="J8" s="251" t="n">
        <v>50</v>
      </c>
      <c r="K8" s="194" t="n">
        <v>0</v>
      </c>
      <c r="L8" s="251" t="n">
        <v>0</v>
      </c>
      <c r="M8" s="194" t="n">
        <v>3</v>
      </c>
      <c r="N8" s="251" t="n">
        <v>260</v>
      </c>
      <c r="O8" s="194" t="n">
        <v>0</v>
      </c>
      <c r="P8" s="251" t="n">
        <v>0</v>
      </c>
      <c r="Q8" s="194" t="n">
        <v>0</v>
      </c>
      <c r="R8" s="251" t="n">
        <v>0</v>
      </c>
      <c r="S8" s="194" t="n">
        <v>0</v>
      </c>
      <c r="T8" s="251" t="n">
        <v>0</v>
      </c>
      <c r="U8" s="194" t="n">
        <v>0</v>
      </c>
      <c r="V8" s="251" t="n">
        <v>0</v>
      </c>
      <c r="W8" s="194" t="n">
        <v>0</v>
      </c>
      <c r="X8" s="251" t="n">
        <v>0</v>
      </c>
      <c r="Y8" s="194" t="s">
        <v>6</v>
      </c>
      <c r="Z8" s="232" t="s">
        <v>6</v>
      </c>
    </row>
    <row r="9" customFormat="false" ht="15.75" hidden="false" customHeight="true" outlineLevel="0" collapsed="false">
      <c r="A9" s="6"/>
      <c r="B9" s="250" t="s">
        <v>212</v>
      </c>
      <c r="C9" s="194" t="n">
        <v>106</v>
      </c>
      <c r="D9" s="251" t="n">
        <v>18860</v>
      </c>
      <c r="E9" s="194" t="n">
        <v>24</v>
      </c>
      <c r="F9" s="251" t="n">
        <v>1440</v>
      </c>
      <c r="G9" s="194" t="n">
        <v>0</v>
      </c>
      <c r="H9" s="251" t="n">
        <v>0</v>
      </c>
      <c r="I9" s="194" t="n">
        <v>0</v>
      </c>
      <c r="J9" s="251" t="n">
        <v>0</v>
      </c>
      <c r="K9" s="194" t="n">
        <v>3</v>
      </c>
      <c r="L9" s="251" t="n">
        <v>450</v>
      </c>
      <c r="M9" s="194" t="n">
        <v>4</v>
      </c>
      <c r="N9" s="251" t="n">
        <v>360</v>
      </c>
      <c r="O9" s="194" t="n">
        <v>0</v>
      </c>
      <c r="P9" s="251" t="n">
        <v>0</v>
      </c>
      <c r="Q9" s="194" t="n">
        <v>0</v>
      </c>
      <c r="R9" s="251" t="n">
        <v>0</v>
      </c>
      <c r="S9" s="194" t="n">
        <v>0</v>
      </c>
      <c r="T9" s="251" t="n">
        <v>0</v>
      </c>
      <c r="U9" s="194" t="n">
        <v>0</v>
      </c>
      <c r="V9" s="251" t="n">
        <v>0</v>
      </c>
      <c r="W9" s="194" t="n">
        <v>0</v>
      </c>
      <c r="X9" s="251" t="n">
        <v>0</v>
      </c>
      <c r="Y9" s="194" t="s">
        <v>6</v>
      </c>
      <c r="Z9" s="232" t="s">
        <v>6</v>
      </c>
    </row>
    <row r="10" customFormat="false" ht="15.75" hidden="false" customHeight="true" outlineLevel="0" collapsed="false">
      <c r="A10" s="6"/>
      <c r="B10" s="250" t="s">
        <v>213</v>
      </c>
      <c r="C10" s="194" t="n">
        <v>34</v>
      </c>
      <c r="D10" s="251" t="n">
        <v>5820</v>
      </c>
      <c r="E10" s="194" t="n">
        <v>4</v>
      </c>
      <c r="F10" s="251" t="n">
        <v>240</v>
      </c>
      <c r="G10" s="194" t="n">
        <v>0</v>
      </c>
      <c r="H10" s="251" t="n">
        <v>0</v>
      </c>
      <c r="I10" s="194" t="n">
        <v>0</v>
      </c>
      <c r="J10" s="251" t="n">
        <v>0</v>
      </c>
      <c r="K10" s="194" t="n">
        <v>0</v>
      </c>
      <c r="L10" s="251" t="n">
        <v>0</v>
      </c>
      <c r="M10" s="194" t="n">
        <v>1</v>
      </c>
      <c r="N10" s="251" t="n">
        <v>100</v>
      </c>
      <c r="O10" s="194" t="n">
        <v>0</v>
      </c>
      <c r="P10" s="251" t="n">
        <v>0</v>
      </c>
      <c r="Q10" s="194" t="n">
        <v>0</v>
      </c>
      <c r="R10" s="251" t="n">
        <v>0</v>
      </c>
      <c r="S10" s="194" t="n">
        <v>0</v>
      </c>
      <c r="T10" s="251" t="n">
        <v>0</v>
      </c>
      <c r="U10" s="194" t="n">
        <v>0</v>
      </c>
      <c r="V10" s="251" t="n">
        <v>0</v>
      </c>
      <c r="W10" s="194" t="n">
        <v>0</v>
      </c>
      <c r="X10" s="251" t="n">
        <v>0</v>
      </c>
      <c r="Y10" s="194" t="s">
        <v>6</v>
      </c>
      <c r="Z10" s="232" t="s">
        <v>6</v>
      </c>
    </row>
    <row r="11" customFormat="false" ht="15.75" hidden="false" customHeight="true" outlineLevel="0" collapsed="false">
      <c r="A11" s="6"/>
      <c r="B11" s="250" t="s">
        <v>214</v>
      </c>
      <c r="C11" s="194" t="n">
        <v>178</v>
      </c>
      <c r="D11" s="251" t="n">
        <v>25282</v>
      </c>
      <c r="E11" s="194" t="n">
        <v>14</v>
      </c>
      <c r="F11" s="251" t="n">
        <v>816</v>
      </c>
      <c r="G11" s="194" t="n">
        <v>1</v>
      </c>
      <c r="H11" s="251" t="n">
        <v>60</v>
      </c>
      <c r="I11" s="194" t="n">
        <v>0</v>
      </c>
      <c r="J11" s="251" t="n">
        <v>0</v>
      </c>
      <c r="K11" s="194" t="n">
        <v>0</v>
      </c>
      <c r="L11" s="251" t="n">
        <v>0</v>
      </c>
      <c r="M11" s="194" t="n">
        <v>1</v>
      </c>
      <c r="N11" s="251" t="n">
        <v>100</v>
      </c>
      <c r="O11" s="187" t="n">
        <v>2</v>
      </c>
      <c r="P11" s="251" t="n">
        <v>340</v>
      </c>
      <c r="Q11" s="187" t="n">
        <v>2</v>
      </c>
      <c r="R11" s="251" t="n">
        <v>360</v>
      </c>
      <c r="S11" s="187" t="n">
        <v>8</v>
      </c>
      <c r="T11" s="251" t="n">
        <v>1462</v>
      </c>
      <c r="U11" s="194" t="n">
        <v>0</v>
      </c>
      <c r="V11" s="251" t="n">
        <v>0</v>
      </c>
      <c r="W11" s="194" t="n">
        <v>8</v>
      </c>
      <c r="X11" s="251" t="n">
        <v>1850</v>
      </c>
      <c r="Y11" s="194" t="n">
        <v>22</v>
      </c>
      <c r="Z11" s="251" t="n">
        <v>3960</v>
      </c>
    </row>
    <row r="12" customFormat="false" ht="15.75" hidden="false" customHeight="true" outlineLevel="0" collapsed="false">
      <c r="A12" s="6"/>
      <c r="B12" s="250" t="s">
        <v>215</v>
      </c>
      <c r="C12" s="194" t="n">
        <f aca="false">199-6-2-3</f>
        <v>188</v>
      </c>
      <c r="D12" s="251" t="n">
        <v>26829</v>
      </c>
      <c r="E12" s="194" t="n">
        <v>11</v>
      </c>
      <c r="F12" s="251" t="n">
        <v>600</v>
      </c>
      <c r="G12" s="194" t="n">
        <v>0</v>
      </c>
      <c r="H12" s="251" t="n">
        <v>0</v>
      </c>
      <c r="I12" s="194" t="n">
        <v>0</v>
      </c>
      <c r="J12" s="251" t="n">
        <v>0</v>
      </c>
      <c r="K12" s="194" t="n">
        <v>3</v>
      </c>
      <c r="L12" s="251" t="n">
        <v>450</v>
      </c>
      <c r="M12" s="194" t="n">
        <v>7</v>
      </c>
      <c r="N12" s="251" t="n">
        <v>500</v>
      </c>
      <c r="O12" s="187" t="n">
        <v>7</v>
      </c>
      <c r="P12" s="251" t="n">
        <v>1088</v>
      </c>
      <c r="Q12" s="187" t="n">
        <v>0</v>
      </c>
      <c r="R12" s="251" t="n">
        <v>0</v>
      </c>
      <c r="S12" s="187" t="n">
        <v>6</v>
      </c>
      <c r="T12" s="251" t="n">
        <v>1075</v>
      </c>
      <c r="U12" s="194" t="n">
        <v>0</v>
      </c>
      <c r="V12" s="251" t="n">
        <v>0</v>
      </c>
      <c r="W12" s="194" t="n">
        <v>0</v>
      </c>
      <c r="X12" s="251" t="n">
        <v>0</v>
      </c>
      <c r="Y12" s="194" t="n">
        <v>15</v>
      </c>
      <c r="Z12" s="251" t="n">
        <v>2592</v>
      </c>
    </row>
    <row r="13" customFormat="false" ht="15.75" hidden="false" customHeight="true" outlineLevel="0" collapsed="false">
      <c r="A13" s="6"/>
      <c r="B13" s="250" t="s">
        <v>216</v>
      </c>
      <c r="C13" s="194" t="n">
        <v>41</v>
      </c>
      <c r="D13" s="251" t="n">
        <v>6408</v>
      </c>
      <c r="E13" s="194" t="n">
        <v>3</v>
      </c>
      <c r="F13" s="251" t="n">
        <v>168</v>
      </c>
      <c r="G13" s="194" t="n">
        <v>0</v>
      </c>
      <c r="H13" s="251" t="n">
        <v>0</v>
      </c>
      <c r="I13" s="194" t="n">
        <v>0</v>
      </c>
      <c r="J13" s="251" t="n">
        <v>0</v>
      </c>
      <c r="K13" s="194" t="n">
        <v>0</v>
      </c>
      <c r="L13" s="251" t="n">
        <v>0</v>
      </c>
      <c r="M13" s="194" t="n">
        <v>0</v>
      </c>
      <c r="N13" s="251" t="n">
        <v>0</v>
      </c>
      <c r="O13" s="187" t="n">
        <v>0</v>
      </c>
      <c r="P13" s="251" t="n">
        <v>0</v>
      </c>
      <c r="Q13" s="187" t="n">
        <v>1</v>
      </c>
      <c r="R13" s="251" t="n">
        <v>200</v>
      </c>
      <c r="S13" s="187" t="n">
        <v>0</v>
      </c>
      <c r="T13" s="251" t="n">
        <v>0</v>
      </c>
      <c r="U13" s="194" t="n">
        <v>0</v>
      </c>
      <c r="V13" s="251" t="n">
        <v>0</v>
      </c>
      <c r="W13" s="194" t="n">
        <v>0</v>
      </c>
      <c r="X13" s="251" t="n">
        <v>0</v>
      </c>
      <c r="Y13" s="194" t="n">
        <v>6</v>
      </c>
      <c r="Z13" s="251" t="n">
        <v>1080</v>
      </c>
    </row>
    <row r="14" customFormat="false" ht="15.75" hidden="false" customHeight="true" outlineLevel="0" collapsed="false">
      <c r="B14" s="253"/>
      <c r="C14" s="221"/>
      <c r="D14" s="221"/>
      <c r="E14" s="221"/>
      <c r="F14" s="221"/>
      <c r="G14" s="221"/>
      <c r="H14" s="221"/>
      <c r="I14" s="221"/>
      <c r="J14" s="221"/>
      <c r="K14" s="221"/>
      <c r="L14" s="221"/>
      <c r="M14" s="221"/>
      <c r="N14" s="221"/>
      <c r="O14" s="221"/>
      <c r="P14" s="221"/>
      <c r="Q14" s="221"/>
      <c r="R14" s="221"/>
      <c r="S14" s="221"/>
      <c r="T14" s="221"/>
      <c r="U14" s="221"/>
      <c r="V14" s="221"/>
      <c r="W14" s="221"/>
      <c r="X14" s="221"/>
      <c r="Y14" s="221"/>
      <c r="Z14" s="221"/>
    </row>
    <row r="15" customFormat="false" ht="15.75" hidden="false" customHeight="true" outlineLevel="0" collapsed="false">
      <c r="B15" s="254" t="s">
        <v>217</v>
      </c>
      <c r="C15" s="254"/>
      <c r="D15" s="254"/>
      <c r="E15" s="254"/>
      <c r="F15" s="255"/>
      <c r="G15" s="256"/>
      <c r="H15" s="254" t="s">
        <v>218</v>
      </c>
      <c r="I15" s="254"/>
      <c r="J15" s="254"/>
      <c r="K15" s="254"/>
      <c r="L15" s="255"/>
    </row>
    <row r="16" customFormat="false" ht="15.75" hidden="false" customHeight="true" outlineLevel="0" collapsed="false">
      <c r="B16" s="253"/>
      <c r="C16" s="10"/>
      <c r="D16" s="10"/>
      <c r="E16" s="257"/>
      <c r="F16" s="10"/>
      <c r="G16" s="256"/>
      <c r="H16" s="256"/>
      <c r="I16" s="256"/>
      <c r="J16" s="253"/>
    </row>
    <row r="17" customFormat="false" ht="15.75" hidden="false" customHeight="true" outlineLevel="0" collapsed="false">
      <c r="B17" s="258" t="s">
        <v>219</v>
      </c>
      <c r="C17" s="259"/>
      <c r="D17" s="260" t="s">
        <v>37</v>
      </c>
      <c r="E17" s="260" t="s">
        <v>220</v>
      </c>
      <c r="G17" s="20"/>
      <c r="H17" s="258" t="s">
        <v>221</v>
      </c>
      <c r="I17" s="259"/>
      <c r="J17" s="260" t="s">
        <v>37</v>
      </c>
      <c r="K17" s="260" t="s">
        <v>220</v>
      </c>
    </row>
    <row r="18" customFormat="false" ht="15.75" hidden="false" customHeight="true" outlineLevel="0" collapsed="false">
      <c r="B18" s="261" t="s">
        <v>202</v>
      </c>
      <c r="C18" s="261"/>
      <c r="D18" s="262" t="n">
        <f aca="false">SUM(C5:C13)</f>
        <v>936</v>
      </c>
      <c r="E18" s="263" t="n">
        <f aca="false">SUM(D5:D13)</f>
        <v>149229</v>
      </c>
      <c r="G18" s="13"/>
      <c r="H18" s="261" t="s">
        <v>222</v>
      </c>
      <c r="I18" s="261"/>
      <c r="J18" s="262" t="n">
        <f aca="false">SUM(C5+E5+G5+I5+K5+M5)</f>
        <v>106</v>
      </c>
      <c r="K18" s="263" t="n">
        <f aca="false">SUM(D5+F5+H5+J5+L5+N5)</f>
        <v>16280</v>
      </c>
    </row>
    <row r="19" customFormat="false" ht="15.75" hidden="false" customHeight="true" outlineLevel="0" collapsed="false">
      <c r="B19" s="261" t="s">
        <v>58</v>
      </c>
      <c r="C19" s="261"/>
      <c r="D19" s="264" t="n">
        <f aca="false">SUM(E5:E13)</f>
        <v>102</v>
      </c>
      <c r="E19" s="265" t="n">
        <f aca="false">SUM(F5:F13)</f>
        <v>5994</v>
      </c>
      <c r="G19" s="13"/>
      <c r="H19" s="261" t="s">
        <v>223</v>
      </c>
      <c r="I19" s="261"/>
      <c r="J19" s="264" t="n">
        <f aca="false">SUM(C6+E6+G6+I6+K6+M6)</f>
        <v>95</v>
      </c>
      <c r="K19" s="265" t="n">
        <f aca="false">SUM(D6+F6+H6+J6+L6+N6)</f>
        <v>14210</v>
      </c>
    </row>
    <row r="20" customFormat="false" ht="15.75" hidden="false" customHeight="true" outlineLevel="0" collapsed="false">
      <c r="B20" s="261" t="s">
        <v>18</v>
      </c>
      <c r="C20" s="261"/>
      <c r="D20" s="264" t="n">
        <f aca="false">SUM(G5:G13)</f>
        <v>14</v>
      </c>
      <c r="E20" s="265" t="n">
        <f aca="false">SUM(H5:H13)</f>
        <v>830</v>
      </c>
      <c r="G20" s="13"/>
      <c r="H20" s="261" t="s">
        <v>224</v>
      </c>
      <c r="I20" s="261"/>
      <c r="J20" s="264" t="n">
        <f aca="false">SUM(C7+E7+G7+I7+K7+M7)</f>
        <v>113</v>
      </c>
      <c r="K20" s="265" t="n">
        <f aca="false">SUM(D7+F7+H7+J7+L7+N7)</f>
        <v>17650</v>
      </c>
    </row>
    <row r="21" customFormat="false" ht="15.75" hidden="false" customHeight="true" outlineLevel="0" collapsed="false">
      <c r="B21" s="261" t="s">
        <v>225</v>
      </c>
      <c r="C21" s="261"/>
      <c r="D21" s="264" t="n">
        <f aca="false">SUM(I5:I13)</f>
        <v>2</v>
      </c>
      <c r="E21" s="265" t="n">
        <f aca="false">SUM(J5:J13)</f>
        <v>100</v>
      </c>
      <c r="G21" s="13"/>
      <c r="H21" s="261" t="s">
        <v>226</v>
      </c>
      <c r="I21" s="261"/>
      <c r="J21" s="264" t="n">
        <f aca="false">SUM(C8+E8+G8+I8+K8+M8+O8+Q8+S8+U8+W8)</f>
        <v>146</v>
      </c>
      <c r="K21" s="265" t="n">
        <f aca="false">SUM(D8+F8+H8+J8+L8+N8+P8+R8+T8+V8+X8)</f>
        <v>22600</v>
      </c>
    </row>
    <row r="22" customFormat="false" ht="15.75" hidden="false" customHeight="true" outlineLevel="0" collapsed="false">
      <c r="B22" s="261" t="s">
        <v>227</v>
      </c>
      <c r="C22" s="261"/>
      <c r="D22" s="264" t="n">
        <f aca="false">SUM(K5:K13)</f>
        <v>9</v>
      </c>
      <c r="E22" s="265" t="n">
        <f aca="false">SUM(L5:L13)</f>
        <v>1350</v>
      </c>
      <c r="G22" s="13"/>
      <c r="H22" s="261" t="s">
        <v>228</v>
      </c>
      <c r="I22" s="261"/>
      <c r="J22" s="264" t="n">
        <f aca="false">SUM(C9+E9+G9+I9+K9+M9+O9+Q9+S9+U9+W9)</f>
        <v>137</v>
      </c>
      <c r="K22" s="265" t="n">
        <f aca="false">SUM(D9+F9+H9+J9+L9+N9+P9+R9+T9+V9+X9)</f>
        <v>21110</v>
      </c>
    </row>
    <row r="23" customFormat="false" ht="15.75" hidden="false" customHeight="true" outlineLevel="0" collapsed="false">
      <c r="B23" s="261" t="s">
        <v>229</v>
      </c>
      <c r="C23" s="261"/>
      <c r="D23" s="264" t="n">
        <f aca="false">SUM(M5:M13)</f>
        <v>20</v>
      </c>
      <c r="E23" s="265" t="n">
        <f aca="false">SUM(N5:N13)</f>
        <v>1720</v>
      </c>
      <c r="G23" s="13"/>
      <c r="H23" s="261" t="s">
        <v>59</v>
      </c>
      <c r="I23" s="261"/>
      <c r="J23" s="264" t="n">
        <f aca="false">SUM(C10+E10+G10+I10+K10+M10+O10+Q10+S10+U10+W10)</f>
        <v>39</v>
      </c>
      <c r="K23" s="265" t="n">
        <f aca="false">SUM(D10+F10+H10+J10+L10+N10+P10+R10+T10+V10+X10)</f>
        <v>6160</v>
      </c>
    </row>
    <row r="24" customFormat="false" ht="15.75" hidden="false" customHeight="true" outlineLevel="0" collapsed="false">
      <c r="B24" s="261" t="s">
        <v>230</v>
      </c>
      <c r="C24" s="261"/>
      <c r="D24" s="264" t="n">
        <f aca="false">SUM(O8:O13)</f>
        <v>9</v>
      </c>
      <c r="E24" s="265" t="n">
        <f aca="false">SUM(P5:P13)</f>
        <v>1428</v>
      </c>
      <c r="G24" s="13"/>
      <c r="H24" s="261" t="s">
        <v>56</v>
      </c>
      <c r="I24" s="261"/>
      <c r="J24" s="264" t="n">
        <f aca="false">SUM(C11+E11+G11+I11+K11+M11+O11+Q11+S11+U11+W11+Y11)</f>
        <v>236</v>
      </c>
      <c r="K24" s="265" t="n">
        <f aca="false">SUM(D11+F11+H11+J11+L11+N11+P11+R11+T11+V11+X11+Z11)</f>
        <v>34230</v>
      </c>
    </row>
    <row r="25" customFormat="false" ht="15.75" hidden="false" customHeight="true" outlineLevel="0" collapsed="false">
      <c r="B25" s="261" t="s">
        <v>27</v>
      </c>
      <c r="C25" s="261"/>
      <c r="D25" s="264" t="n">
        <f aca="false">SUM(Q8:Q13)</f>
        <v>3</v>
      </c>
      <c r="E25" s="265" t="n">
        <f aca="false">SUM(R8:R13)</f>
        <v>560</v>
      </c>
      <c r="G25" s="13"/>
      <c r="H25" s="261" t="s">
        <v>66</v>
      </c>
      <c r="I25" s="261"/>
      <c r="J25" s="264" t="n">
        <f aca="false">SUM(C12+E12+G12+I12+K12+M12+O12+Q12+S12+U12+W12+Y12)</f>
        <v>237</v>
      </c>
      <c r="K25" s="265" t="n">
        <f aca="false">SUM(D12+F12+H12+J12+L12+N12+P12+R12+T12+V12+X12+Z12)</f>
        <v>33134</v>
      </c>
    </row>
    <row r="26" customFormat="false" ht="15.75" hidden="false" customHeight="true" outlineLevel="0" collapsed="false">
      <c r="B26" s="261" t="s">
        <v>28</v>
      </c>
      <c r="C26" s="261"/>
      <c r="D26" s="264" t="n">
        <f aca="false">SUM(S8:S13)</f>
        <v>14</v>
      </c>
      <c r="E26" s="265" t="n">
        <f aca="false">SUM(T8:T13)</f>
        <v>2537</v>
      </c>
      <c r="G26" s="13"/>
      <c r="H26" s="261" t="s">
        <v>70</v>
      </c>
      <c r="I26" s="261"/>
      <c r="J26" s="264" t="n">
        <f aca="false">SUM(C13+E13+G13+I13+K13+M13+O13+Q13+S13+U13+W13+Y13)</f>
        <v>51</v>
      </c>
      <c r="K26" s="265" t="n">
        <f aca="false">SUM(D13+F13+H13+J13+L13+N13+P13+R13+T13+V13+X13+Z13)</f>
        <v>7856</v>
      </c>
    </row>
    <row r="27" customFormat="false" ht="15.75" hidden="false" customHeight="true" outlineLevel="0" collapsed="false">
      <c r="B27" s="261" t="s">
        <v>29</v>
      </c>
      <c r="C27" s="261"/>
      <c r="D27" s="264" t="n">
        <f aca="false">SUM(U5:U13)</f>
        <v>0</v>
      </c>
      <c r="E27" s="265" t="n">
        <f aca="false">SUM(V8:V13)</f>
        <v>0</v>
      </c>
      <c r="G27" s="13"/>
      <c r="H27" s="226"/>
      <c r="I27" s="226"/>
      <c r="J27" s="226"/>
      <c r="K27" s="266"/>
      <c r="L27" s="267"/>
    </row>
    <row r="28" customFormat="false" ht="15.75" hidden="false" customHeight="true" outlineLevel="0" collapsed="false">
      <c r="B28" s="261" t="s">
        <v>186</v>
      </c>
      <c r="C28" s="261"/>
      <c r="D28" s="264" t="n">
        <f aca="false">SUM(W8:W13)</f>
        <v>8</v>
      </c>
      <c r="E28" s="265" t="n">
        <f aca="false">SUM(X8:X13)</f>
        <v>1850</v>
      </c>
      <c r="G28" s="13"/>
      <c r="H28" s="226"/>
      <c r="I28" s="226"/>
      <c r="J28" s="226"/>
      <c r="K28" s="266"/>
      <c r="L28" s="267"/>
    </row>
    <row r="29" customFormat="false" ht="15.75" hidden="false" customHeight="true" outlineLevel="0" collapsed="false">
      <c r="B29" s="261" t="s">
        <v>99</v>
      </c>
      <c r="C29" s="261"/>
      <c r="D29" s="264" t="n">
        <f aca="false">SUM(Y11:Y13)</f>
        <v>43</v>
      </c>
      <c r="E29" s="265" t="n">
        <f aca="false">SUM(Z11:Z13)</f>
        <v>7632</v>
      </c>
      <c r="G29" s="13"/>
      <c r="H29" s="226"/>
      <c r="I29" s="226"/>
      <c r="J29" s="226"/>
      <c r="K29" s="266"/>
      <c r="L29" s="267"/>
    </row>
    <row r="30" customFormat="false" ht="15.75" hidden="false" customHeight="true" outlineLevel="0" collapsed="false">
      <c r="B30" s="253"/>
      <c r="C30" s="10"/>
      <c r="D30" s="268"/>
      <c r="E30" s="268"/>
      <c r="F30" s="269"/>
      <c r="G30" s="268"/>
      <c r="H30" s="253"/>
      <c r="I30" s="10"/>
      <c r="J30" s="268"/>
      <c r="K30" s="268"/>
      <c r="L30" s="269"/>
    </row>
    <row r="31" customFormat="false" ht="15.75" hidden="false" customHeight="true" outlineLevel="0" collapsed="false">
      <c r="B31" s="270" t="s">
        <v>231</v>
      </c>
      <c r="C31" s="270"/>
      <c r="D31" s="270"/>
      <c r="E31" s="270"/>
      <c r="F31" s="270"/>
      <c r="G31" s="271" t="n">
        <v>1160</v>
      </c>
      <c r="H31" s="271"/>
      <c r="I31" s="272"/>
      <c r="J31" s="272"/>
      <c r="K31" s="272"/>
      <c r="L31" s="272"/>
      <c r="M31" s="272"/>
      <c r="N31" s="272"/>
      <c r="O31" s="272"/>
      <c r="P31" s="272"/>
    </row>
    <row r="32" customFormat="false" ht="15.75" hidden="false" customHeight="true" outlineLevel="0" collapsed="false">
      <c r="B32" s="270" t="s">
        <v>232</v>
      </c>
      <c r="C32" s="270"/>
      <c r="D32" s="270"/>
      <c r="E32" s="270"/>
      <c r="F32" s="270"/>
      <c r="G32" s="273" t="n">
        <v>173230</v>
      </c>
      <c r="H32" s="273"/>
      <c r="I32" s="272"/>
      <c r="J32" s="272"/>
      <c r="K32" s="272"/>
      <c r="L32" s="272"/>
      <c r="M32" s="272"/>
      <c r="N32" s="272"/>
      <c r="O32" s="272"/>
      <c r="P32" s="272"/>
    </row>
    <row r="33" customFormat="false" ht="15.75" hidden="false" customHeight="true" outlineLevel="0" collapsed="false">
      <c r="B33" s="253"/>
      <c r="C33" s="10"/>
      <c r="D33" s="10"/>
      <c r="E33" s="257"/>
      <c r="F33" s="10"/>
      <c r="G33" s="256"/>
      <c r="H33" s="256"/>
      <c r="I33" s="256"/>
      <c r="J33" s="253"/>
    </row>
    <row r="34" customFormat="false" ht="15.75" hidden="false" customHeight="true" outlineLevel="0" collapsed="false">
      <c r="B34" s="274" t="s">
        <v>233</v>
      </c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customFormat="false" ht="15.75" hidden="false" customHeight="true" outlineLevel="0" collapsed="false">
      <c r="B35" s="274" t="s">
        <v>234</v>
      </c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customFormat="false" ht="15.75" hidden="false" customHeight="true" outlineLevel="0" collapsed="false">
      <c r="B36" s="274" t="s">
        <v>235</v>
      </c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customFormat="false" ht="15.75" hidden="false" customHeight="true" outlineLevel="0" collapsed="false">
      <c r="B37" s="274" t="s">
        <v>236</v>
      </c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customFormat="false" ht="15.75" hidden="false" customHeight="true" outlineLevel="0" collapsed="false">
      <c r="B38" s="253"/>
      <c r="C38" s="10"/>
      <c r="D38" s="10"/>
      <c r="E38" s="257"/>
      <c r="F38" s="10"/>
      <c r="G38" s="256"/>
      <c r="H38" s="256"/>
      <c r="I38" s="256"/>
      <c r="J38" s="253"/>
    </row>
    <row r="39" customFormat="false" ht="15.75" hidden="false" customHeight="true" outlineLevel="0" collapsed="false">
      <c r="B39" s="275" t="s">
        <v>237</v>
      </c>
      <c r="C39" s="275"/>
      <c r="D39" s="10"/>
      <c r="E39" s="257"/>
      <c r="F39" s="10"/>
      <c r="G39" s="256"/>
      <c r="H39" s="256"/>
      <c r="I39" s="256"/>
      <c r="J39" s="253"/>
    </row>
    <row r="40" customFormat="false" ht="15.75" hidden="false" customHeight="true" outlineLevel="0" collapsed="false">
      <c r="B40" s="253"/>
      <c r="C40" s="10"/>
      <c r="D40" s="10"/>
      <c r="E40" s="257"/>
      <c r="F40" s="10"/>
      <c r="G40" s="256"/>
      <c r="H40" s="256"/>
      <c r="I40" s="256"/>
      <c r="J40" s="253"/>
    </row>
    <row r="41" customFormat="false" ht="15.75" hidden="false" customHeight="true" outlineLevel="0" collapsed="false">
      <c r="C41" s="276" t="s">
        <v>202</v>
      </c>
      <c r="D41" s="276"/>
      <c r="E41" s="276" t="s">
        <v>58</v>
      </c>
      <c r="F41" s="276"/>
      <c r="G41" s="276" t="s">
        <v>18</v>
      </c>
      <c r="H41" s="276"/>
      <c r="I41" s="154"/>
      <c r="J41" s="254" t="s">
        <v>238</v>
      </c>
      <c r="K41" s="254"/>
      <c r="L41" s="254"/>
      <c r="M41" s="254"/>
      <c r="N41" s="255"/>
      <c r="O41" s="254" t="s">
        <v>239</v>
      </c>
      <c r="P41" s="254"/>
      <c r="Q41" s="254"/>
      <c r="R41" s="254"/>
      <c r="S41" s="255"/>
      <c r="T41" s="255"/>
      <c r="U41" s="213"/>
      <c r="V41" s="213"/>
      <c r="W41" s="213"/>
      <c r="X41" s="213"/>
    </row>
    <row r="42" customFormat="false" ht="15.75" hidden="false" customHeight="true" outlineLevel="0" collapsed="false">
      <c r="C42" s="277" t="s">
        <v>37</v>
      </c>
      <c r="D42" s="278" t="s">
        <v>207</v>
      </c>
      <c r="E42" s="277" t="s">
        <v>37</v>
      </c>
      <c r="F42" s="279" t="s">
        <v>207</v>
      </c>
      <c r="G42" s="277" t="s">
        <v>37</v>
      </c>
      <c r="H42" s="278" t="s">
        <v>207</v>
      </c>
      <c r="I42" s="163"/>
      <c r="J42" s="253"/>
      <c r="K42" s="10"/>
      <c r="L42" s="10"/>
      <c r="M42" s="257"/>
      <c r="N42" s="10"/>
      <c r="O42" s="256"/>
      <c r="P42" s="256"/>
      <c r="Q42" s="253"/>
      <c r="U42" s="163"/>
      <c r="V42" s="163"/>
      <c r="W42" s="163"/>
      <c r="X42" s="163"/>
    </row>
    <row r="43" customFormat="false" ht="15.75" hidden="false" customHeight="true" outlineLevel="0" collapsed="false">
      <c r="B43" s="280" t="s">
        <v>208</v>
      </c>
      <c r="C43" s="194" t="n">
        <v>19</v>
      </c>
      <c r="D43" s="251" t="n">
        <v>1900</v>
      </c>
      <c r="E43" s="194" t="n">
        <v>1</v>
      </c>
      <c r="F43" s="281" t="n">
        <v>50</v>
      </c>
      <c r="G43" s="252" t="n">
        <v>0</v>
      </c>
      <c r="H43" s="251" t="n">
        <v>0</v>
      </c>
      <c r="I43" s="20"/>
      <c r="J43" s="282" t="s">
        <v>219</v>
      </c>
      <c r="K43" s="282"/>
      <c r="L43" s="260" t="s">
        <v>37</v>
      </c>
      <c r="M43" s="260" t="s">
        <v>220</v>
      </c>
      <c r="O43" s="258" t="s">
        <v>221</v>
      </c>
      <c r="P43" s="259"/>
      <c r="Q43" s="260" t="s">
        <v>37</v>
      </c>
      <c r="R43" s="260" t="s">
        <v>220</v>
      </c>
      <c r="T43" s="260"/>
      <c r="U43" s="20"/>
      <c r="V43" s="13"/>
      <c r="W43" s="20"/>
      <c r="X43" s="20"/>
    </row>
    <row r="44" customFormat="false" ht="15.75" hidden="false" customHeight="true" outlineLevel="0" collapsed="false">
      <c r="B44" s="280" t="s">
        <v>209</v>
      </c>
      <c r="C44" s="194" t="n">
        <v>69</v>
      </c>
      <c r="D44" s="251" t="n">
        <v>6900</v>
      </c>
      <c r="E44" s="194" t="n">
        <v>15</v>
      </c>
      <c r="F44" s="281" t="n">
        <v>700</v>
      </c>
      <c r="G44" s="252" t="n">
        <v>0</v>
      </c>
      <c r="H44" s="251" t="n">
        <v>0</v>
      </c>
      <c r="I44" s="20"/>
      <c r="J44" s="226" t="s">
        <v>202</v>
      </c>
      <c r="K44" s="226"/>
      <c r="L44" s="266" t="n">
        <f aca="false">SUM(C43:C51)</f>
        <v>479</v>
      </c>
      <c r="M44" s="267" t="n">
        <f aca="false">SUM(D43:D51)</f>
        <v>51598.85</v>
      </c>
      <c r="O44" s="261" t="s">
        <v>222</v>
      </c>
      <c r="P44" s="261"/>
      <c r="Q44" s="262" t="n">
        <f aca="false">SUM(C43+E43+G43)</f>
        <v>20</v>
      </c>
      <c r="R44" s="263" t="n">
        <f aca="false">SUM(D43+F43+H43)</f>
        <v>1950</v>
      </c>
      <c r="T44" s="267"/>
      <c r="U44" s="20"/>
      <c r="V44" s="13"/>
      <c r="W44" s="20"/>
      <c r="X44" s="20"/>
    </row>
    <row r="45" customFormat="false" ht="15.75" hidden="false" customHeight="true" outlineLevel="0" collapsed="false">
      <c r="B45" s="280" t="s">
        <v>210</v>
      </c>
      <c r="C45" s="194" t="n">
        <v>35</v>
      </c>
      <c r="D45" s="251" t="n">
        <v>3420</v>
      </c>
      <c r="E45" s="194" t="n">
        <v>3</v>
      </c>
      <c r="F45" s="281" t="n">
        <v>110</v>
      </c>
      <c r="G45" s="252" t="n">
        <v>1</v>
      </c>
      <c r="H45" s="251" t="n">
        <v>50</v>
      </c>
      <c r="I45" s="20"/>
      <c r="J45" s="226" t="s">
        <v>58</v>
      </c>
      <c r="K45" s="226"/>
      <c r="L45" s="266" t="n">
        <f aca="false">SUM(E43:E51)</f>
        <v>112</v>
      </c>
      <c r="M45" s="267" t="n">
        <f aca="false">SUM(F43:F51)</f>
        <v>5395</v>
      </c>
      <c r="O45" s="261" t="s">
        <v>223</v>
      </c>
      <c r="P45" s="261"/>
      <c r="Q45" s="264" t="n">
        <f aca="false">SUM(C44+E44+G44)</f>
        <v>84</v>
      </c>
      <c r="R45" s="265" t="n">
        <f aca="false">SUM(D44+F44+H44)</f>
        <v>7600</v>
      </c>
      <c r="T45" s="267"/>
      <c r="U45" s="20"/>
      <c r="V45" s="13"/>
      <c r="W45" s="20"/>
      <c r="X45" s="20"/>
    </row>
    <row r="46" customFormat="false" ht="15.75" hidden="false" customHeight="true" outlineLevel="0" collapsed="false">
      <c r="B46" s="280" t="s">
        <v>211</v>
      </c>
      <c r="C46" s="194" t="n">
        <v>34</v>
      </c>
      <c r="D46" s="251" t="n">
        <v>3400</v>
      </c>
      <c r="E46" s="194" t="n">
        <v>0</v>
      </c>
      <c r="F46" s="281" t="n">
        <v>0</v>
      </c>
      <c r="G46" s="194" t="n">
        <v>0</v>
      </c>
      <c r="H46" s="251" t="n">
        <v>0</v>
      </c>
      <c r="I46" s="20"/>
      <c r="J46" s="226" t="s">
        <v>18</v>
      </c>
      <c r="K46" s="226"/>
      <c r="L46" s="266" t="n">
        <f aca="false">SUM(G43:G51)</f>
        <v>20</v>
      </c>
      <c r="M46" s="267" t="n">
        <f aca="false">SUM(H43:H51)</f>
        <v>905</v>
      </c>
      <c r="O46" s="261" t="s">
        <v>224</v>
      </c>
      <c r="P46" s="261"/>
      <c r="Q46" s="264" t="n">
        <f aca="false">SUM(C45+E45+G45)</f>
        <v>39</v>
      </c>
      <c r="R46" s="265" t="n">
        <f aca="false">SUM(D45+F45+H45)</f>
        <v>3580</v>
      </c>
      <c r="T46" s="267"/>
      <c r="U46" s="20"/>
      <c r="V46" s="13"/>
      <c r="W46" s="20"/>
      <c r="X46" s="20"/>
    </row>
    <row r="47" customFormat="false" ht="15.75" hidden="false" customHeight="true" outlineLevel="0" collapsed="false">
      <c r="B47" s="280" t="s">
        <v>212</v>
      </c>
      <c r="C47" s="194" t="n">
        <v>31</v>
      </c>
      <c r="D47" s="251" t="n">
        <v>3100</v>
      </c>
      <c r="E47" s="194" t="n">
        <v>0</v>
      </c>
      <c r="F47" s="281" t="n">
        <v>0</v>
      </c>
      <c r="G47" s="194" t="n">
        <v>0</v>
      </c>
      <c r="H47" s="251" t="n">
        <v>0</v>
      </c>
      <c r="I47" s="20"/>
      <c r="J47" s="253"/>
      <c r="K47" s="10"/>
      <c r="L47" s="10"/>
      <c r="M47" s="268"/>
      <c r="N47" s="269"/>
      <c r="O47" s="261" t="s">
        <v>226</v>
      </c>
      <c r="P47" s="261"/>
      <c r="Q47" s="264" t="n">
        <f aca="false">SUM(C46+E46+G46)</f>
        <v>34</v>
      </c>
      <c r="R47" s="265" t="n">
        <f aca="false">SUM(D46+F46+H46)</f>
        <v>3400</v>
      </c>
      <c r="T47" s="267"/>
      <c r="U47" s="20"/>
      <c r="V47" s="13"/>
      <c r="W47" s="20"/>
      <c r="X47" s="20"/>
    </row>
    <row r="48" customFormat="false" ht="15.75" hidden="false" customHeight="true" outlineLevel="0" collapsed="false">
      <c r="B48" s="280" t="s">
        <v>213</v>
      </c>
      <c r="C48" s="194" t="n">
        <v>56</v>
      </c>
      <c r="D48" s="251" t="n">
        <v>5524.43</v>
      </c>
      <c r="E48" s="194" t="n">
        <v>44</v>
      </c>
      <c r="F48" s="281" t="n">
        <v>2150</v>
      </c>
      <c r="G48" s="194" t="n">
        <v>18</v>
      </c>
      <c r="H48" s="251" t="n">
        <v>810</v>
      </c>
      <c r="I48" s="20"/>
      <c r="J48" s="253"/>
      <c r="K48" s="10"/>
      <c r="L48" s="10"/>
      <c r="M48" s="257"/>
      <c r="N48" s="10"/>
      <c r="O48" s="261" t="s">
        <v>228</v>
      </c>
      <c r="P48" s="261"/>
      <c r="Q48" s="264" t="n">
        <f aca="false">SUM(C47+E47+G47)</f>
        <v>31</v>
      </c>
      <c r="R48" s="265" t="n">
        <f aca="false">SUM(D47+F47+H47)</f>
        <v>3100</v>
      </c>
      <c r="T48" s="267"/>
      <c r="U48" s="20"/>
      <c r="V48" s="13"/>
      <c r="W48" s="20"/>
      <c r="X48" s="20"/>
    </row>
    <row r="49" customFormat="false" ht="15.75" hidden="false" customHeight="true" outlineLevel="0" collapsed="false">
      <c r="B49" s="280" t="s">
        <v>214</v>
      </c>
      <c r="C49" s="194" t="n">
        <v>23</v>
      </c>
      <c r="D49" s="251" t="n">
        <v>2259.42</v>
      </c>
      <c r="E49" s="194" t="n">
        <v>13</v>
      </c>
      <c r="F49" s="281" t="n">
        <v>625</v>
      </c>
      <c r="G49" s="194" t="n">
        <v>1</v>
      </c>
      <c r="H49" s="251" t="n">
        <v>45</v>
      </c>
      <c r="I49" s="20"/>
      <c r="J49" s="253"/>
      <c r="K49" s="10"/>
      <c r="L49" s="10"/>
      <c r="M49" s="257"/>
      <c r="N49" s="10"/>
      <c r="O49" s="261" t="s">
        <v>59</v>
      </c>
      <c r="P49" s="261"/>
      <c r="Q49" s="264" t="n">
        <f aca="false">SUM(C48+E48+G48)</f>
        <v>118</v>
      </c>
      <c r="R49" s="265" t="n">
        <f aca="false">SUM(D48+F48+H48)</f>
        <v>8484.43</v>
      </c>
      <c r="T49" s="267"/>
      <c r="U49" s="20"/>
      <c r="V49" s="13"/>
      <c r="W49" s="20"/>
      <c r="X49" s="13"/>
    </row>
    <row r="50" customFormat="false" ht="15.75" hidden="false" customHeight="true" outlineLevel="0" collapsed="false">
      <c r="B50" s="280" t="s">
        <v>215</v>
      </c>
      <c r="C50" s="194" t="n">
        <v>169</v>
      </c>
      <c r="D50" s="251" t="n">
        <v>19655</v>
      </c>
      <c r="E50" s="194" t="n">
        <v>26</v>
      </c>
      <c r="F50" s="281" t="n">
        <v>1260</v>
      </c>
      <c r="G50" s="194" t="n">
        <v>0</v>
      </c>
      <c r="H50" s="251" t="n">
        <v>0</v>
      </c>
      <c r="I50" s="20"/>
      <c r="J50" s="253"/>
      <c r="K50" s="10"/>
      <c r="L50" s="10"/>
      <c r="M50" s="257"/>
      <c r="N50" s="10"/>
      <c r="O50" s="261" t="s">
        <v>56</v>
      </c>
      <c r="P50" s="261"/>
      <c r="Q50" s="264" t="n">
        <f aca="false">SUM(C49+E49+G49)</f>
        <v>37</v>
      </c>
      <c r="R50" s="265" t="n">
        <f aca="false">SUM(D49+F49+H49)</f>
        <v>2929.42</v>
      </c>
      <c r="T50" s="267"/>
      <c r="U50" s="20"/>
      <c r="V50" s="13"/>
      <c r="W50" s="20"/>
      <c r="X50" s="13"/>
    </row>
    <row r="51" customFormat="false" ht="15.75" hidden="false" customHeight="true" outlineLevel="0" collapsed="false">
      <c r="B51" s="280" t="s">
        <v>216</v>
      </c>
      <c r="C51" s="194" t="n">
        <v>43</v>
      </c>
      <c r="D51" s="251" t="n">
        <v>5440</v>
      </c>
      <c r="E51" s="194" t="n">
        <v>10</v>
      </c>
      <c r="F51" s="281" t="n">
        <v>500</v>
      </c>
      <c r="G51" s="198" t="n">
        <v>0</v>
      </c>
      <c r="H51" s="283" t="n">
        <v>0</v>
      </c>
      <c r="I51" s="20"/>
      <c r="J51" s="253"/>
      <c r="K51" s="10"/>
      <c r="L51" s="10"/>
      <c r="M51" s="257"/>
      <c r="N51" s="10"/>
      <c r="O51" s="261" t="s">
        <v>66</v>
      </c>
      <c r="P51" s="261"/>
      <c r="Q51" s="264" t="n">
        <f aca="false">SUM(C50+E50+G50)</f>
        <v>195</v>
      </c>
      <c r="R51" s="265" t="n">
        <f aca="false">SUM(D50+F50+H50)</f>
        <v>20915</v>
      </c>
      <c r="T51" s="267"/>
      <c r="U51" s="20"/>
      <c r="V51" s="13"/>
      <c r="W51" s="20"/>
      <c r="X51" s="13"/>
    </row>
    <row r="52" customFormat="false" ht="15.75" hidden="false" customHeight="true" outlineLevel="0" collapsed="false">
      <c r="B52" s="253"/>
      <c r="C52" s="221"/>
      <c r="D52" s="221"/>
      <c r="E52" s="221"/>
      <c r="F52" s="221"/>
      <c r="G52" s="221"/>
      <c r="H52" s="221"/>
      <c r="I52" s="221"/>
      <c r="J52" s="253"/>
      <c r="K52" s="10"/>
      <c r="L52" s="10"/>
      <c r="M52" s="257"/>
      <c r="N52" s="10"/>
      <c r="O52" s="261" t="s">
        <v>70</v>
      </c>
      <c r="P52" s="261"/>
      <c r="Q52" s="264" t="n">
        <f aca="false">SUM(C51+E51+G51)</f>
        <v>53</v>
      </c>
      <c r="R52" s="265" t="n">
        <f aca="false">SUM(D51+F51+H51)</f>
        <v>5940</v>
      </c>
      <c r="T52" s="266"/>
      <c r="U52" s="267"/>
      <c r="V52" s="221"/>
      <c r="W52" s="221"/>
      <c r="X52" s="221"/>
      <c r="Y52" s="221"/>
    </row>
    <row r="54" customFormat="false" ht="15.75" hidden="false" customHeight="true" outlineLevel="0" collapsed="false">
      <c r="B54" s="270" t="s">
        <v>240</v>
      </c>
      <c r="C54" s="270"/>
      <c r="D54" s="270"/>
      <c r="E54" s="270"/>
      <c r="F54" s="270"/>
      <c r="G54" s="271" t="n">
        <v>611</v>
      </c>
      <c r="H54" s="271"/>
      <c r="I54" s="256"/>
      <c r="J54" s="253"/>
    </row>
    <row r="55" customFormat="false" ht="15.75" hidden="false" customHeight="true" outlineLevel="0" collapsed="false">
      <c r="B55" s="270" t="s">
        <v>241</v>
      </c>
      <c r="C55" s="270"/>
      <c r="D55" s="270"/>
      <c r="E55" s="270"/>
      <c r="F55" s="270"/>
      <c r="G55" s="273" t="n">
        <v>57898.85</v>
      </c>
      <c r="H55" s="273"/>
      <c r="I55" s="256"/>
      <c r="J55" s="253"/>
    </row>
    <row r="56" customFormat="false" ht="15.75" hidden="false" customHeight="true" outlineLevel="0" collapsed="false">
      <c r="B56" s="253"/>
      <c r="C56" s="10"/>
      <c r="D56" s="10"/>
      <c r="E56" s="257"/>
      <c r="F56" s="10"/>
      <c r="G56" s="256"/>
      <c r="H56" s="256"/>
      <c r="I56" s="256"/>
      <c r="J56" s="253"/>
    </row>
    <row r="57" customFormat="false" ht="15.75" hidden="false" customHeight="true" outlineLevel="0" collapsed="false">
      <c r="B57" s="253"/>
      <c r="C57" s="10"/>
      <c r="D57" s="10"/>
      <c r="E57" s="257"/>
      <c r="F57" s="10"/>
      <c r="G57" s="256"/>
      <c r="H57" s="256"/>
      <c r="I57" s="256"/>
      <c r="J57" s="253"/>
    </row>
    <row r="58" customFormat="false" ht="15.75" hidden="false" customHeight="true" outlineLevel="0" collapsed="false">
      <c r="A58" s="284"/>
      <c r="B58" s="274" t="s">
        <v>242</v>
      </c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customFormat="false" ht="15.75" hidden="false" customHeight="true" outlineLevel="0" collapsed="false">
      <c r="A59" s="284"/>
      <c r="B59" s="274" t="s">
        <v>234</v>
      </c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customFormat="false" ht="15.75" hidden="false" customHeight="true" outlineLevel="0" collapsed="false">
      <c r="A60" s="284"/>
      <c r="B60" s="274" t="s">
        <v>235</v>
      </c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customFormat="false" ht="15.75" hidden="false" customHeight="true" outlineLevel="0" collapsed="false">
      <c r="B61" s="274" t="s">
        <v>236</v>
      </c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5" customFormat="false" ht="15.75" hidden="false" customHeight="true" outlineLevel="0" collapsed="false">
      <c r="B65" s="253"/>
      <c r="C65" s="10"/>
      <c r="D65" s="10"/>
      <c r="E65" s="257"/>
      <c r="F65" s="10"/>
      <c r="G65" s="256"/>
      <c r="H65" s="256"/>
      <c r="I65" s="256"/>
      <c r="J65" s="253"/>
    </row>
    <row r="74" customFormat="false" ht="15.75" hidden="false" customHeight="true" outlineLevel="0" collapsed="false">
      <c r="B74" s="253"/>
      <c r="C74" s="10"/>
      <c r="D74" s="10"/>
      <c r="E74" s="257"/>
      <c r="F74" s="10"/>
      <c r="G74" s="256"/>
      <c r="H74" s="256"/>
      <c r="I74" s="256"/>
      <c r="J74" s="253"/>
    </row>
    <row r="75" customFormat="false" ht="15.75" hidden="false" customHeight="true" outlineLevel="0" collapsed="false">
      <c r="B75" s="253"/>
      <c r="C75" s="10"/>
      <c r="D75" s="10"/>
      <c r="E75" s="257"/>
      <c r="F75" s="10"/>
      <c r="G75" s="256"/>
      <c r="H75" s="256"/>
      <c r="I75" s="256"/>
      <c r="J75" s="253"/>
    </row>
    <row r="76" customFormat="false" ht="15.75" hidden="false" customHeight="true" outlineLevel="0" collapsed="false">
      <c r="B76" s="253"/>
      <c r="C76" s="10"/>
      <c r="D76" s="10"/>
      <c r="E76" s="257"/>
      <c r="F76" s="10"/>
      <c r="G76" s="256"/>
      <c r="H76" s="256"/>
      <c r="I76" s="256"/>
      <c r="J76" s="253"/>
    </row>
    <row r="77" customFormat="false" ht="15.75" hidden="false" customHeight="true" outlineLevel="0" collapsed="false">
      <c r="B77" s="253"/>
      <c r="C77" s="10"/>
      <c r="D77" s="10"/>
      <c r="E77" s="257"/>
      <c r="F77" s="10"/>
      <c r="G77" s="256"/>
      <c r="H77" s="256"/>
      <c r="I77" s="256"/>
      <c r="J77" s="253"/>
    </row>
    <row r="78" customFormat="false" ht="15.75" hidden="false" customHeight="true" outlineLevel="0" collapsed="false">
      <c r="B78" s="253"/>
      <c r="C78" s="10"/>
      <c r="D78" s="10"/>
      <c r="E78" s="257"/>
      <c r="F78" s="10"/>
      <c r="G78" s="256"/>
      <c r="H78" s="256"/>
      <c r="I78" s="256"/>
      <c r="J78" s="253"/>
    </row>
    <row r="79" customFormat="false" ht="15.75" hidden="false" customHeight="true" outlineLevel="0" collapsed="false">
      <c r="B79" s="253"/>
      <c r="C79" s="10"/>
      <c r="D79" s="10"/>
      <c r="E79" s="257"/>
      <c r="F79" s="10"/>
      <c r="G79" s="256"/>
      <c r="H79" s="256"/>
      <c r="I79" s="256"/>
      <c r="J79" s="253"/>
    </row>
    <row r="80" customFormat="false" ht="15.75" hidden="false" customHeight="true" outlineLevel="0" collapsed="false">
      <c r="B80" s="253"/>
      <c r="C80" s="10"/>
      <c r="D80" s="10"/>
      <c r="E80" s="257"/>
      <c r="F80" s="10"/>
      <c r="G80" s="256"/>
      <c r="H80" s="256"/>
      <c r="I80" s="256"/>
      <c r="J80" s="253"/>
    </row>
    <row r="81" customFormat="false" ht="15.75" hidden="false" customHeight="true" outlineLevel="0" collapsed="false">
      <c r="B81" s="253"/>
      <c r="C81" s="10"/>
      <c r="D81" s="10"/>
      <c r="E81" s="257"/>
      <c r="F81" s="10"/>
      <c r="G81" s="256"/>
      <c r="H81" s="256"/>
      <c r="I81" s="256"/>
      <c r="J81" s="253"/>
    </row>
    <row r="82" customFormat="false" ht="15.75" hidden="false" customHeight="true" outlineLevel="0" collapsed="false">
      <c r="B82" s="253"/>
      <c r="C82" s="10"/>
      <c r="D82" s="10"/>
      <c r="E82" s="257"/>
      <c r="F82" s="10"/>
      <c r="G82" s="256"/>
      <c r="H82" s="256"/>
      <c r="I82" s="256"/>
      <c r="J82" s="253"/>
    </row>
    <row r="83" customFormat="false" ht="15.75" hidden="false" customHeight="true" outlineLevel="0" collapsed="false">
      <c r="B83" s="253"/>
      <c r="C83" s="10"/>
      <c r="D83" s="10"/>
      <c r="E83" s="257"/>
      <c r="F83" s="10"/>
      <c r="G83" s="256"/>
      <c r="H83" s="256"/>
      <c r="I83" s="256"/>
      <c r="J83" s="253"/>
    </row>
    <row r="84" customFormat="false" ht="15.75" hidden="false" customHeight="true" outlineLevel="0" collapsed="false">
      <c r="B84" s="253"/>
      <c r="C84" s="10"/>
      <c r="D84" s="10"/>
      <c r="E84" s="257"/>
      <c r="F84" s="10"/>
      <c r="G84" s="256"/>
      <c r="H84" s="256"/>
      <c r="I84" s="256"/>
      <c r="J84" s="253"/>
    </row>
    <row r="85" customFormat="false" ht="15.75" hidden="false" customHeight="true" outlineLevel="0" collapsed="false">
      <c r="B85" s="253"/>
      <c r="C85" s="10"/>
      <c r="D85" s="10"/>
      <c r="E85" s="257"/>
      <c r="F85" s="10"/>
      <c r="G85" s="256"/>
      <c r="H85" s="256"/>
      <c r="I85" s="256"/>
      <c r="J85" s="253"/>
    </row>
    <row r="86" customFormat="false" ht="15.75" hidden="false" customHeight="true" outlineLevel="0" collapsed="false">
      <c r="B86" s="253"/>
      <c r="C86" s="10"/>
      <c r="D86" s="10"/>
      <c r="E86" s="257"/>
      <c r="F86" s="10"/>
      <c r="G86" s="256"/>
      <c r="H86" s="256"/>
      <c r="I86" s="256"/>
      <c r="J86" s="253"/>
    </row>
    <row r="87" customFormat="false" ht="15.75" hidden="false" customHeight="true" outlineLevel="0" collapsed="false">
      <c r="B87" s="253"/>
      <c r="C87" s="10"/>
      <c r="D87" s="10"/>
      <c r="E87" s="257"/>
      <c r="F87" s="10"/>
      <c r="G87" s="256"/>
      <c r="H87" s="256"/>
      <c r="I87" s="256"/>
      <c r="J87" s="253"/>
    </row>
    <row r="88" customFormat="false" ht="15.75" hidden="false" customHeight="true" outlineLevel="0" collapsed="false">
      <c r="B88" s="253"/>
      <c r="C88" s="10"/>
      <c r="D88" s="10"/>
      <c r="E88" s="257"/>
      <c r="F88" s="10"/>
      <c r="G88" s="256"/>
      <c r="H88" s="256"/>
      <c r="I88" s="256"/>
      <c r="J88" s="253"/>
    </row>
    <row r="89" customFormat="false" ht="15.75" hidden="false" customHeight="true" outlineLevel="0" collapsed="false">
      <c r="B89" s="253"/>
      <c r="C89" s="10"/>
      <c r="D89" s="10"/>
      <c r="E89" s="257"/>
      <c r="F89" s="10"/>
      <c r="G89" s="256"/>
      <c r="H89" s="256"/>
      <c r="I89" s="256"/>
      <c r="J89" s="253"/>
    </row>
    <row r="90" customFormat="false" ht="15.75" hidden="false" customHeight="true" outlineLevel="0" collapsed="false">
      <c r="B90" s="253"/>
      <c r="C90" s="10"/>
      <c r="D90" s="10"/>
      <c r="E90" s="257"/>
      <c r="F90" s="10"/>
      <c r="G90" s="256"/>
      <c r="H90" s="256"/>
      <c r="I90" s="256"/>
      <c r="J90" s="253"/>
    </row>
    <row r="91" customFormat="false" ht="15.75" hidden="false" customHeight="true" outlineLevel="0" collapsed="false">
      <c r="B91" s="253"/>
      <c r="C91" s="10"/>
      <c r="D91" s="10"/>
      <c r="E91" s="257"/>
      <c r="F91" s="10"/>
      <c r="G91" s="256"/>
      <c r="H91" s="256"/>
      <c r="I91" s="256"/>
      <c r="J91" s="253"/>
    </row>
    <row r="92" customFormat="false" ht="15.75" hidden="false" customHeight="true" outlineLevel="0" collapsed="false">
      <c r="B92" s="253"/>
      <c r="C92" s="10"/>
      <c r="D92" s="10"/>
      <c r="E92" s="257"/>
      <c r="F92" s="10"/>
      <c r="G92" s="256"/>
      <c r="H92" s="256"/>
      <c r="I92" s="256"/>
      <c r="J92" s="253"/>
    </row>
    <row r="93" customFormat="false" ht="15.75" hidden="false" customHeight="true" outlineLevel="0" collapsed="false">
      <c r="B93" s="253"/>
      <c r="C93" s="10"/>
      <c r="D93" s="10"/>
      <c r="E93" s="257"/>
      <c r="F93" s="10"/>
      <c r="G93" s="256"/>
      <c r="H93" s="256"/>
      <c r="I93" s="256"/>
      <c r="J93" s="253"/>
    </row>
    <row r="94" customFormat="false" ht="15.75" hidden="false" customHeight="true" outlineLevel="0" collapsed="false">
      <c r="B94" s="253"/>
      <c r="C94" s="10"/>
      <c r="D94" s="10"/>
      <c r="E94" s="257"/>
      <c r="F94" s="10"/>
      <c r="G94" s="256"/>
      <c r="H94" s="256"/>
      <c r="I94" s="256"/>
      <c r="J94" s="253"/>
    </row>
    <row r="95" customFormat="false" ht="15.75" hidden="false" customHeight="true" outlineLevel="0" collapsed="false">
      <c r="B95" s="253"/>
      <c r="C95" s="10"/>
      <c r="D95" s="10"/>
      <c r="E95" s="257"/>
      <c r="F95" s="10"/>
      <c r="G95" s="256"/>
      <c r="H95" s="256"/>
      <c r="I95" s="256"/>
      <c r="J95" s="253"/>
    </row>
    <row r="96" customFormat="false" ht="15.75" hidden="false" customHeight="true" outlineLevel="0" collapsed="false">
      <c r="B96" s="253"/>
      <c r="C96" s="10"/>
      <c r="D96" s="10"/>
      <c r="E96" s="257"/>
      <c r="F96" s="10"/>
      <c r="G96" s="256"/>
      <c r="H96" s="256"/>
      <c r="I96" s="256"/>
      <c r="J96" s="253"/>
    </row>
    <row r="97" customFormat="false" ht="15.75" hidden="false" customHeight="true" outlineLevel="0" collapsed="false">
      <c r="B97" s="253"/>
      <c r="C97" s="10"/>
      <c r="D97" s="10"/>
      <c r="E97" s="257"/>
      <c r="F97" s="10"/>
      <c r="G97" s="256"/>
      <c r="H97" s="256"/>
      <c r="I97" s="256"/>
      <c r="J97" s="253"/>
    </row>
    <row r="98" customFormat="false" ht="15.75" hidden="false" customHeight="true" outlineLevel="0" collapsed="false">
      <c r="B98" s="253"/>
      <c r="C98" s="10"/>
      <c r="D98" s="10"/>
      <c r="E98" s="257"/>
      <c r="F98" s="10"/>
      <c r="G98" s="256"/>
      <c r="H98" s="256"/>
      <c r="I98" s="256"/>
      <c r="J98" s="253"/>
    </row>
    <row r="99" customFormat="false" ht="15.75" hidden="false" customHeight="true" outlineLevel="0" collapsed="false">
      <c r="B99" s="253"/>
      <c r="C99" s="10"/>
      <c r="D99" s="10"/>
      <c r="E99" s="257"/>
      <c r="F99" s="10"/>
      <c r="G99" s="256"/>
      <c r="H99" s="256"/>
      <c r="I99" s="256"/>
      <c r="J99" s="253"/>
    </row>
    <row r="100" customFormat="false" ht="15.75" hidden="false" customHeight="true" outlineLevel="0" collapsed="false">
      <c r="B100" s="253"/>
      <c r="C100" s="10"/>
      <c r="D100" s="10"/>
      <c r="E100" s="257"/>
      <c r="F100" s="10"/>
      <c r="G100" s="256"/>
      <c r="H100" s="256"/>
      <c r="I100" s="256"/>
      <c r="J100" s="253"/>
    </row>
    <row r="101" customFormat="false" ht="15.75" hidden="false" customHeight="true" outlineLevel="0" collapsed="false">
      <c r="B101" s="253"/>
      <c r="C101" s="10"/>
      <c r="D101" s="10"/>
      <c r="E101" s="257"/>
      <c r="F101" s="10"/>
      <c r="G101" s="256"/>
      <c r="H101" s="256"/>
      <c r="I101" s="256"/>
      <c r="J101" s="253"/>
    </row>
    <row r="102" customFormat="false" ht="15.75" hidden="false" customHeight="true" outlineLevel="0" collapsed="false">
      <c r="B102" s="253"/>
      <c r="C102" s="10"/>
      <c r="D102" s="10"/>
      <c r="E102" s="257"/>
      <c r="F102" s="10"/>
      <c r="G102" s="256"/>
      <c r="H102" s="256"/>
      <c r="I102" s="256"/>
      <c r="J102" s="253"/>
    </row>
    <row r="103" customFormat="false" ht="15.75" hidden="false" customHeight="true" outlineLevel="0" collapsed="false">
      <c r="B103" s="253"/>
      <c r="C103" s="10"/>
      <c r="D103" s="10"/>
      <c r="E103" s="257"/>
      <c r="F103" s="10"/>
      <c r="G103" s="256"/>
      <c r="H103" s="256"/>
      <c r="I103" s="256"/>
      <c r="J103" s="253"/>
    </row>
    <row r="104" customFormat="false" ht="15.75" hidden="false" customHeight="true" outlineLevel="0" collapsed="false">
      <c r="B104" s="253"/>
      <c r="C104" s="10"/>
      <c r="D104" s="10"/>
      <c r="E104" s="257"/>
      <c r="F104" s="10"/>
      <c r="G104" s="256"/>
      <c r="H104" s="256"/>
      <c r="I104" s="256"/>
      <c r="J104" s="253"/>
    </row>
    <row r="105" customFormat="false" ht="15.75" hidden="false" customHeight="true" outlineLevel="0" collapsed="false">
      <c r="B105" s="253"/>
      <c r="C105" s="10"/>
      <c r="D105" s="10"/>
      <c r="E105" s="257"/>
      <c r="F105" s="10"/>
      <c r="G105" s="256"/>
      <c r="H105" s="256"/>
      <c r="I105" s="256"/>
      <c r="J105" s="253"/>
    </row>
    <row r="106" customFormat="false" ht="15.75" hidden="false" customHeight="true" outlineLevel="0" collapsed="false">
      <c r="B106" s="253"/>
      <c r="C106" s="10"/>
      <c r="D106" s="10"/>
      <c r="E106" s="257"/>
      <c r="F106" s="10"/>
      <c r="G106" s="256"/>
      <c r="H106" s="256"/>
      <c r="I106" s="256"/>
      <c r="J106" s="253"/>
    </row>
    <row r="107" customFormat="false" ht="15.75" hidden="false" customHeight="true" outlineLevel="0" collapsed="false">
      <c r="B107" s="253"/>
      <c r="C107" s="10"/>
      <c r="D107" s="10"/>
      <c r="E107" s="257"/>
      <c r="F107" s="10"/>
      <c r="G107" s="256"/>
      <c r="H107" s="256"/>
      <c r="I107" s="256"/>
      <c r="J107" s="253"/>
    </row>
    <row r="108" customFormat="false" ht="15.75" hidden="false" customHeight="true" outlineLevel="0" collapsed="false">
      <c r="B108" s="253"/>
      <c r="C108" s="10"/>
      <c r="D108" s="10"/>
      <c r="E108" s="257"/>
      <c r="F108" s="10"/>
      <c r="G108" s="256"/>
      <c r="H108" s="256"/>
      <c r="I108" s="256"/>
      <c r="J108" s="253"/>
    </row>
    <row r="109" customFormat="false" ht="15.75" hidden="false" customHeight="true" outlineLevel="0" collapsed="false">
      <c r="B109" s="253"/>
      <c r="C109" s="10"/>
      <c r="D109" s="10"/>
      <c r="E109" s="257"/>
      <c r="F109" s="10"/>
      <c r="G109" s="256"/>
      <c r="H109" s="256"/>
      <c r="I109" s="256"/>
      <c r="J109" s="253"/>
    </row>
    <row r="110" customFormat="false" ht="15.75" hidden="false" customHeight="true" outlineLevel="0" collapsed="false">
      <c r="B110" s="253"/>
      <c r="C110" s="10"/>
      <c r="D110" s="10"/>
      <c r="E110" s="257"/>
      <c r="F110" s="10"/>
      <c r="G110" s="256"/>
      <c r="H110" s="256"/>
      <c r="I110" s="256"/>
      <c r="J110" s="253"/>
    </row>
    <row r="111" customFormat="false" ht="15.75" hidden="false" customHeight="true" outlineLevel="0" collapsed="false">
      <c r="B111" s="253"/>
      <c r="C111" s="10"/>
      <c r="D111" s="10"/>
      <c r="E111" s="257"/>
      <c r="F111" s="10"/>
      <c r="G111" s="256"/>
      <c r="H111" s="256"/>
      <c r="I111" s="256"/>
      <c r="J111" s="253"/>
    </row>
    <row r="112" customFormat="false" ht="15.75" hidden="false" customHeight="true" outlineLevel="0" collapsed="false">
      <c r="B112" s="253"/>
      <c r="C112" s="10"/>
      <c r="D112" s="10"/>
      <c r="E112" s="257"/>
      <c r="F112" s="10"/>
      <c r="G112" s="256"/>
      <c r="H112" s="256"/>
      <c r="I112" s="256"/>
      <c r="J112" s="253"/>
    </row>
    <row r="113" customFormat="false" ht="15.75" hidden="false" customHeight="true" outlineLevel="0" collapsed="false">
      <c r="B113" s="253"/>
      <c r="C113" s="10"/>
      <c r="D113" s="10"/>
      <c r="E113" s="257"/>
      <c r="F113" s="10"/>
      <c r="G113" s="256"/>
      <c r="H113" s="256"/>
      <c r="I113" s="256"/>
      <c r="J113" s="253"/>
    </row>
    <row r="114" customFormat="false" ht="15.75" hidden="false" customHeight="true" outlineLevel="0" collapsed="false">
      <c r="B114" s="253"/>
      <c r="C114" s="10"/>
      <c r="D114" s="10"/>
      <c r="E114" s="257"/>
      <c r="F114" s="10"/>
      <c r="G114" s="256"/>
      <c r="H114" s="256"/>
      <c r="I114" s="256"/>
      <c r="J114" s="253"/>
    </row>
    <row r="115" customFormat="false" ht="15.75" hidden="false" customHeight="true" outlineLevel="0" collapsed="false">
      <c r="B115" s="253"/>
      <c r="C115" s="10"/>
      <c r="D115" s="10"/>
      <c r="E115" s="257"/>
      <c r="F115" s="10"/>
      <c r="G115" s="256"/>
      <c r="H115" s="256"/>
      <c r="I115" s="256"/>
      <c r="J115" s="253"/>
    </row>
    <row r="116" customFormat="false" ht="15.75" hidden="false" customHeight="true" outlineLevel="0" collapsed="false">
      <c r="B116" s="253"/>
      <c r="C116" s="10"/>
      <c r="D116" s="10"/>
      <c r="E116" s="257"/>
      <c r="F116" s="10"/>
      <c r="G116" s="256"/>
      <c r="H116" s="256"/>
      <c r="I116" s="256"/>
      <c r="J116" s="253"/>
    </row>
    <row r="117" customFormat="false" ht="15.75" hidden="false" customHeight="true" outlineLevel="0" collapsed="false">
      <c r="B117" s="253"/>
      <c r="C117" s="10"/>
      <c r="D117" s="10"/>
      <c r="E117" s="257"/>
      <c r="F117" s="10"/>
      <c r="G117" s="256"/>
      <c r="H117" s="256"/>
      <c r="I117" s="256"/>
      <c r="J117" s="253"/>
    </row>
    <row r="118" customFormat="false" ht="15.75" hidden="false" customHeight="true" outlineLevel="0" collapsed="false">
      <c r="B118" s="253"/>
      <c r="C118" s="10"/>
      <c r="D118" s="10"/>
      <c r="E118" s="257"/>
      <c r="F118" s="10"/>
      <c r="G118" s="256"/>
      <c r="H118" s="256"/>
      <c r="I118" s="256"/>
      <c r="J118" s="253"/>
    </row>
    <row r="119" customFormat="false" ht="15.75" hidden="false" customHeight="true" outlineLevel="0" collapsed="false">
      <c r="B119" s="253"/>
      <c r="C119" s="10"/>
      <c r="D119" s="10"/>
      <c r="E119" s="257"/>
      <c r="F119" s="10"/>
      <c r="G119" s="256"/>
      <c r="H119" s="256"/>
      <c r="I119" s="256"/>
      <c r="J119" s="253"/>
    </row>
    <row r="120" customFormat="false" ht="15.75" hidden="false" customHeight="true" outlineLevel="0" collapsed="false">
      <c r="B120" s="253"/>
      <c r="C120" s="10"/>
      <c r="D120" s="10"/>
      <c r="E120" s="257"/>
      <c r="F120" s="10"/>
      <c r="G120" s="256"/>
      <c r="H120" s="256"/>
      <c r="I120" s="256"/>
      <c r="J120" s="253"/>
    </row>
    <row r="121" customFormat="false" ht="15.75" hidden="false" customHeight="true" outlineLevel="0" collapsed="false">
      <c r="B121" s="253"/>
      <c r="C121" s="10"/>
      <c r="D121" s="10"/>
      <c r="E121" s="257"/>
      <c r="F121" s="10"/>
      <c r="G121" s="256"/>
      <c r="H121" s="256"/>
      <c r="I121" s="256"/>
      <c r="J121" s="253"/>
    </row>
    <row r="122" customFormat="false" ht="15.75" hidden="false" customHeight="true" outlineLevel="0" collapsed="false">
      <c r="B122" s="253"/>
      <c r="C122" s="10"/>
      <c r="D122" s="10"/>
      <c r="E122" s="257"/>
      <c r="F122" s="10"/>
      <c r="G122" s="256"/>
      <c r="H122" s="256"/>
      <c r="I122" s="256"/>
      <c r="J122" s="253"/>
    </row>
    <row r="123" customFormat="false" ht="15.75" hidden="false" customHeight="true" outlineLevel="0" collapsed="false">
      <c r="B123" s="253"/>
      <c r="C123" s="10"/>
      <c r="D123" s="10"/>
      <c r="E123" s="257"/>
      <c r="F123" s="10"/>
      <c r="G123" s="256"/>
      <c r="H123" s="256"/>
      <c r="I123" s="256"/>
      <c r="J123" s="253"/>
    </row>
    <row r="124" customFormat="false" ht="15.75" hidden="false" customHeight="true" outlineLevel="0" collapsed="false">
      <c r="B124" s="253"/>
      <c r="C124" s="10"/>
      <c r="D124" s="10"/>
      <c r="E124" s="257"/>
      <c r="F124" s="10"/>
      <c r="G124" s="256"/>
      <c r="H124" s="256"/>
      <c r="I124" s="256"/>
      <c r="J124" s="253"/>
    </row>
    <row r="125" customFormat="false" ht="15.75" hidden="false" customHeight="true" outlineLevel="0" collapsed="false">
      <c r="B125" s="253"/>
      <c r="C125" s="10"/>
      <c r="D125" s="10"/>
      <c r="E125" s="257"/>
      <c r="F125" s="10"/>
      <c r="G125" s="256"/>
      <c r="H125" s="256"/>
      <c r="I125" s="256"/>
      <c r="J125" s="253"/>
    </row>
    <row r="126" customFormat="false" ht="15.75" hidden="false" customHeight="true" outlineLevel="0" collapsed="false">
      <c r="B126" s="253"/>
      <c r="C126" s="10"/>
      <c r="D126" s="10"/>
      <c r="E126" s="257"/>
      <c r="F126" s="10"/>
      <c r="G126" s="256"/>
      <c r="H126" s="256"/>
      <c r="I126" s="256"/>
      <c r="J126" s="253"/>
    </row>
    <row r="127" customFormat="false" ht="15.75" hidden="false" customHeight="true" outlineLevel="0" collapsed="false">
      <c r="B127" s="253"/>
      <c r="C127" s="10"/>
      <c r="D127" s="10"/>
      <c r="E127" s="257"/>
      <c r="F127" s="10"/>
      <c r="G127" s="256"/>
      <c r="H127" s="256"/>
      <c r="I127" s="256"/>
      <c r="J127" s="253"/>
    </row>
    <row r="128" customFormat="false" ht="15.75" hidden="false" customHeight="true" outlineLevel="0" collapsed="false">
      <c r="B128" s="253"/>
      <c r="C128" s="10"/>
      <c r="D128" s="10"/>
      <c r="E128" s="257"/>
      <c r="F128" s="10"/>
      <c r="G128" s="256"/>
      <c r="H128" s="256"/>
      <c r="I128" s="256"/>
      <c r="J128" s="253"/>
    </row>
    <row r="129" customFormat="false" ht="15.75" hidden="false" customHeight="true" outlineLevel="0" collapsed="false">
      <c r="B129" s="253"/>
      <c r="C129" s="10"/>
      <c r="D129" s="10"/>
      <c r="E129" s="257"/>
      <c r="F129" s="10"/>
      <c r="G129" s="256"/>
      <c r="H129" s="256"/>
      <c r="I129" s="256"/>
      <c r="J129" s="253"/>
    </row>
    <row r="130" customFormat="false" ht="15.75" hidden="false" customHeight="true" outlineLevel="0" collapsed="false">
      <c r="B130" s="253"/>
      <c r="C130" s="10"/>
      <c r="D130" s="10"/>
      <c r="E130" s="257"/>
      <c r="F130" s="10"/>
      <c r="G130" s="256"/>
      <c r="H130" s="256"/>
      <c r="I130" s="256"/>
      <c r="J130" s="253"/>
    </row>
    <row r="131" customFormat="false" ht="15.75" hidden="false" customHeight="true" outlineLevel="0" collapsed="false">
      <c r="B131" s="253"/>
      <c r="C131" s="10"/>
      <c r="D131" s="10"/>
      <c r="E131" s="257"/>
      <c r="F131" s="10"/>
      <c r="G131" s="256"/>
      <c r="H131" s="256"/>
      <c r="I131" s="256"/>
      <c r="J131" s="253"/>
    </row>
    <row r="132" customFormat="false" ht="15.75" hidden="false" customHeight="true" outlineLevel="0" collapsed="false">
      <c r="B132" s="253"/>
      <c r="C132" s="10"/>
      <c r="D132" s="10"/>
      <c r="E132" s="257"/>
      <c r="F132" s="10"/>
      <c r="G132" s="256"/>
      <c r="H132" s="256"/>
      <c r="I132" s="256"/>
      <c r="J132" s="253"/>
    </row>
    <row r="133" customFormat="false" ht="15.75" hidden="false" customHeight="true" outlineLevel="0" collapsed="false">
      <c r="B133" s="253"/>
      <c r="C133" s="10"/>
      <c r="D133" s="10"/>
      <c r="E133" s="257"/>
      <c r="F133" s="10"/>
      <c r="G133" s="256"/>
      <c r="H133" s="256"/>
      <c r="I133" s="256"/>
      <c r="J133" s="253"/>
    </row>
    <row r="134" customFormat="false" ht="15.75" hidden="false" customHeight="true" outlineLevel="0" collapsed="false">
      <c r="B134" s="253"/>
      <c r="C134" s="10"/>
      <c r="D134" s="10"/>
      <c r="E134" s="257"/>
      <c r="F134" s="10"/>
      <c r="G134" s="256"/>
      <c r="H134" s="256"/>
      <c r="I134" s="256"/>
      <c r="J134" s="253"/>
    </row>
    <row r="135" customFormat="false" ht="15.75" hidden="false" customHeight="true" outlineLevel="0" collapsed="false">
      <c r="B135" s="253"/>
      <c r="C135" s="10"/>
      <c r="D135" s="10"/>
      <c r="E135" s="257"/>
      <c r="F135" s="10"/>
      <c r="G135" s="256"/>
      <c r="H135" s="256"/>
      <c r="I135" s="256"/>
      <c r="J135" s="253"/>
    </row>
    <row r="136" customFormat="false" ht="15.75" hidden="false" customHeight="true" outlineLevel="0" collapsed="false">
      <c r="B136" s="253"/>
      <c r="C136" s="10"/>
      <c r="D136" s="10"/>
      <c r="E136" s="257"/>
      <c r="F136" s="10"/>
      <c r="G136" s="256"/>
      <c r="H136" s="256"/>
      <c r="I136" s="256"/>
      <c r="J136" s="253"/>
    </row>
    <row r="137" customFormat="false" ht="15.75" hidden="false" customHeight="true" outlineLevel="0" collapsed="false">
      <c r="B137" s="253"/>
      <c r="C137" s="10"/>
      <c r="D137" s="10"/>
      <c r="E137" s="257"/>
      <c r="F137" s="10"/>
      <c r="G137" s="256"/>
      <c r="H137" s="256"/>
      <c r="I137" s="256"/>
      <c r="J137" s="253"/>
    </row>
    <row r="138" customFormat="false" ht="15.75" hidden="false" customHeight="true" outlineLevel="0" collapsed="false">
      <c r="B138" s="253"/>
      <c r="C138" s="10"/>
      <c r="D138" s="10"/>
      <c r="E138" s="257"/>
      <c r="F138" s="10"/>
      <c r="G138" s="256"/>
      <c r="H138" s="256"/>
      <c r="I138" s="256"/>
      <c r="J138" s="253"/>
    </row>
    <row r="139" customFormat="false" ht="15.75" hidden="false" customHeight="true" outlineLevel="0" collapsed="false">
      <c r="B139" s="253"/>
      <c r="C139" s="10"/>
      <c r="D139" s="10"/>
      <c r="E139" s="257"/>
      <c r="F139" s="10"/>
      <c r="G139" s="256"/>
      <c r="H139" s="256"/>
      <c r="I139" s="256"/>
      <c r="J139" s="253"/>
    </row>
    <row r="140" customFormat="false" ht="15.75" hidden="false" customHeight="true" outlineLevel="0" collapsed="false">
      <c r="B140" s="253"/>
      <c r="C140" s="10"/>
      <c r="D140" s="10"/>
      <c r="E140" s="257"/>
      <c r="F140" s="10"/>
      <c r="G140" s="256"/>
      <c r="H140" s="256"/>
      <c r="I140" s="256"/>
      <c r="J140" s="253"/>
    </row>
    <row r="141" customFormat="false" ht="15.75" hidden="false" customHeight="true" outlineLevel="0" collapsed="false">
      <c r="B141" s="253"/>
      <c r="C141" s="10"/>
      <c r="D141" s="10"/>
      <c r="E141" s="257"/>
      <c r="F141" s="10"/>
      <c r="G141" s="256"/>
      <c r="H141" s="256"/>
      <c r="I141" s="256"/>
      <c r="J141" s="253"/>
    </row>
    <row r="142" customFormat="false" ht="15.75" hidden="false" customHeight="true" outlineLevel="0" collapsed="false">
      <c r="B142" s="253"/>
      <c r="C142" s="10"/>
      <c r="D142" s="10"/>
      <c r="E142" s="257"/>
      <c r="F142" s="10"/>
      <c r="G142" s="256"/>
      <c r="H142" s="256"/>
      <c r="I142" s="256"/>
      <c r="J142" s="253"/>
    </row>
    <row r="143" customFormat="false" ht="15.75" hidden="false" customHeight="true" outlineLevel="0" collapsed="false">
      <c r="B143" s="253"/>
      <c r="C143" s="10"/>
      <c r="D143" s="10"/>
      <c r="E143" s="257"/>
      <c r="F143" s="10"/>
      <c r="G143" s="256"/>
      <c r="H143" s="256"/>
      <c r="I143" s="256"/>
      <c r="J143" s="253"/>
    </row>
    <row r="144" customFormat="false" ht="15.75" hidden="false" customHeight="true" outlineLevel="0" collapsed="false">
      <c r="B144" s="253"/>
      <c r="C144" s="10"/>
      <c r="D144" s="10"/>
      <c r="E144" s="257"/>
      <c r="F144" s="10"/>
      <c r="G144" s="256"/>
      <c r="H144" s="256"/>
      <c r="I144" s="256"/>
      <c r="J144" s="253"/>
    </row>
    <row r="145" customFormat="false" ht="15.75" hidden="false" customHeight="true" outlineLevel="0" collapsed="false">
      <c r="B145" s="253"/>
      <c r="C145" s="10"/>
      <c r="D145" s="10"/>
      <c r="E145" s="257"/>
      <c r="F145" s="10"/>
      <c r="G145" s="256"/>
      <c r="H145" s="256"/>
      <c r="I145" s="256"/>
      <c r="J145" s="253"/>
    </row>
    <row r="146" customFormat="false" ht="15.75" hidden="false" customHeight="true" outlineLevel="0" collapsed="false">
      <c r="B146" s="253"/>
      <c r="C146" s="10"/>
      <c r="D146" s="10"/>
      <c r="E146" s="257"/>
      <c r="F146" s="10"/>
      <c r="G146" s="256"/>
      <c r="H146" s="256"/>
      <c r="I146" s="256"/>
      <c r="J146" s="253"/>
    </row>
    <row r="147" customFormat="false" ht="15.75" hidden="false" customHeight="true" outlineLevel="0" collapsed="false">
      <c r="B147" s="253"/>
      <c r="C147" s="10"/>
      <c r="D147" s="10"/>
      <c r="E147" s="257"/>
      <c r="F147" s="10"/>
      <c r="G147" s="256"/>
      <c r="H147" s="256"/>
      <c r="I147" s="256"/>
      <c r="J147" s="253"/>
    </row>
    <row r="148" customFormat="false" ht="15.75" hidden="false" customHeight="true" outlineLevel="0" collapsed="false">
      <c r="B148" s="253"/>
      <c r="C148" s="10"/>
      <c r="D148" s="10"/>
      <c r="E148" s="257"/>
      <c r="F148" s="10"/>
      <c r="G148" s="256"/>
      <c r="H148" s="256"/>
      <c r="I148" s="256"/>
      <c r="J148" s="253"/>
    </row>
    <row r="149" customFormat="false" ht="15.75" hidden="false" customHeight="true" outlineLevel="0" collapsed="false">
      <c r="B149" s="253"/>
      <c r="C149" s="10"/>
      <c r="D149" s="10"/>
      <c r="E149" s="257"/>
      <c r="F149" s="10"/>
      <c r="G149" s="256"/>
      <c r="H149" s="256"/>
      <c r="I149" s="256"/>
      <c r="J149" s="253"/>
    </row>
    <row r="150" customFormat="false" ht="15.75" hidden="false" customHeight="true" outlineLevel="0" collapsed="false">
      <c r="B150" s="253"/>
      <c r="C150" s="10"/>
      <c r="D150" s="10"/>
      <c r="E150" s="257"/>
      <c r="F150" s="10"/>
      <c r="G150" s="256"/>
      <c r="H150" s="256"/>
      <c r="I150" s="256"/>
      <c r="J150" s="253"/>
    </row>
    <row r="151" customFormat="false" ht="15.75" hidden="false" customHeight="true" outlineLevel="0" collapsed="false">
      <c r="B151" s="253"/>
      <c r="C151" s="10"/>
      <c r="D151" s="10"/>
      <c r="E151" s="257"/>
      <c r="F151" s="10"/>
      <c r="G151" s="256"/>
      <c r="H151" s="256"/>
      <c r="I151" s="256"/>
      <c r="J151" s="253"/>
    </row>
    <row r="152" customFormat="false" ht="15.75" hidden="false" customHeight="true" outlineLevel="0" collapsed="false">
      <c r="B152" s="253"/>
      <c r="C152" s="10"/>
      <c r="D152" s="10"/>
      <c r="E152" s="257"/>
      <c r="F152" s="10"/>
      <c r="G152" s="256"/>
      <c r="H152" s="256"/>
      <c r="I152" s="256"/>
      <c r="J152" s="253"/>
    </row>
    <row r="153" customFormat="false" ht="15.75" hidden="false" customHeight="true" outlineLevel="0" collapsed="false">
      <c r="B153" s="253"/>
      <c r="C153" s="10"/>
      <c r="D153" s="10"/>
      <c r="E153" s="257"/>
      <c r="F153" s="10"/>
      <c r="G153" s="256"/>
      <c r="H153" s="256"/>
      <c r="I153" s="256"/>
      <c r="J153" s="253"/>
    </row>
    <row r="154" customFormat="false" ht="15.75" hidden="false" customHeight="true" outlineLevel="0" collapsed="false">
      <c r="B154" s="253"/>
      <c r="C154" s="10"/>
      <c r="D154" s="10"/>
      <c r="E154" s="257"/>
      <c r="F154" s="10"/>
      <c r="G154" s="256"/>
      <c r="H154" s="256"/>
      <c r="I154" s="256"/>
      <c r="J154" s="253"/>
    </row>
    <row r="155" customFormat="false" ht="15.75" hidden="false" customHeight="true" outlineLevel="0" collapsed="false">
      <c r="B155" s="253"/>
      <c r="C155" s="10"/>
      <c r="D155" s="10"/>
      <c r="E155" s="257"/>
      <c r="F155" s="10"/>
      <c r="G155" s="256"/>
      <c r="H155" s="256"/>
      <c r="I155" s="256"/>
      <c r="J155" s="253"/>
    </row>
    <row r="156" customFormat="false" ht="15.75" hidden="false" customHeight="true" outlineLevel="0" collapsed="false">
      <c r="B156" s="253"/>
      <c r="C156" s="10"/>
      <c r="D156" s="10"/>
      <c r="E156" s="257"/>
      <c r="F156" s="10"/>
      <c r="G156" s="256"/>
      <c r="H156" s="256"/>
      <c r="I156" s="256"/>
      <c r="J156" s="253"/>
    </row>
    <row r="157" customFormat="false" ht="15.75" hidden="false" customHeight="true" outlineLevel="0" collapsed="false">
      <c r="B157" s="253"/>
      <c r="C157" s="10"/>
      <c r="D157" s="10"/>
      <c r="E157" s="257"/>
      <c r="F157" s="10"/>
      <c r="G157" s="256"/>
      <c r="H157" s="256"/>
      <c r="I157" s="256"/>
      <c r="J157" s="253"/>
    </row>
    <row r="158" customFormat="false" ht="15.75" hidden="false" customHeight="true" outlineLevel="0" collapsed="false">
      <c r="B158" s="253"/>
      <c r="C158" s="10"/>
      <c r="D158" s="10"/>
      <c r="E158" s="257"/>
      <c r="F158" s="10"/>
      <c r="G158" s="256"/>
      <c r="H158" s="256"/>
      <c r="I158" s="256"/>
      <c r="J158" s="253"/>
    </row>
    <row r="159" customFormat="false" ht="15.75" hidden="false" customHeight="true" outlineLevel="0" collapsed="false">
      <c r="B159" s="253"/>
      <c r="C159" s="10"/>
      <c r="D159" s="10"/>
      <c r="E159" s="257"/>
      <c r="F159" s="10"/>
      <c r="G159" s="256"/>
      <c r="H159" s="256"/>
      <c r="I159" s="256"/>
      <c r="J159" s="253"/>
    </row>
    <row r="160" customFormat="false" ht="15.75" hidden="false" customHeight="true" outlineLevel="0" collapsed="false">
      <c r="B160" s="253"/>
      <c r="C160" s="10"/>
      <c r="D160" s="10"/>
      <c r="E160" s="257"/>
      <c r="F160" s="10"/>
      <c r="G160" s="256"/>
      <c r="H160" s="256"/>
      <c r="I160" s="256"/>
      <c r="J160" s="253"/>
    </row>
    <row r="161" customFormat="false" ht="15.75" hidden="false" customHeight="true" outlineLevel="0" collapsed="false">
      <c r="B161" s="253"/>
      <c r="C161" s="10"/>
      <c r="D161" s="10"/>
      <c r="E161" s="257"/>
      <c r="F161" s="10"/>
      <c r="G161" s="256"/>
      <c r="H161" s="256"/>
      <c r="I161" s="256"/>
      <c r="J161" s="253"/>
    </row>
    <row r="162" customFormat="false" ht="15.75" hidden="false" customHeight="true" outlineLevel="0" collapsed="false">
      <c r="B162" s="253"/>
      <c r="C162" s="10"/>
      <c r="D162" s="10"/>
      <c r="E162" s="257"/>
      <c r="F162" s="10"/>
      <c r="G162" s="256"/>
      <c r="H162" s="256"/>
      <c r="I162" s="256"/>
      <c r="J162" s="253"/>
    </row>
    <row r="163" customFormat="false" ht="15.75" hidden="false" customHeight="true" outlineLevel="0" collapsed="false">
      <c r="B163" s="253"/>
      <c r="C163" s="10"/>
      <c r="D163" s="10"/>
      <c r="E163" s="257"/>
      <c r="F163" s="10"/>
      <c r="G163" s="256"/>
      <c r="H163" s="256"/>
      <c r="I163" s="256"/>
      <c r="J163" s="253"/>
    </row>
    <row r="164" customFormat="false" ht="15.75" hidden="false" customHeight="true" outlineLevel="0" collapsed="false">
      <c r="B164" s="253"/>
      <c r="C164" s="10"/>
      <c r="D164" s="10"/>
      <c r="E164" s="257"/>
      <c r="F164" s="10"/>
      <c r="G164" s="256"/>
      <c r="H164" s="256"/>
      <c r="I164" s="256"/>
      <c r="J164" s="253"/>
    </row>
    <row r="165" customFormat="false" ht="15.75" hidden="false" customHeight="true" outlineLevel="0" collapsed="false">
      <c r="B165" s="253"/>
      <c r="C165" s="10"/>
      <c r="D165" s="10"/>
      <c r="E165" s="257"/>
      <c r="F165" s="10"/>
      <c r="G165" s="256"/>
      <c r="H165" s="256"/>
      <c r="I165" s="256"/>
      <c r="J165" s="253"/>
    </row>
    <row r="166" customFormat="false" ht="15.75" hidden="false" customHeight="true" outlineLevel="0" collapsed="false">
      <c r="B166" s="253"/>
      <c r="C166" s="10"/>
      <c r="D166" s="10"/>
      <c r="E166" s="257"/>
      <c r="F166" s="10"/>
      <c r="G166" s="256"/>
      <c r="H166" s="256"/>
      <c r="I166" s="256"/>
      <c r="J166" s="253"/>
    </row>
    <row r="167" customFormat="false" ht="15.75" hidden="false" customHeight="true" outlineLevel="0" collapsed="false">
      <c r="B167" s="253"/>
      <c r="C167" s="10"/>
      <c r="D167" s="10"/>
      <c r="E167" s="257"/>
      <c r="F167" s="10"/>
      <c r="G167" s="256"/>
      <c r="H167" s="256"/>
      <c r="I167" s="256"/>
      <c r="J167" s="253"/>
    </row>
    <row r="168" customFormat="false" ht="15.75" hidden="false" customHeight="true" outlineLevel="0" collapsed="false">
      <c r="B168" s="253"/>
      <c r="C168" s="10"/>
      <c r="D168" s="10"/>
      <c r="E168" s="257"/>
      <c r="F168" s="10"/>
      <c r="G168" s="256"/>
      <c r="H168" s="256"/>
      <c r="I168" s="256"/>
      <c r="J168" s="253"/>
    </row>
    <row r="169" customFormat="false" ht="15.75" hidden="false" customHeight="true" outlineLevel="0" collapsed="false">
      <c r="B169" s="253"/>
      <c r="C169" s="10"/>
      <c r="D169" s="10"/>
      <c r="E169" s="257"/>
      <c r="F169" s="10"/>
      <c r="G169" s="256"/>
      <c r="H169" s="256"/>
      <c r="I169" s="256"/>
      <c r="J169" s="253"/>
    </row>
    <row r="170" customFormat="false" ht="15.75" hidden="false" customHeight="true" outlineLevel="0" collapsed="false">
      <c r="B170" s="253"/>
      <c r="C170" s="10"/>
      <c r="D170" s="10"/>
      <c r="E170" s="257"/>
      <c r="F170" s="10"/>
      <c r="G170" s="256"/>
      <c r="H170" s="256"/>
      <c r="I170" s="256"/>
      <c r="J170" s="253"/>
    </row>
    <row r="171" customFormat="false" ht="15.75" hidden="false" customHeight="true" outlineLevel="0" collapsed="false">
      <c r="B171" s="253"/>
      <c r="C171" s="10"/>
      <c r="D171" s="10"/>
      <c r="E171" s="257"/>
      <c r="F171" s="10"/>
      <c r="G171" s="256"/>
      <c r="H171" s="256"/>
      <c r="I171" s="256"/>
      <c r="J171" s="253"/>
    </row>
    <row r="172" customFormat="false" ht="15.75" hidden="false" customHeight="true" outlineLevel="0" collapsed="false">
      <c r="B172" s="253"/>
      <c r="C172" s="10"/>
      <c r="D172" s="10"/>
      <c r="E172" s="257"/>
      <c r="F172" s="10"/>
      <c r="G172" s="256"/>
      <c r="H172" s="256"/>
      <c r="I172" s="256"/>
      <c r="J172" s="253"/>
    </row>
    <row r="173" customFormat="false" ht="15.75" hidden="false" customHeight="true" outlineLevel="0" collapsed="false">
      <c r="B173" s="253"/>
      <c r="C173" s="10"/>
      <c r="D173" s="10"/>
      <c r="E173" s="257"/>
      <c r="F173" s="10"/>
      <c r="G173" s="256"/>
      <c r="H173" s="256"/>
      <c r="I173" s="256"/>
      <c r="J173" s="253"/>
    </row>
    <row r="174" customFormat="false" ht="15.75" hidden="false" customHeight="true" outlineLevel="0" collapsed="false">
      <c r="B174" s="253"/>
      <c r="C174" s="10"/>
      <c r="D174" s="10"/>
      <c r="E174" s="257"/>
      <c r="F174" s="10"/>
      <c r="G174" s="256"/>
      <c r="H174" s="256"/>
      <c r="I174" s="256"/>
      <c r="J174" s="253"/>
    </row>
    <row r="175" customFormat="false" ht="15.75" hidden="false" customHeight="true" outlineLevel="0" collapsed="false">
      <c r="B175" s="253"/>
      <c r="C175" s="10"/>
      <c r="D175" s="10"/>
      <c r="E175" s="257"/>
      <c r="F175" s="10"/>
      <c r="G175" s="256"/>
      <c r="H175" s="256"/>
      <c r="I175" s="256"/>
      <c r="J175" s="253"/>
    </row>
    <row r="176" customFormat="false" ht="15.75" hidden="false" customHeight="true" outlineLevel="0" collapsed="false">
      <c r="B176" s="253"/>
      <c r="C176" s="10"/>
      <c r="D176" s="10"/>
      <c r="E176" s="257"/>
      <c r="F176" s="10"/>
      <c r="G176" s="256"/>
      <c r="H176" s="256"/>
      <c r="I176" s="256"/>
      <c r="J176" s="253"/>
    </row>
    <row r="177" customFormat="false" ht="15.75" hidden="false" customHeight="true" outlineLevel="0" collapsed="false">
      <c r="B177" s="253"/>
      <c r="C177" s="10"/>
      <c r="D177" s="10"/>
      <c r="E177" s="257"/>
      <c r="F177" s="10"/>
      <c r="G177" s="256"/>
      <c r="H177" s="256"/>
      <c r="I177" s="256"/>
      <c r="J177" s="253"/>
    </row>
    <row r="178" customFormat="false" ht="15.75" hidden="false" customHeight="true" outlineLevel="0" collapsed="false">
      <c r="B178" s="253"/>
      <c r="C178" s="10"/>
      <c r="D178" s="10"/>
      <c r="E178" s="257"/>
      <c r="F178" s="10"/>
      <c r="G178" s="256"/>
      <c r="H178" s="256"/>
      <c r="I178" s="256"/>
      <c r="J178" s="253"/>
    </row>
    <row r="179" customFormat="false" ht="15.75" hidden="false" customHeight="true" outlineLevel="0" collapsed="false">
      <c r="B179" s="253"/>
      <c r="C179" s="10"/>
      <c r="D179" s="10"/>
      <c r="E179" s="257"/>
      <c r="F179" s="10"/>
      <c r="G179" s="256"/>
      <c r="H179" s="256"/>
      <c r="I179" s="256"/>
      <c r="J179" s="253"/>
    </row>
    <row r="180" customFormat="false" ht="15.75" hidden="false" customHeight="true" outlineLevel="0" collapsed="false">
      <c r="B180" s="253"/>
      <c r="C180" s="10"/>
      <c r="D180" s="10"/>
      <c r="E180" s="257"/>
      <c r="F180" s="10"/>
      <c r="G180" s="256"/>
      <c r="H180" s="256"/>
      <c r="I180" s="256"/>
      <c r="J180" s="253"/>
    </row>
    <row r="181" customFormat="false" ht="15.75" hidden="false" customHeight="true" outlineLevel="0" collapsed="false">
      <c r="B181" s="253"/>
      <c r="C181" s="10"/>
      <c r="D181" s="10"/>
      <c r="E181" s="257"/>
      <c r="F181" s="10"/>
      <c r="G181" s="256"/>
      <c r="H181" s="256"/>
      <c r="I181" s="256"/>
      <c r="J181" s="253"/>
    </row>
    <row r="182" customFormat="false" ht="15.75" hidden="false" customHeight="true" outlineLevel="0" collapsed="false">
      <c r="B182" s="253"/>
      <c r="C182" s="10"/>
      <c r="D182" s="10"/>
      <c r="E182" s="257"/>
      <c r="F182" s="10"/>
      <c r="G182" s="256"/>
      <c r="H182" s="256"/>
      <c r="I182" s="256"/>
      <c r="J182" s="253"/>
    </row>
    <row r="183" customFormat="false" ht="15.75" hidden="false" customHeight="true" outlineLevel="0" collapsed="false">
      <c r="B183" s="253"/>
      <c r="C183" s="10"/>
      <c r="D183" s="10"/>
      <c r="E183" s="257"/>
      <c r="F183" s="10"/>
      <c r="G183" s="256"/>
      <c r="H183" s="256"/>
      <c r="I183" s="256"/>
      <c r="J183" s="253"/>
    </row>
    <row r="184" customFormat="false" ht="15.75" hidden="false" customHeight="true" outlineLevel="0" collapsed="false">
      <c r="B184" s="253"/>
      <c r="C184" s="10"/>
      <c r="D184" s="10"/>
      <c r="E184" s="257"/>
      <c r="F184" s="10"/>
      <c r="G184" s="256"/>
      <c r="H184" s="256"/>
      <c r="I184" s="256"/>
      <c r="J184" s="253"/>
    </row>
    <row r="185" customFormat="false" ht="15.75" hidden="false" customHeight="true" outlineLevel="0" collapsed="false">
      <c r="B185" s="253"/>
      <c r="C185" s="10"/>
      <c r="D185" s="10"/>
      <c r="E185" s="257"/>
      <c r="F185" s="10"/>
      <c r="G185" s="256"/>
      <c r="H185" s="256"/>
      <c r="I185" s="256"/>
      <c r="J185" s="253"/>
    </row>
    <row r="186" customFormat="false" ht="15.75" hidden="false" customHeight="true" outlineLevel="0" collapsed="false">
      <c r="B186" s="253"/>
      <c r="C186" s="10"/>
      <c r="D186" s="10"/>
      <c r="E186" s="257"/>
      <c r="F186" s="10"/>
      <c r="G186" s="256"/>
      <c r="H186" s="256"/>
      <c r="I186" s="256"/>
      <c r="J186" s="253"/>
    </row>
    <row r="187" customFormat="false" ht="15.75" hidden="false" customHeight="true" outlineLevel="0" collapsed="false">
      <c r="B187" s="253"/>
      <c r="C187" s="10"/>
      <c r="D187" s="10"/>
      <c r="E187" s="257"/>
      <c r="F187" s="10"/>
      <c r="G187" s="256"/>
      <c r="H187" s="256"/>
      <c r="I187" s="256"/>
      <c r="J187" s="253"/>
    </row>
    <row r="188" customFormat="false" ht="15.75" hidden="false" customHeight="true" outlineLevel="0" collapsed="false">
      <c r="B188" s="253"/>
      <c r="C188" s="10"/>
      <c r="D188" s="10"/>
      <c r="E188" s="257"/>
      <c r="F188" s="10"/>
      <c r="G188" s="256"/>
      <c r="H188" s="256"/>
      <c r="I188" s="256"/>
      <c r="J188" s="253"/>
    </row>
    <row r="189" customFormat="false" ht="15.75" hidden="false" customHeight="true" outlineLevel="0" collapsed="false">
      <c r="B189" s="253"/>
      <c r="C189" s="10"/>
      <c r="D189" s="10"/>
      <c r="E189" s="257"/>
      <c r="F189" s="10"/>
      <c r="G189" s="256"/>
      <c r="H189" s="256"/>
      <c r="I189" s="256"/>
      <c r="J189" s="253"/>
    </row>
    <row r="190" customFormat="false" ht="15.75" hidden="false" customHeight="true" outlineLevel="0" collapsed="false">
      <c r="B190" s="253"/>
      <c r="C190" s="10"/>
      <c r="D190" s="10"/>
      <c r="E190" s="257"/>
      <c r="F190" s="10"/>
      <c r="G190" s="256"/>
      <c r="H190" s="256"/>
      <c r="I190" s="256"/>
      <c r="J190" s="253"/>
    </row>
    <row r="191" customFormat="false" ht="15.75" hidden="false" customHeight="true" outlineLevel="0" collapsed="false">
      <c r="B191" s="253"/>
      <c r="C191" s="10"/>
      <c r="D191" s="10"/>
      <c r="E191" s="257"/>
      <c r="F191" s="10"/>
      <c r="G191" s="256"/>
      <c r="H191" s="256"/>
      <c r="I191" s="256"/>
      <c r="J191" s="253"/>
    </row>
    <row r="192" customFormat="false" ht="15.75" hidden="false" customHeight="true" outlineLevel="0" collapsed="false">
      <c r="B192" s="253"/>
      <c r="C192" s="10"/>
      <c r="D192" s="10"/>
      <c r="E192" s="257"/>
      <c r="F192" s="10"/>
      <c r="G192" s="256"/>
      <c r="H192" s="256"/>
      <c r="I192" s="256"/>
      <c r="J192" s="253"/>
    </row>
    <row r="193" customFormat="false" ht="15.75" hidden="false" customHeight="true" outlineLevel="0" collapsed="false">
      <c r="B193" s="253"/>
      <c r="C193" s="10"/>
      <c r="D193" s="10"/>
      <c r="E193" s="257"/>
      <c r="F193" s="10"/>
      <c r="G193" s="256"/>
      <c r="H193" s="256"/>
      <c r="I193" s="256"/>
      <c r="J193" s="253"/>
    </row>
    <row r="194" customFormat="false" ht="15.75" hidden="false" customHeight="true" outlineLevel="0" collapsed="false">
      <c r="B194" s="253"/>
      <c r="C194" s="10"/>
      <c r="D194" s="10"/>
      <c r="E194" s="257"/>
      <c r="F194" s="10"/>
      <c r="G194" s="256"/>
      <c r="H194" s="256"/>
      <c r="I194" s="256"/>
      <c r="J194" s="253"/>
    </row>
    <row r="195" customFormat="false" ht="15.75" hidden="false" customHeight="true" outlineLevel="0" collapsed="false">
      <c r="B195" s="253"/>
      <c r="C195" s="10"/>
      <c r="D195" s="10"/>
      <c r="E195" s="257"/>
      <c r="F195" s="10"/>
      <c r="G195" s="256"/>
      <c r="H195" s="256"/>
      <c r="I195" s="256"/>
      <c r="J195" s="253"/>
    </row>
    <row r="196" customFormat="false" ht="15.75" hidden="false" customHeight="true" outlineLevel="0" collapsed="false">
      <c r="B196" s="253"/>
      <c r="C196" s="10"/>
      <c r="D196" s="10"/>
      <c r="E196" s="257"/>
      <c r="F196" s="10"/>
      <c r="G196" s="256"/>
      <c r="H196" s="256"/>
      <c r="I196" s="256"/>
      <c r="J196" s="253"/>
    </row>
    <row r="197" customFormat="false" ht="15.75" hidden="false" customHeight="true" outlineLevel="0" collapsed="false">
      <c r="B197" s="253"/>
      <c r="C197" s="10"/>
      <c r="D197" s="10"/>
      <c r="E197" s="257"/>
      <c r="F197" s="10"/>
      <c r="G197" s="256"/>
      <c r="H197" s="256"/>
      <c r="I197" s="256"/>
      <c r="J197" s="253"/>
    </row>
    <row r="198" customFormat="false" ht="15.75" hidden="false" customHeight="true" outlineLevel="0" collapsed="false">
      <c r="B198" s="253"/>
      <c r="C198" s="10"/>
      <c r="D198" s="10"/>
      <c r="E198" s="257"/>
      <c r="F198" s="10"/>
      <c r="G198" s="256"/>
      <c r="H198" s="256"/>
      <c r="I198" s="256"/>
      <c r="J198" s="253"/>
    </row>
    <row r="199" customFormat="false" ht="15.75" hidden="false" customHeight="true" outlineLevel="0" collapsed="false">
      <c r="B199" s="253"/>
      <c r="C199" s="10"/>
      <c r="D199" s="10"/>
      <c r="E199" s="257"/>
      <c r="F199" s="10"/>
      <c r="G199" s="256"/>
      <c r="H199" s="256"/>
      <c r="I199" s="256"/>
      <c r="J199" s="253"/>
    </row>
    <row r="200" customFormat="false" ht="15.75" hidden="false" customHeight="true" outlineLevel="0" collapsed="false">
      <c r="B200" s="253"/>
      <c r="C200" s="10"/>
      <c r="D200" s="10"/>
      <c r="E200" s="257"/>
      <c r="F200" s="10"/>
      <c r="G200" s="256"/>
      <c r="H200" s="256"/>
      <c r="I200" s="256"/>
      <c r="J200" s="253"/>
    </row>
    <row r="201" customFormat="false" ht="15.75" hidden="false" customHeight="true" outlineLevel="0" collapsed="false">
      <c r="B201" s="253"/>
      <c r="C201" s="10"/>
      <c r="D201" s="10"/>
      <c r="E201" s="257"/>
      <c r="F201" s="10"/>
      <c r="G201" s="256"/>
      <c r="H201" s="256"/>
      <c r="I201" s="256"/>
      <c r="J201" s="253"/>
    </row>
    <row r="202" customFormat="false" ht="15.75" hidden="false" customHeight="true" outlineLevel="0" collapsed="false">
      <c r="B202" s="253"/>
      <c r="C202" s="10"/>
      <c r="D202" s="10"/>
      <c r="E202" s="257"/>
      <c r="F202" s="10"/>
      <c r="G202" s="256"/>
      <c r="H202" s="256"/>
      <c r="I202" s="256"/>
      <c r="J202" s="253"/>
    </row>
    <row r="203" customFormat="false" ht="15.75" hidden="false" customHeight="true" outlineLevel="0" collapsed="false">
      <c r="B203" s="253"/>
      <c r="C203" s="10"/>
      <c r="D203" s="10"/>
      <c r="E203" s="257"/>
      <c r="F203" s="10"/>
      <c r="G203" s="256"/>
      <c r="H203" s="256"/>
      <c r="I203" s="256"/>
      <c r="J203" s="253"/>
    </row>
    <row r="204" customFormat="false" ht="15.75" hidden="false" customHeight="true" outlineLevel="0" collapsed="false">
      <c r="B204" s="253"/>
      <c r="C204" s="10"/>
      <c r="D204" s="10"/>
      <c r="E204" s="257"/>
      <c r="F204" s="10"/>
      <c r="G204" s="256"/>
      <c r="H204" s="256"/>
      <c r="I204" s="256"/>
      <c r="J204" s="253"/>
    </row>
    <row r="205" customFormat="false" ht="15.75" hidden="false" customHeight="true" outlineLevel="0" collapsed="false">
      <c r="B205" s="253"/>
      <c r="C205" s="10"/>
      <c r="D205" s="10"/>
      <c r="E205" s="257"/>
      <c r="F205" s="10"/>
      <c r="G205" s="256"/>
      <c r="H205" s="256"/>
      <c r="I205" s="256"/>
      <c r="J205" s="253"/>
    </row>
    <row r="206" customFormat="false" ht="15.75" hidden="false" customHeight="true" outlineLevel="0" collapsed="false">
      <c r="B206" s="253"/>
      <c r="C206" s="10"/>
      <c r="D206" s="10"/>
      <c r="E206" s="257"/>
      <c r="F206" s="10"/>
      <c r="G206" s="256"/>
      <c r="H206" s="256"/>
      <c r="I206" s="256"/>
      <c r="J206" s="253"/>
    </row>
    <row r="207" customFormat="false" ht="15.75" hidden="false" customHeight="true" outlineLevel="0" collapsed="false">
      <c r="B207" s="253"/>
      <c r="C207" s="10"/>
      <c r="D207" s="10"/>
      <c r="E207" s="257"/>
      <c r="F207" s="10"/>
      <c r="G207" s="256"/>
      <c r="H207" s="256"/>
      <c r="I207" s="256"/>
      <c r="J207" s="253"/>
    </row>
    <row r="208" customFormat="false" ht="15.75" hidden="false" customHeight="true" outlineLevel="0" collapsed="false">
      <c r="B208" s="253"/>
      <c r="C208" s="10"/>
      <c r="D208" s="10"/>
      <c r="E208" s="257"/>
      <c r="F208" s="10"/>
      <c r="G208" s="256"/>
      <c r="H208" s="256"/>
      <c r="I208" s="256"/>
      <c r="J208" s="253"/>
    </row>
    <row r="209" customFormat="false" ht="15.75" hidden="false" customHeight="true" outlineLevel="0" collapsed="false">
      <c r="B209" s="253"/>
      <c r="C209" s="10"/>
      <c r="D209" s="10"/>
      <c r="E209" s="257"/>
      <c r="F209" s="10"/>
      <c r="G209" s="256"/>
      <c r="H209" s="256"/>
      <c r="I209" s="256"/>
      <c r="J209" s="253"/>
    </row>
    <row r="210" customFormat="false" ht="15.75" hidden="false" customHeight="true" outlineLevel="0" collapsed="false">
      <c r="B210" s="253"/>
      <c r="C210" s="10"/>
      <c r="D210" s="10"/>
      <c r="E210" s="257"/>
      <c r="F210" s="10"/>
      <c r="G210" s="256"/>
      <c r="H210" s="256"/>
      <c r="I210" s="256"/>
      <c r="J210" s="253"/>
    </row>
    <row r="211" customFormat="false" ht="15.75" hidden="false" customHeight="true" outlineLevel="0" collapsed="false">
      <c r="B211" s="253"/>
      <c r="C211" s="10"/>
      <c r="D211" s="10"/>
      <c r="E211" s="257"/>
      <c r="F211" s="10"/>
      <c r="G211" s="256"/>
      <c r="H211" s="256"/>
      <c r="I211" s="256"/>
      <c r="J211" s="253"/>
    </row>
    <row r="212" customFormat="false" ht="15.75" hidden="false" customHeight="true" outlineLevel="0" collapsed="false">
      <c r="B212" s="253"/>
      <c r="C212" s="10"/>
      <c r="D212" s="10"/>
      <c r="E212" s="257"/>
      <c r="F212" s="10"/>
      <c r="G212" s="256"/>
      <c r="H212" s="256"/>
      <c r="I212" s="256"/>
      <c r="J212" s="253"/>
    </row>
    <row r="213" customFormat="false" ht="15.75" hidden="false" customHeight="true" outlineLevel="0" collapsed="false">
      <c r="B213" s="253"/>
      <c r="C213" s="10"/>
      <c r="D213" s="10"/>
      <c r="E213" s="257"/>
      <c r="F213" s="10"/>
      <c r="G213" s="256"/>
      <c r="H213" s="256"/>
      <c r="I213" s="256"/>
      <c r="J213" s="253"/>
    </row>
    <row r="214" customFormat="false" ht="15.75" hidden="false" customHeight="true" outlineLevel="0" collapsed="false">
      <c r="B214" s="253"/>
      <c r="C214" s="10"/>
      <c r="D214" s="10"/>
      <c r="E214" s="257"/>
      <c r="F214" s="10"/>
      <c r="G214" s="256"/>
      <c r="H214" s="256"/>
      <c r="I214" s="256"/>
      <c r="J214" s="253"/>
    </row>
    <row r="215" customFormat="false" ht="15.75" hidden="false" customHeight="true" outlineLevel="0" collapsed="false">
      <c r="B215" s="253"/>
      <c r="C215" s="10"/>
      <c r="D215" s="10"/>
      <c r="E215" s="257"/>
      <c r="F215" s="10"/>
      <c r="G215" s="256"/>
      <c r="H215" s="256"/>
      <c r="I215" s="256"/>
      <c r="J215" s="253"/>
    </row>
    <row r="216" customFormat="false" ht="15.75" hidden="false" customHeight="true" outlineLevel="0" collapsed="false">
      <c r="B216" s="253"/>
      <c r="C216" s="10"/>
      <c r="D216" s="10"/>
      <c r="E216" s="257"/>
      <c r="F216" s="10"/>
      <c r="G216" s="256"/>
      <c r="H216" s="256"/>
      <c r="I216" s="256"/>
      <c r="J216" s="253"/>
    </row>
    <row r="217" customFormat="false" ht="15.75" hidden="false" customHeight="true" outlineLevel="0" collapsed="false">
      <c r="B217" s="253"/>
      <c r="C217" s="10"/>
      <c r="D217" s="10"/>
      <c r="E217" s="257"/>
      <c r="F217" s="10"/>
      <c r="G217" s="256"/>
      <c r="H217" s="256"/>
      <c r="I217" s="256"/>
      <c r="J217" s="253"/>
    </row>
    <row r="218" customFormat="false" ht="15.75" hidden="false" customHeight="true" outlineLevel="0" collapsed="false">
      <c r="B218" s="253"/>
      <c r="C218" s="10"/>
      <c r="D218" s="10"/>
      <c r="E218" s="257"/>
      <c r="F218" s="10"/>
      <c r="G218" s="256"/>
      <c r="H218" s="256"/>
      <c r="I218" s="256"/>
      <c r="J218" s="253"/>
    </row>
    <row r="219" customFormat="false" ht="15.75" hidden="false" customHeight="true" outlineLevel="0" collapsed="false">
      <c r="B219" s="253"/>
      <c r="C219" s="10"/>
      <c r="D219" s="10"/>
      <c r="E219" s="257"/>
      <c r="F219" s="10"/>
      <c r="G219" s="256"/>
      <c r="H219" s="256"/>
      <c r="I219" s="256"/>
      <c r="J219" s="253"/>
    </row>
    <row r="220" customFormat="false" ht="15.75" hidden="false" customHeight="true" outlineLevel="0" collapsed="false">
      <c r="B220" s="253"/>
      <c r="C220" s="10"/>
      <c r="D220" s="10"/>
      <c r="E220" s="257"/>
      <c r="F220" s="10"/>
      <c r="G220" s="256"/>
      <c r="H220" s="256"/>
      <c r="I220" s="256"/>
      <c r="J220" s="253"/>
    </row>
    <row r="221" customFormat="false" ht="15.75" hidden="false" customHeight="true" outlineLevel="0" collapsed="false">
      <c r="B221" s="253"/>
      <c r="C221" s="10"/>
      <c r="D221" s="10"/>
      <c r="E221" s="257"/>
      <c r="F221" s="10"/>
      <c r="G221" s="256"/>
      <c r="H221" s="256"/>
      <c r="I221" s="256"/>
      <c r="J221" s="253"/>
    </row>
    <row r="222" customFormat="false" ht="15.75" hidden="false" customHeight="true" outlineLevel="0" collapsed="false">
      <c r="B222" s="253"/>
      <c r="C222" s="10"/>
      <c r="D222" s="10"/>
      <c r="E222" s="257"/>
      <c r="F222" s="10"/>
      <c r="G222" s="256"/>
      <c r="H222" s="256"/>
      <c r="I222" s="256"/>
      <c r="J222" s="253"/>
    </row>
    <row r="223" customFormat="false" ht="15.75" hidden="false" customHeight="true" outlineLevel="0" collapsed="false">
      <c r="B223" s="253"/>
      <c r="C223" s="10"/>
      <c r="D223" s="10"/>
      <c r="E223" s="257"/>
      <c r="F223" s="10"/>
      <c r="G223" s="256"/>
      <c r="H223" s="256"/>
      <c r="I223" s="256"/>
      <c r="J223" s="253"/>
    </row>
    <row r="224" customFormat="false" ht="15.75" hidden="false" customHeight="true" outlineLevel="0" collapsed="false">
      <c r="B224" s="253"/>
      <c r="C224" s="10"/>
      <c r="D224" s="10"/>
      <c r="E224" s="257"/>
      <c r="F224" s="10"/>
      <c r="G224" s="256"/>
      <c r="H224" s="256"/>
      <c r="I224" s="256"/>
      <c r="J224" s="253"/>
    </row>
    <row r="225" customFormat="false" ht="15.75" hidden="false" customHeight="true" outlineLevel="0" collapsed="false">
      <c r="B225" s="253"/>
      <c r="C225" s="10"/>
      <c r="D225" s="10"/>
      <c r="E225" s="257"/>
      <c r="F225" s="10"/>
      <c r="G225" s="256"/>
      <c r="H225" s="256"/>
      <c r="I225" s="256"/>
      <c r="J225" s="253"/>
    </row>
    <row r="226" customFormat="false" ht="15.75" hidden="false" customHeight="true" outlineLevel="0" collapsed="false">
      <c r="B226" s="253"/>
      <c r="C226" s="10"/>
      <c r="D226" s="10"/>
      <c r="E226" s="257"/>
      <c r="F226" s="10"/>
      <c r="G226" s="256"/>
      <c r="H226" s="256"/>
      <c r="I226" s="256"/>
      <c r="J226" s="253"/>
    </row>
    <row r="227" customFormat="false" ht="15.75" hidden="false" customHeight="true" outlineLevel="0" collapsed="false">
      <c r="B227" s="253"/>
      <c r="C227" s="10"/>
      <c r="D227" s="10"/>
      <c r="E227" s="257"/>
      <c r="F227" s="10"/>
      <c r="G227" s="256"/>
      <c r="H227" s="256"/>
      <c r="I227" s="256"/>
      <c r="J227" s="253"/>
    </row>
    <row r="228" customFormat="false" ht="15.75" hidden="false" customHeight="true" outlineLevel="0" collapsed="false">
      <c r="B228" s="253"/>
      <c r="C228" s="10"/>
      <c r="D228" s="10"/>
      <c r="E228" s="257"/>
      <c r="F228" s="10"/>
      <c r="G228" s="256"/>
      <c r="H228" s="256"/>
      <c r="I228" s="256"/>
      <c r="J228" s="253"/>
    </row>
    <row r="229" customFormat="false" ht="15.75" hidden="false" customHeight="true" outlineLevel="0" collapsed="false">
      <c r="B229" s="253"/>
      <c r="C229" s="10"/>
      <c r="D229" s="10"/>
      <c r="E229" s="257"/>
      <c r="F229" s="10"/>
      <c r="G229" s="256"/>
      <c r="H229" s="256"/>
      <c r="I229" s="256"/>
      <c r="J229" s="253"/>
    </row>
    <row r="230" customFormat="false" ht="15.75" hidden="false" customHeight="true" outlineLevel="0" collapsed="false">
      <c r="B230" s="253"/>
      <c r="C230" s="10"/>
      <c r="D230" s="10"/>
      <c r="E230" s="257"/>
      <c r="F230" s="10"/>
      <c r="G230" s="256"/>
      <c r="H230" s="256"/>
      <c r="I230" s="256"/>
      <c r="J230" s="253"/>
    </row>
    <row r="231" customFormat="false" ht="15.75" hidden="false" customHeight="true" outlineLevel="0" collapsed="false">
      <c r="B231" s="253"/>
      <c r="C231" s="10"/>
      <c r="D231" s="10"/>
      <c r="E231" s="257"/>
      <c r="F231" s="10"/>
      <c r="G231" s="256"/>
      <c r="H231" s="256"/>
      <c r="I231" s="256"/>
      <c r="J231" s="253"/>
    </row>
    <row r="232" customFormat="false" ht="15.75" hidden="false" customHeight="true" outlineLevel="0" collapsed="false">
      <c r="B232" s="253"/>
      <c r="C232" s="10"/>
      <c r="D232" s="10"/>
      <c r="E232" s="257"/>
      <c r="F232" s="10"/>
      <c r="G232" s="256"/>
      <c r="H232" s="256"/>
      <c r="I232" s="256"/>
      <c r="J232" s="253"/>
    </row>
    <row r="233" customFormat="false" ht="15.75" hidden="false" customHeight="true" outlineLevel="0" collapsed="false">
      <c r="B233" s="253"/>
      <c r="C233" s="10"/>
      <c r="D233" s="10"/>
      <c r="E233" s="257"/>
      <c r="F233" s="10"/>
      <c r="G233" s="256"/>
      <c r="H233" s="256"/>
      <c r="I233" s="256"/>
      <c r="J233" s="253"/>
    </row>
    <row r="234" customFormat="false" ht="15.75" hidden="false" customHeight="true" outlineLevel="0" collapsed="false">
      <c r="B234" s="253"/>
      <c r="C234" s="10"/>
      <c r="D234" s="10"/>
      <c r="E234" s="257"/>
      <c r="F234" s="10"/>
      <c r="G234" s="256"/>
      <c r="H234" s="256"/>
      <c r="I234" s="256"/>
      <c r="J234" s="253"/>
    </row>
    <row r="235" customFormat="false" ht="15.75" hidden="false" customHeight="true" outlineLevel="0" collapsed="false">
      <c r="B235" s="253"/>
      <c r="C235" s="10"/>
      <c r="D235" s="10"/>
      <c r="E235" s="257"/>
      <c r="F235" s="10"/>
      <c r="G235" s="256"/>
      <c r="H235" s="256"/>
      <c r="I235" s="256"/>
      <c r="J235" s="253"/>
    </row>
    <row r="236" customFormat="false" ht="15.75" hidden="false" customHeight="true" outlineLevel="0" collapsed="false">
      <c r="B236" s="253"/>
      <c r="C236" s="10"/>
      <c r="D236" s="10"/>
      <c r="E236" s="257"/>
      <c r="F236" s="10"/>
      <c r="G236" s="256"/>
      <c r="H236" s="256"/>
      <c r="I236" s="256"/>
      <c r="J236" s="253"/>
    </row>
    <row r="237" customFormat="false" ht="15.75" hidden="false" customHeight="true" outlineLevel="0" collapsed="false">
      <c r="B237" s="253"/>
      <c r="C237" s="10"/>
      <c r="D237" s="10"/>
      <c r="E237" s="257"/>
      <c r="F237" s="10"/>
      <c r="G237" s="256"/>
      <c r="H237" s="256"/>
      <c r="I237" s="256"/>
      <c r="J237" s="253"/>
    </row>
    <row r="238" customFormat="false" ht="15.75" hidden="false" customHeight="true" outlineLevel="0" collapsed="false">
      <c r="B238" s="253"/>
      <c r="C238" s="10"/>
      <c r="D238" s="10"/>
      <c r="E238" s="257"/>
      <c r="F238" s="10"/>
      <c r="G238" s="256"/>
      <c r="H238" s="256"/>
      <c r="I238" s="256"/>
      <c r="J238" s="253"/>
    </row>
    <row r="239" customFormat="false" ht="15.75" hidden="false" customHeight="true" outlineLevel="0" collapsed="false">
      <c r="B239" s="253"/>
      <c r="C239" s="10"/>
      <c r="D239" s="10"/>
      <c r="E239" s="257"/>
      <c r="F239" s="10"/>
      <c r="G239" s="256"/>
      <c r="H239" s="256"/>
      <c r="I239" s="256"/>
      <c r="J239" s="253"/>
    </row>
    <row r="240" customFormat="false" ht="15.75" hidden="false" customHeight="true" outlineLevel="0" collapsed="false">
      <c r="B240" s="253"/>
      <c r="C240" s="10"/>
      <c r="D240" s="10"/>
      <c r="E240" s="257"/>
      <c r="F240" s="10"/>
      <c r="G240" s="256"/>
      <c r="H240" s="256"/>
      <c r="I240" s="256"/>
      <c r="J240" s="253"/>
    </row>
    <row r="241" customFormat="false" ht="15.75" hidden="false" customHeight="true" outlineLevel="0" collapsed="false">
      <c r="B241" s="253"/>
      <c r="C241" s="10"/>
      <c r="D241" s="10"/>
      <c r="E241" s="257"/>
      <c r="F241" s="10"/>
      <c r="G241" s="256"/>
      <c r="H241" s="256"/>
      <c r="I241" s="256"/>
      <c r="J241" s="253"/>
    </row>
    <row r="242" customFormat="false" ht="15.75" hidden="false" customHeight="true" outlineLevel="0" collapsed="false">
      <c r="B242" s="253"/>
      <c r="C242" s="10"/>
      <c r="D242" s="10"/>
      <c r="E242" s="257"/>
      <c r="F242" s="10"/>
      <c r="G242" s="256"/>
      <c r="H242" s="256"/>
      <c r="I242" s="256"/>
      <c r="J242" s="253"/>
    </row>
    <row r="243" customFormat="false" ht="15.75" hidden="false" customHeight="true" outlineLevel="0" collapsed="false">
      <c r="B243" s="253"/>
      <c r="C243" s="10"/>
      <c r="D243" s="10"/>
      <c r="E243" s="257"/>
      <c r="F243" s="10"/>
      <c r="G243" s="256"/>
      <c r="H243" s="256"/>
      <c r="I243" s="256"/>
      <c r="J243" s="253"/>
    </row>
    <row r="244" customFormat="false" ht="15.75" hidden="false" customHeight="true" outlineLevel="0" collapsed="false">
      <c r="B244" s="253"/>
      <c r="C244" s="10"/>
      <c r="D244" s="10"/>
      <c r="E244" s="257"/>
      <c r="F244" s="10"/>
      <c r="G244" s="256"/>
      <c r="H244" s="256"/>
      <c r="I244" s="256"/>
      <c r="J244" s="253"/>
    </row>
    <row r="245" customFormat="false" ht="15.75" hidden="false" customHeight="true" outlineLevel="0" collapsed="false">
      <c r="B245" s="253"/>
      <c r="C245" s="10"/>
      <c r="D245" s="10"/>
      <c r="E245" s="257"/>
      <c r="F245" s="10"/>
      <c r="G245" s="256"/>
      <c r="H245" s="256"/>
      <c r="I245" s="256"/>
      <c r="J245" s="253"/>
    </row>
    <row r="246" customFormat="false" ht="15.75" hidden="false" customHeight="true" outlineLevel="0" collapsed="false">
      <c r="B246" s="253"/>
      <c r="C246" s="10"/>
      <c r="D246" s="10"/>
      <c r="E246" s="257"/>
      <c r="F246" s="10"/>
      <c r="G246" s="256"/>
      <c r="H246" s="256"/>
      <c r="I246" s="256"/>
      <c r="J246" s="253"/>
    </row>
    <row r="247" customFormat="false" ht="15.75" hidden="false" customHeight="true" outlineLevel="0" collapsed="false">
      <c r="B247" s="253"/>
      <c r="C247" s="10"/>
      <c r="D247" s="10"/>
      <c r="E247" s="257"/>
      <c r="F247" s="10"/>
      <c r="G247" s="256"/>
      <c r="H247" s="256"/>
      <c r="I247" s="256"/>
      <c r="J247" s="253"/>
    </row>
    <row r="248" customFormat="false" ht="15.75" hidden="false" customHeight="true" outlineLevel="0" collapsed="false">
      <c r="B248" s="253"/>
      <c r="C248" s="10"/>
      <c r="D248" s="10"/>
      <c r="E248" s="257"/>
      <c r="F248" s="10"/>
      <c r="G248" s="256"/>
      <c r="H248" s="256"/>
      <c r="I248" s="256"/>
      <c r="J248" s="253"/>
    </row>
    <row r="249" customFormat="false" ht="15.75" hidden="false" customHeight="true" outlineLevel="0" collapsed="false">
      <c r="B249" s="253"/>
      <c r="C249" s="10"/>
      <c r="D249" s="10"/>
      <c r="E249" s="257"/>
      <c r="F249" s="10"/>
      <c r="G249" s="256"/>
      <c r="H249" s="256"/>
      <c r="I249" s="256"/>
      <c r="J249" s="253"/>
    </row>
    <row r="250" customFormat="false" ht="15.75" hidden="false" customHeight="true" outlineLevel="0" collapsed="false">
      <c r="B250" s="253"/>
      <c r="C250" s="10"/>
      <c r="D250" s="10"/>
      <c r="E250" s="257"/>
      <c r="F250" s="10"/>
      <c r="G250" s="256"/>
      <c r="H250" s="256"/>
      <c r="I250" s="256"/>
      <c r="J250" s="253"/>
    </row>
    <row r="251" customFormat="false" ht="15.75" hidden="false" customHeight="true" outlineLevel="0" collapsed="false">
      <c r="B251" s="253"/>
      <c r="C251" s="10"/>
      <c r="D251" s="10"/>
      <c r="E251" s="257"/>
      <c r="F251" s="10"/>
      <c r="G251" s="256"/>
      <c r="H251" s="256"/>
      <c r="I251" s="256"/>
      <c r="J251" s="253"/>
    </row>
    <row r="252" customFormat="false" ht="15.75" hidden="false" customHeight="true" outlineLevel="0" collapsed="false">
      <c r="B252" s="253"/>
      <c r="C252" s="10"/>
      <c r="D252" s="10"/>
      <c r="E252" s="257"/>
      <c r="F252" s="10"/>
      <c r="G252" s="256"/>
      <c r="H252" s="256"/>
      <c r="I252" s="256"/>
      <c r="J252" s="253"/>
    </row>
    <row r="253" customFormat="false" ht="15.75" hidden="false" customHeight="true" outlineLevel="0" collapsed="false">
      <c r="B253" s="253"/>
      <c r="C253" s="10"/>
      <c r="D253" s="10"/>
      <c r="E253" s="257"/>
      <c r="F253" s="10"/>
      <c r="G253" s="256"/>
      <c r="H253" s="256"/>
      <c r="I253" s="256"/>
      <c r="J253" s="253"/>
    </row>
    <row r="254" customFormat="false" ht="15.75" hidden="false" customHeight="true" outlineLevel="0" collapsed="false">
      <c r="B254" s="253"/>
      <c r="C254" s="10"/>
      <c r="D254" s="10"/>
      <c r="E254" s="257"/>
      <c r="F254" s="10"/>
      <c r="G254" s="256"/>
      <c r="H254" s="256"/>
      <c r="I254" s="256"/>
      <c r="J254" s="253"/>
    </row>
    <row r="255" customFormat="false" ht="15.75" hidden="false" customHeight="true" outlineLevel="0" collapsed="false">
      <c r="B255" s="253"/>
      <c r="C255" s="10"/>
      <c r="D255" s="10"/>
      <c r="E255" s="257"/>
      <c r="F255" s="10"/>
      <c r="G255" s="256"/>
      <c r="H255" s="256"/>
      <c r="I255" s="256"/>
      <c r="J255" s="253"/>
    </row>
    <row r="256" customFormat="false" ht="15.75" hidden="false" customHeight="true" outlineLevel="0" collapsed="false">
      <c r="B256" s="253"/>
      <c r="C256" s="10"/>
      <c r="D256" s="10"/>
      <c r="E256" s="257"/>
      <c r="F256" s="10"/>
      <c r="G256" s="256"/>
      <c r="H256" s="256"/>
      <c r="I256" s="256"/>
      <c r="J256" s="253"/>
    </row>
    <row r="257" customFormat="false" ht="15.75" hidden="false" customHeight="true" outlineLevel="0" collapsed="false">
      <c r="B257" s="253"/>
      <c r="C257" s="10"/>
      <c r="D257" s="10"/>
      <c r="E257" s="257"/>
      <c r="F257" s="10"/>
      <c r="G257" s="256"/>
      <c r="H257" s="256"/>
      <c r="I257" s="256"/>
      <c r="J257" s="253"/>
    </row>
    <row r="258" customFormat="false" ht="15.75" hidden="false" customHeight="true" outlineLevel="0" collapsed="false">
      <c r="B258" s="253"/>
      <c r="C258" s="10"/>
      <c r="D258" s="10"/>
      <c r="E258" s="257"/>
      <c r="F258" s="10"/>
      <c r="G258" s="256"/>
      <c r="H258" s="256"/>
      <c r="I258" s="256"/>
      <c r="J258" s="253"/>
    </row>
    <row r="259" customFormat="false" ht="15.75" hidden="false" customHeight="true" outlineLevel="0" collapsed="false">
      <c r="B259" s="253"/>
      <c r="C259" s="10"/>
      <c r="D259" s="10"/>
      <c r="E259" s="257"/>
      <c r="F259" s="10"/>
      <c r="G259" s="256"/>
      <c r="H259" s="256"/>
      <c r="I259" s="256"/>
      <c r="J259" s="253"/>
    </row>
    <row r="260" customFormat="false" ht="15.75" hidden="false" customHeight="true" outlineLevel="0" collapsed="false">
      <c r="B260" s="253"/>
      <c r="C260" s="10"/>
      <c r="D260" s="10"/>
      <c r="E260" s="257"/>
      <c r="F260" s="10"/>
      <c r="G260" s="256"/>
      <c r="H260" s="256"/>
      <c r="I260" s="256"/>
      <c r="J260" s="253"/>
    </row>
    <row r="261" customFormat="false" ht="15.75" hidden="false" customHeight="true" outlineLevel="0" collapsed="false">
      <c r="B261" s="253"/>
      <c r="C261" s="10"/>
      <c r="D261" s="10"/>
      <c r="E261" s="257"/>
      <c r="F261" s="10"/>
      <c r="G261" s="256"/>
      <c r="H261" s="256"/>
      <c r="I261" s="256"/>
      <c r="J261" s="253"/>
    </row>
    <row r="262" customFormat="false" ht="15.75" hidden="false" customHeight="true" outlineLevel="0" collapsed="false">
      <c r="B262" s="253"/>
      <c r="C262" s="10"/>
      <c r="D262" s="10"/>
      <c r="E262" s="257"/>
      <c r="F262" s="10"/>
      <c r="G262" s="256"/>
      <c r="H262" s="256"/>
      <c r="I262" s="256"/>
      <c r="J262" s="253"/>
    </row>
    <row r="263" customFormat="false" ht="15.75" hidden="false" customHeight="true" outlineLevel="0" collapsed="false">
      <c r="B263" s="253"/>
      <c r="C263" s="10"/>
      <c r="D263" s="10"/>
      <c r="E263" s="257"/>
      <c r="F263" s="10"/>
      <c r="G263" s="256"/>
      <c r="H263" s="256"/>
      <c r="I263" s="256"/>
      <c r="J263" s="253"/>
    </row>
    <row r="264" customFormat="false" ht="15.75" hidden="false" customHeight="true" outlineLevel="0" collapsed="false">
      <c r="B264" s="253"/>
      <c r="C264" s="10"/>
      <c r="D264" s="10"/>
      <c r="E264" s="257"/>
      <c r="F264" s="10"/>
      <c r="G264" s="256"/>
      <c r="H264" s="256"/>
      <c r="I264" s="256"/>
      <c r="J264" s="253"/>
    </row>
    <row r="265" customFormat="false" ht="15.75" hidden="false" customHeight="true" outlineLevel="0" collapsed="false">
      <c r="B265" s="253"/>
      <c r="C265" s="10"/>
      <c r="D265" s="10"/>
      <c r="E265" s="257"/>
      <c r="F265" s="10"/>
      <c r="G265" s="256"/>
      <c r="H265" s="256"/>
      <c r="I265" s="256"/>
      <c r="J265" s="253"/>
    </row>
    <row r="266" customFormat="false" ht="15.75" hidden="false" customHeight="true" outlineLevel="0" collapsed="false">
      <c r="B266" s="253"/>
      <c r="C266" s="10"/>
      <c r="D266" s="10"/>
      <c r="E266" s="257"/>
      <c r="F266" s="10"/>
      <c r="G266" s="256"/>
      <c r="H266" s="256"/>
      <c r="I266" s="256"/>
      <c r="J266" s="253"/>
    </row>
    <row r="267" customFormat="false" ht="15.75" hidden="false" customHeight="true" outlineLevel="0" collapsed="false">
      <c r="B267" s="253"/>
      <c r="C267" s="10"/>
      <c r="D267" s="10"/>
      <c r="E267" s="257"/>
      <c r="F267" s="10"/>
      <c r="G267" s="256"/>
      <c r="H267" s="256"/>
      <c r="I267" s="256"/>
      <c r="J267" s="253"/>
    </row>
    <row r="268" customFormat="false" ht="15.75" hidden="false" customHeight="true" outlineLevel="0" collapsed="false">
      <c r="B268" s="253"/>
      <c r="C268" s="10"/>
      <c r="D268" s="10"/>
      <c r="E268" s="257"/>
      <c r="F268" s="10"/>
      <c r="G268" s="256"/>
      <c r="H268" s="256"/>
      <c r="I268" s="256"/>
      <c r="J268" s="253"/>
    </row>
    <row r="269" customFormat="false" ht="15.75" hidden="false" customHeight="true" outlineLevel="0" collapsed="false">
      <c r="B269" s="253"/>
      <c r="C269" s="10"/>
      <c r="D269" s="10"/>
      <c r="E269" s="257"/>
      <c r="F269" s="10"/>
      <c r="G269" s="256"/>
      <c r="H269" s="256"/>
      <c r="I269" s="256"/>
      <c r="J269" s="253"/>
    </row>
    <row r="270" customFormat="false" ht="15.75" hidden="false" customHeight="true" outlineLevel="0" collapsed="false">
      <c r="B270" s="253"/>
      <c r="C270" s="10"/>
      <c r="D270" s="10"/>
      <c r="E270" s="257"/>
      <c r="F270" s="10"/>
      <c r="G270" s="256"/>
      <c r="H270" s="256"/>
      <c r="I270" s="256"/>
      <c r="J270" s="253"/>
    </row>
    <row r="271" customFormat="false" ht="15.75" hidden="false" customHeight="true" outlineLevel="0" collapsed="false">
      <c r="B271" s="253"/>
      <c r="C271" s="10"/>
      <c r="D271" s="10"/>
      <c r="E271" s="257"/>
      <c r="F271" s="10"/>
      <c r="G271" s="256"/>
      <c r="H271" s="256"/>
      <c r="I271" s="256"/>
      <c r="J271" s="253"/>
    </row>
    <row r="272" customFormat="false" ht="15.75" hidden="false" customHeight="true" outlineLevel="0" collapsed="false">
      <c r="B272" s="253"/>
      <c r="C272" s="10"/>
      <c r="D272" s="10"/>
      <c r="E272" s="257"/>
      <c r="F272" s="10"/>
      <c r="G272" s="256"/>
      <c r="H272" s="256"/>
      <c r="I272" s="256"/>
      <c r="J272" s="253"/>
    </row>
    <row r="273" customFormat="false" ht="15.75" hidden="false" customHeight="true" outlineLevel="0" collapsed="false">
      <c r="B273" s="253"/>
      <c r="C273" s="10"/>
      <c r="D273" s="10"/>
      <c r="E273" s="257"/>
      <c r="F273" s="10"/>
      <c r="G273" s="256"/>
      <c r="H273" s="256"/>
      <c r="I273" s="256"/>
      <c r="J273" s="253"/>
    </row>
    <row r="274" customFormat="false" ht="15.75" hidden="false" customHeight="true" outlineLevel="0" collapsed="false">
      <c r="B274" s="253"/>
      <c r="C274" s="10"/>
      <c r="D274" s="10"/>
      <c r="E274" s="257"/>
      <c r="F274" s="10"/>
      <c r="G274" s="256"/>
      <c r="H274" s="256"/>
      <c r="I274" s="256"/>
      <c r="J274" s="253"/>
    </row>
    <row r="275" customFormat="false" ht="15.75" hidden="false" customHeight="true" outlineLevel="0" collapsed="false">
      <c r="B275" s="253"/>
      <c r="C275" s="10"/>
      <c r="D275" s="10"/>
      <c r="E275" s="257"/>
      <c r="F275" s="10"/>
      <c r="G275" s="256"/>
      <c r="H275" s="256"/>
      <c r="I275" s="256"/>
      <c r="J275" s="253"/>
    </row>
    <row r="276" customFormat="false" ht="15.75" hidden="false" customHeight="true" outlineLevel="0" collapsed="false">
      <c r="B276" s="253"/>
      <c r="C276" s="10"/>
      <c r="D276" s="10"/>
      <c r="E276" s="257"/>
      <c r="F276" s="10"/>
      <c r="G276" s="256"/>
      <c r="H276" s="256"/>
      <c r="I276" s="256"/>
      <c r="J276" s="253"/>
    </row>
    <row r="277" customFormat="false" ht="15.75" hidden="false" customHeight="true" outlineLevel="0" collapsed="false">
      <c r="B277" s="253"/>
      <c r="C277" s="10"/>
      <c r="D277" s="10"/>
      <c r="E277" s="257"/>
      <c r="F277" s="10"/>
      <c r="G277" s="256"/>
      <c r="H277" s="256"/>
      <c r="I277" s="256"/>
      <c r="J277" s="253"/>
    </row>
    <row r="278" customFormat="false" ht="15.75" hidden="false" customHeight="true" outlineLevel="0" collapsed="false">
      <c r="B278" s="253"/>
      <c r="C278" s="10"/>
      <c r="D278" s="10"/>
      <c r="E278" s="257"/>
      <c r="F278" s="10"/>
      <c r="G278" s="256"/>
      <c r="H278" s="256"/>
      <c r="I278" s="256"/>
      <c r="J278" s="253"/>
    </row>
    <row r="279" customFormat="false" ht="15.75" hidden="false" customHeight="true" outlineLevel="0" collapsed="false">
      <c r="B279" s="253"/>
      <c r="C279" s="10"/>
      <c r="D279" s="10"/>
      <c r="E279" s="257"/>
      <c r="F279" s="10"/>
      <c r="G279" s="256"/>
      <c r="H279" s="256"/>
      <c r="I279" s="256"/>
      <c r="J279" s="253"/>
    </row>
    <row r="280" customFormat="false" ht="15.75" hidden="false" customHeight="true" outlineLevel="0" collapsed="false">
      <c r="B280" s="253"/>
      <c r="C280" s="10"/>
      <c r="D280" s="10"/>
      <c r="E280" s="257"/>
      <c r="F280" s="10"/>
      <c r="G280" s="256"/>
      <c r="H280" s="256"/>
      <c r="I280" s="256"/>
      <c r="J280" s="253"/>
    </row>
    <row r="281" customFormat="false" ht="15.75" hidden="false" customHeight="true" outlineLevel="0" collapsed="false">
      <c r="B281" s="253"/>
      <c r="C281" s="10"/>
      <c r="D281" s="10"/>
      <c r="E281" s="257"/>
      <c r="F281" s="10"/>
      <c r="G281" s="256"/>
      <c r="H281" s="256"/>
      <c r="I281" s="256"/>
      <c r="J281" s="253"/>
    </row>
    <row r="282" customFormat="false" ht="15.75" hidden="false" customHeight="true" outlineLevel="0" collapsed="false">
      <c r="B282" s="253"/>
      <c r="C282" s="10"/>
      <c r="D282" s="10"/>
      <c r="E282" s="257"/>
      <c r="F282" s="10"/>
      <c r="G282" s="256"/>
      <c r="H282" s="256"/>
      <c r="I282" s="256"/>
      <c r="J282" s="253"/>
    </row>
    <row r="283" customFormat="false" ht="15.75" hidden="false" customHeight="true" outlineLevel="0" collapsed="false">
      <c r="B283" s="253"/>
      <c r="C283" s="10"/>
      <c r="D283" s="10"/>
      <c r="E283" s="257"/>
      <c r="F283" s="10"/>
      <c r="G283" s="256"/>
      <c r="H283" s="256"/>
      <c r="I283" s="256"/>
      <c r="J283" s="253"/>
    </row>
    <row r="284" customFormat="false" ht="15.75" hidden="false" customHeight="true" outlineLevel="0" collapsed="false">
      <c r="B284" s="253"/>
      <c r="C284" s="10"/>
      <c r="D284" s="10"/>
      <c r="E284" s="257"/>
      <c r="F284" s="10"/>
      <c r="G284" s="256"/>
      <c r="H284" s="256"/>
      <c r="I284" s="256"/>
      <c r="J284" s="253"/>
    </row>
    <row r="285" customFormat="false" ht="15.75" hidden="false" customHeight="true" outlineLevel="0" collapsed="false">
      <c r="B285" s="253"/>
      <c r="C285" s="10"/>
      <c r="D285" s="10"/>
      <c r="E285" s="257"/>
      <c r="F285" s="10"/>
      <c r="G285" s="256"/>
      <c r="H285" s="256"/>
      <c r="I285" s="256"/>
      <c r="J285" s="253"/>
    </row>
    <row r="286" customFormat="false" ht="15.75" hidden="false" customHeight="true" outlineLevel="0" collapsed="false">
      <c r="B286" s="253"/>
      <c r="C286" s="10"/>
      <c r="D286" s="10"/>
      <c r="E286" s="257"/>
      <c r="F286" s="10"/>
      <c r="G286" s="256"/>
      <c r="H286" s="256"/>
      <c r="I286" s="256"/>
      <c r="J286" s="253"/>
    </row>
    <row r="287" customFormat="false" ht="15.75" hidden="false" customHeight="true" outlineLevel="0" collapsed="false">
      <c r="B287" s="253"/>
      <c r="C287" s="10"/>
      <c r="D287" s="10"/>
      <c r="E287" s="257"/>
      <c r="F287" s="10"/>
      <c r="G287" s="256"/>
      <c r="H287" s="256"/>
      <c r="I287" s="256"/>
      <c r="J287" s="253"/>
    </row>
    <row r="288" customFormat="false" ht="15.75" hidden="false" customHeight="true" outlineLevel="0" collapsed="false">
      <c r="B288" s="253"/>
      <c r="C288" s="10"/>
      <c r="D288" s="10"/>
      <c r="E288" s="257"/>
      <c r="F288" s="10"/>
      <c r="G288" s="256"/>
      <c r="H288" s="256"/>
      <c r="I288" s="256"/>
      <c r="J288" s="253"/>
    </row>
    <row r="289" customFormat="false" ht="15.75" hidden="false" customHeight="true" outlineLevel="0" collapsed="false">
      <c r="B289" s="253"/>
      <c r="C289" s="10"/>
      <c r="D289" s="10"/>
      <c r="E289" s="257"/>
      <c r="F289" s="10"/>
      <c r="G289" s="256"/>
      <c r="H289" s="256"/>
      <c r="I289" s="256"/>
      <c r="J289" s="253"/>
    </row>
    <row r="290" customFormat="false" ht="15.75" hidden="false" customHeight="true" outlineLevel="0" collapsed="false">
      <c r="B290" s="253"/>
      <c r="C290" s="10"/>
      <c r="D290" s="10"/>
      <c r="E290" s="257"/>
      <c r="F290" s="10"/>
      <c r="G290" s="256"/>
      <c r="H290" s="256"/>
      <c r="I290" s="256"/>
      <c r="J290" s="253"/>
    </row>
    <row r="291" customFormat="false" ht="15.75" hidden="false" customHeight="true" outlineLevel="0" collapsed="false">
      <c r="B291" s="253"/>
      <c r="C291" s="10"/>
      <c r="D291" s="10"/>
      <c r="E291" s="257"/>
      <c r="F291" s="10"/>
      <c r="G291" s="256"/>
      <c r="H291" s="256"/>
      <c r="I291" s="256"/>
      <c r="J291" s="253"/>
    </row>
    <row r="292" customFormat="false" ht="15.75" hidden="false" customHeight="true" outlineLevel="0" collapsed="false">
      <c r="B292" s="253"/>
      <c r="C292" s="10"/>
      <c r="D292" s="10"/>
      <c r="E292" s="257"/>
      <c r="F292" s="10"/>
      <c r="G292" s="256"/>
      <c r="H292" s="256"/>
      <c r="I292" s="256"/>
      <c r="J292" s="253"/>
    </row>
    <row r="293" customFormat="false" ht="15.75" hidden="false" customHeight="true" outlineLevel="0" collapsed="false">
      <c r="B293" s="253"/>
      <c r="C293" s="10"/>
      <c r="D293" s="10"/>
      <c r="E293" s="257"/>
      <c r="F293" s="10"/>
      <c r="G293" s="256"/>
      <c r="H293" s="256"/>
      <c r="I293" s="256"/>
      <c r="J293" s="253"/>
    </row>
    <row r="294" customFormat="false" ht="15.75" hidden="false" customHeight="true" outlineLevel="0" collapsed="false">
      <c r="B294" s="253"/>
      <c r="C294" s="10"/>
      <c r="D294" s="10"/>
      <c r="E294" s="257"/>
      <c r="F294" s="10"/>
      <c r="G294" s="256"/>
      <c r="H294" s="256"/>
      <c r="I294" s="256"/>
      <c r="J294" s="253"/>
    </row>
    <row r="295" customFormat="false" ht="15.75" hidden="false" customHeight="true" outlineLevel="0" collapsed="false">
      <c r="B295" s="253"/>
      <c r="C295" s="10"/>
      <c r="D295" s="10"/>
      <c r="E295" s="257"/>
      <c r="F295" s="10"/>
      <c r="G295" s="256"/>
      <c r="H295" s="256"/>
      <c r="I295" s="256"/>
      <c r="J295" s="253"/>
    </row>
    <row r="296" customFormat="false" ht="15.75" hidden="false" customHeight="true" outlineLevel="0" collapsed="false">
      <c r="B296" s="253"/>
      <c r="C296" s="10"/>
      <c r="D296" s="10"/>
      <c r="E296" s="257"/>
      <c r="F296" s="10"/>
      <c r="G296" s="256"/>
      <c r="H296" s="256"/>
      <c r="I296" s="256"/>
      <c r="J296" s="253"/>
    </row>
    <row r="297" customFormat="false" ht="15.75" hidden="false" customHeight="true" outlineLevel="0" collapsed="false">
      <c r="B297" s="253"/>
      <c r="C297" s="10"/>
      <c r="D297" s="10"/>
      <c r="E297" s="257"/>
      <c r="F297" s="10"/>
      <c r="G297" s="256"/>
      <c r="H297" s="256"/>
      <c r="I297" s="256"/>
      <c r="J297" s="253"/>
    </row>
    <row r="298" customFormat="false" ht="15.75" hidden="false" customHeight="true" outlineLevel="0" collapsed="false">
      <c r="B298" s="253"/>
      <c r="C298" s="10"/>
      <c r="D298" s="10"/>
      <c r="E298" s="257"/>
      <c r="F298" s="10"/>
      <c r="G298" s="256"/>
      <c r="H298" s="256"/>
      <c r="I298" s="256"/>
      <c r="J298" s="253"/>
    </row>
    <row r="299" customFormat="false" ht="15.75" hidden="false" customHeight="true" outlineLevel="0" collapsed="false">
      <c r="B299" s="253"/>
      <c r="C299" s="10"/>
      <c r="D299" s="10"/>
      <c r="E299" s="257"/>
      <c r="F299" s="10"/>
      <c r="G299" s="256"/>
      <c r="H299" s="256"/>
      <c r="I299" s="256"/>
      <c r="J299" s="253"/>
    </row>
    <row r="300" customFormat="false" ht="15.75" hidden="false" customHeight="true" outlineLevel="0" collapsed="false">
      <c r="B300" s="253"/>
      <c r="C300" s="10"/>
      <c r="D300" s="10"/>
      <c r="E300" s="257"/>
      <c r="F300" s="10"/>
      <c r="G300" s="256"/>
      <c r="H300" s="256"/>
      <c r="I300" s="256"/>
      <c r="J300" s="253"/>
    </row>
    <row r="301" customFormat="false" ht="15.75" hidden="false" customHeight="true" outlineLevel="0" collapsed="false">
      <c r="B301" s="253"/>
      <c r="C301" s="10"/>
      <c r="D301" s="10"/>
      <c r="E301" s="257"/>
      <c r="F301" s="10"/>
      <c r="G301" s="256"/>
      <c r="H301" s="256"/>
      <c r="I301" s="256"/>
      <c r="J301" s="253"/>
    </row>
    <row r="302" customFormat="false" ht="15.75" hidden="false" customHeight="true" outlineLevel="0" collapsed="false">
      <c r="B302" s="253"/>
      <c r="C302" s="10"/>
      <c r="D302" s="10"/>
      <c r="E302" s="257"/>
      <c r="F302" s="10"/>
      <c r="G302" s="256"/>
      <c r="H302" s="256"/>
      <c r="I302" s="256"/>
      <c r="J302" s="253"/>
    </row>
    <row r="303" customFormat="false" ht="15.75" hidden="false" customHeight="true" outlineLevel="0" collapsed="false">
      <c r="B303" s="253"/>
      <c r="C303" s="10"/>
      <c r="D303" s="10"/>
      <c r="E303" s="257"/>
      <c r="F303" s="10"/>
      <c r="G303" s="256"/>
      <c r="H303" s="256"/>
      <c r="I303" s="256"/>
      <c r="J303" s="253"/>
    </row>
    <row r="304" customFormat="false" ht="15.75" hidden="false" customHeight="true" outlineLevel="0" collapsed="false">
      <c r="B304" s="253"/>
      <c r="C304" s="10"/>
      <c r="D304" s="10"/>
      <c r="E304" s="257"/>
      <c r="F304" s="10"/>
      <c r="G304" s="256"/>
      <c r="H304" s="256"/>
      <c r="I304" s="256"/>
      <c r="J304" s="253"/>
    </row>
    <row r="305" customFormat="false" ht="15.75" hidden="false" customHeight="true" outlineLevel="0" collapsed="false">
      <c r="B305" s="253"/>
      <c r="C305" s="10"/>
      <c r="D305" s="10"/>
      <c r="E305" s="257"/>
      <c r="F305" s="10"/>
      <c r="G305" s="256"/>
      <c r="H305" s="256"/>
      <c r="I305" s="256"/>
      <c r="J305" s="253"/>
    </row>
    <row r="306" customFormat="false" ht="15.75" hidden="false" customHeight="true" outlineLevel="0" collapsed="false">
      <c r="B306" s="253"/>
      <c r="C306" s="10"/>
      <c r="D306" s="10"/>
      <c r="E306" s="257"/>
      <c r="F306" s="10"/>
      <c r="G306" s="256"/>
      <c r="H306" s="256"/>
      <c r="I306" s="256"/>
      <c r="J306" s="253"/>
    </row>
    <row r="307" customFormat="false" ht="15.75" hidden="false" customHeight="true" outlineLevel="0" collapsed="false">
      <c r="B307" s="253"/>
      <c r="C307" s="10"/>
      <c r="D307" s="10"/>
      <c r="E307" s="257"/>
      <c r="F307" s="10"/>
      <c r="G307" s="256"/>
      <c r="H307" s="256"/>
      <c r="I307" s="256"/>
      <c r="J307" s="253"/>
    </row>
    <row r="308" customFormat="false" ht="15.75" hidden="false" customHeight="true" outlineLevel="0" collapsed="false">
      <c r="B308" s="253"/>
      <c r="C308" s="10"/>
      <c r="D308" s="10"/>
      <c r="E308" s="257"/>
      <c r="F308" s="10"/>
      <c r="G308" s="256"/>
      <c r="H308" s="256"/>
      <c r="I308" s="256"/>
      <c r="J308" s="253"/>
    </row>
    <row r="309" customFormat="false" ht="15.75" hidden="false" customHeight="true" outlineLevel="0" collapsed="false">
      <c r="B309" s="253"/>
      <c r="C309" s="10"/>
      <c r="D309" s="10"/>
      <c r="E309" s="257"/>
      <c r="F309" s="10"/>
      <c r="G309" s="256"/>
      <c r="H309" s="256"/>
      <c r="I309" s="256"/>
      <c r="J309" s="253"/>
    </row>
    <row r="310" customFormat="false" ht="15.75" hidden="false" customHeight="true" outlineLevel="0" collapsed="false">
      <c r="B310" s="253"/>
      <c r="C310" s="10"/>
      <c r="D310" s="10"/>
      <c r="E310" s="257"/>
      <c r="F310" s="10"/>
      <c r="G310" s="256"/>
      <c r="H310" s="256"/>
      <c r="I310" s="256"/>
      <c r="J310" s="253"/>
    </row>
    <row r="311" customFormat="false" ht="15.75" hidden="false" customHeight="true" outlineLevel="0" collapsed="false">
      <c r="B311" s="253"/>
      <c r="C311" s="10"/>
      <c r="D311" s="10"/>
      <c r="E311" s="257"/>
      <c r="F311" s="10"/>
      <c r="G311" s="256"/>
      <c r="H311" s="256"/>
      <c r="I311" s="256"/>
      <c r="J311" s="253"/>
    </row>
    <row r="312" customFormat="false" ht="15.75" hidden="false" customHeight="true" outlineLevel="0" collapsed="false">
      <c r="B312" s="253"/>
      <c r="C312" s="10"/>
      <c r="D312" s="10"/>
      <c r="E312" s="257"/>
      <c r="F312" s="10"/>
      <c r="G312" s="256"/>
      <c r="H312" s="256"/>
      <c r="I312" s="256"/>
      <c r="J312" s="253"/>
    </row>
    <row r="313" customFormat="false" ht="15.75" hidden="false" customHeight="true" outlineLevel="0" collapsed="false">
      <c r="B313" s="253"/>
      <c r="C313" s="10"/>
      <c r="D313" s="10"/>
      <c r="E313" s="257"/>
      <c r="F313" s="10"/>
      <c r="G313" s="256"/>
      <c r="H313" s="256"/>
      <c r="I313" s="256"/>
      <c r="J313" s="253"/>
    </row>
    <row r="314" customFormat="false" ht="15.75" hidden="false" customHeight="true" outlineLevel="0" collapsed="false">
      <c r="B314" s="253"/>
      <c r="C314" s="10"/>
      <c r="D314" s="10"/>
      <c r="E314" s="257"/>
      <c r="F314" s="10"/>
      <c r="G314" s="256"/>
      <c r="H314" s="256"/>
      <c r="I314" s="256"/>
      <c r="J314" s="253"/>
    </row>
    <row r="315" customFormat="false" ht="15.75" hidden="false" customHeight="true" outlineLevel="0" collapsed="false">
      <c r="B315" s="253"/>
      <c r="C315" s="10"/>
      <c r="D315" s="10"/>
      <c r="E315" s="257"/>
      <c r="F315" s="10"/>
      <c r="G315" s="256"/>
      <c r="H315" s="256"/>
      <c r="I315" s="256"/>
      <c r="J315" s="253"/>
    </row>
    <row r="316" customFormat="false" ht="15.75" hidden="false" customHeight="true" outlineLevel="0" collapsed="false">
      <c r="B316" s="253"/>
      <c r="C316" s="10"/>
      <c r="D316" s="10"/>
      <c r="E316" s="257"/>
      <c r="F316" s="10"/>
      <c r="G316" s="256"/>
      <c r="H316" s="256"/>
      <c r="I316" s="256"/>
      <c r="J316" s="253"/>
    </row>
    <row r="317" customFormat="false" ht="15.75" hidden="false" customHeight="true" outlineLevel="0" collapsed="false">
      <c r="B317" s="253"/>
      <c r="C317" s="10"/>
      <c r="D317" s="10"/>
      <c r="E317" s="257"/>
      <c r="F317" s="10"/>
      <c r="G317" s="256"/>
      <c r="H317" s="256"/>
      <c r="I317" s="256"/>
      <c r="J317" s="253"/>
    </row>
    <row r="318" customFormat="false" ht="15.75" hidden="false" customHeight="true" outlineLevel="0" collapsed="false">
      <c r="B318" s="253"/>
      <c r="C318" s="10"/>
      <c r="D318" s="10"/>
      <c r="E318" s="257"/>
      <c r="F318" s="10"/>
      <c r="G318" s="256"/>
      <c r="H318" s="256"/>
      <c r="I318" s="256"/>
      <c r="J318" s="253"/>
    </row>
    <row r="319" customFormat="false" ht="15.75" hidden="false" customHeight="true" outlineLevel="0" collapsed="false">
      <c r="B319" s="253"/>
      <c r="C319" s="10"/>
      <c r="D319" s="10"/>
      <c r="E319" s="257"/>
      <c r="F319" s="10"/>
      <c r="G319" s="256"/>
      <c r="H319" s="256"/>
      <c r="I319" s="256"/>
      <c r="J319" s="253"/>
    </row>
    <row r="320" customFormat="false" ht="15.75" hidden="false" customHeight="true" outlineLevel="0" collapsed="false">
      <c r="B320" s="253"/>
      <c r="C320" s="10"/>
      <c r="D320" s="10"/>
      <c r="E320" s="257"/>
      <c r="F320" s="10"/>
      <c r="G320" s="256"/>
      <c r="H320" s="256"/>
      <c r="I320" s="256"/>
      <c r="J320" s="253"/>
    </row>
    <row r="321" customFormat="false" ht="15.75" hidden="false" customHeight="true" outlineLevel="0" collapsed="false">
      <c r="B321" s="253"/>
      <c r="C321" s="10"/>
      <c r="D321" s="10"/>
      <c r="E321" s="257"/>
      <c r="F321" s="10"/>
      <c r="G321" s="256"/>
      <c r="H321" s="256"/>
      <c r="I321" s="256"/>
      <c r="J321" s="253"/>
    </row>
    <row r="322" customFormat="false" ht="15.75" hidden="false" customHeight="true" outlineLevel="0" collapsed="false">
      <c r="B322" s="253"/>
      <c r="C322" s="10"/>
      <c r="D322" s="10"/>
      <c r="E322" s="257"/>
      <c r="F322" s="10"/>
      <c r="G322" s="256"/>
      <c r="H322" s="256"/>
      <c r="I322" s="256"/>
      <c r="J322" s="253"/>
    </row>
    <row r="323" customFormat="false" ht="15.75" hidden="false" customHeight="true" outlineLevel="0" collapsed="false">
      <c r="B323" s="253"/>
      <c r="C323" s="10"/>
      <c r="D323" s="10"/>
      <c r="E323" s="257"/>
      <c r="F323" s="10"/>
      <c r="G323" s="256"/>
      <c r="H323" s="256"/>
      <c r="I323" s="256"/>
      <c r="J323" s="253"/>
    </row>
    <row r="324" customFormat="false" ht="15.75" hidden="false" customHeight="true" outlineLevel="0" collapsed="false">
      <c r="B324" s="253"/>
      <c r="C324" s="10"/>
      <c r="D324" s="10"/>
      <c r="E324" s="257"/>
      <c r="F324" s="10"/>
      <c r="G324" s="256"/>
      <c r="H324" s="256"/>
      <c r="I324" s="256"/>
      <c r="J324" s="253"/>
    </row>
    <row r="325" customFormat="false" ht="15.75" hidden="false" customHeight="true" outlineLevel="0" collapsed="false">
      <c r="B325" s="253"/>
      <c r="C325" s="10"/>
      <c r="D325" s="10"/>
      <c r="E325" s="257"/>
      <c r="F325" s="10"/>
      <c r="G325" s="256"/>
      <c r="H325" s="256"/>
      <c r="I325" s="256"/>
      <c r="J325" s="253"/>
    </row>
    <row r="326" customFormat="false" ht="15.75" hidden="false" customHeight="true" outlineLevel="0" collapsed="false">
      <c r="B326" s="253"/>
      <c r="C326" s="10"/>
      <c r="D326" s="10"/>
      <c r="E326" s="257"/>
      <c r="F326" s="10"/>
      <c r="G326" s="256"/>
      <c r="H326" s="256"/>
      <c r="I326" s="256"/>
      <c r="J326" s="253"/>
    </row>
    <row r="327" customFormat="false" ht="15.75" hidden="false" customHeight="true" outlineLevel="0" collapsed="false">
      <c r="B327" s="253"/>
      <c r="C327" s="10"/>
      <c r="D327" s="10"/>
      <c r="E327" s="257"/>
      <c r="F327" s="10"/>
      <c r="G327" s="256"/>
      <c r="H327" s="256"/>
      <c r="I327" s="256"/>
      <c r="J327" s="253"/>
    </row>
    <row r="328" customFormat="false" ht="15.75" hidden="false" customHeight="true" outlineLevel="0" collapsed="false">
      <c r="B328" s="253"/>
      <c r="C328" s="10"/>
      <c r="D328" s="10"/>
      <c r="E328" s="257"/>
      <c r="F328" s="10"/>
      <c r="G328" s="256"/>
      <c r="H328" s="256"/>
      <c r="I328" s="256"/>
      <c r="J328" s="253"/>
    </row>
    <row r="329" customFormat="false" ht="15.75" hidden="false" customHeight="true" outlineLevel="0" collapsed="false">
      <c r="B329" s="253"/>
      <c r="C329" s="10"/>
      <c r="D329" s="10"/>
      <c r="E329" s="257"/>
      <c r="F329" s="10"/>
      <c r="G329" s="256"/>
      <c r="H329" s="256"/>
      <c r="I329" s="256"/>
      <c r="J329" s="253"/>
    </row>
    <row r="330" customFormat="false" ht="15.75" hidden="false" customHeight="true" outlineLevel="0" collapsed="false">
      <c r="B330" s="253"/>
      <c r="C330" s="10"/>
      <c r="D330" s="10"/>
      <c r="E330" s="257"/>
      <c r="F330" s="10"/>
      <c r="G330" s="256"/>
      <c r="H330" s="256"/>
      <c r="I330" s="256"/>
      <c r="J330" s="253"/>
    </row>
    <row r="331" customFormat="false" ht="15.75" hidden="false" customHeight="true" outlineLevel="0" collapsed="false">
      <c r="B331" s="253"/>
      <c r="C331" s="10"/>
      <c r="D331" s="10"/>
      <c r="E331" s="257"/>
      <c r="F331" s="10"/>
      <c r="G331" s="256"/>
      <c r="H331" s="256"/>
      <c r="I331" s="256"/>
      <c r="J331" s="253"/>
    </row>
    <row r="332" customFormat="false" ht="15.75" hidden="false" customHeight="true" outlineLevel="0" collapsed="false">
      <c r="B332" s="253"/>
      <c r="C332" s="10"/>
      <c r="D332" s="10"/>
      <c r="E332" s="257"/>
      <c r="F332" s="10"/>
      <c r="G332" s="256"/>
      <c r="H332" s="256"/>
      <c r="I332" s="256"/>
      <c r="J332" s="253"/>
    </row>
    <row r="333" customFormat="false" ht="15.75" hidden="false" customHeight="true" outlineLevel="0" collapsed="false">
      <c r="B333" s="253"/>
      <c r="C333" s="10"/>
      <c r="D333" s="10"/>
      <c r="E333" s="257"/>
      <c r="F333" s="10"/>
      <c r="G333" s="256"/>
      <c r="H333" s="256"/>
      <c r="I333" s="256"/>
      <c r="J333" s="253"/>
    </row>
    <row r="334" customFormat="false" ht="15.75" hidden="false" customHeight="true" outlineLevel="0" collapsed="false">
      <c r="B334" s="253"/>
      <c r="C334" s="10"/>
      <c r="D334" s="10"/>
      <c r="E334" s="257"/>
      <c r="F334" s="10"/>
      <c r="G334" s="256"/>
      <c r="H334" s="256"/>
      <c r="I334" s="256"/>
      <c r="J334" s="253"/>
    </row>
    <row r="335" customFormat="false" ht="15.75" hidden="false" customHeight="true" outlineLevel="0" collapsed="false">
      <c r="B335" s="253"/>
      <c r="C335" s="10"/>
      <c r="D335" s="10"/>
      <c r="E335" s="257"/>
      <c r="F335" s="10"/>
      <c r="G335" s="256"/>
      <c r="H335" s="256"/>
      <c r="I335" s="256"/>
      <c r="J335" s="253"/>
    </row>
    <row r="336" customFormat="false" ht="15.75" hidden="false" customHeight="true" outlineLevel="0" collapsed="false">
      <c r="B336" s="253"/>
      <c r="C336" s="10"/>
      <c r="D336" s="10"/>
      <c r="E336" s="257"/>
      <c r="F336" s="10"/>
      <c r="G336" s="256"/>
      <c r="H336" s="256"/>
      <c r="I336" s="256"/>
      <c r="J336" s="253"/>
    </row>
    <row r="337" customFormat="false" ht="15.75" hidden="false" customHeight="true" outlineLevel="0" collapsed="false">
      <c r="B337" s="253"/>
      <c r="C337" s="10"/>
      <c r="D337" s="10"/>
      <c r="E337" s="257"/>
      <c r="F337" s="10"/>
      <c r="G337" s="256"/>
      <c r="H337" s="256"/>
      <c r="I337" s="256"/>
      <c r="J337" s="253"/>
    </row>
    <row r="338" customFormat="false" ht="15.75" hidden="false" customHeight="true" outlineLevel="0" collapsed="false">
      <c r="B338" s="253"/>
      <c r="C338" s="10"/>
      <c r="D338" s="10"/>
      <c r="E338" s="257"/>
      <c r="F338" s="10"/>
      <c r="G338" s="256"/>
      <c r="H338" s="256"/>
      <c r="I338" s="256"/>
      <c r="J338" s="253"/>
    </row>
    <row r="339" customFormat="false" ht="15.75" hidden="false" customHeight="true" outlineLevel="0" collapsed="false">
      <c r="B339" s="253"/>
      <c r="C339" s="10"/>
      <c r="D339" s="10"/>
      <c r="E339" s="257"/>
      <c r="F339" s="10"/>
      <c r="G339" s="256"/>
      <c r="H339" s="256"/>
      <c r="I339" s="256"/>
      <c r="J339" s="253"/>
    </row>
    <row r="340" customFormat="false" ht="15.75" hidden="false" customHeight="true" outlineLevel="0" collapsed="false">
      <c r="B340" s="253"/>
      <c r="C340" s="10"/>
      <c r="D340" s="10"/>
      <c r="E340" s="257"/>
      <c r="F340" s="10"/>
      <c r="G340" s="256"/>
      <c r="H340" s="256"/>
      <c r="I340" s="256"/>
      <c r="J340" s="253"/>
    </row>
    <row r="341" customFormat="false" ht="15.75" hidden="false" customHeight="true" outlineLevel="0" collapsed="false">
      <c r="B341" s="253"/>
      <c r="C341" s="10"/>
      <c r="D341" s="10"/>
      <c r="E341" s="257"/>
      <c r="F341" s="10"/>
      <c r="G341" s="256"/>
      <c r="H341" s="256"/>
      <c r="I341" s="256"/>
      <c r="J341" s="253"/>
    </row>
    <row r="342" customFormat="false" ht="15.75" hidden="false" customHeight="true" outlineLevel="0" collapsed="false">
      <c r="B342" s="253"/>
      <c r="C342" s="10"/>
      <c r="D342" s="10"/>
      <c r="E342" s="257"/>
      <c r="F342" s="10"/>
      <c r="G342" s="256"/>
      <c r="H342" s="256"/>
      <c r="I342" s="256"/>
      <c r="J342" s="253"/>
    </row>
    <row r="343" customFormat="false" ht="15.75" hidden="false" customHeight="true" outlineLevel="0" collapsed="false">
      <c r="B343" s="253"/>
      <c r="C343" s="10"/>
      <c r="D343" s="10"/>
      <c r="E343" s="257"/>
      <c r="F343" s="10"/>
      <c r="G343" s="256"/>
      <c r="H343" s="256"/>
      <c r="I343" s="256"/>
      <c r="J343" s="253"/>
    </row>
    <row r="344" customFormat="false" ht="15.75" hidden="false" customHeight="true" outlineLevel="0" collapsed="false">
      <c r="B344" s="253"/>
      <c r="C344" s="10"/>
      <c r="D344" s="10"/>
      <c r="E344" s="257"/>
      <c r="F344" s="10"/>
      <c r="G344" s="256"/>
      <c r="H344" s="256"/>
      <c r="I344" s="256"/>
      <c r="J344" s="253"/>
    </row>
    <row r="345" customFormat="false" ht="15.75" hidden="false" customHeight="true" outlineLevel="0" collapsed="false">
      <c r="B345" s="253"/>
      <c r="C345" s="10"/>
      <c r="D345" s="10"/>
      <c r="E345" s="257"/>
      <c r="F345" s="10"/>
      <c r="G345" s="256"/>
      <c r="H345" s="256"/>
      <c r="I345" s="256"/>
      <c r="J345" s="253"/>
    </row>
    <row r="346" customFormat="false" ht="15.75" hidden="false" customHeight="true" outlineLevel="0" collapsed="false">
      <c r="B346" s="253"/>
      <c r="C346" s="10"/>
      <c r="D346" s="10"/>
      <c r="E346" s="257"/>
      <c r="F346" s="10"/>
      <c r="G346" s="256"/>
      <c r="H346" s="256"/>
      <c r="I346" s="256"/>
      <c r="J346" s="253"/>
    </row>
    <row r="347" customFormat="false" ht="15.75" hidden="false" customHeight="true" outlineLevel="0" collapsed="false">
      <c r="B347" s="253"/>
      <c r="C347" s="10"/>
      <c r="D347" s="10"/>
      <c r="E347" s="257"/>
      <c r="F347" s="10"/>
      <c r="G347" s="256"/>
      <c r="H347" s="256"/>
      <c r="I347" s="256"/>
      <c r="J347" s="253"/>
    </row>
    <row r="348" customFormat="false" ht="15.75" hidden="false" customHeight="true" outlineLevel="0" collapsed="false">
      <c r="B348" s="253"/>
      <c r="C348" s="10"/>
      <c r="D348" s="10"/>
      <c r="E348" s="257"/>
      <c r="F348" s="10"/>
      <c r="G348" s="256"/>
      <c r="H348" s="256"/>
      <c r="I348" s="256"/>
      <c r="J348" s="253"/>
    </row>
    <row r="349" customFormat="false" ht="15.75" hidden="false" customHeight="true" outlineLevel="0" collapsed="false">
      <c r="B349" s="253"/>
      <c r="C349" s="10"/>
      <c r="D349" s="10"/>
      <c r="E349" s="257"/>
      <c r="F349" s="10"/>
      <c r="G349" s="256"/>
      <c r="H349" s="256"/>
      <c r="I349" s="256"/>
      <c r="J349" s="253"/>
    </row>
    <row r="350" customFormat="false" ht="15.75" hidden="false" customHeight="true" outlineLevel="0" collapsed="false">
      <c r="B350" s="253"/>
      <c r="C350" s="10"/>
      <c r="D350" s="10"/>
      <c r="E350" s="257"/>
      <c r="F350" s="10"/>
      <c r="G350" s="256"/>
      <c r="H350" s="256"/>
      <c r="I350" s="256"/>
      <c r="J350" s="253"/>
    </row>
    <row r="351" customFormat="false" ht="15.75" hidden="false" customHeight="true" outlineLevel="0" collapsed="false">
      <c r="B351" s="253"/>
      <c r="C351" s="10"/>
      <c r="D351" s="10"/>
      <c r="E351" s="257"/>
      <c r="F351" s="10"/>
      <c r="G351" s="256"/>
      <c r="H351" s="256"/>
      <c r="I351" s="256"/>
      <c r="J351" s="253"/>
    </row>
    <row r="352" customFormat="false" ht="15.75" hidden="false" customHeight="true" outlineLevel="0" collapsed="false">
      <c r="B352" s="253"/>
      <c r="C352" s="10"/>
      <c r="D352" s="10"/>
      <c r="E352" s="257"/>
      <c r="F352" s="10"/>
      <c r="G352" s="256"/>
      <c r="H352" s="256"/>
      <c r="I352" s="256"/>
      <c r="J352" s="253"/>
    </row>
    <row r="353" customFormat="false" ht="15.75" hidden="false" customHeight="true" outlineLevel="0" collapsed="false">
      <c r="B353" s="253"/>
      <c r="C353" s="10"/>
      <c r="D353" s="10"/>
      <c r="E353" s="257"/>
      <c r="F353" s="10"/>
      <c r="G353" s="256"/>
      <c r="H353" s="256"/>
      <c r="I353" s="256"/>
      <c r="J353" s="253"/>
    </row>
    <row r="354" customFormat="false" ht="15.75" hidden="false" customHeight="true" outlineLevel="0" collapsed="false">
      <c r="B354" s="253"/>
      <c r="C354" s="10"/>
      <c r="D354" s="10"/>
      <c r="E354" s="257"/>
      <c r="F354" s="10"/>
      <c r="G354" s="256"/>
      <c r="H354" s="256"/>
      <c r="I354" s="256"/>
      <c r="J354" s="253"/>
    </row>
    <row r="355" customFormat="false" ht="15.75" hidden="false" customHeight="true" outlineLevel="0" collapsed="false">
      <c r="B355" s="253"/>
      <c r="C355" s="10"/>
      <c r="D355" s="10"/>
      <c r="E355" s="257"/>
      <c r="F355" s="10"/>
      <c r="G355" s="256"/>
      <c r="H355" s="256"/>
      <c r="I355" s="256"/>
      <c r="J355" s="253"/>
    </row>
    <row r="356" customFormat="false" ht="15.75" hidden="false" customHeight="true" outlineLevel="0" collapsed="false">
      <c r="B356" s="253"/>
      <c r="C356" s="10"/>
      <c r="D356" s="10"/>
      <c r="E356" s="257"/>
      <c r="F356" s="10"/>
      <c r="G356" s="256"/>
      <c r="H356" s="256"/>
      <c r="I356" s="256"/>
      <c r="J356" s="253"/>
    </row>
    <row r="357" customFormat="false" ht="15.75" hidden="false" customHeight="true" outlineLevel="0" collapsed="false">
      <c r="B357" s="253"/>
      <c r="C357" s="10"/>
      <c r="D357" s="10"/>
      <c r="E357" s="257"/>
      <c r="F357" s="10"/>
      <c r="G357" s="256"/>
      <c r="H357" s="256"/>
      <c r="I357" s="256"/>
      <c r="J357" s="253"/>
    </row>
    <row r="358" customFormat="false" ht="15.75" hidden="false" customHeight="true" outlineLevel="0" collapsed="false">
      <c r="B358" s="253"/>
      <c r="C358" s="10"/>
      <c r="D358" s="10"/>
      <c r="E358" s="257"/>
      <c r="F358" s="10"/>
      <c r="G358" s="256"/>
      <c r="H358" s="256"/>
      <c r="I358" s="256"/>
      <c r="J358" s="253"/>
    </row>
    <row r="359" customFormat="false" ht="15.75" hidden="false" customHeight="true" outlineLevel="0" collapsed="false">
      <c r="B359" s="253"/>
      <c r="C359" s="10"/>
      <c r="D359" s="10"/>
      <c r="E359" s="257"/>
      <c r="F359" s="10"/>
      <c r="G359" s="256"/>
      <c r="H359" s="256"/>
      <c r="I359" s="256"/>
      <c r="J359" s="253"/>
    </row>
    <row r="360" customFormat="false" ht="15.75" hidden="false" customHeight="true" outlineLevel="0" collapsed="false">
      <c r="B360" s="253"/>
      <c r="C360" s="10"/>
      <c r="D360" s="10"/>
      <c r="E360" s="257"/>
      <c r="F360" s="10"/>
      <c r="G360" s="256"/>
      <c r="H360" s="256"/>
      <c r="I360" s="256"/>
      <c r="J360" s="253"/>
    </row>
    <row r="361" customFormat="false" ht="15.75" hidden="false" customHeight="true" outlineLevel="0" collapsed="false">
      <c r="B361" s="253"/>
      <c r="C361" s="10"/>
      <c r="D361" s="10"/>
      <c r="E361" s="257"/>
      <c r="F361" s="10"/>
      <c r="G361" s="256"/>
      <c r="H361" s="256"/>
      <c r="I361" s="256"/>
      <c r="J361" s="253"/>
    </row>
    <row r="362" customFormat="false" ht="15.75" hidden="false" customHeight="true" outlineLevel="0" collapsed="false">
      <c r="B362" s="253"/>
      <c r="C362" s="10"/>
      <c r="D362" s="10"/>
      <c r="E362" s="257"/>
      <c r="F362" s="10"/>
      <c r="G362" s="256"/>
      <c r="H362" s="256"/>
      <c r="I362" s="256"/>
      <c r="J362" s="253"/>
    </row>
    <row r="363" customFormat="false" ht="15.75" hidden="false" customHeight="true" outlineLevel="0" collapsed="false">
      <c r="B363" s="253"/>
      <c r="C363" s="10"/>
      <c r="D363" s="10"/>
      <c r="E363" s="257"/>
      <c r="F363" s="10"/>
      <c r="G363" s="256"/>
      <c r="H363" s="256"/>
      <c r="I363" s="256"/>
      <c r="J363" s="253"/>
    </row>
    <row r="364" customFormat="false" ht="15.75" hidden="false" customHeight="true" outlineLevel="0" collapsed="false">
      <c r="B364" s="253"/>
      <c r="C364" s="10"/>
      <c r="D364" s="10"/>
      <c r="E364" s="257"/>
      <c r="F364" s="10"/>
      <c r="G364" s="256"/>
      <c r="H364" s="256"/>
      <c r="I364" s="256"/>
      <c r="J364" s="253"/>
    </row>
    <row r="365" customFormat="false" ht="15.75" hidden="false" customHeight="true" outlineLevel="0" collapsed="false">
      <c r="B365" s="253"/>
      <c r="C365" s="10"/>
      <c r="D365" s="10"/>
      <c r="E365" s="257"/>
      <c r="F365" s="10"/>
      <c r="G365" s="256"/>
      <c r="H365" s="256"/>
      <c r="I365" s="256"/>
      <c r="J365" s="253"/>
    </row>
    <row r="366" customFormat="false" ht="15.75" hidden="false" customHeight="true" outlineLevel="0" collapsed="false">
      <c r="B366" s="253"/>
      <c r="C366" s="10"/>
      <c r="D366" s="10"/>
      <c r="E366" s="257"/>
      <c r="F366" s="10"/>
      <c r="G366" s="256"/>
      <c r="H366" s="256"/>
      <c r="I366" s="256"/>
      <c r="J366" s="253"/>
    </row>
    <row r="367" customFormat="false" ht="15.75" hidden="false" customHeight="true" outlineLevel="0" collapsed="false">
      <c r="B367" s="253"/>
      <c r="C367" s="10"/>
      <c r="D367" s="10"/>
      <c r="E367" s="257"/>
      <c r="F367" s="10"/>
      <c r="G367" s="256"/>
      <c r="H367" s="256"/>
      <c r="I367" s="256"/>
      <c r="J367" s="253"/>
    </row>
    <row r="368" customFormat="false" ht="15.75" hidden="false" customHeight="true" outlineLevel="0" collapsed="false">
      <c r="B368" s="253"/>
      <c r="C368" s="10"/>
      <c r="D368" s="10"/>
      <c r="E368" s="257"/>
      <c r="F368" s="10"/>
      <c r="G368" s="256"/>
      <c r="H368" s="256"/>
      <c r="I368" s="256"/>
      <c r="J368" s="253"/>
    </row>
    <row r="369" customFormat="false" ht="15.75" hidden="false" customHeight="true" outlineLevel="0" collapsed="false">
      <c r="B369" s="253"/>
      <c r="C369" s="10"/>
      <c r="D369" s="10"/>
      <c r="E369" s="257"/>
      <c r="F369" s="10"/>
      <c r="G369" s="256"/>
      <c r="H369" s="256"/>
      <c r="I369" s="256"/>
      <c r="J369" s="253"/>
    </row>
    <row r="370" customFormat="false" ht="15.75" hidden="false" customHeight="true" outlineLevel="0" collapsed="false">
      <c r="B370" s="253"/>
      <c r="C370" s="10"/>
      <c r="D370" s="10"/>
      <c r="E370" s="257"/>
      <c r="F370" s="10"/>
      <c r="G370" s="256"/>
      <c r="H370" s="256"/>
      <c r="I370" s="256"/>
      <c r="J370" s="253"/>
    </row>
    <row r="371" customFormat="false" ht="15.75" hidden="false" customHeight="true" outlineLevel="0" collapsed="false">
      <c r="B371" s="253"/>
      <c r="C371" s="10"/>
      <c r="D371" s="10"/>
      <c r="E371" s="257"/>
      <c r="F371" s="10"/>
      <c r="G371" s="256"/>
      <c r="H371" s="256"/>
      <c r="I371" s="256"/>
      <c r="J371" s="253"/>
    </row>
    <row r="372" customFormat="false" ht="15.75" hidden="false" customHeight="true" outlineLevel="0" collapsed="false">
      <c r="B372" s="253"/>
      <c r="C372" s="10"/>
      <c r="D372" s="10"/>
      <c r="E372" s="257"/>
      <c r="F372" s="10"/>
      <c r="G372" s="256"/>
      <c r="H372" s="256"/>
      <c r="I372" s="256"/>
      <c r="J372" s="253"/>
    </row>
    <row r="373" customFormat="false" ht="15.75" hidden="false" customHeight="true" outlineLevel="0" collapsed="false">
      <c r="B373" s="253"/>
      <c r="C373" s="10"/>
      <c r="D373" s="10"/>
      <c r="E373" s="257"/>
      <c r="F373" s="10"/>
      <c r="G373" s="256"/>
      <c r="H373" s="256"/>
      <c r="I373" s="256"/>
      <c r="J373" s="253"/>
    </row>
    <row r="374" customFormat="false" ht="15.75" hidden="false" customHeight="true" outlineLevel="0" collapsed="false">
      <c r="B374" s="253"/>
      <c r="C374" s="10"/>
      <c r="D374" s="10"/>
      <c r="E374" s="257"/>
      <c r="F374" s="10"/>
      <c r="G374" s="256"/>
      <c r="H374" s="256"/>
      <c r="I374" s="256"/>
      <c r="J374" s="253"/>
    </row>
    <row r="375" customFormat="false" ht="15.75" hidden="false" customHeight="true" outlineLevel="0" collapsed="false">
      <c r="B375" s="253"/>
      <c r="C375" s="10"/>
      <c r="D375" s="10"/>
      <c r="E375" s="257"/>
      <c r="F375" s="10"/>
      <c r="G375" s="256"/>
      <c r="H375" s="256"/>
      <c r="I375" s="256"/>
      <c r="J375" s="253"/>
    </row>
    <row r="376" customFormat="false" ht="15.75" hidden="false" customHeight="true" outlineLevel="0" collapsed="false">
      <c r="B376" s="253"/>
      <c r="C376" s="10"/>
      <c r="D376" s="10"/>
      <c r="E376" s="257"/>
      <c r="F376" s="10"/>
      <c r="G376" s="256"/>
      <c r="H376" s="256"/>
      <c r="I376" s="256"/>
      <c r="J376" s="253"/>
    </row>
    <row r="377" customFormat="false" ht="15.75" hidden="false" customHeight="true" outlineLevel="0" collapsed="false">
      <c r="B377" s="253"/>
      <c r="C377" s="10"/>
      <c r="D377" s="10"/>
      <c r="E377" s="257"/>
      <c r="F377" s="10"/>
      <c r="G377" s="256"/>
      <c r="H377" s="256"/>
      <c r="I377" s="256"/>
      <c r="J377" s="253"/>
    </row>
    <row r="378" customFormat="false" ht="15.75" hidden="false" customHeight="true" outlineLevel="0" collapsed="false">
      <c r="B378" s="253"/>
      <c r="C378" s="10"/>
      <c r="D378" s="10"/>
      <c r="E378" s="257"/>
      <c r="F378" s="10"/>
      <c r="G378" s="256"/>
      <c r="H378" s="256"/>
      <c r="I378" s="256"/>
      <c r="J378" s="253"/>
    </row>
    <row r="379" customFormat="false" ht="15.75" hidden="false" customHeight="true" outlineLevel="0" collapsed="false">
      <c r="B379" s="253"/>
      <c r="C379" s="10"/>
      <c r="D379" s="10"/>
      <c r="E379" s="257"/>
      <c r="F379" s="10"/>
      <c r="G379" s="256"/>
      <c r="H379" s="256"/>
      <c r="I379" s="256"/>
      <c r="J379" s="253"/>
    </row>
    <row r="380" customFormat="false" ht="15.75" hidden="false" customHeight="true" outlineLevel="0" collapsed="false">
      <c r="B380" s="253"/>
      <c r="C380" s="10"/>
      <c r="D380" s="10"/>
      <c r="E380" s="257"/>
      <c r="F380" s="10"/>
      <c r="G380" s="256"/>
      <c r="H380" s="256"/>
      <c r="I380" s="256"/>
      <c r="J380" s="253"/>
    </row>
    <row r="381" customFormat="false" ht="15.75" hidden="false" customHeight="true" outlineLevel="0" collapsed="false">
      <c r="B381" s="253"/>
      <c r="C381" s="10"/>
      <c r="D381" s="10"/>
      <c r="E381" s="257"/>
      <c r="F381" s="10"/>
      <c r="G381" s="256"/>
      <c r="H381" s="256"/>
      <c r="I381" s="256"/>
      <c r="J381" s="253"/>
    </row>
    <row r="382" customFormat="false" ht="15.75" hidden="false" customHeight="true" outlineLevel="0" collapsed="false">
      <c r="B382" s="253"/>
      <c r="C382" s="10"/>
      <c r="D382" s="10"/>
      <c r="E382" s="257"/>
      <c r="F382" s="10"/>
      <c r="G382" s="256"/>
      <c r="H382" s="256"/>
      <c r="I382" s="256"/>
      <c r="J382" s="253"/>
    </row>
    <row r="383" customFormat="false" ht="15.75" hidden="false" customHeight="true" outlineLevel="0" collapsed="false">
      <c r="B383" s="253"/>
      <c r="C383" s="10"/>
      <c r="D383" s="10"/>
      <c r="E383" s="257"/>
      <c r="F383" s="10"/>
      <c r="G383" s="256"/>
      <c r="H383" s="256"/>
      <c r="I383" s="256"/>
      <c r="J383" s="253"/>
    </row>
    <row r="384" customFormat="false" ht="15.75" hidden="false" customHeight="true" outlineLevel="0" collapsed="false">
      <c r="B384" s="253"/>
      <c r="C384" s="10"/>
      <c r="D384" s="10"/>
      <c r="E384" s="257"/>
      <c r="F384" s="10"/>
      <c r="G384" s="256"/>
      <c r="H384" s="256"/>
      <c r="I384" s="256"/>
      <c r="J384" s="253"/>
    </row>
    <row r="385" customFormat="false" ht="15.75" hidden="false" customHeight="true" outlineLevel="0" collapsed="false">
      <c r="B385" s="253"/>
      <c r="C385" s="10"/>
      <c r="D385" s="10"/>
      <c r="E385" s="257"/>
      <c r="F385" s="10"/>
      <c r="G385" s="256"/>
      <c r="H385" s="256"/>
      <c r="I385" s="256"/>
      <c r="J385" s="253"/>
    </row>
    <row r="386" customFormat="false" ht="15.75" hidden="false" customHeight="true" outlineLevel="0" collapsed="false">
      <c r="B386" s="253"/>
      <c r="C386" s="10"/>
      <c r="D386" s="10"/>
      <c r="E386" s="257"/>
      <c r="F386" s="10"/>
      <c r="G386" s="256"/>
      <c r="H386" s="256"/>
      <c r="I386" s="256"/>
      <c r="J386" s="253"/>
    </row>
    <row r="387" customFormat="false" ht="15.75" hidden="false" customHeight="true" outlineLevel="0" collapsed="false">
      <c r="B387" s="253"/>
      <c r="C387" s="10"/>
      <c r="D387" s="10"/>
      <c r="E387" s="257"/>
      <c r="F387" s="10"/>
      <c r="G387" s="256"/>
      <c r="H387" s="256"/>
      <c r="I387" s="256"/>
      <c r="J387" s="253"/>
    </row>
    <row r="388" customFormat="false" ht="15.75" hidden="false" customHeight="true" outlineLevel="0" collapsed="false">
      <c r="B388" s="253"/>
      <c r="C388" s="10"/>
      <c r="D388" s="10"/>
      <c r="E388" s="257"/>
      <c r="F388" s="10"/>
      <c r="G388" s="256"/>
      <c r="H388" s="256"/>
      <c r="I388" s="256"/>
      <c r="J388" s="253"/>
    </row>
    <row r="389" customFormat="false" ht="15.75" hidden="false" customHeight="true" outlineLevel="0" collapsed="false">
      <c r="B389" s="253"/>
      <c r="C389" s="10"/>
      <c r="D389" s="10"/>
      <c r="E389" s="257"/>
      <c r="F389" s="10"/>
      <c r="G389" s="256"/>
      <c r="H389" s="256"/>
      <c r="I389" s="256"/>
      <c r="J389" s="253"/>
    </row>
    <row r="390" customFormat="false" ht="15.75" hidden="false" customHeight="true" outlineLevel="0" collapsed="false">
      <c r="B390" s="253"/>
      <c r="C390" s="10"/>
      <c r="D390" s="10"/>
      <c r="E390" s="257"/>
      <c r="F390" s="10"/>
      <c r="G390" s="256"/>
      <c r="H390" s="256"/>
      <c r="I390" s="256"/>
      <c r="J390" s="253"/>
    </row>
    <row r="391" customFormat="false" ht="15.75" hidden="false" customHeight="true" outlineLevel="0" collapsed="false">
      <c r="B391" s="253"/>
      <c r="C391" s="10"/>
      <c r="D391" s="10"/>
      <c r="E391" s="257"/>
      <c r="F391" s="10"/>
      <c r="G391" s="256"/>
      <c r="H391" s="256"/>
      <c r="I391" s="256"/>
      <c r="J391" s="253"/>
    </row>
    <row r="392" customFormat="false" ht="15.75" hidden="false" customHeight="true" outlineLevel="0" collapsed="false">
      <c r="B392" s="253"/>
      <c r="C392" s="10"/>
      <c r="D392" s="10"/>
      <c r="E392" s="257"/>
      <c r="F392" s="10"/>
      <c r="G392" s="256"/>
      <c r="H392" s="256"/>
      <c r="I392" s="256"/>
      <c r="J392" s="253"/>
    </row>
    <row r="393" customFormat="false" ht="15.75" hidden="false" customHeight="true" outlineLevel="0" collapsed="false">
      <c r="B393" s="253"/>
      <c r="C393" s="10"/>
      <c r="D393" s="10"/>
      <c r="E393" s="257"/>
      <c r="F393" s="10"/>
      <c r="G393" s="256"/>
      <c r="H393" s="256"/>
      <c r="I393" s="256"/>
      <c r="J393" s="253"/>
    </row>
    <row r="394" customFormat="false" ht="15.75" hidden="false" customHeight="true" outlineLevel="0" collapsed="false">
      <c r="B394" s="253"/>
      <c r="C394" s="10"/>
      <c r="D394" s="10"/>
      <c r="E394" s="257"/>
      <c r="F394" s="10"/>
      <c r="G394" s="256"/>
      <c r="H394" s="256"/>
      <c r="I394" s="256"/>
      <c r="J394" s="253"/>
    </row>
    <row r="395" customFormat="false" ht="15.75" hidden="false" customHeight="true" outlineLevel="0" collapsed="false">
      <c r="B395" s="253"/>
      <c r="C395" s="10"/>
      <c r="D395" s="10"/>
      <c r="E395" s="257"/>
      <c r="F395" s="10"/>
      <c r="G395" s="256"/>
      <c r="H395" s="256"/>
      <c r="I395" s="256"/>
      <c r="J395" s="253"/>
    </row>
    <row r="396" customFormat="false" ht="15.75" hidden="false" customHeight="true" outlineLevel="0" collapsed="false">
      <c r="B396" s="253"/>
      <c r="C396" s="10"/>
      <c r="D396" s="10"/>
      <c r="E396" s="257"/>
      <c r="F396" s="10"/>
      <c r="G396" s="256"/>
      <c r="H396" s="256"/>
      <c r="I396" s="256"/>
      <c r="J396" s="253"/>
    </row>
    <row r="397" customFormat="false" ht="15.75" hidden="false" customHeight="true" outlineLevel="0" collapsed="false">
      <c r="B397" s="253"/>
      <c r="C397" s="10"/>
      <c r="D397" s="10"/>
      <c r="E397" s="257"/>
      <c r="F397" s="10"/>
      <c r="G397" s="256"/>
      <c r="H397" s="256"/>
      <c r="I397" s="256"/>
      <c r="J397" s="253"/>
    </row>
    <row r="398" customFormat="false" ht="15.75" hidden="false" customHeight="true" outlineLevel="0" collapsed="false">
      <c r="B398" s="253"/>
      <c r="C398" s="10"/>
      <c r="D398" s="10"/>
      <c r="E398" s="257"/>
      <c r="F398" s="10"/>
      <c r="G398" s="256"/>
      <c r="H398" s="256"/>
      <c r="I398" s="256"/>
      <c r="J398" s="253"/>
    </row>
    <row r="399" customFormat="false" ht="15.75" hidden="false" customHeight="true" outlineLevel="0" collapsed="false">
      <c r="B399" s="253"/>
      <c r="C399" s="10"/>
      <c r="D399" s="10"/>
      <c r="E399" s="257"/>
      <c r="F399" s="10"/>
      <c r="G399" s="256"/>
      <c r="H399" s="256"/>
      <c r="I399" s="256"/>
      <c r="J399" s="253"/>
    </row>
    <row r="400" customFormat="false" ht="15.75" hidden="false" customHeight="true" outlineLevel="0" collapsed="false">
      <c r="B400" s="253"/>
      <c r="C400" s="10"/>
      <c r="D400" s="10"/>
      <c r="E400" s="257"/>
      <c r="F400" s="10"/>
      <c r="G400" s="256"/>
      <c r="H400" s="256"/>
      <c r="I400" s="256"/>
      <c r="J400" s="253"/>
    </row>
    <row r="401" customFormat="false" ht="15.75" hidden="false" customHeight="true" outlineLevel="0" collapsed="false">
      <c r="B401" s="253"/>
      <c r="C401" s="10"/>
      <c r="D401" s="10"/>
      <c r="E401" s="257"/>
      <c r="F401" s="10"/>
      <c r="G401" s="256"/>
      <c r="H401" s="256"/>
      <c r="I401" s="256"/>
      <c r="J401" s="253"/>
    </row>
    <row r="402" customFormat="false" ht="15.75" hidden="false" customHeight="true" outlineLevel="0" collapsed="false">
      <c r="B402" s="253"/>
      <c r="C402" s="10"/>
      <c r="D402" s="10"/>
      <c r="E402" s="257"/>
      <c r="F402" s="10"/>
      <c r="G402" s="256"/>
      <c r="H402" s="256"/>
      <c r="I402" s="256"/>
      <c r="J402" s="253"/>
    </row>
    <row r="403" customFormat="false" ht="15.75" hidden="false" customHeight="true" outlineLevel="0" collapsed="false">
      <c r="B403" s="253"/>
      <c r="C403" s="10"/>
      <c r="D403" s="10"/>
      <c r="E403" s="257"/>
      <c r="F403" s="10"/>
      <c r="G403" s="256"/>
      <c r="H403" s="256"/>
      <c r="I403" s="256"/>
      <c r="J403" s="253"/>
    </row>
    <row r="404" customFormat="false" ht="15.75" hidden="false" customHeight="true" outlineLevel="0" collapsed="false">
      <c r="B404" s="253"/>
      <c r="C404" s="10"/>
      <c r="D404" s="10"/>
      <c r="E404" s="257"/>
      <c r="F404" s="10"/>
      <c r="G404" s="256"/>
      <c r="H404" s="256"/>
      <c r="I404" s="256"/>
      <c r="J404" s="253"/>
    </row>
    <row r="405" customFormat="false" ht="15.75" hidden="false" customHeight="true" outlineLevel="0" collapsed="false">
      <c r="B405" s="253"/>
      <c r="C405" s="10"/>
      <c r="D405" s="10"/>
      <c r="E405" s="257"/>
      <c r="F405" s="10"/>
      <c r="G405" s="256"/>
      <c r="H405" s="256"/>
      <c r="I405" s="256"/>
      <c r="J405" s="253"/>
    </row>
    <row r="406" customFormat="false" ht="15.75" hidden="false" customHeight="true" outlineLevel="0" collapsed="false">
      <c r="B406" s="253"/>
      <c r="C406" s="10"/>
      <c r="D406" s="10"/>
      <c r="E406" s="257"/>
      <c r="F406" s="10"/>
      <c r="G406" s="256"/>
      <c r="H406" s="256"/>
      <c r="I406" s="256"/>
      <c r="J406" s="253"/>
    </row>
    <row r="407" customFormat="false" ht="15.75" hidden="false" customHeight="true" outlineLevel="0" collapsed="false">
      <c r="B407" s="253"/>
      <c r="C407" s="10"/>
      <c r="D407" s="10"/>
      <c r="E407" s="257"/>
      <c r="F407" s="10"/>
      <c r="G407" s="256"/>
      <c r="H407" s="256"/>
      <c r="I407" s="256"/>
      <c r="J407" s="253"/>
    </row>
    <row r="408" customFormat="false" ht="15.75" hidden="false" customHeight="true" outlineLevel="0" collapsed="false">
      <c r="B408" s="253"/>
      <c r="C408" s="10"/>
      <c r="D408" s="10"/>
      <c r="E408" s="257"/>
      <c r="F408" s="10"/>
      <c r="G408" s="256"/>
      <c r="H408" s="256"/>
      <c r="I408" s="256"/>
      <c r="J408" s="253"/>
    </row>
    <row r="409" customFormat="false" ht="15.75" hidden="false" customHeight="true" outlineLevel="0" collapsed="false">
      <c r="B409" s="253"/>
      <c r="C409" s="10"/>
      <c r="D409" s="10"/>
      <c r="E409" s="257"/>
      <c r="F409" s="10"/>
      <c r="G409" s="256"/>
      <c r="H409" s="256"/>
      <c r="I409" s="256"/>
      <c r="J409" s="253"/>
    </row>
    <row r="410" customFormat="false" ht="15.75" hidden="false" customHeight="true" outlineLevel="0" collapsed="false">
      <c r="B410" s="253"/>
      <c r="C410" s="10"/>
      <c r="D410" s="10"/>
      <c r="E410" s="257"/>
      <c r="F410" s="10"/>
      <c r="G410" s="256"/>
      <c r="H410" s="256"/>
      <c r="I410" s="256"/>
      <c r="J410" s="253"/>
    </row>
    <row r="411" customFormat="false" ht="15.75" hidden="false" customHeight="true" outlineLevel="0" collapsed="false">
      <c r="B411" s="253"/>
      <c r="C411" s="10"/>
      <c r="D411" s="10"/>
      <c r="E411" s="257"/>
      <c r="F411" s="10"/>
      <c r="G411" s="256"/>
      <c r="H411" s="256"/>
      <c r="I411" s="256"/>
      <c r="J411" s="253"/>
    </row>
    <row r="412" customFormat="false" ht="15.75" hidden="false" customHeight="true" outlineLevel="0" collapsed="false">
      <c r="B412" s="253"/>
      <c r="C412" s="10"/>
      <c r="D412" s="10"/>
      <c r="E412" s="257"/>
      <c r="F412" s="10"/>
      <c r="G412" s="256"/>
      <c r="H412" s="256"/>
      <c r="I412" s="256"/>
      <c r="J412" s="253"/>
    </row>
    <row r="413" customFormat="false" ht="15.75" hidden="false" customHeight="true" outlineLevel="0" collapsed="false">
      <c r="D413" s="6"/>
    </row>
  </sheetData>
  <mergeCells count="58">
    <mergeCell ref="B1:C1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B15:E15"/>
    <mergeCell ref="H15:K15"/>
    <mergeCell ref="B18:C18"/>
    <mergeCell ref="B19:C19"/>
    <mergeCell ref="H19:I19"/>
    <mergeCell ref="B20:C20"/>
    <mergeCell ref="B25:C25"/>
    <mergeCell ref="B26:C26"/>
    <mergeCell ref="H27:J27"/>
    <mergeCell ref="H28:J28"/>
    <mergeCell ref="B29:C29"/>
    <mergeCell ref="H29:J29"/>
    <mergeCell ref="B31:F31"/>
    <mergeCell ref="G31:H31"/>
    <mergeCell ref="B32:F32"/>
    <mergeCell ref="G32:H32"/>
    <mergeCell ref="B34:Z34"/>
    <mergeCell ref="B35:Z35"/>
    <mergeCell ref="B36:Z36"/>
    <mergeCell ref="B37:Z37"/>
    <mergeCell ref="B39:C39"/>
    <mergeCell ref="C41:D41"/>
    <mergeCell ref="E41:F41"/>
    <mergeCell ref="G41:H41"/>
    <mergeCell ref="J41:M41"/>
    <mergeCell ref="O41:R41"/>
    <mergeCell ref="U41:V41"/>
    <mergeCell ref="W41:X41"/>
    <mergeCell ref="J43:K43"/>
    <mergeCell ref="J44:K44"/>
    <mergeCell ref="O44:P44"/>
    <mergeCell ref="J45:K45"/>
    <mergeCell ref="O45:P45"/>
    <mergeCell ref="J46:K46"/>
    <mergeCell ref="O46:P46"/>
    <mergeCell ref="O51:P51"/>
    <mergeCell ref="O52:P52"/>
    <mergeCell ref="B54:F54"/>
    <mergeCell ref="G54:H54"/>
    <mergeCell ref="B55:F55"/>
    <mergeCell ref="G55:H55"/>
    <mergeCell ref="B58:Z58"/>
    <mergeCell ref="B59:Z59"/>
    <mergeCell ref="B60:Z60"/>
    <mergeCell ref="B61:Z6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38"/>
  </cols>
  <sheetData>
    <row r="1" customFormat="false" ht="15.75" hidden="false" customHeight="true" outlineLevel="0" collapsed="false">
      <c r="A1" s="285" t="s">
        <v>243</v>
      </c>
      <c r="B1" s="285"/>
      <c r="C1" s="285"/>
      <c r="D1" s="285"/>
      <c r="E1" s="285"/>
      <c r="F1" s="28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</row>
    <row r="2" customFormat="false" ht="15.75" hidden="false" customHeight="true" outlineLevel="0" collapsed="false">
      <c r="A2" s="286" t="s">
        <v>244</v>
      </c>
      <c r="B2" s="4"/>
      <c r="C2" s="4"/>
      <c r="D2" s="4"/>
      <c r="E2" s="4"/>
      <c r="F2" s="28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customFormat="false" ht="15.75" hidden="false" customHeight="true" outlineLevel="0" collapsed="false">
      <c r="A3" s="286" t="s">
        <v>245</v>
      </c>
      <c r="B3" s="4"/>
      <c r="C3" s="288" t="s">
        <v>246</v>
      </c>
      <c r="D3" s="4"/>
      <c r="E3" s="4"/>
      <c r="F3" s="28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customFormat="false" ht="15.75" hidden="false" customHeight="true" outlineLevel="0" collapsed="false">
      <c r="A4" s="289" t="s">
        <v>247</v>
      </c>
      <c r="B4" s="290"/>
      <c r="C4" s="291" t="s">
        <v>248</v>
      </c>
      <c r="D4" s="290"/>
      <c r="E4" s="290"/>
      <c r="F4" s="29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customFormat="false" ht="15.75" hidden="false" customHeight="true" outlineLevel="0" collapsed="false">
      <c r="A5" s="293" t="s">
        <v>249</v>
      </c>
      <c r="B5" s="293" t="s">
        <v>250</v>
      </c>
      <c r="C5" s="293" t="s">
        <v>251</v>
      </c>
      <c r="D5" s="293" t="s">
        <v>252</v>
      </c>
      <c r="E5" s="294" t="s">
        <v>253</v>
      </c>
      <c r="F5" s="29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customFormat="false" ht="15.75" hidden="false" customHeight="true" outlineLevel="0" collapsed="false">
      <c r="A6" s="293"/>
      <c r="B6" s="293"/>
      <c r="C6" s="293"/>
      <c r="D6" s="293"/>
      <c r="E6" s="293" t="s">
        <v>254</v>
      </c>
      <c r="F6" s="293" t="s">
        <v>45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customFormat="false" ht="15.75" hidden="false" customHeight="true" outlineLevel="0" collapsed="false">
      <c r="A7" s="295" t="s">
        <v>255</v>
      </c>
      <c r="B7" s="295" t="s">
        <v>16</v>
      </c>
      <c r="C7" s="295" t="s">
        <v>256</v>
      </c>
      <c r="D7" s="296" t="n">
        <f aca="false">886-123-106-34-178</f>
        <v>445</v>
      </c>
      <c r="E7" s="297" t="n">
        <v>87.92</v>
      </c>
      <c r="F7" s="297" t="n">
        <f aca="false">E7*D7</f>
        <v>39124.4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customFormat="false" ht="15.75" hidden="false" customHeight="true" outlineLevel="0" collapsed="false">
      <c r="A8" s="295" t="s">
        <v>255</v>
      </c>
      <c r="B8" s="295" t="s">
        <v>16</v>
      </c>
      <c r="C8" s="295" t="s">
        <v>256</v>
      </c>
      <c r="D8" s="296" t="n">
        <v>200</v>
      </c>
      <c r="E8" s="297" t="n">
        <v>109.9</v>
      </c>
      <c r="F8" s="297" t="n">
        <f aca="false">E8*D8</f>
        <v>21980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customFormat="false" ht="15.75" hidden="false" customHeight="true" outlineLevel="0" collapsed="false">
      <c r="A9" s="298" t="s">
        <v>257</v>
      </c>
      <c r="B9" s="298" t="s">
        <v>58</v>
      </c>
      <c r="C9" s="298" t="s">
        <v>256</v>
      </c>
      <c r="D9" s="299" t="n">
        <v>93</v>
      </c>
      <c r="E9" s="300" t="n">
        <v>29</v>
      </c>
      <c r="F9" s="300" t="n">
        <f aca="false">E9*D9</f>
        <v>2697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customFormat="false" ht="15.75" hidden="false" customHeight="true" outlineLevel="0" collapsed="false">
      <c r="A10" s="298" t="s">
        <v>257</v>
      </c>
      <c r="B10" s="298" t="s">
        <v>18</v>
      </c>
      <c r="C10" s="298" t="s">
        <v>256</v>
      </c>
      <c r="D10" s="299" t="n">
        <v>11</v>
      </c>
      <c r="E10" s="300" t="n">
        <v>29</v>
      </c>
      <c r="F10" s="300" t="n">
        <f aca="false">E10*D10</f>
        <v>319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customFormat="false" ht="15.75" hidden="false" customHeight="true" outlineLevel="0" collapsed="false">
      <c r="A11" s="298" t="s">
        <v>258</v>
      </c>
      <c r="B11" s="298" t="s">
        <v>19</v>
      </c>
      <c r="C11" s="298" t="s">
        <v>256</v>
      </c>
      <c r="D11" s="298" t="n">
        <v>6046</v>
      </c>
      <c r="E11" s="300" t="n">
        <v>0.57</v>
      </c>
      <c r="F11" s="300" t="n">
        <f aca="false">E11*D11</f>
        <v>3446.22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customFormat="false" ht="15.75" hidden="false" customHeight="true" outlineLevel="0" collapsed="false">
      <c r="A12" s="298" t="s">
        <v>258</v>
      </c>
      <c r="B12" s="298" t="s">
        <v>20</v>
      </c>
      <c r="C12" s="298" t="s">
        <v>256</v>
      </c>
      <c r="D12" s="298" t="n">
        <v>1208</v>
      </c>
      <c r="E12" s="300" t="n">
        <v>4.28</v>
      </c>
      <c r="F12" s="300" t="n">
        <f aca="false">E12*D12</f>
        <v>5170.24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customFormat="false" ht="15.75" hidden="false" customHeight="true" outlineLevel="0" collapsed="false">
      <c r="A13" s="298" t="s">
        <v>259</v>
      </c>
      <c r="B13" s="298" t="s">
        <v>21</v>
      </c>
      <c r="C13" s="298" t="s">
        <v>256</v>
      </c>
      <c r="D13" s="298" t="n">
        <v>273</v>
      </c>
      <c r="E13" s="300" t="n">
        <v>62.5</v>
      </c>
      <c r="F13" s="300" t="n">
        <f aca="false">E13*D13</f>
        <v>17062.5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customFormat="false" ht="15.75" hidden="false" customHeight="true" outlineLevel="0" collapsed="false">
      <c r="A14" s="298" t="s">
        <v>260</v>
      </c>
      <c r="B14" s="298" t="s">
        <v>22</v>
      </c>
      <c r="C14" s="298" t="s">
        <v>256</v>
      </c>
      <c r="D14" s="298" t="n">
        <v>140</v>
      </c>
      <c r="E14" s="300" t="n">
        <v>150</v>
      </c>
      <c r="F14" s="300" t="n">
        <f aca="false">E14*D14</f>
        <v>21000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customFormat="false" ht="15.75" hidden="false" customHeight="true" outlineLevel="0" collapsed="false">
      <c r="A15" s="298" t="s">
        <v>260</v>
      </c>
      <c r="B15" s="298" t="s">
        <v>23</v>
      </c>
      <c r="C15" s="298" t="s">
        <v>256</v>
      </c>
      <c r="D15" s="298" t="n">
        <v>1</v>
      </c>
      <c r="E15" s="300" t="n">
        <v>180</v>
      </c>
      <c r="F15" s="300" t="n">
        <f aca="false">E15*D15</f>
        <v>180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customFormat="false" ht="15.75" hidden="false" customHeight="true" outlineLevel="0" collapsed="false">
      <c r="A16" s="298" t="s">
        <v>261</v>
      </c>
      <c r="B16" s="298" t="s">
        <v>262</v>
      </c>
      <c r="C16" s="298" t="s">
        <v>256</v>
      </c>
      <c r="D16" s="298" t="n">
        <v>48</v>
      </c>
      <c r="E16" s="300" t="n">
        <v>15</v>
      </c>
      <c r="F16" s="300" t="n">
        <f aca="false">E16*D16</f>
        <v>720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customFormat="false" ht="15.75" hidden="false" customHeight="true" outlineLevel="0" collapsed="false">
      <c r="A17" s="298" t="s">
        <v>255</v>
      </c>
      <c r="B17" s="298" t="s">
        <v>263</v>
      </c>
      <c r="C17" s="298" t="s">
        <v>256</v>
      </c>
      <c r="D17" s="299" t="n">
        <v>58</v>
      </c>
      <c r="E17" s="300" t="n">
        <v>79.92</v>
      </c>
      <c r="F17" s="300" t="n">
        <f aca="false">E17*D17</f>
        <v>4635.36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customFormat="false" ht="15.75" hidden="false" customHeight="true" outlineLevel="0" collapsed="false">
      <c r="A18" s="298" t="s">
        <v>255</v>
      </c>
      <c r="B18" s="298" t="s">
        <v>264</v>
      </c>
      <c r="C18" s="298" t="s">
        <v>256</v>
      </c>
      <c r="D18" s="298" t="n">
        <v>38</v>
      </c>
      <c r="E18" s="300" t="n">
        <v>95.92</v>
      </c>
      <c r="F18" s="300" t="n">
        <f aca="false">E18*D18</f>
        <v>3644.96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customFormat="false" ht="15.75" hidden="false" customHeight="true" outlineLevel="0" collapsed="false">
      <c r="A19" s="298" t="s">
        <v>255</v>
      </c>
      <c r="B19" s="298" t="s">
        <v>265</v>
      </c>
      <c r="C19" s="298" t="s">
        <v>256</v>
      </c>
      <c r="D19" s="298" t="n">
        <v>12</v>
      </c>
      <c r="E19" s="300" t="n">
        <v>95.92</v>
      </c>
      <c r="F19" s="300" t="n">
        <f aca="false">E19*D19</f>
        <v>1151.04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customFormat="false" ht="15.75" hidden="false" customHeight="true" outlineLevel="0" collapsed="false">
      <c r="A20" s="298" t="s">
        <v>255</v>
      </c>
      <c r="B20" s="298" t="s">
        <v>266</v>
      </c>
      <c r="C20" s="298" t="s">
        <v>256</v>
      </c>
      <c r="D20" s="298" t="n">
        <v>30</v>
      </c>
      <c r="E20" s="300" t="n">
        <v>63.92</v>
      </c>
      <c r="F20" s="300" t="n">
        <f aca="false">E20*D20</f>
        <v>1917.6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customFormat="false" ht="15.75" hidden="false" customHeight="true" outlineLevel="0" collapsed="false">
      <c r="A21" s="298" t="s">
        <v>255</v>
      </c>
      <c r="B21" s="298" t="s">
        <v>30</v>
      </c>
      <c r="C21" s="298" t="s">
        <v>256</v>
      </c>
      <c r="D21" s="298" t="n">
        <v>7</v>
      </c>
      <c r="E21" s="300" t="n">
        <v>119.92</v>
      </c>
      <c r="F21" s="300" t="n">
        <f aca="false">E21*D21</f>
        <v>839.44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customFormat="false" ht="15.75" hidden="false" customHeight="true" outlineLevel="0" collapsed="false">
      <c r="A22" s="298" t="s">
        <v>255</v>
      </c>
      <c r="B22" s="298" t="s">
        <v>31</v>
      </c>
      <c r="C22" s="298" t="s">
        <v>256</v>
      </c>
      <c r="D22" s="298" t="n">
        <v>378</v>
      </c>
      <c r="E22" s="300" t="n">
        <v>129.9</v>
      </c>
      <c r="F22" s="300" t="n">
        <f aca="false">E22*D22</f>
        <v>49102.2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customFormat="false" ht="15.75" hidden="false" customHeight="true" outlineLevel="0" collapsed="false">
      <c r="A23" s="20"/>
      <c r="B23" s="20"/>
      <c r="C23" s="20"/>
      <c r="D23" s="184"/>
      <c r="E23" s="20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customFormat="false" ht="15.75" hidden="false" customHeight="true" outlineLevel="0" collapsed="false">
      <c r="A24" s="20"/>
      <c r="B24" s="20"/>
      <c r="C24" s="20"/>
      <c r="D24" s="301" t="n">
        <f aca="false">SUM(D7:D22)</f>
        <v>8988</v>
      </c>
      <c r="E24" s="20"/>
      <c r="F24" s="302" t="n">
        <f aca="false">SUM(F7:F22)</f>
        <v>172989.96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customFormat="false" ht="15.75" hidden="false" customHeight="true" outlineLevel="0" collapsed="false">
      <c r="A138" s="5"/>
      <c r="B138" s="5"/>
      <c r="C138" s="5"/>
      <c r="D138" s="5"/>
      <c r="E138" s="303"/>
      <c r="F138" s="30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customFormat="false" ht="15.75" hidden="false" customHeight="true" outlineLevel="0" collapsed="false">
      <c r="A139" s="5"/>
      <c r="B139" s="5"/>
      <c r="C139" s="5"/>
      <c r="D139" s="5"/>
      <c r="E139" s="303"/>
      <c r="F139" s="30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customFormat="false" ht="15.75" hidden="false" customHeight="true" outlineLevel="0" collapsed="false">
      <c r="A140" s="5"/>
      <c r="B140" s="5"/>
      <c r="C140" s="5"/>
      <c r="D140" s="5"/>
      <c r="E140" s="303"/>
      <c r="F140" s="30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customFormat="false" ht="15.75" hidden="false" customHeight="true" outlineLevel="0" collapsed="false">
      <c r="A141" s="5"/>
      <c r="B141" s="5"/>
      <c r="C141" s="5"/>
      <c r="D141" s="5"/>
      <c r="E141" s="303"/>
      <c r="F141" s="30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customFormat="false" ht="15.75" hidden="false" customHeight="true" outlineLevel="0" collapsed="false">
      <c r="A142" s="5"/>
      <c r="B142" s="5"/>
      <c r="C142" s="5"/>
      <c r="D142" s="5"/>
      <c r="E142" s="303"/>
      <c r="F142" s="30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customFormat="false" ht="15.75" hidden="false" customHeight="true" outlineLevel="0" collapsed="false">
      <c r="A143" s="5"/>
      <c r="B143" s="5"/>
      <c r="C143" s="5"/>
      <c r="D143" s="5"/>
      <c r="E143" s="303"/>
      <c r="F143" s="30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customFormat="false" ht="15.75" hidden="false" customHeight="true" outlineLevel="0" collapsed="false">
      <c r="A144" s="5"/>
      <c r="B144" s="5"/>
      <c r="C144" s="5"/>
      <c r="D144" s="5"/>
      <c r="E144" s="303"/>
      <c r="F144" s="30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customFormat="false" ht="15.75" hidden="false" customHeight="true" outlineLevel="0" collapsed="false">
      <c r="A145" s="5"/>
      <c r="B145" s="5"/>
      <c r="C145" s="5"/>
      <c r="D145" s="5"/>
      <c r="E145" s="303"/>
      <c r="F145" s="30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customFormat="false" ht="15.75" hidden="false" customHeight="true" outlineLevel="0" collapsed="false">
      <c r="A146" s="5"/>
      <c r="B146" s="5"/>
      <c r="C146" s="5"/>
      <c r="D146" s="5"/>
      <c r="E146" s="303"/>
      <c r="F146" s="30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customFormat="false" ht="15.75" hidden="false" customHeight="true" outlineLevel="0" collapsed="false">
      <c r="A147" s="5"/>
      <c r="B147" s="5"/>
      <c r="C147" s="5"/>
      <c r="D147" s="5"/>
      <c r="E147" s="303"/>
      <c r="F147" s="30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customFormat="false" ht="15.75" hidden="false" customHeight="true" outlineLevel="0" collapsed="false">
      <c r="A148" s="5"/>
      <c r="B148" s="5"/>
      <c r="C148" s="5"/>
      <c r="D148" s="5"/>
      <c r="E148" s="303"/>
      <c r="F148" s="30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customFormat="false" ht="15.75" hidden="false" customHeight="true" outlineLevel="0" collapsed="false">
      <c r="A149" s="5"/>
      <c r="B149" s="5"/>
      <c r="C149" s="5"/>
      <c r="D149" s="5"/>
      <c r="E149" s="303"/>
      <c r="F149" s="30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customFormat="false" ht="15.75" hidden="false" customHeight="true" outlineLevel="0" collapsed="false">
      <c r="A150" s="5"/>
      <c r="B150" s="5"/>
      <c r="C150" s="5"/>
      <c r="D150" s="5"/>
      <c r="E150" s="303"/>
      <c r="F150" s="30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customFormat="false" ht="15.75" hidden="false" customHeight="true" outlineLevel="0" collapsed="false">
      <c r="A151" s="5"/>
      <c r="B151" s="5"/>
      <c r="C151" s="5"/>
      <c r="D151" s="5"/>
      <c r="E151" s="303"/>
      <c r="F151" s="30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customFormat="false" ht="15.75" hidden="false" customHeight="true" outlineLevel="0" collapsed="false">
      <c r="A152" s="5"/>
      <c r="B152" s="5"/>
      <c r="C152" s="5"/>
      <c r="D152" s="5"/>
      <c r="E152" s="303"/>
      <c r="F152" s="30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customFormat="false" ht="15.75" hidden="false" customHeight="true" outlineLevel="0" collapsed="false">
      <c r="A153" s="5"/>
      <c r="B153" s="5"/>
      <c r="C153" s="5"/>
      <c r="D153" s="5"/>
      <c r="E153" s="303"/>
      <c r="F153" s="30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customFormat="false" ht="15.75" hidden="false" customHeight="true" outlineLevel="0" collapsed="false">
      <c r="A154" s="5"/>
      <c r="B154" s="5"/>
      <c r="C154" s="5"/>
      <c r="D154" s="5"/>
      <c r="E154" s="303"/>
      <c r="F154" s="30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customFormat="false" ht="15.75" hidden="false" customHeight="true" outlineLevel="0" collapsed="false">
      <c r="A155" s="5"/>
      <c r="B155" s="5"/>
      <c r="C155" s="5"/>
      <c r="D155" s="5"/>
      <c r="E155" s="303"/>
      <c r="F155" s="30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customFormat="false" ht="15.75" hidden="false" customHeight="true" outlineLevel="0" collapsed="false">
      <c r="A156" s="5"/>
      <c r="B156" s="5"/>
      <c r="C156" s="5"/>
      <c r="D156" s="5"/>
      <c r="E156" s="303"/>
      <c r="F156" s="30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customFormat="false" ht="15.75" hidden="false" customHeight="true" outlineLevel="0" collapsed="false">
      <c r="A157" s="5"/>
      <c r="B157" s="5"/>
      <c r="C157" s="5"/>
      <c r="D157" s="5"/>
      <c r="E157" s="303"/>
      <c r="F157" s="30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customFormat="false" ht="15.75" hidden="false" customHeight="true" outlineLevel="0" collapsed="false">
      <c r="A158" s="5"/>
      <c r="B158" s="5"/>
      <c r="C158" s="5"/>
      <c r="D158" s="5"/>
      <c r="E158" s="303"/>
      <c r="F158" s="30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customFormat="false" ht="15.75" hidden="false" customHeight="true" outlineLevel="0" collapsed="false">
      <c r="A159" s="5"/>
      <c r="B159" s="5"/>
      <c r="C159" s="5"/>
      <c r="D159" s="5"/>
      <c r="E159" s="303"/>
      <c r="F159" s="30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customFormat="false" ht="15.75" hidden="false" customHeight="true" outlineLevel="0" collapsed="false">
      <c r="A160" s="5"/>
      <c r="B160" s="5"/>
      <c r="C160" s="5"/>
      <c r="D160" s="5"/>
      <c r="E160" s="303"/>
      <c r="F160" s="30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customFormat="false" ht="15.75" hidden="false" customHeight="true" outlineLevel="0" collapsed="false">
      <c r="A161" s="5"/>
      <c r="B161" s="5"/>
      <c r="C161" s="5"/>
      <c r="D161" s="5"/>
      <c r="E161" s="303"/>
      <c r="F161" s="30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customFormat="false" ht="15.75" hidden="false" customHeight="true" outlineLevel="0" collapsed="false">
      <c r="A162" s="5"/>
      <c r="B162" s="5"/>
      <c r="C162" s="5"/>
      <c r="D162" s="5"/>
      <c r="E162" s="303"/>
      <c r="F162" s="30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customFormat="false" ht="15.75" hidden="false" customHeight="true" outlineLevel="0" collapsed="false">
      <c r="A163" s="5"/>
      <c r="B163" s="5"/>
      <c r="C163" s="5"/>
      <c r="D163" s="5"/>
      <c r="E163" s="303"/>
      <c r="F163" s="30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customFormat="false" ht="15.75" hidden="false" customHeight="true" outlineLevel="0" collapsed="false">
      <c r="A164" s="5"/>
      <c r="B164" s="5"/>
      <c r="C164" s="5"/>
      <c r="D164" s="5"/>
      <c r="E164" s="303"/>
      <c r="F164" s="30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customFormat="false" ht="15.75" hidden="false" customHeight="true" outlineLevel="0" collapsed="false">
      <c r="A165" s="5"/>
      <c r="B165" s="5"/>
      <c r="C165" s="5"/>
      <c r="D165" s="5"/>
      <c r="E165" s="303"/>
      <c r="F165" s="30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customFormat="false" ht="15.75" hidden="false" customHeight="true" outlineLevel="0" collapsed="false">
      <c r="A166" s="5"/>
      <c r="B166" s="5"/>
      <c r="C166" s="5"/>
      <c r="D166" s="5"/>
      <c r="E166" s="303"/>
      <c r="F166" s="30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customFormat="false" ht="15.75" hidden="false" customHeight="true" outlineLevel="0" collapsed="false">
      <c r="A167" s="5"/>
      <c r="B167" s="5"/>
      <c r="C167" s="5"/>
      <c r="D167" s="5"/>
      <c r="E167" s="303"/>
      <c r="F167" s="30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customFormat="false" ht="15.75" hidden="false" customHeight="true" outlineLevel="0" collapsed="false">
      <c r="A168" s="5"/>
      <c r="B168" s="5"/>
      <c r="C168" s="5"/>
      <c r="D168" s="5"/>
      <c r="E168" s="303"/>
      <c r="F168" s="30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customFormat="false" ht="15.75" hidden="false" customHeight="true" outlineLevel="0" collapsed="false">
      <c r="A169" s="5"/>
      <c r="B169" s="5"/>
      <c r="C169" s="5"/>
      <c r="D169" s="5"/>
      <c r="E169" s="303"/>
      <c r="F169" s="30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customFormat="false" ht="15.75" hidden="false" customHeight="true" outlineLevel="0" collapsed="false">
      <c r="A170" s="5"/>
      <c r="B170" s="5"/>
      <c r="C170" s="5"/>
      <c r="D170" s="5"/>
      <c r="E170" s="303"/>
      <c r="F170" s="30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customFormat="false" ht="15.75" hidden="false" customHeight="true" outlineLevel="0" collapsed="false">
      <c r="A171" s="5"/>
      <c r="B171" s="5"/>
      <c r="C171" s="5"/>
      <c r="D171" s="5"/>
      <c r="E171" s="303"/>
      <c r="F171" s="30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customFormat="false" ht="15.75" hidden="false" customHeight="true" outlineLevel="0" collapsed="false">
      <c r="A172" s="5"/>
      <c r="B172" s="5"/>
      <c r="C172" s="5"/>
      <c r="D172" s="5"/>
      <c r="E172" s="303"/>
      <c r="F172" s="30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customFormat="false" ht="15.75" hidden="false" customHeight="true" outlineLevel="0" collapsed="false">
      <c r="A173" s="5"/>
      <c r="B173" s="5"/>
      <c r="C173" s="5"/>
      <c r="D173" s="5"/>
      <c r="E173" s="303"/>
      <c r="F173" s="30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customFormat="false" ht="15.75" hidden="false" customHeight="true" outlineLevel="0" collapsed="false">
      <c r="A174" s="5"/>
      <c r="B174" s="5"/>
      <c r="C174" s="5"/>
      <c r="D174" s="5"/>
      <c r="E174" s="303"/>
      <c r="F174" s="30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customFormat="false" ht="15.75" hidden="false" customHeight="true" outlineLevel="0" collapsed="false">
      <c r="A175" s="5"/>
      <c r="B175" s="5"/>
      <c r="C175" s="5"/>
      <c r="D175" s="5"/>
      <c r="E175" s="303"/>
      <c r="F175" s="30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customFormat="false" ht="15.75" hidden="false" customHeight="true" outlineLevel="0" collapsed="false">
      <c r="A176" s="5"/>
      <c r="B176" s="5"/>
      <c r="C176" s="5"/>
      <c r="D176" s="5"/>
      <c r="E176" s="303"/>
      <c r="F176" s="30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customFormat="false" ht="15.75" hidden="false" customHeight="true" outlineLevel="0" collapsed="false">
      <c r="A177" s="5"/>
      <c r="B177" s="5"/>
      <c r="C177" s="5"/>
      <c r="D177" s="5"/>
      <c r="E177" s="303"/>
      <c r="F177" s="30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customFormat="false" ht="15.75" hidden="false" customHeight="true" outlineLevel="0" collapsed="false">
      <c r="A178" s="5"/>
      <c r="B178" s="5"/>
      <c r="C178" s="5"/>
      <c r="D178" s="5"/>
      <c r="E178" s="303"/>
      <c r="F178" s="30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customFormat="false" ht="15.75" hidden="false" customHeight="true" outlineLevel="0" collapsed="false">
      <c r="A179" s="5"/>
      <c r="B179" s="5"/>
      <c r="C179" s="5"/>
      <c r="D179" s="5"/>
      <c r="E179" s="303"/>
      <c r="F179" s="30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customFormat="false" ht="15.75" hidden="false" customHeight="true" outlineLevel="0" collapsed="false">
      <c r="A180" s="5"/>
      <c r="B180" s="5"/>
      <c r="C180" s="5"/>
      <c r="D180" s="5"/>
      <c r="E180" s="303"/>
      <c r="F180" s="30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customFormat="false" ht="15.75" hidden="false" customHeight="true" outlineLevel="0" collapsed="false">
      <c r="A181" s="5"/>
      <c r="B181" s="5"/>
      <c r="C181" s="5"/>
      <c r="D181" s="5"/>
      <c r="E181" s="303"/>
      <c r="F181" s="30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customFormat="false" ht="15.75" hidden="false" customHeight="true" outlineLevel="0" collapsed="false">
      <c r="A182" s="5"/>
      <c r="B182" s="5"/>
      <c r="C182" s="5"/>
      <c r="D182" s="5"/>
      <c r="E182" s="303"/>
      <c r="F182" s="30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customFormat="false" ht="15.75" hidden="false" customHeight="true" outlineLevel="0" collapsed="false">
      <c r="A183" s="5"/>
      <c r="B183" s="5"/>
      <c r="C183" s="5"/>
      <c r="D183" s="5"/>
      <c r="E183" s="303"/>
      <c r="F183" s="30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customFormat="false" ht="15.75" hidden="false" customHeight="true" outlineLevel="0" collapsed="false">
      <c r="A184" s="5"/>
      <c r="B184" s="5"/>
      <c r="C184" s="5"/>
      <c r="D184" s="5"/>
      <c r="E184" s="303"/>
      <c r="F184" s="30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customFormat="false" ht="15.75" hidden="false" customHeight="true" outlineLevel="0" collapsed="false">
      <c r="A185" s="5"/>
      <c r="B185" s="5"/>
      <c r="C185" s="5"/>
      <c r="D185" s="5"/>
      <c r="E185" s="303"/>
      <c r="F185" s="30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customFormat="false" ht="15.75" hidden="false" customHeight="true" outlineLevel="0" collapsed="false">
      <c r="A186" s="5"/>
      <c r="B186" s="5"/>
      <c r="C186" s="5"/>
      <c r="D186" s="5"/>
      <c r="E186" s="303"/>
      <c r="F186" s="30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customFormat="false" ht="15.75" hidden="false" customHeight="true" outlineLevel="0" collapsed="false">
      <c r="A187" s="5"/>
      <c r="B187" s="5"/>
      <c r="C187" s="5"/>
      <c r="D187" s="5"/>
      <c r="E187" s="303"/>
      <c r="F187" s="30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customFormat="false" ht="15.75" hidden="false" customHeight="true" outlineLevel="0" collapsed="false">
      <c r="A188" s="5"/>
      <c r="B188" s="5"/>
      <c r="C188" s="5"/>
      <c r="D188" s="5"/>
      <c r="E188" s="303"/>
      <c r="F188" s="30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customFormat="false" ht="15.75" hidden="false" customHeight="true" outlineLevel="0" collapsed="false">
      <c r="A189" s="5"/>
      <c r="B189" s="5"/>
      <c r="C189" s="5"/>
      <c r="D189" s="5"/>
      <c r="E189" s="303"/>
      <c r="F189" s="30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customFormat="false" ht="15.75" hidden="false" customHeight="true" outlineLevel="0" collapsed="false">
      <c r="A190" s="5"/>
      <c r="B190" s="5"/>
      <c r="C190" s="5"/>
      <c r="D190" s="5"/>
      <c r="E190" s="303"/>
      <c r="F190" s="30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customFormat="false" ht="15.75" hidden="false" customHeight="true" outlineLevel="0" collapsed="false">
      <c r="A191" s="5"/>
      <c r="B191" s="5"/>
      <c r="C191" s="5"/>
      <c r="D191" s="5"/>
      <c r="E191" s="303"/>
      <c r="F191" s="30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customFormat="false" ht="15.75" hidden="false" customHeight="true" outlineLevel="0" collapsed="false">
      <c r="A192" s="5"/>
      <c r="B192" s="5"/>
      <c r="C192" s="5"/>
      <c r="D192" s="5"/>
      <c r="E192" s="303"/>
      <c r="F192" s="30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customFormat="false" ht="15.75" hidden="false" customHeight="true" outlineLevel="0" collapsed="false">
      <c r="A193" s="5"/>
      <c r="B193" s="5"/>
      <c r="C193" s="5"/>
      <c r="D193" s="5"/>
      <c r="E193" s="303"/>
      <c r="F193" s="30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customFormat="false" ht="15.75" hidden="false" customHeight="true" outlineLevel="0" collapsed="false">
      <c r="A194" s="5"/>
      <c r="B194" s="5"/>
      <c r="C194" s="5"/>
      <c r="D194" s="5"/>
      <c r="E194" s="303"/>
      <c r="F194" s="30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customFormat="false" ht="15.75" hidden="false" customHeight="true" outlineLevel="0" collapsed="false">
      <c r="A195" s="5"/>
      <c r="B195" s="5"/>
      <c r="C195" s="5"/>
      <c r="D195" s="5"/>
      <c r="E195" s="303"/>
      <c r="F195" s="30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customFormat="false" ht="15.75" hidden="false" customHeight="true" outlineLevel="0" collapsed="false">
      <c r="A196" s="5"/>
      <c r="B196" s="5"/>
      <c r="C196" s="5"/>
      <c r="D196" s="5"/>
      <c r="E196" s="303"/>
      <c r="F196" s="30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customFormat="false" ht="15.75" hidden="false" customHeight="true" outlineLevel="0" collapsed="false">
      <c r="A197" s="5"/>
      <c r="B197" s="5"/>
      <c r="C197" s="5"/>
      <c r="D197" s="5"/>
      <c r="E197" s="303"/>
      <c r="F197" s="30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customFormat="false" ht="15.75" hidden="false" customHeight="true" outlineLevel="0" collapsed="false">
      <c r="A198" s="5"/>
      <c r="B198" s="5"/>
      <c r="C198" s="5"/>
      <c r="D198" s="5"/>
      <c r="E198" s="303"/>
      <c r="F198" s="30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customFormat="false" ht="15.75" hidden="false" customHeight="true" outlineLevel="0" collapsed="false">
      <c r="A199" s="5"/>
      <c r="B199" s="5"/>
      <c r="C199" s="5"/>
      <c r="D199" s="5"/>
      <c r="E199" s="303"/>
      <c r="F199" s="30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customFormat="false" ht="15.75" hidden="false" customHeight="true" outlineLevel="0" collapsed="false">
      <c r="A200" s="5"/>
      <c r="B200" s="5"/>
      <c r="C200" s="5"/>
      <c r="D200" s="5"/>
      <c r="E200" s="303"/>
      <c r="F200" s="30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customFormat="false" ht="15.75" hidden="false" customHeight="true" outlineLevel="0" collapsed="false">
      <c r="A201" s="5"/>
      <c r="B201" s="5"/>
      <c r="C201" s="5"/>
      <c r="D201" s="5"/>
      <c r="E201" s="303"/>
      <c r="F201" s="30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customFormat="false" ht="15.75" hidden="false" customHeight="true" outlineLevel="0" collapsed="false">
      <c r="A202" s="5"/>
      <c r="B202" s="5"/>
      <c r="C202" s="5"/>
      <c r="D202" s="5"/>
      <c r="E202" s="303"/>
      <c r="F202" s="30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customFormat="false" ht="15.75" hidden="false" customHeight="true" outlineLevel="0" collapsed="false">
      <c r="A203" s="5"/>
      <c r="B203" s="5"/>
      <c r="C203" s="5"/>
      <c r="D203" s="5"/>
      <c r="E203" s="303"/>
      <c r="F203" s="30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customFormat="false" ht="15.75" hidden="false" customHeight="true" outlineLevel="0" collapsed="false">
      <c r="A204" s="5"/>
      <c r="B204" s="5"/>
      <c r="C204" s="5"/>
      <c r="D204" s="5"/>
      <c r="E204" s="303"/>
      <c r="F204" s="30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customFormat="false" ht="15.75" hidden="false" customHeight="true" outlineLevel="0" collapsed="false">
      <c r="A205" s="5"/>
      <c r="B205" s="5"/>
      <c r="C205" s="5"/>
      <c r="D205" s="5"/>
      <c r="E205" s="303"/>
      <c r="F205" s="30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customFormat="false" ht="15.75" hidden="false" customHeight="true" outlineLevel="0" collapsed="false">
      <c r="A206" s="5"/>
      <c r="B206" s="5"/>
      <c r="C206" s="5"/>
      <c r="D206" s="5"/>
      <c r="E206" s="303"/>
      <c r="F206" s="30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customFormat="false" ht="15.75" hidden="false" customHeight="true" outlineLevel="0" collapsed="false">
      <c r="A207" s="5"/>
      <c r="B207" s="5"/>
      <c r="C207" s="5"/>
      <c r="D207" s="5"/>
      <c r="E207" s="303"/>
      <c r="F207" s="30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customFormat="false" ht="15.75" hidden="false" customHeight="true" outlineLevel="0" collapsed="false">
      <c r="A208" s="5"/>
      <c r="B208" s="5"/>
      <c r="C208" s="5"/>
      <c r="D208" s="5"/>
      <c r="E208" s="303"/>
      <c r="F208" s="30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customFormat="false" ht="15.75" hidden="false" customHeight="true" outlineLevel="0" collapsed="false">
      <c r="A209" s="5"/>
      <c r="B209" s="5"/>
      <c r="C209" s="5"/>
      <c r="D209" s="5"/>
      <c r="E209" s="303"/>
      <c r="F209" s="30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customFormat="false" ht="15.75" hidden="false" customHeight="true" outlineLevel="0" collapsed="false">
      <c r="A210" s="5"/>
      <c r="B210" s="5"/>
      <c r="C210" s="5"/>
      <c r="D210" s="5"/>
      <c r="E210" s="303"/>
      <c r="F210" s="30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customFormat="false" ht="15.75" hidden="false" customHeight="true" outlineLevel="0" collapsed="false">
      <c r="A211" s="5"/>
      <c r="B211" s="5"/>
      <c r="C211" s="5"/>
      <c r="D211" s="5"/>
      <c r="E211" s="303"/>
      <c r="F211" s="30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customFormat="false" ht="15.75" hidden="false" customHeight="true" outlineLevel="0" collapsed="false">
      <c r="A212" s="5"/>
      <c r="B212" s="5"/>
      <c r="C212" s="5"/>
      <c r="D212" s="5"/>
      <c r="E212" s="303"/>
      <c r="F212" s="30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customFormat="false" ht="15.75" hidden="false" customHeight="true" outlineLevel="0" collapsed="false">
      <c r="A213" s="5"/>
      <c r="B213" s="5"/>
      <c r="C213" s="5"/>
      <c r="D213" s="5"/>
      <c r="E213" s="303"/>
      <c r="F213" s="30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customFormat="false" ht="15.75" hidden="false" customHeight="true" outlineLevel="0" collapsed="false">
      <c r="A214" s="5"/>
      <c r="B214" s="5"/>
      <c r="C214" s="5"/>
      <c r="D214" s="5"/>
      <c r="E214" s="303"/>
      <c r="F214" s="30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customFormat="false" ht="15.75" hidden="false" customHeight="true" outlineLevel="0" collapsed="false">
      <c r="A215" s="5"/>
      <c r="B215" s="5"/>
      <c r="C215" s="5"/>
      <c r="D215" s="5"/>
      <c r="E215" s="303"/>
      <c r="F215" s="30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customFormat="false" ht="15.75" hidden="false" customHeight="true" outlineLevel="0" collapsed="false">
      <c r="A216" s="5"/>
      <c r="B216" s="5"/>
      <c r="C216" s="5"/>
      <c r="D216" s="5"/>
      <c r="E216" s="303"/>
      <c r="F216" s="30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customFormat="false" ht="15.75" hidden="false" customHeight="true" outlineLevel="0" collapsed="false">
      <c r="A217" s="5"/>
      <c r="B217" s="5"/>
      <c r="C217" s="5"/>
      <c r="D217" s="5"/>
      <c r="E217" s="303"/>
      <c r="F217" s="30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customFormat="false" ht="15.75" hidden="false" customHeight="true" outlineLevel="0" collapsed="false">
      <c r="A218" s="5"/>
      <c r="B218" s="5"/>
      <c r="C218" s="5"/>
      <c r="D218" s="5"/>
      <c r="E218" s="303"/>
      <c r="F218" s="30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customFormat="false" ht="15.75" hidden="false" customHeight="true" outlineLevel="0" collapsed="false">
      <c r="A219" s="5"/>
      <c r="B219" s="5"/>
      <c r="C219" s="5"/>
      <c r="D219" s="5"/>
      <c r="E219" s="303"/>
      <c r="F219" s="30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customFormat="false" ht="15.75" hidden="false" customHeight="true" outlineLevel="0" collapsed="false">
      <c r="A220" s="5"/>
      <c r="B220" s="5"/>
      <c r="C220" s="5"/>
      <c r="D220" s="5"/>
      <c r="E220" s="303"/>
      <c r="F220" s="30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customFormat="false" ht="15.75" hidden="false" customHeight="true" outlineLevel="0" collapsed="false">
      <c r="A221" s="5"/>
      <c r="B221" s="5"/>
      <c r="C221" s="5"/>
      <c r="D221" s="5"/>
      <c r="E221" s="303"/>
      <c r="F221" s="30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customFormat="false" ht="15.75" hidden="false" customHeight="true" outlineLevel="0" collapsed="false">
      <c r="A222" s="5"/>
      <c r="B222" s="5"/>
      <c r="C222" s="5"/>
      <c r="D222" s="5"/>
      <c r="E222" s="303"/>
      <c r="F222" s="30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customFormat="false" ht="15.75" hidden="false" customHeight="true" outlineLevel="0" collapsed="false">
      <c r="A223" s="5"/>
      <c r="B223" s="5"/>
      <c r="C223" s="5"/>
      <c r="D223" s="5"/>
      <c r="E223" s="303"/>
      <c r="F223" s="30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customFormat="false" ht="15.75" hidden="false" customHeight="true" outlineLevel="0" collapsed="false">
      <c r="A224" s="5"/>
      <c r="B224" s="5"/>
      <c r="C224" s="5"/>
      <c r="D224" s="5"/>
      <c r="E224" s="303"/>
      <c r="F224" s="30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customFormat="false" ht="15.75" hidden="false" customHeight="true" outlineLevel="0" collapsed="false">
      <c r="A225" s="5"/>
      <c r="B225" s="5"/>
      <c r="C225" s="5"/>
      <c r="D225" s="5"/>
      <c r="E225" s="303"/>
      <c r="F225" s="30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customFormat="false" ht="15.75" hidden="false" customHeight="true" outlineLevel="0" collapsed="false">
      <c r="A226" s="5"/>
      <c r="B226" s="5"/>
      <c r="C226" s="5"/>
      <c r="D226" s="5"/>
      <c r="E226" s="303"/>
      <c r="F226" s="30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customFormat="false" ht="15.75" hidden="false" customHeight="true" outlineLevel="0" collapsed="false">
      <c r="A227" s="5"/>
      <c r="B227" s="5"/>
      <c r="C227" s="5"/>
      <c r="D227" s="5"/>
      <c r="E227" s="303"/>
      <c r="F227" s="30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customFormat="false" ht="15.75" hidden="false" customHeight="true" outlineLevel="0" collapsed="false">
      <c r="A228" s="5"/>
      <c r="B228" s="5"/>
      <c r="C228" s="5"/>
      <c r="D228" s="5"/>
      <c r="E228" s="303"/>
      <c r="F228" s="30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customFormat="false" ht="15.75" hidden="false" customHeight="true" outlineLevel="0" collapsed="false">
      <c r="A229" s="5"/>
      <c r="B229" s="5"/>
      <c r="C229" s="5"/>
      <c r="D229" s="5"/>
      <c r="E229" s="303"/>
      <c r="F229" s="30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customFormat="false" ht="15.75" hidden="false" customHeight="true" outlineLevel="0" collapsed="false">
      <c r="A230" s="5"/>
      <c r="B230" s="5"/>
      <c r="C230" s="5"/>
      <c r="D230" s="5"/>
      <c r="E230" s="303"/>
      <c r="F230" s="30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customFormat="false" ht="15.75" hidden="false" customHeight="true" outlineLevel="0" collapsed="false">
      <c r="A231" s="5"/>
      <c r="B231" s="5"/>
      <c r="C231" s="5"/>
      <c r="D231" s="5"/>
      <c r="E231" s="303"/>
      <c r="F231" s="30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customFormat="false" ht="15.75" hidden="false" customHeight="true" outlineLevel="0" collapsed="false">
      <c r="A232" s="5"/>
      <c r="B232" s="5"/>
      <c r="C232" s="5"/>
      <c r="D232" s="5"/>
      <c r="E232" s="303"/>
      <c r="F232" s="30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customFormat="false" ht="15.75" hidden="false" customHeight="true" outlineLevel="0" collapsed="false">
      <c r="A233" s="5"/>
      <c r="B233" s="5"/>
      <c r="C233" s="5"/>
      <c r="D233" s="5"/>
      <c r="E233" s="303"/>
      <c r="F233" s="30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customFormat="false" ht="15.75" hidden="false" customHeight="true" outlineLevel="0" collapsed="false">
      <c r="A234" s="5"/>
      <c r="B234" s="5"/>
      <c r="C234" s="5"/>
      <c r="D234" s="5"/>
      <c r="E234" s="303"/>
      <c r="F234" s="30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customFormat="false" ht="15.75" hidden="false" customHeight="true" outlineLevel="0" collapsed="false">
      <c r="A235" s="5"/>
      <c r="B235" s="5"/>
      <c r="C235" s="5"/>
      <c r="D235" s="5"/>
      <c r="E235" s="303"/>
      <c r="F235" s="30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customFormat="false" ht="15.75" hidden="false" customHeight="true" outlineLevel="0" collapsed="false">
      <c r="A236" s="5"/>
      <c r="B236" s="5"/>
      <c r="C236" s="5"/>
      <c r="D236" s="5"/>
      <c r="E236" s="303"/>
      <c r="F236" s="30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customFormat="false" ht="15.75" hidden="false" customHeight="true" outlineLevel="0" collapsed="false">
      <c r="A237" s="5"/>
      <c r="B237" s="5"/>
      <c r="C237" s="5"/>
      <c r="D237" s="5"/>
      <c r="E237" s="303"/>
      <c r="F237" s="30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customFormat="false" ht="15.75" hidden="false" customHeight="true" outlineLevel="0" collapsed="false">
      <c r="A238" s="5"/>
      <c r="B238" s="5"/>
      <c r="C238" s="5"/>
      <c r="D238" s="5"/>
      <c r="E238" s="303"/>
      <c r="F238" s="30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customFormat="false" ht="15.75" hidden="false" customHeight="true" outlineLevel="0" collapsed="false">
      <c r="A239" s="5"/>
      <c r="B239" s="5"/>
      <c r="C239" s="5"/>
      <c r="D239" s="5"/>
      <c r="E239" s="303"/>
      <c r="F239" s="30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customFormat="false" ht="15.75" hidden="false" customHeight="true" outlineLevel="0" collapsed="false">
      <c r="A240" s="5"/>
      <c r="B240" s="5"/>
      <c r="C240" s="5"/>
      <c r="D240" s="5"/>
      <c r="E240" s="303"/>
      <c r="F240" s="30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customFormat="false" ht="15.75" hidden="false" customHeight="true" outlineLevel="0" collapsed="false">
      <c r="A241" s="5"/>
      <c r="B241" s="5"/>
      <c r="C241" s="5"/>
      <c r="D241" s="5"/>
      <c r="E241" s="303"/>
      <c r="F241" s="30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customFormat="false" ht="15.75" hidden="false" customHeight="true" outlineLevel="0" collapsed="false">
      <c r="A242" s="5"/>
      <c r="B242" s="5"/>
      <c r="C242" s="5"/>
      <c r="D242" s="5"/>
      <c r="E242" s="303"/>
      <c r="F242" s="30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customFormat="false" ht="15.75" hidden="false" customHeight="true" outlineLevel="0" collapsed="false">
      <c r="A243" s="5"/>
      <c r="B243" s="5"/>
      <c r="C243" s="5"/>
      <c r="D243" s="5"/>
      <c r="E243" s="303"/>
      <c r="F243" s="30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customFormat="false" ht="15.75" hidden="false" customHeight="true" outlineLevel="0" collapsed="false">
      <c r="A244" s="5"/>
      <c r="B244" s="5"/>
      <c r="C244" s="5"/>
      <c r="D244" s="5"/>
      <c r="E244" s="303"/>
      <c r="F244" s="30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customFormat="false" ht="15.75" hidden="false" customHeight="true" outlineLevel="0" collapsed="false">
      <c r="A245" s="5"/>
      <c r="B245" s="5"/>
      <c r="C245" s="5"/>
      <c r="D245" s="5"/>
      <c r="E245" s="303"/>
      <c r="F245" s="30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customFormat="false" ht="15.75" hidden="false" customHeight="true" outlineLevel="0" collapsed="false">
      <c r="A246" s="5"/>
      <c r="B246" s="5"/>
      <c r="C246" s="5"/>
      <c r="D246" s="5"/>
      <c r="E246" s="303"/>
      <c r="F246" s="30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customFormat="false" ht="15.75" hidden="false" customHeight="true" outlineLevel="0" collapsed="false">
      <c r="A247" s="5"/>
      <c r="B247" s="5"/>
      <c r="C247" s="5"/>
      <c r="D247" s="5"/>
      <c r="E247" s="303"/>
      <c r="F247" s="30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customFormat="false" ht="15.75" hidden="false" customHeight="true" outlineLevel="0" collapsed="false">
      <c r="A248" s="5"/>
      <c r="B248" s="5"/>
      <c r="C248" s="5"/>
      <c r="D248" s="5"/>
      <c r="E248" s="303"/>
      <c r="F248" s="30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customFormat="false" ht="15.75" hidden="false" customHeight="true" outlineLevel="0" collapsed="false">
      <c r="A249" s="5"/>
      <c r="B249" s="5"/>
      <c r="C249" s="5"/>
      <c r="D249" s="5"/>
      <c r="E249" s="303"/>
      <c r="F249" s="30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customFormat="false" ht="15.75" hidden="false" customHeight="true" outlineLevel="0" collapsed="false">
      <c r="A250" s="5"/>
      <c r="B250" s="5"/>
      <c r="C250" s="5"/>
      <c r="D250" s="5"/>
      <c r="E250" s="303"/>
      <c r="F250" s="30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customFormat="false" ht="15.75" hidden="false" customHeight="true" outlineLevel="0" collapsed="false">
      <c r="A251" s="5"/>
      <c r="B251" s="5"/>
      <c r="C251" s="5"/>
      <c r="D251" s="5"/>
      <c r="E251" s="303"/>
      <c r="F251" s="30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customFormat="false" ht="15.75" hidden="false" customHeight="true" outlineLevel="0" collapsed="false">
      <c r="A252" s="5"/>
      <c r="B252" s="5"/>
      <c r="C252" s="5"/>
      <c r="D252" s="5"/>
      <c r="E252" s="303"/>
      <c r="F252" s="30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customFormat="false" ht="15.75" hidden="false" customHeight="true" outlineLevel="0" collapsed="false">
      <c r="A253" s="5"/>
      <c r="B253" s="5"/>
      <c r="C253" s="5"/>
      <c r="D253" s="5"/>
      <c r="E253" s="303"/>
      <c r="F253" s="30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customFormat="false" ht="15.75" hidden="false" customHeight="true" outlineLevel="0" collapsed="false">
      <c r="A254" s="5"/>
      <c r="B254" s="5"/>
      <c r="C254" s="5"/>
      <c r="D254" s="5"/>
      <c r="E254" s="303"/>
      <c r="F254" s="30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customFormat="false" ht="15.75" hidden="false" customHeight="true" outlineLevel="0" collapsed="false">
      <c r="A255" s="5"/>
      <c r="B255" s="5"/>
      <c r="C255" s="5"/>
      <c r="D255" s="5"/>
      <c r="E255" s="303"/>
      <c r="F255" s="30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customFormat="false" ht="15.75" hidden="false" customHeight="true" outlineLevel="0" collapsed="false">
      <c r="A256" s="5"/>
      <c r="B256" s="5"/>
      <c r="C256" s="5"/>
      <c r="D256" s="5"/>
      <c r="E256" s="303"/>
      <c r="F256" s="30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customFormat="false" ht="15.75" hidden="false" customHeight="true" outlineLevel="0" collapsed="false">
      <c r="A257" s="5"/>
      <c r="B257" s="5"/>
      <c r="C257" s="5"/>
      <c r="D257" s="5"/>
      <c r="E257" s="303"/>
      <c r="F257" s="30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customFormat="false" ht="15.75" hidden="false" customHeight="true" outlineLevel="0" collapsed="false">
      <c r="A258" s="5"/>
      <c r="B258" s="5"/>
      <c r="C258" s="5"/>
      <c r="D258" s="5"/>
      <c r="E258" s="303"/>
      <c r="F258" s="30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customFormat="false" ht="15.75" hidden="false" customHeight="true" outlineLevel="0" collapsed="false">
      <c r="A259" s="5"/>
      <c r="B259" s="5"/>
      <c r="C259" s="5"/>
      <c r="D259" s="5"/>
      <c r="E259" s="303"/>
      <c r="F259" s="30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customFormat="false" ht="15.75" hidden="false" customHeight="true" outlineLevel="0" collapsed="false">
      <c r="A260" s="5"/>
      <c r="B260" s="5"/>
      <c r="C260" s="5"/>
      <c r="D260" s="5"/>
      <c r="E260" s="303"/>
      <c r="F260" s="30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customFormat="false" ht="15.75" hidden="false" customHeight="true" outlineLevel="0" collapsed="false">
      <c r="A261" s="5"/>
      <c r="B261" s="5"/>
      <c r="C261" s="5"/>
      <c r="D261" s="5"/>
      <c r="E261" s="303"/>
      <c r="F261" s="30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customFormat="false" ht="15.75" hidden="false" customHeight="true" outlineLevel="0" collapsed="false">
      <c r="A262" s="5"/>
      <c r="B262" s="5"/>
      <c r="C262" s="5"/>
      <c r="D262" s="5"/>
      <c r="E262" s="303"/>
      <c r="F262" s="30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customFormat="false" ht="15.75" hidden="false" customHeight="true" outlineLevel="0" collapsed="false">
      <c r="A263" s="5"/>
      <c r="B263" s="5"/>
      <c r="C263" s="5"/>
      <c r="D263" s="5"/>
      <c r="E263" s="303"/>
      <c r="F263" s="30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customFormat="false" ht="15.75" hidden="false" customHeight="true" outlineLevel="0" collapsed="false">
      <c r="A264" s="5"/>
      <c r="B264" s="5"/>
      <c r="C264" s="5"/>
      <c r="D264" s="5"/>
      <c r="E264" s="303"/>
      <c r="F264" s="30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customFormat="false" ht="15.75" hidden="false" customHeight="true" outlineLevel="0" collapsed="false">
      <c r="A265" s="5"/>
      <c r="B265" s="5"/>
      <c r="C265" s="5"/>
      <c r="D265" s="5"/>
      <c r="E265" s="303"/>
      <c r="F265" s="30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customFormat="false" ht="15.75" hidden="false" customHeight="true" outlineLevel="0" collapsed="false">
      <c r="A266" s="5"/>
      <c r="B266" s="5"/>
      <c r="C266" s="5"/>
      <c r="D266" s="5"/>
      <c r="E266" s="303"/>
      <c r="F266" s="30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customFormat="false" ht="15.75" hidden="false" customHeight="true" outlineLevel="0" collapsed="false">
      <c r="A267" s="5"/>
      <c r="B267" s="5"/>
      <c r="C267" s="5"/>
      <c r="D267" s="5"/>
      <c r="E267" s="303"/>
      <c r="F267" s="30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customFormat="false" ht="15.75" hidden="false" customHeight="true" outlineLevel="0" collapsed="false">
      <c r="A268" s="5"/>
      <c r="B268" s="5"/>
      <c r="C268" s="5"/>
      <c r="D268" s="5"/>
      <c r="E268" s="303"/>
      <c r="F268" s="30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customFormat="false" ht="15.75" hidden="false" customHeight="true" outlineLevel="0" collapsed="false">
      <c r="A269" s="5"/>
      <c r="B269" s="5"/>
      <c r="C269" s="5"/>
      <c r="D269" s="5"/>
      <c r="E269" s="303"/>
      <c r="F269" s="30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customFormat="false" ht="15.75" hidden="false" customHeight="true" outlineLevel="0" collapsed="false">
      <c r="A270" s="5"/>
      <c r="B270" s="5"/>
      <c r="C270" s="5"/>
      <c r="D270" s="5"/>
      <c r="E270" s="303"/>
      <c r="F270" s="30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customFormat="false" ht="15.75" hidden="false" customHeight="true" outlineLevel="0" collapsed="false">
      <c r="A271" s="5"/>
      <c r="B271" s="5"/>
      <c r="C271" s="5"/>
      <c r="D271" s="5"/>
      <c r="E271" s="303"/>
      <c r="F271" s="30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customFormat="false" ht="15.75" hidden="false" customHeight="true" outlineLevel="0" collapsed="false">
      <c r="A272" s="5"/>
      <c r="B272" s="5"/>
      <c r="C272" s="5"/>
      <c r="D272" s="5"/>
      <c r="E272" s="303"/>
      <c r="F272" s="30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customFormat="false" ht="15.75" hidden="false" customHeight="true" outlineLevel="0" collapsed="false">
      <c r="A273" s="5"/>
      <c r="B273" s="5"/>
      <c r="C273" s="5"/>
      <c r="D273" s="5"/>
      <c r="E273" s="303"/>
      <c r="F273" s="30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customFormat="false" ht="15.75" hidden="false" customHeight="true" outlineLevel="0" collapsed="false">
      <c r="A274" s="5"/>
      <c r="B274" s="5"/>
      <c r="C274" s="5"/>
      <c r="D274" s="5"/>
      <c r="E274" s="303"/>
      <c r="F274" s="30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customFormat="false" ht="15.75" hidden="false" customHeight="true" outlineLevel="0" collapsed="false">
      <c r="A275" s="5"/>
      <c r="B275" s="5"/>
      <c r="C275" s="5"/>
      <c r="D275" s="5"/>
      <c r="E275" s="303"/>
      <c r="F275" s="30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customFormat="false" ht="15.75" hidden="false" customHeight="true" outlineLevel="0" collapsed="false">
      <c r="A276" s="5"/>
      <c r="B276" s="5"/>
      <c r="C276" s="5"/>
      <c r="D276" s="5"/>
      <c r="E276" s="303"/>
      <c r="F276" s="30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customFormat="false" ht="15.75" hidden="false" customHeight="true" outlineLevel="0" collapsed="false">
      <c r="A277" s="5"/>
      <c r="B277" s="5"/>
      <c r="C277" s="5"/>
      <c r="D277" s="5"/>
      <c r="E277" s="303"/>
      <c r="F277" s="30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customFormat="false" ht="15.75" hidden="false" customHeight="true" outlineLevel="0" collapsed="false">
      <c r="A278" s="5"/>
      <c r="B278" s="5"/>
      <c r="C278" s="5"/>
      <c r="D278" s="5"/>
      <c r="E278" s="303"/>
      <c r="F278" s="30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customFormat="false" ht="15.75" hidden="false" customHeight="true" outlineLevel="0" collapsed="false">
      <c r="A279" s="5"/>
      <c r="B279" s="5"/>
      <c r="C279" s="5"/>
      <c r="D279" s="5"/>
      <c r="E279" s="303"/>
      <c r="F279" s="30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customFormat="false" ht="15.75" hidden="false" customHeight="true" outlineLevel="0" collapsed="false">
      <c r="A280" s="5"/>
      <c r="B280" s="5"/>
      <c r="C280" s="5"/>
      <c r="D280" s="5"/>
      <c r="E280" s="303"/>
      <c r="F280" s="30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customFormat="false" ht="15.75" hidden="false" customHeight="true" outlineLevel="0" collapsed="false">
      <c r="A281" s="5"/>
      <c r="B281" s="5"/>
      <c r="C281" s="5"/>
      <c r="D281" s="5"/>
      <c r="E281" s="303"/>
      <c r="F281" s="30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customFormat="false" ht="15.75" hidden="false" customHeight="true" outlineLevel="0" collapsed="false">
      <c r="A282" s="5"/>
      <c r="B282" s="5"/>
      <c r="C282" s="5"/>
      <c r="D282" s="5"/>
      <c r="E282" s="303"/>
      <c r="F282" s="30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customFormat="false" ht="15.75" hidden="false" customHeight="true" outlineLevel="0" collapsed="false">
      <c r="A283" s="5"/>
      <c r="B283" s="5"/>
      <c r="C283" s="5"/>
      <c r="D283" s="5"/>
      <c r="E283" s="303"/>
      <c r="F283" s="30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customFormat="false" ht="15.75" hidden="false" customHeight="true" outlineLevel="0" collapsed="false">
      <c r="A284" s="5"/>
      <c r="B284" s="5"/>
      <c r="C284" s="5"/>
      <c r="D284" s="5"/>
      <c r="E284" s="303"/>
      <c r="F284" s="30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customFormat="false" ht="15.75" hidden="false" customHeight="true" outlineLevel="0" collapsed="false">
      <c r="A285" s="5"/>
      <c r="B285" s="5"/>
      <c r="C285" s="5"/>
      <c r="D285" s="5"/>
      <c r="E285" s="303"/>
      <c r="F285" s="30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customFormat="false" ht="15.75" hidden="false" customHeight="true" outlineLevel="0" collapsed="false">
      <c r="A286" s="5"/>
      <c r="B286" s="5"/>
      <c r="C286" s="5"/>
      <c r="D286" s="5"/>
      <c r="E286" s="303"/>
      <c r="F286" s="30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customFormat="false" ht="15.75" hidden="false" customHeight="true" outlineLevel="0" collapsed="false">
      <c r="A287" s="5"/>
      <c r="B287" s="5"/>
      <c r="C287" s="5"/>
      <c r="D287" s="5"/>
      <c r="E287" s="303"/>
      <c r="F287" s="30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customFormat="false" ht="15.75" hidden="false" customHeight="true" outlineLevel="0" collapsed="false">
      <c r="A288" s="5"/>
      <c r="B288" s="5"/>
      <c r="C288" s="5"/>
      <c r="D288" s="5"/>
      <c r="E288" s="303"/>
      <c r="F288" s="30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customFormat="false" ht="15.75" hidden="false" customHeight="true" outlineLevel="0" collapsed="false">
      <c r="A289" s="5"/>
      <c r="B289" s="5"/>
      <c r="C289" s="5"/>
      <c r="D289" s="5"/>
      <c r="E289" s="303"/>
      <c r="F289" s="30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customFormat="false" ht="15.75" hidden="false" customHeight="true" outlineLevel="0" collapsed="false">
      <c r="A290" s="5"/>
      <c r="B290" s="5"/>
      <c r="C290" s="5"/>
      <c r="D290" s="5"/>
      <c r="E290" s="303"/>
      <c r="F290" s="30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customFormat="false" ht="15.75" hidden="false" customHeight="true" outlineLevel="0" collapsed="false">
      <c r="A291" s="5"/>
      <c r="B291" s="5"/>
      <c r="C291" s="5"/>
      <c r="D291" s="5"/>
      <c r="E291" s="303"/>
      <c r="F291" s="30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customFormat="false" ht="15.75" hidden="false" customHeight="true" outlineLevel="0" collapsed="false">
      <c r="A292" s="5"/>
      <c r="B292" s="5"/>
      <c r="C292" s="5"/>
      <c r="D292" s="5"/>
      <c r="E292" s="303"/>
      <c r="F292" s="30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customFormat="false" ht="15.75" hidden="false" customHeight="true" outlineLevel="0" collapsed="false">
      <c r="A293" s="5"/>
      <c r="B293" s="5"/>
      <c r="C293" s="5"/>
      <c r="D293" s="5"/>
      <c r="E293" s="303"/>
      <c r="F293" s="30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customFormat="false" ht="15.75" hidden="false" customHeight="true" outlineLevel="0" collapsed="false">
      <c r="A294" s="5"/>
      <c r="B294" s="5"/>
      <c r="C294" s="5"/>
      <c r="D294" s="5"/>
      <c r="E294" s="303"/>
      <c r="F294" s="30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customFormat="false" ht="15.75" hidden="false" customHeight="true" outlineLevel="0" collapsed="false">
      <c r="A295" s="5"/>
      <c r="B295" s="5"/>
      <c r="C295" s="5"/>
      <c r="D295" s="5"/>
      <c r="E295" s="303"/>
      <c r="F295" s="30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customFormat="false" ht="15.75" hidden="false" customHeight="true" outlineLevel="0" collapsed="false">
      <c r="A296" s="5"/>
      <c r="B296" s="5"/>
      <c r="C296" s="5"/>
      <c r="D296" s="5"/>
      <c r="E296" s="303"/>
      <c r="F296" s="30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customFormat="false" ht="15.75" hidden="false" customHeight="true" outlineLevel="0" collapsed="false">
      <c r="A297" s="5"/>
      <c r="B297" s="5"/>
      <c r="C297" s="5"/>
      <c r="D297" s="5"/>
      <c r="E297" s="303"/>
      <c r="F297" s="30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customFormat="false" ht="15.75" hidden="false" customHeight="true" outlineLevel="0" collapsed="false">
      <c r="A298" s="5"/>
      <c r="B298" s="5"/>
      <c r="C298" s="5"/>
      <c r="D298" s="5"/>
      <c r="E298" s="303"/>
      <c r="F298" s="30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customFormat="false" ht="15.75" hidden="false" customHeight="true" outlineLevel="0" collapsed="false">
      <c r="A299" s="5"/>
      <c r="B299" s="5"/>
      <c r="C299" s="5"/>
      <c r="D299" s="5"/>
      <c r="E299" s="303"/>
      <c r="F299" s="30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customFormat="false" ht="15.75" hidden="false" customHeight="true" outlineLevel="0" collapsed="false">
      <c r="A300" s="5"/>
      <c r="B300" s="5"/>
      <c r="C300" s="5"/>
      <c r="D300" s="5"/>
      <c r="E300" s="303"/>
      <c r="F300" s="30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customFormat="false" ht="15.75" hidden="false" customHeight="true" outlineLevel="0" collapsed="false">
      <c r="A301" s="5"/>
      <c r="B301" s="5"/>
      <c r="C301" s="5"/>
      <c r="D301" s="5"/>
      <c r="E301" s="303"/>
      <c r="F301" s="30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customFormat="false" ht="15.75" hidden="false" customHeight="true" outlineLevel="0" collapsed="false">
      <c r="A302" s="5"/>
      <c r="B302" s="5"/>
      <c r="C302" s="5"/>
      <c r="D302" s="5"/>
      <c r="E302" s="303"/>
      <c r="F302" s="30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customFormat="false" ht="15.75" hidden="false" customHeight="true" outlineLevel="0" collapsed="false">
      <c r="A303" s="5"/>
      <c r="B303" s="5"/>
      <c r="C303" s="5"/>
      <c r="D303" s="5"/>
      <c r="E303" s="303"/>
      <c r="F303" s="30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customFormat="false" ht="15.75" hidden="false" customHeight="true" outlineLevel="0" collapsed="false">
      <c r="A304" s="5"/>
      <c r="B304" s="5"/>
      <c r="C304" s="5"/>
      <c r="D304" s="5"/>
      <c r="E304" s="303"/>
      <c r="F304" s="30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customFormat="false" ht="15.75" hidden="false" customHeight="true" outlineLevel="0" collapsed="false">
      <c r="A305" s="5"/>
      <c r="B305" s="5"/>
      <c r="C305" s="5"/>
      <c r="D305" s="5"/>
      <c r="E305" s="303"/>
      <c r="F305" s="30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customFormat="false" ht="15.75" hidden="false" customHeight="true" outlineLevel="0" collapsed="false">
      <c r="A306" s="5"/>
      <c r="B306" s="5"/>
      <c r="C306" s="5"/>
      <c r="D306" s="5"/>
      <c r="E306" s="303"/>
      <c r="F306" s="30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customFormat="false" ht="15.75" hidden="false" customHeight="true" outlineLevel="0" collapsed="false">
      <c r="A307" s="5"/>
      <c r="B307" s="5"/>
      <c r="C307" s="5"/>
      <c r="D307" s="5"/>
      <c r="E307" s="303"/>
      <c r="F307" s="30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customFormat="false" ht="15.75" hidden="false" customHeight="true" outlineLevel="0" collapsed="false">
      <c r="A308" s="5"/>
      <c r="B308" s="5"/>
      <c r="C308" s="5"/>
      <c r="D308" s="5"/>
      <c r="E308" s="303"/>
      <c r="F308" s="30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customFormat="false" ht="15.75" hidden="false" customHeight="true" outlineLevel="0" collapsed="false">
      <c r="A309" s="5"/>
      <c r="B309" s="5"/>
      <c r="C309" s="5"/>
      <c r="D309" s="5"/>
      <c r="E309" s="303"/>
      <c r="F309" s="30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customFormat="false" ht="15.75" hidden="false" customHeight="true" outlineLevel="0" collapsed="false">
      <c r="A310" s="5"/>
      <c r="B310" s="5"/>
      <c r="C310" s="5"/>
      <c r="D310" s="5"/>
      <c r="E310" s="303"/>
      <c r="F310" s="30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customFormat="false" ht="15.75" hidden="false" customHeight="true" outlineLevel="0" collapsed="false">
      <c r="A311" s="5"/>
      <c r="B311" s="5"/>
      <c r="C311" s="5"/>
      <c r="D311" s="5"/>
      <c r="E311" s="303"/>
      <c r="F311" s="30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customFormat="false" ht="15.75" hidden="false" customHeight="true" outlineLevel="0" collapsed="false">
      <c r="A312" s="5"/>
      <c r="B312" s="5"/>
      <c r="C312" s="5"/>
      <c r="D312" s="5"/>
      <c r="E312" s="303"/>
      <c r="F312" s="30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customFormat="false" ht="15.75" hidden="false" customHeight="true" outlineLevel="0" collapsed="false">
      <c r="A313" s="5"/>
      <c r="B313" s="5"/>
      <c r="C313" s="5"/>
      <c r="D313" s="5"/>
      <c r="E313" s="303"/>
      <c r="F313" s="30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customFormat="false" ht="15.75" hidden="false" customHeight="true" outlineLevel="0" collapsed="false">
      <c r="A314" s="5"/>
      <c r="B314" s="5"/>
      <c r="C314" s="5"/>
      <c r="D314" s="5"/>
      <c r="E314" s="303"/>
      <c r="F314" s="30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customFormat="false" ht="15.75" hidden="false" customHeight="true" outlineLevel="0" collapsed="false">
      <c r="A315" s="5"/>
      <c r="B315" s="5"/>
      <c r="C315" s="5"/>
      <c r="D315" s="5"/>
      <c r="E315" s="303"/>
      <c r="F315" s="30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customFormat="false" ht="15.75" hidden="false" customHeight="true" outlineLevel="0" collapsed="false">
      <c r="A316" s="5"/>
      <c r="B316" s="5"/>
      <c r="C316" s="5"/>
      <c r="D316" s="5"/>
      <c r="E316" s="303"/>
      <c r="F316" s="30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customFormat="false" ht="15.75" hidden="false" customHeight="true" outlineLevel="0" collapsed="false">
      <c r="A317" s="5"/>
      <c r="B317" s="5"/>
      <c r="C317" s="5"/>
      <c r="D317" s="5"/>
      <c r="E317" s="303"/>
      <c r="F317" s="30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customFormat="false" ht="15.75" hidden="false" customHeight="true" outlineLevel="0" collapsed="false">
      <c r="A318" s="5"/>
      <c r="B318" s="5"/>
      <c r="C318" s="5"/>
      <c r="D318" s="5"/>
      <c r="E318" s="303"/>
      <c r="F318" s="30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customFormat="false" ht="15.75" hidden="false" customHeight="true" outlineLevel="0" collapsed="false">
      <c r="A319" s="5"/>
      <c r="B319" s="5"/>
      <c r="C319" s="5"/>
      <c r="D319" s="5"/>
      <c r="E319" s="303"/>
      <c r="F319" s="30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customFormat="false" ht="15.75" hidden="false" customHeight="true" outlineLevel="0" collapsed="false">
      <c r="A320" s="5"/>
      <c r="B320" s="5"/>
      <c r="C320" s="5"/>
      <c r="D320" s="5"/>
      <c r="E320" s="303"/>
      <c r="F320" s="30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customFormat="false" ht="15.75" hidden="false" customHeight="true" outlineLevel="0" collapsed="false">
      <c r="A321" s="5"/>
      <c r="B321" s="5"/>
      <c r="C321" s="5"/>
      <c r="D321" s="5"/>
      <c r="E321" s="303"/>
      <c r="F321" s="30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customFormat="false" ht="15.75" hidden="false" customHeight="true" outlineLevel="0" collapsed="false">
      <c r="A322" s="5"/>
      <c r="B322" s="5"/>
      <c r="C322" s="5"/>
      <c r="D322" s="5"/>
      <c r="E322" s="303"/>
      <c r="F322" s="30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customFormat="false" ht="15.75" hidden="false" customHeight="true" outlineLevel="0" collapsed="false">
      <c r="A323" s="5"/>
      <c r="B323" s="5"/>
      <c r="C323" s="5"/>
      <c r="D323" s="5"/>
      <c r="E323" s="303"/>
      <c r="F323" s="30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customFormat="false" ht="15.75" hidden="false" customHeight="true" outlineLevel="0" collapsed="false">
      <c r="A324" s="5"/>
      <c r="B324" s="5"/>
      <c r="C324" s="5"/>
      <c r="D324" s="5"/>
      <c r="E324" s="303"/>
      <c r="F324" s="30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customFormat="false" ht="15.75" hidden="false" customHeight="true" outlineLevel="0" collapsed="false">
      <c r="A325" s="5"/>
      <c r="B325" s="5"/>
      <c r="C325" s="5"/>
      <c r="D325" s="5"/>
      <c r="E325" s="303"/>
      <c r="F325" s="30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customFormat="false" ht="15.75" hidden="false" customHeight="true" outlineLevel="0" collapsed="false">
      <c r="A326" s="5"/>
      <c r="B326" s="5"/>
      <c r="C326" s="5"/>
      <c r="D326" s="5"/>
      <c r="E326" s="303"/>
      <c r="F326" s="30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customFormat="false" ht="15.75" hidden="false" customHeight="true" outlineLevel="0" collapsed="false">
      <c r="A327" s="5"/>
      <c r="B327" s="5"/>
      <c r="C327" s="5"/>
      <c r="D327" s="5"/>
      <c r="E327" s="303"/>
      <c r="F327" s="30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customFormat="false" ht="15.75" hidden="false" customHeight="true" outlineLevel="0" collapsed="false">
      <c r="A328" s="5"/>
      <c r="B328" s="5"/>
      <c r="C328" s="5"/>
      <c r="D328" s="5"/>
      <c r="E328" s="303"/>
      <c r="F328" s="30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customFormat="false" ht="15.75" hidden="false" customHeight="true" outlineLevel="0" collapsed="false">
      <c r="A329" s="5"/>
      <c r="B329" s="5"/>
      <c r="C329" s="5"/>
      <c r="D329" s="5"/>
      <c r="E329" s="303"/>
      <c r="F329" s="30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customFormat="false" ht="15.75" hidden="false" customHeight="true" outlineLevel="0" collapsed="false">
      <c r="A330" s="5"/>
      <c r="B330" s="5"/>
      <c r="C330" s="5"/>
      <c r="D330" s="5"/>
      <c r="E330" s="303"/>
      <c r="F330" s="30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customFormat="false" ht="15.75" hidden="false" customHeight="true" outlineLevel="0" collapsed="false">
      <c r="A331" s="5"/>
      <c r="B331" s="5"/>
      <c r="C331" s="5"/>
      <c r="D331" s="5"/>
      <c r="E331" s="303"/>
      <c r="F331" s="30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customFormat="false" ht="15.75" hidden="false" customHeight="true" outlineLevel="0" collapsed="false">
      <c r="A332" s="5"/>
      <c r="B332" s="5"/>
      <c r="C332" s="5"/>
      <c r="D332" s="5"/>
      <c r="E332" s="303"/>
      <c r="F332" s="30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customFormat="false" ht="15.75" hidden="false" customHeight="true" outlineLevel="0" collapsed="false">
      <c r="A333" s="5"/>
      <c r="B333" s="5"/>
      <c r="C333" s="5"/>
      <c r="D333" s="5"/>
      <c r="E333" s="303"/>
      <c r="F333" s="30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customFormat="false" ht="15.75" hidden="false" customHeight="true" outlineLevel="0" collapsed="false">
      <c r="A334" s="5"/>
      <c r="B334" s="5"/>
      <c r="C334" s="5"/>
      <c r="D334" s="5"/>
      <c r="E334" s="303"/>
      <c r="F334" s="30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customFormat="false" ht="15.75" hidden="false" customHeight="true" outlineLevel="0" collapsed="false">
      <c r="A335" s="5"/>
      <c r="B335" s="5"/>
      <c r="C335" s="5"/>
      <c r="D335" s="5"/>
      <c r="E335" s="303"/>
      <c r="F335" s="30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customFormat="false" ht="15.75" hidden="false" customHeight="true" outlineLevel="0" collapsed="false">
      <c r="A336" s="5"/>
      <c r="B336" s="5"/>
      <c r="C336" s="5"/>
      <c r="D336" s="5"/>
      <c r="E336" s="303"/>
      <c r="F336" s="30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customFormat="false" ht="15.75" hidden="false" customHeight="true" outlineLevel="0" collapsed="false">
      <c r="A337" s="5"/>
      <c r="B337" s="5"/>
      <c r="C337" s="5"/>
      <c r="D337" s="5"/>
      <c r="E337" s="303"/>
      <c r="F337" s="30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customFormat="false" ht="15.75" hidden="false" customHeight="true" outlineLevel="0" collapsed="false">
      <c r="A338" s="5"/>
      <c r="B338" s="5"/>
      <c r="C338" s="5"/>
      <c r="D338" s="5"/>
      <c r="E338" s="303"/>
      <c r="F338" s="30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customFormat="false" ht="15.75" hidden="false" customHeight="true" outlineLevel="0" collapsed="false">
      <c r="A339" s="5"/>
      <c r="B339" s="5"/>
      <c r="C339" s="5"/>
      <c r="D339" s="5"/>
      <c r="E339" s="303"/>
      <c r="F339" s="30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customFormat="false" ht="15.75" hidden="false" customHeight="true" outlineLevel="0" collapsed="false">
      <c r="A340" s="5"/>
      <c r="B340" s="5"/>
      <c r="C340" s="5"/>
      <c r="D340" s="5"/>
      <c r="E340" s="303"/>
      <c r="F340" s="30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customFormat="false" ht="15.75" hidden="false" customHeight="true" outlineLevel="0" collapsed="false">
      <c r="A341" s="5"/>
      <c r="B341" s="5"/>
      <c r="C341" s="5"/>
      <c r="D341" s="5"/>
      <c r="E341" s="303"/>
      <c r="F341" s="30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customFormat="false" ht="15.75" hidden="false" customHeight="true" outlineLevel="0" collapsed="false">
      <c r="A342" s="5"/>
      <c r="B342" s="5"/>
      <c r="C342" s="5"/>
      <c r="D342" s="5"/>
      <c r="E342" s="303"/>
      <c r="F342" s="30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customFormat="false" ht="15.75" hidden="false" customHeight="true" outlineLevel="0" collapsed="false">
      <c r="A343" s="5"/>
      <c r="B343" s="5"/>
      <c r="C343" s="5"/>
      <c r="D343" s="5"/>
      <c r="E343" s="303"/>
      <c r="F343" s="30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customFormat="false" ht="15.75" hidden="false" customHeight="true" outlineLevel="0" collapsed="false">
      <c r="A344" s="5"/>
      <c r="B344" s="5"/>
      <c r="C344" s="5"/>
      <c r="D344" s="5"/>
      <c r="E344" s="303"/>
      <c r="F344" s="30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customFormat="false" ht="15.75" hidden="false" customHeight="true" outlineLevel="0" collapsed="false">
      <c r="A345" s="5"/>
      <c r="B345" s="5"/>
      <c r="C345" s="5"/>
      <c r="D345" s="5"/>
      <c r="E345" s="303"/>
      <c r="F345" s="30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customFormat="false" ht="15.75" hidden="false" customHeight="true" outlineLevel="0" collapsed="false">
      <c r="A346" s="5"/>
      <c r="B346" s="5"/>
      <c r="C346" s="5"/>
      <c r="D346" s="5"/>
      <c r="E346" s="303"/>
      <c r="F346" s="30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customFormat="false" ht="15.75" hidden="false" customHeight="true" outlineLevel="0" collapsed="false">
      <c r="A347" s="5"/>
      <c r="B347" s="5"/>
      <c r="C347" s="5"/>
      <c r="D347" s="5"/>
      <c r="E347" s="303"/>
      <c r="F347" s="30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customFormat="false" ht="15.75" hidden="false" customHeight="true" outlineLevel="0" collapsed="false">
      <c r="A348" s="5"/>
      <c r="B348" s="5"/>
      <c r="C348" s="5"/>
      <c r="D348" s="5"/>
      <c r="E348" s="303"/>
      <c r="F348" s="30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customFormat="false" ht="15.75" hidden="false" customHeight="true" outlineLevel="0" collapsed="false">
      <c r="A349" s="5"/>
      <c r="B349" s="5"/>
      <c r="C349" s="5"/>
      <c r="D349" s="5"/>
      <c r="E349" s="303"/>
      <c r="F349" s="30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customFormat="false" ht="15.75" hidden="false" customHeight="true" outlineLevel="0" collapsed="false">
      <c r="A350" s="5"/>
      <c r="B350" s="5"/>
      <c r="C350" s="5"/>
      <c r="D350" s="5"/>
      <c r="E350" s="303"/>
      <c r="F350" s="30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customFormat="false" ht="15.75" hidden="false" customHeight="true" outlineLevel="0" collapsed="false">
      <c r="A351" s="5"/>
      <c r="B351" s="5"/>
      <c r="C351" s="5"/>
      <c r="D351" s="5"/>
      <c r="E351" s="303"/>
      <c r="F351" s="30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customFormat="false" ht="15.75" hidden="false" customHeight="true" outlineLevel="0" collapsed="false">
      <c r="A352" s="5"/>
      <c r="B352" s="5"/>
      <c r="C352" s="5"/>
      <c r="D352" s="5"/>
      <c r="E352" s="303"/>
      <c r="F352" s="30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customFormat="false" ht="15.75" hidden="false" customHeight="true" outlineLevel="0" collapsed="false">
      <c r="A353" s="5"/>
      <c r="B353" s="5"/>
      <c r="C353" s="5"/>
      <c r="D353" s="5"/>
      <c r="E353" s="303"/>
      <c r="F353" s="30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customFormat="false" ht="15.75" hidden="false" customHeight="true" outlineLevel="0" collapsed="false">
      <c r="A354" s="5"/>
      <c r="B354" s="5"/>
      <c r="C354" s="5"/>
      <c r="D354" s="5"/>
      <c r="E354" s="303"/>
      <c r="F354" s="30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customFormat="false" ht="15.75" hidden="false" customHeight="true" outlineLevel="0" collapsed="false">
      <c r="A355" s="5"/>
      <c r="B355" s="5"/>
      <c r="C355" s="5"/>
      <c r="D355" s="5"/>
      <c r="E355" s="303"/>
      <c r="F355" s="30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customFormat="false" ht="15.75" hidden="false" customHeight="true" outlineLevel="0" collapsed="false">
      <c r="A356" s="5"/>
      <c r="B356" s="5"/>
      <c r="C356" s="5"/>
      <c r="D356" s="5"/>
      <c r="E356" s="303"/>
      <c r="F356" s="30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customFormat="false" ht="15.75" hidden="false" customHeight="true" outlineLevel="0" collapsed="false">
      <c r="A357" s="5"/>
      <c r="B357" s="5"/>
      <c r="C357" s="5"/>
      <c r="D357" s="5"/>
      <c r="E357" s="303"/>
      <c r="F357" s="30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customFormat="false" ht="15.75" hidden="false" customHeight="true" outlineLevel="0" collapsed="false">
      <c r="A358" s="5"/>
      <c r="B358" s="5"/>
      <c r="C358" s="5"/>
      <c r="D358" s="5"/>
      <c r="E358" s="303"/>
      <c r="F358" s="30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customFormat="false" ht="15.75" hidden="false" customHeight="true" outlineLevel="0" collapsed="false">
      <c r="A359" s="5"/>
      <c r="B359" s="5"/>
      <c r="C359" s="5"/>
      <c r="D359" s="5"/>
      <c r="E359" s="303"/>
      <c r="F359" s="30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customFormat="false" ht="15.75" hidden="false" customHeight="true" outlineLevel="0" collapsed="false">
      <c r="A360" s="5"/>
      <c r="B360" s="5"/>
      <c r="C360" s="5"/>
      <c r="D360" s="5"/>
      <c r="E360" s="303"/>
      <c r="F360" s="30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customFormat="false" ht="15.75" hidden="false" customHeight="true" outlineLevel="0" collapsed="false">
      <c r="A361" s="5"/>
      <c r="B361" s="5"/>
      <c r="C361" s="5"/>
      <c r="D361" s="5"/>
      <c r="E361" s="303"/>
      <c r="F361" s="30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customFormat="false" ht="15.75" hidden="false" customHeight="true" outlineLevel="0" collapsed="false">
      <c r="A362" s="5"/>
      <c r="B362" s="5"/>
      <c r="C362" s="5"/>
      <c r="D362" s="5"/>
      <c r="E362" s="303"/>
      <c r="F362" s="30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customFormat="false" ht="15.75" hidden="false" customHeight="true" outlineLevel="0" collapsed="false">
      <c r="A363" s="5"/>
      <c r="B363" s="5"/>
      <c r="C363" s="5"/>
      <c r="D363" s="5"/>
      <c r="E363" s="303"/>
      <c r="F363" s="30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customFormat="false" ht="15.75" hidden="false" customHeight="true" outlineLevel="0" collapsed="false">
      <c r="A364" s="5"/>
      <c r="B364" s="5"/>
      <c r="C364" s="5"/>
      <c r="D364" s="5"/>
      <c r="E364" s="303"/>
      <c r="F364" s="30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customFormat="false" ht="15.75" hidden="false" customHeight="true" outlineLevel="0" collapsed="false">
      <c r="A365" s="5"/>
      <c r="B365" s="5"/>
      <c r="C365" s="5"/>
      <c r="D365" s="5"/>
      <c r="E365" s="303"/>
      <c r="F365" s="30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customFormat="false" ht="15.75" hidden="false" customHeight="true" outlineLevel="0" collapsed="false">
      <c r="A366" s="5"/>
      <c r="B366" s="5"/>
      <c r="C366" s="5"/>
      <c r="D366" s="5"/>
      <c r="E366" s="303"/>
      <c r="F366" s="30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customFormat="false" ht="15.75" hidden="false" customHeight="true" outlineLevel="0" collapsed="false">
      <c r="A367" s="5"/>
      <c r="B367" s="5"/>
      <c r="C367" s="5"/>
      <c r="D367" s="5"/>
      <c r="E367" s="303"/>
      <c r="F367" s="30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customFormat="false" ht="15.75" hidden="false" customHeight="true" outlineLevel="0" collapsed="false">
      <c r="A368" s="5"/>
      <c r="B368" s="5"/>
      <c r="C368" s="5"/>
      <c r="D368" s="5"/>
      <c r="E368" s="303"/>
      <c r="F368" s="30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customFormat="false" ht="15.75" hidden="false" customHeight="true" outlineLevel="0" collapsed="false">
      <c r="A369" s="5"/>
      <c r="B369" s="5"/>
      <c r="C369" s="5"/>
      <c r="D369" s="5"/>
      <c r="E369" s="303"/>
      <c r="F369" s="30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customFormat="false" ht="15.75" hidden="false" customHeight="true" outlineLevel="0" collapsed="false">
      <c r="A370" s="5"/>
      <c r="B370" s="5"/>
      <c r="C370" s="5"/>
      <c r="D370" s="5"/>
      <c r="E370" s="303"/>
      <c r="F370" s="30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customFormat="false" ht="15.75" hidden="false" customHeight="true" outlineLevel="0" collapsed="false">
      <c r="A371" s="5"/>
      <c r="B371" s="5"/>
      <c r="C371" s="5"/>
      <c r="D371" s="5"/>
      <c r="E371" s="303"/>
      <c r="F371" s="30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customFormat="false" ht="15.75" hidden="false" customHeight="true" outlineLevel="0" collapsed="false">
      <c r="A372" s="5"/>
      <c r="B372" s="5"/>
      <c r="C372" s="5"/>
      <c r="D372" s="5"/>
      <c r="E372" s="303"/>
      <c r="F372" s="30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customFormat="false" ht="15.75" hidden="false" customHeight="true" outlineLevel="0" collapsed="false">
      <c r="A373" s="5"/>
      <c r="B373" s="5"/>
      <c r="C373" s="5"/>
      <c r="D373" s="5"/>
      <c r="E373" s="303"/>
      <c r="F373" s="30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customFormat="false" ht="15.75" hidden="false" customHeight="true" outlineLevel="0" collapsed="false">
      <c r="A374" s="5"/>
      <c r="B374" s="5"/>
      <c r="C374" s="5"/>
      <c r="D374" s="5"/>
      <c r="E374" s="303"/>
      <c r="F374" s="30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customFormat="false" ht="15.75" hidden="false" customHeight="true" outlineLevel="0" collapsed="false">
      <c r="A375" s="5"/>
      <c r="B375" s="5"/>
      <c r="C375" s="5"/>
      <c r="D375" s="5"/>
      <c r="E375" s="303"/>
      <c r="F375" s="30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customFormat="false" ht="15.75" hidden="false" customHeight="true" outlineLevel="0" collapsed="false">
      <c r="A376" s="5"/>
      <c r="B376" s="5"/>
      <c r="C376" s="5"/>
      <c r="D376" s="5"/>
      <c r="E376" s="303"/>
      <c r="F376" s="30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customFormat="false" ht="15.75" hidden="false" customHeight="true" outlineLevel="0" collapsed="false">
      <c r="A377" s="5"/>
      <c r="B377" s="5"/>
      <c r="C377" s="5"/>
      <c r="D377" s="5"/>
      <c r="E377" s="303"/>
      <c r="F377" s="30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customFormat="false" ht="15.75" hidden="false" customHeight="true" outlineLevel="0" collapsed="false">
      <c r="A378" s="5"/>
      <c r="B378" s="5"/>
      <c r="C378" s="5"/>
      <c r="D378" s="5"/>
      <c r="E378" s="303"/>
      <c r="F378" s="30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customFormat="false" ht="15.75" hidden="false" customHeight="true" outlineLevel="0" collapsed="false">
      <c r="A379" s="5"/>
      <c r="B379" s="5"/>
      <c r="C379" s="5"/>
      <c r="D379" s="5"/>
      <c r="E379" s="303"/>
      <c r="F379" s="30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customFormat="false" ht="15.75" hidden="false" customHeight="true" outlineLevel="0" collapsed="false">
      <c r="A380" s="5"/>
      <c r="B380" s="5"/>
      <c r="C380" s="5"/>
      <c r="D380" s="5"/>
      <c r="E380" s="303"/>
      <c r="F380" s="30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customFormat="false" ht="15.75" hidden="false" customHeight="true" outlineLevel="0" collapsed="false">
      <c r="A381" s="5"/>
      <c r="B381" s="5"/>
      <c r="C381" s="5"/>
      <c r="D381" s="5"/>
      <c r="E381" s="303"/>
      <c r="F381" s="30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customFormat="false" ht="15.75" hidden="false" customHeight="true" outlineLevel="0" collapsed="false">
      <c r="A382" s="5"/>
      <c r="B382" s="5"/>
      <c r="C382" s="5"/>
      <c r="D382" s="5"/>
      <c r="E382" s="303"/>
      <c r="F382" s="30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customFormat="false" ht="15.75" hidden="false" customHeight="true" outlineLevel="0" collapsed="false">
      <c r="A383" s="5"/>
      <c r="B383" s="5"/>
      <c r="C383" s="5"/>
      <c r="D383" s="5"/>
      <c r="E383" s="303"/>
      <c r="F383" s="30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customFormat="false" ht="15.75" hidden="false" customHeight="true" outlineLevel="0" collapsed="false">
      <c r="A384" s="5"/>
      <c r="B384" s="5"/>
      <c r="C384" s="5"/>
      <c r="D384" s="5"/>
      <c r="E384" s="303"/>
      <c r="F384" s="30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customFormat="false" ht="15.75" hidden="false" customHeight="true" outlineLevel="0" collapsed="false">
      <c r="A385" s="5"/>
      <c r="B385" s="5"/>
      <c r="C385" s="5"/>
      <c r="D385" s="5"/>
      <c r="E385" s="303"/>
      <c r="F385" s="30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customFormat="false" ht="15.75" hidden="false" customHeight="true" outlineLevel="0" collapsed="false">
      <c r="A386" s="5"/>
      <c r="B386" s="5"/>
      <c r="C386" s="5"/>
      <c r="D386" s="5"/>
      <c r="E386" s="303"/>
      <c r="F386" s="30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customFormat="false" ht="15.75" hidden="false" customHeight="true" outlineLevel="0" collapsed="false">
      <c r="A387" s="5"/>
      <c r="B387" s="5"/>
      <c r="C387" s="5"/>
      <c r="D387" s="5"/>
      <c r="E387" s="303"/>
      <c r="F387" s="30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customFormat="false" ht="15.75" hidden="false" customHeight="true" outlineLevel="0" collapsed="false">
      <c r="A388" s="5"/>
      <c r="B388" s="5"/>
      <c r="C388" s="5"/>
      <c r="D388" s="5"/>
      <c r="E388" s="303"/>
      <c r="F388" s="30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customFormat="false" ht="15.75" hidden="false" customHeight="true" outlineLevel="0" collapsed="false">
      <c r="A389" s="5"/>
      <c r="B389" s="5"/>
      <c r="C389" s="5"/>
      <c r="D389" s="5"/>
      <c r="E389" s="303"/>
      <c r="F389" s="30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customFormat="false" ht="15.75" hidden="false" customHeight="true" outlineLevel="0" collapsed="false">
      <c r="A390" s="5"/>
      <c r="B390" s="5"/>
      <c r="C390" s="5"/>
      <c r="D390" s="5"/>
      <c r="E390" s="303"/>
      <c r="F390" s="30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customFormat="false" ht="15.75" hidden="false" customHeight="true" outlineLevel="0" collapsed="false">
      <c r="A391" s="5"/>
      <c r="B391" s="5"/>
      <c r="C391" s="5"/>
      <c r="D391" s="5"/>
      <c r="E391" s="303"/>
      <c r="F391" s="30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customFormat="false" ht="15.75" hidden="false" customHeight="true" outlineLevel="0" collapsed="false">
      <c r="A392" s="5"/>
      <c r="B392" s="5"/>
      <c r="C392" s="5"/>
      <c r="D392" s="5"/>
      <c r="E392" s="303"/>
      <c r="F392" s="30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customFormat="false" ht="15.75" hidden="false" customHeight="true" outlineLevel="0" collapsed="false">
      <c r="A393" s="5"/>
      <c r="B393" s="5"/>
      <c r="C393" s="5"/>
      <c r="D393" s="5"/>
      <c r="E393" s="303"/>
      <c r="F393" s="30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customFormat="false" ht="15.75" hidden="false" customHeight="true" outlineLevel="0" collapsed="false">
      <c r="A394" s="5"/>
      <c r="B394" s="5"/>
      <c r="C394" s="5"/>
      <c r="D394" s="5"/>
      <c r="E394" s="303"/>
      <c r="F394" s="30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customFormat="false" ht="15.75" hidden="false" customHeight="true" outlineLevel="0" collapsed="false">
      <c r="A395" s="5"/>
      <c r="B395" s="5"/>
      <c r="C395" s="5"/>
      <c r="D395" s="5"/>
      <c r="E395" s="303"/>
      <c r="F395" s="30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customFormat="false" ht="15.75" hidden="false" customHeight="true" outlineLevel="0" collapsed="false">
      <c r="A396" s="5"/>
      <c r="B396" s="5"/>
      <c r="C396" s="5"/>
      <c r="D396" s="5"/>
      <c r="E396" s="303"/>
      <c r="F396" s="30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customFormat="false" ht="15.75" hidden="false" customHeight="true" outlineLevel="0" collapsed="false">
      <c r="A397" s="5"/>
      <c r="B397" s="5"/>
      <c r="C397" s="5"/>
      <c r="D397" s="5"/>
      <c r="E397" s="303"/>
      <c r="F397" s="30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customFormat="false" ht="15.75" hidden="false" customHeight="true" outlineLevel="0" collapsed="false">
      <c r="A398" s="5"/>
      <c r="B398" s="5"/>
      <c r="C398" s="5"/>
      <c r="D398" s="5"/>
      <c r="E398" s="303"/>
      <c r="F398" s="30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customFormat="false" ht="15.75" hidden="false" customHeight="true" outlineLevel="0" collapsed="false">
      <c r="A399" s="5"/>
      <c r="B399" s="5"/>
      <c r="C399" s="5"/>
      <c r="D399" s="5"/>
      <c r="E399" s="303"/>
      <c r="F399" s="30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customFormat="false" ht="15.75" hidden="false" customHeight="true" outlineLevel="0" collapsed="false">
      <c r="A400" s="5"/>
      <c r="B400" s="5"/>
      <c r="C400" s="5"/>
      <c r="D400" s="5"/>
      <c r="E400" s="303"/>
      <c r="F400" s="30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customFormat="false" ht="15.75" hidden="false" customHeight="true" outlineLevel="0" collapsed="false">
      <c r="A401" s="5"/>
      <c r="B401" s="5"/>
      <c r="C401" s="5"/>
      <c r="D401" s="5"/>
      <c r="E401" s="303"/>
      <c r="F401" s="30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customFormat="false" ht="15.75" hidden="false" customHeight="true" outlineLevel="0" collapsed="false">
      <c r="A402" s="5"/>
      <c r="B402" s="5"/>
      <c r="C402" s="5"/>
      <c r="D402" s="5"/>
      <c r="E402" s="303"/>
      <c r="F402" s="30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customFormat="false" ht="15.75" hidden="false" customHeight="true" outlineLevel="0" collapsed="false">
      <c r="A403" s="5"/>
      <c r="B403" s="5"/>
      <c r="C403" s="5"/>
      <c r="D403" s="5"/>
      <c r="E403" s="303"/>
      <c r="F403" s="30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customFormat="false" ht="15.75" hidden="false" customHeight="true" outlineLevel="0" collapsed="false">
      <c r="A404" s="5"/>
      <c r="B404" s="5"/>
      <c r="C404" s="5"/>
      <c r="D404" s="5"/>
      <c r="E404" s="303"/>
      <c r="F404" s="30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customFormat="false" ht="15.75" hidden="false" customHeight="true" outlineLevel="0" collapsed="false">
      <c r="A405" s="5"/>
      <c r="B405" s="5"/>
      <c r="C405" s="5"/>
      <c r="D405" s="5"/>
      <c r="E405" s="303"/>
      <c r="F405" s="30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customFormat="false" ht="15.75" hidden="false" customHeight="true" outlineLevel="0" collapsed="false">
      <c r="A406" s="5"/>
      <c r="B406" s="5"/>
      <c r="C406" s="5"/>
      <c r="D406" s="5"/>
      <c r="E406" s="303"/>
      <c r="F406" s="30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customFormat="false" ht="15.75" hidden="false" customHeight="true" outlineLevel="0" collapsed="false">
      <c r="A407" s="5"/>
      <c r="B407" s="5"/>
      <c r="C407" s="5"/>
      <c r="D407" s="5"/>
      <c r="E407" s="303"/>
      <c r="F407" s="30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customFormat="false" ht="15.75" hidden="false" customHeight="true" outlineLevel="0" collapsed="false">
      <c r="A408" s="5"/>
      <c r="B408" s="5"/>
      <c r="C408" s="5"/>
      <c r="D408" s="5"/>
      <c r="E408" s="303"/>
      <c r="F408" s="30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customFormat="false" ht="15.75" hidden="false" customHeight="true" outlineLevel="0" collapsed="false">
      <c r="A409" s="5"/>
      <c r="B409" s="5"/>
      <c r="C409" s="5"/>
      <c r="D409" s="5"/>
      <c r="E409" s="303"/>
      <c r="F409" s="30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customFormat="false" ht="15.75" hidden="false" customHeight="true" outlineLevel="0" collapsed="false">
      <c r="A410" s="5"/>
      <c r="B410" s="5"/>
      <c r="C410" s="5"/>
      <c r="D410" s="5"/>
      <c r="E410" s="303"/>
      <c r="F410" s="30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customFormat="false" ht="15.75" hidden="false" customHeight="true" outlineLevel="0" collapsed="false">
      <c r="A411" s="5"/>
      <c r="B411" s="5"/>
      <c r="C411" s="5"/>
      <c r="D411" s="5"/>
      <c r="E411" s="303"/>
      <c r="F411" s="30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customFormat="false" ht="15.75" hidden="false" customHeight="true" outlineLevel="0" collapsed="false">
      <c r="A412" s="5"/>
      <c r="B412" s="5"/>
      <c r="C412" s="5"/>
      <c r="D412" s="5"/>
      <c r="E412" s="303"/>
      <c r="F412" s="30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customFormat="false" ht="15.75" hidden="false" customHeight="true" outlineLevel="0" collapsed="false">
      <c r="A413" s="5"/>
      <c r="B413" s="5"/>
      <c r="C413" s="5"/>
      <c r="D413" s="5"/>
      <c r="E413" s="303"/>
      <c r="F413" s="30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customFormat="false" ht="15.75" hidden="false" customHeight="true" outlineLevel="0" collapsed="false">
      <c r="A414" s="5"/>
      <c r="B414" s="5"/>
      <c r="C414" s="5"/>
      <c r="D414" s="5"/>
      <c r="E414" s="303"/>
      <c r="F414" s="30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customFormat="false" ht="15.75" hidden="false" customHeight="true" outlineLevel="0" collapsed="false">
      <c r="A415" s="5"/>
      <c r="B415" s="5"/>
      <c r="C415" s="5"/>
      <c r="D415" s="5"/>
      <c r="E415" s="303"/>
      <c r="F415" s="30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customFormat="false" ht="15.75" hidden="false" customHeight="true" outlineLevel="0" collapsed="false">
      <c r="A416" s="5"/>
      <c r="B416" s="5"/>
      <c r="C416" s="5"/>
      <c r="D416" s="5"/>
      <c r="E416" s="303"/>
      <c r="F416" s="30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customFormat="false" ht="15.75" hidden="false" customHeight="true" outlineLevel="0" collapsed="false">
      <c r="A417" s="5"/>
      <c r="B417" s="5"/>
      <c r="C417" s="5"/>
      <c r="D417" s="5"/>
      <c r="E417" s="303"/>
      <c r="F417" s="30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customFormat="false" ht="15.75" hidden="false" customHeight="true" outlineLevel="0" collapsed="false">
      <c r="A418" s="5"/>
      <c r="B418" s="5"/>
      <c r="C418" s="5"/>
      <c r="D418" s="5"/>
      <c r="E418" s="303"/>
      <c r="F418" s="30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customFormat="false" ht="15.75" hidden="false" customHeight="true" outlineLevel="0" collapsed="false">
      <c r="A419" s="5"/>
      <c r="B419" s="5"/>
      <c r="C419" s="5"/>
      <c r="D419" s="5"/>
      <c r="E419" s="303"/>
      <c r="F419" s="30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customFormat="false" ht="15.75" hidden="false" customHeight="true" outlineLevel="0" collapsed="false">
      <c r="A420" s="5"/>
      <c r="B420" s="5"/>
      <c r="C420" s="5"/>
      <c r="D420" s="5"/>
      <c r="E420" s="303"/>
      <c r="F420" s="30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customFormat="false" ht="15.75" hidden="false" customHeight="true" outlineLevel="0" collapsed="false">
      <c r="A421" s="5"/>
      <c r="B421" s="5"/>
      <c r="C421" s="5"/>
      <c r="D421" s="5"/>
      <c r="E421" s="303"/>
      <c r="F421" s="30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customFormat="false" ht="15.75" hidden="false" customHeight="true" outlineLevel="0" collapsed="false">
      <c r="A422" s="5"/>
      <c r="B422" s="5"/>
      <c r="C422" s="5"/>
      <c r="D422" s="5"/>
      <c r="E422" s="303"/>
      <c r="F422" s="30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customFormat="false" ht="15.75" hidden="false" customHeight="true" outlineLevel="0" collapsed="false">
      <c r="A423" s="5"/>
      <c r="B423" s="5"/>
      <c r="C423" s="5"/>
      <c r="D423" s="5"/>
      <c r="E423" s="303"/>
      <c r="F423" s="30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customFormat="false" ht="15.75" hidden="false" customHeight="true" outlineLevel="0" collapsed="false">
      <c r="A424" s="5"/>
      <c r="B424" s="5"/>
      <c r="C424" s="5"/>
      <c r="D424" s="5"/>
      <c r="E424" s="303"/>
      <c r="F424" s="30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customFormat="false" ht="15.75" hidden="false" customHeight="true" outlineLevel="0" collapsed="false">
      <c r="A425" s="5"/>
      <c r="B425" s="5"/>
      <c r="C425" s="5"/>
      <c r="D425" s="5"/>
      <c r="E425" s="303"/>
      <c r="F425" s="30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customFormat="false" ht="15.75" hidden="false" customHeight="true" outlineLevel="0" collapsed="false">
      <c r="A426" s="5"/>
      <c r="B426" s="5"/>
      <c r="C426" s="5"/>
      <c r="D426" s="5"/>
      <c r="E426" s="303"/>
      <c r="F426" s="30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customFormat="false" ht="15.75" hidden="false" customHeight="true" outlineLevel="0" collapsed="false">
      <c r="A427" s="5"/>
      <c r="B427" s="5"/>
      <c r="C427" s="5"/>
      <c r="D427" s="5"/>
      <c r="E427" s="303"/>
      <c r="F427" s="30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customFormat="false" ht="15.75" hidden="false" customHeight="true" outlineLevel="0" collapsed="false">
      <c r="A428" s="5"/>
      <c r="B428" s="5"/>
      <c r="C428" s="5"/>
      <c r="D428" s="5"/>
      <c r="E428" s="303"/>
      <c r="F428" s="30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customFormat="false" ht="15.75" hidden="false" customHeight="true" outlineLevel="0" collapsed="false">
      <c r="A429" s="5"/>
      <c r="B429" s="5"/>
      <c r="C429" s="5"/>
      <c r="D429" s="5"/>
      <c r="E429" s="303"/>
      <c r="F429" s="30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customFormat="false" ht="15.75" hidden="false" customHeight="true" outlineLevel="0" collapsed="false">
      <c r="A430" s="5"/>
      <c r="B430" s="5"/>
      <c r="C430" s="5"/>
      <c r="D430" s="5"/>
      <c r="E430" s="303"/>
      <c r="F430" s="30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customFormat="false" ht="15.75" hidden="false" customHeight="true" outlineLevel="0" collapsed="false">
      <c r="A431" s="5"/>
      <c r="B431" s="5"/>
      <c r="C431" s="5"/>
      <c r="D431" s="5"/>
      <c r="E431" s="303"/>
      <c r="F431" s="30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customFormat="false" ht="15.75" hidden="false" customHeight="true" outlineLevel="0" collapsed="false">
      <c r="A432" s="5"/>
      <c r="B432" s="5"/>
      <c r="C432" s="5"/>
      <c r="D432" s="5"/>
      <c r="E432" s="303"/>
      <c r="F432" s="30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customFormat="false" ht="15.75" hidden="false" customHeight="true" outlineLevel="0" collapsed="false">
      <c r="A433" s="5"/>
      <c r="B433" s="5"/>
      <c r="C433" s="5"/>
      <c r="D433" s="5"/>
      <c r="E433" s="303"/>
      <c r="F433" s="30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customFormat="false" ht="15.75" hidden="false" customHeight="true" outlineLevel="0" collapsed="false">
      <c r="A434" s="5"/>
      <c r="B434" s="5"/>
      <c r="C434" s="5"/>
      <c r="D434" s="5"/>
      <c r="E434" s="303"/>
      <c r="F434" s="30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customFormat="false" ht="15.75" hidden="false" customHeight="true" outlineLevel="0" collapsed="false">
      <c r="A435" s="5"/>
      <c r="B435" s="5"/>
      <c r="C435" s="5"/>
      <c r="D435" s="5"/>
      <c r="E435" s="303"/>
      <c r="F435" s="30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customFormat="false" ht="15.75" hidden="false" customHeight="true" outlineLevel="0" collapsed="false">
      <c r="A436" s="5"/>
      <c r="B436" s="5"/>
      <c r="C436" s="5"/>
      <c r="D436" s="5"/>
      <c r="E436" s="303"/>
      <c r="F436" s="30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customFormat="false" ht="15.75" hidden="false" customHeight="true" outlineLevel="0" collapsed="false">
      <c r="A437" s="5"/>
      <c r="B437" s="5"/>
      <c r="C437" s="5"/>
      <c r="D437" s="5"/>
      <c r="E437" s="303"/>
      <c r="F437" s="30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customFormat="false" ht="15.75" hidden="false" customHeight="true" outlineLevel="0" collapsed="false">
      <c r="A438" s="5"/>
      <c r="B438" s="5"/>
      <c r="C438" s="5"/>
      <c r="D438" s="5"/>
      <c r="E438" s="303"/>
      <c r="F438" s="30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customFormat="false" ht="15.75" hidden="false" customHeight="true" outlineLevel="0" collapsed="false">
      <c r="A439" s="5"/>
      <c r="B439" s="5"/>
      <c r="C439" s="5"/>
      <c r="D439" s="5"/>
      <c r="E439" s="303"/>
      <c r="F439" s="30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customFormat="false" ht="15.75" hidden="false" customHeight="true" outlineLevel="0" collapsed="false">
      <c r="A440" s="5"/>
      <c r="B440" s="5"/>
      <c r="C440" s="5"/>
      <c r="D440" s="5"/>
      <c r="E440" s="303"/>
      <c r="F440" s="30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customFormat="false" ht="15.75" hidden="false" customHeight="true" outlineLevel="0" collapsed="false">
      <c r="A441" s="5"/>
      <c r="B441" s="5"/>
      <c r="C441" s="5"/>
      <c r="D441" s="5"/>
      <c r="E441" s="303"/>
      <c r="F441" s="30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customFormat="false" ht="15.75" hidden="false" customHeight="true" outlineLevel="0" collapsed="false">
      <c r="A442" s="5"/>
      <c r="B442" s="5"/>
      <c r="C442" s="5"/>
      <c r="D442" s="5"/>
      <c r="E442" s="303"/>
      <c r="F442" s="30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customFormat="false" ht="15.75" hidden="false" customHeight="true" outlineLevel="0" collapsed="false">
      <c r="A443" s="5"/>
      <c r="B443" s="5"/>
      <c r="C443" s="5"/>
      <c r="D443" s="5"/>
      <c r="E443" s="303"/>
      <c r="F443" s="30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customFormat="false" ht="15.75" hidden="false" customHeight="true" outlineLevel="0" collapsed="false">
      <c r="A444" s="5"/>
      <c r="B444" s="5"/>
      <c r="C444" s="5"/>
      <c r="D444" s="5"/>
      <c r="E444" s="303"/>
      <c r="F444" s="30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customFormat="false" ht="15.75" hidden="false" customHeight="true" outlineLevel="0" collapsed="false">
      <c r="A445" s="5"/>
      <c r="B445" s="5"/>
      <c r="C445" s="5"/>
      <c r="D445" s="5"/>
      <c r="E445" s="303"/>
      <c r="F445" s="30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customFormat="false" ht="15.75" hidden="false" customHeight="true" outlineLevel="0" collapsed="false">
      <c r="A446" s="5"/>
      <c r="B446" s="5"/>
      <c r="C446" s="5"/>
      <c r="D446" s="5"/>
      <c r="E446" s="303"/>
      <c r="F446" s="30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customFormat="false" ht="15.75" hidden="false" customHeight="true" outlineLevel="0" collapsed="false">
      <c r="A447" s="5"/>
      <c r="B447" s="5"/>
      <c r="C447" s="5"/>
      <c r="D447" s="5"/>
      <c r="E447" s="303"/>
      <c r="F447" s="30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customFormat="false" ht="15.75" hidden="false" customHeight="true" outlineLevel="0" collapsed="false">
      <c r="A448" s="5"/>
      <c r="B448" s="5"/>
      <c r="C448" s="5"/>
      <c r="D448" s="5"/>
      <c r="E448" s="303"/>
      <c r="F448" s="30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customFormat="false" ht="15.75" hidden="false" customHeight="true" outlineLevel="0" collapsed="false">
      <c r="A449" s="5"/>
      <c r="B449" s="5"/>
      <c r="C449" s="5"/>
      <c r="D449" s="5"/>
      <c r="E449" s="303"/>
      <c r="F449" s="30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customFormat="false" ht="15.75" hidden="false" customHeight="true" outlineLevel="0" collapsed="false">
      <c r="A450" s="5"/>
      <c r="B450" s="5"/>
      <c r="C450" s="5"/>
      <c r="D450" s="5"/>
      <c r="E450" s="303"/>
      <c r="F450" s="30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customFormat="false" ht="15.75" hidden="false" customHeight="true" outlineLevel="0" collapsed="false">
      <c r="A451" s="5"/>
      <c r="B451" s="5"/>
      <c r="C451" s="5"/>
      <c r="D451" s="5"/>
      <c r="E451" s="303"/>
      <c r="F451" s="30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customFormat="false" ht="15.75" hidden="false" customHeight="true" outlineLevel="0" collapsed="false">
      <c r="A452" s="5"/>
      <c r="B452" s="5"/>
      <c r="C452" s="5"/>
      <c r="D452" s="5"/>
      <c r="E452" s="303"/>
      <c r="F452" s="30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customFormat="false" ht="15.75" hidden="false" customHeight="true" outlineLevel="0" collapsed="false">
      <c r="A453" s="5"/>
      <c r="B453" s="5"/>
      <c r="C453" s="5"/>
      <c r="D453" s="5"/>
      <c r="E453" s="303"/>
      <c r="F453" s="30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customFormat="false" ht="15.75" hidden="false" customHeight="true" outlineLevel="0" collapsed="false">
      <c r="A454" s="5"/>
      <c r="B454" s="5"/>
      <c r="C454" s="5"/>
      <c r="D454" s="5"/>
      <c r="E454" s="303"/>
      <c r="F454" s="30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customFormat="false" ht="15.75" hidden="false" customHeight="true" outlineLevel="0" collapsed="false">
      <c r="A455" s="5"/>
      <c r="B455" s="5"/>
      <c r="C455" s="5"/>
      <c r="D455" s="5"/>
      <c r="E455" s="303"/>
      <c r="F455" s="30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customFormat="false" ht="15.75" hidden="false" customHeight="true" outlineLevel="0" collapsed="false">
      <c r="A456" s="5"/>
      <c r="B456" s="5"/>
      <c r="C456" s="5"/>
      <c r="D456" s="5"/>
      <c r="E456" s="303"/>
      <c r="F456" s="30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customFormat="false" ht="15.75" hidden="false" customHeight="true" outlineLevel="0" collapsed="false">
      <c r="A457" s="5"/>
      <c r="B457" s="5"/>
      <c r="C457" s="5"/>
      <c r="D457" s="5"/>
      <c r="E457" s="303"/>
      <c r="F457" s="30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customFormat="false" ht="15.75" hidden="false" customHeight="true" outlineLevel="0" collapsed="false">
      <c r="A458" s="5"/>
      <c r="B458" s="5"/>
      <c r="C458" s="5"/>
      <c r="D458" s="5"/>
      <c r="E458" s="303"/>
      <c r="F458" s="30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customFormat="false" ht="15.75" hidden="false" customHeight="true" outlineLevel="0" collapsed="false">
      <c r="A459" s="5"/>
      <c r="B459" s="5"/>
      <c r="C459" s="5"/>
      <c r="D459" s="5"/>
      <c r="E459" s="303"/>
      <c r="F459" s="30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customFormat="false" ht="15.75" hidden="false" customHeight="true" outlineLevel="0" collapsed="false">
      <c r="A460" s="5"/>
      <c r="B460" s="5"/>
      <c r="C460" s="5"/>
      <c r="D460" s="5"/>
      <c r="E460" s="303"/>
      <c r="F460" s="30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customFormat="false" ht="15.75" hidden="false" customHeight="true" outlineLevel="0" collapsed="false">
      <c r="A461" s="5"/>
      <c r="B461" s="5"/>
      <c r="C461" s="5"/>
      <c r="D461" s="5"/>
      <c r="E461" s="303"/>
      <c r="F461" s="30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customFormat="false" ht="15.75" hidden="false" customHeight="true" outlineLevel="0" collapsed="false">
      <c r="A462" s="5"/>
      <c r="B462" s="5"/>
      <c r="C462" s="5"/>
      <c r="D462" s="5"/>
      <c r="E462" s="303"/>
      <c r="F462" s="30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customFormat="false" ht="15.75" hidden="false" customHeight="true" outlineLevel="0" collapsed="false">
      <c r="A463" s="5"/>
      <c r="B463" s="5"/>
      <c r="C463" s="5"/>
      <c r="D463" s="5"/>
      <c r="E463" s="303"/>
      <c r="F463" s="30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customFormat="false" ht="15.75" hidden="false" customHeight="true" outlineLevel="0" collapsed="false">
      <c r="A464" s="5"/>
      <c r="B464" s="5"/>
      <c r="C464" s="5"/>
      <c r="D464" s="5"/>
      <c r="E464" s="303"/>
      <c r="F464" s="30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customFormat="false" ht="15.75" hidden="false" customHeight="true" outlineLevel="0" collapsed="false">
      <c r="A465" s="5"/>
      <c r="B465" s="5"/>
      <c r="C465" s="5"/>
      <c r="D465" s="5"/>
      <c r="E465" s="303"/>
      <c r="F465" s="30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customFormat="false" ht="15.75" hidden="false" customHeight="true" outlineLevel="0" collapsed="false">
      <c r="A466" s="5"/>
      <c r="B466" s="5"/>
      <c r="C466" s="5"/>
      <c r="D466" s="5"/>
      <c r="E466" s="303"/>
      <c r="F466" s="30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customFormat="false" ht="15.75" hidden="false" customHeight="true" outlineLevel="0" collapsed="false">
      <c r="A467" s="5"/>
      <c r="B467" s="5"/>
      <c r="C467" s="5"/>
      <c r="D467" s="5"/>
      <c r="E467" s="303"/>
      <c r="F467" s="30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customFormat="false" ht="15.75" hidden="false" customHeight="true" outlineLevel="0" collapsed="false">
      <c r="A468" s="5"/>
      <c r="B468" s="5"/>
      <c r="C468" s="5"/>
      <c r="D468" s="5"/>
      <c r="E468" s="303"/>
      <c r="F468" s="30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customFormat="false" ht="15.75" hidden="false" customHeight="true" outlineLevel="0" collapsed="false">
      <c r="A469" s="5"/>
      <c r="B469" s="5"/>
      <c r="C469" s="5"/>
      <c r="D469" s="5"/>
      <c r="E469" s="303"/>
      <c r="F469" s="30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customFormat="false" ht="15.75" hidden="false" customHeight="true" outlineLevel="0" collapsed="false">
      <c r="A470" s="5"/>
      <c r="B470" s="5"/>
      <c r="C470" s="5"/>
      <c r="D470" s="5"/>
      <c r="E470" s="303"/>
      <c r="F470" s="30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customFormat="false" ht="15.75" hidden="false" customHeight="true" outlineLevel="0" collapsed="false">
      <c r="A471" s="5"/>
      <c r="B471" s="5"/>
      <c r="C471" s="5"/>
      <c r="D471" s="5"/>
      <c r="E471" s="303"/>
      <c r="F471" s="30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customFormat="false" ht="15.75" hidden="false" customHeight="true" outlineLevel="0" collapsed="false">
      <c r="A472" s="5"/>
      <c r="B472" s="5"/>
      <c r="C472" s="5"/>
      <c r="D472" s="5"/>
      <c r="E472" s="303"/>
      <c r="F472" s="30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customFormat="false" ht="15.75" hidden="false" customHeight="true" outlineLevel="0" collapsed="false">
      <c r="A473" s="5"/>
      <c r="B473" s="5"/>
      <c r="C473" s="5"/>
      <c r="D473" s="5"/>
      <c r="E473" s="303"/>
      <c r="F473" s="30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customFormat="false" ht="15.75" hidden="false" customHeight="true" outlineLevel="0" collapsed="false">
      <c r="A474" s="5"/>
      <c r="B474" s="5"/>
      <c r="C474" s="5"/>
      <c r="D474" s="5"/>
      <c r="E474" s="303"/>
      <c r="F474" s="30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customFormat="false" ht="15.75" hidden="false" customHeight="true" outlineLevel="0" collapsed="false">
      <c r="A475" s="5"/>
      <c r="B475" s="5"/>
      <c r="C475" s="5"/>
      <c r="D475" s="5"/>
      <c r="E475" s="303"/>
      <c r="F475" s="30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customFormat="false" ht="15.75" hidden="false" customHeight="true" outlineLevel="0" collapsed="false">
      <c r="A476" s="5"/>
      <c r="B476" s="5"/>
      <c r="C476" s="5"/>
      <c r="D476" s="5"/>
      <c r="E476" s="303"/>
      <c r="F476" s="30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customFormat="false" ht="15.75" hidden="false" customHeight="true" outlineLevel="0" collapsed="false">
      <c r="A477" s="5"/>
      <c r="B477" s="5"/>
      <c r="C477" s="5"/>
      <c r="D477" s="5"/>
      <c r="E477" s="303"/>
      <c r="F477" s="30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customFormat="false" ht="15.75" hidden="false" customHeight="true" outlineLevel="0" collapsed="false">
      <c r="A478" s="5"/>
      <c r="B478" s="5"/>
      <c r="C478" s="5"/>
      <c r="D478" s="5"/>
      <c r="E478" s="303"/>
      <c r="F478" s="30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customFormat="false" ht="15.75" hidden="false" customHeight="true" outlineLevel="0" collapsed="false">
      <c r="A479" s="5"/>
      <c r="B479" s="5"/>
      <c r="C479" s="5"/>
      <c r="D479" s="5"/>
      <c r="E479" s="303"/>
      <c r="F479" s="30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customFormat="false" ht="15.75" hidden="false" customHeight="true" outlineLevel="0" collapsed="false">
      <c r="A480" s="5"/>
      <c r="B480" s="5"/>
      <c r="C480" s="5"/>
      <c r="D480" s="5"/>
      <c r="E480" s="303"/>
      <c r="F480" s="30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customFormat="false" ht="15.75" hidden="false" customHeight="true" outlineLevel="0" collapsed="false">
      <c r="A481" s="5"/>
      <c r="B481" s="5"/>
      <c r="C481" s="5"/>
      <c r="D481" s="5"/>
      <c r="E481" s="303"/>
      <c r="F481" s="30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customFormat="false" ht="15.75" hidden="false" customHeight="true" outlineLevel="0" collapsed="false">
      <c r="A482" s="5"/>
      <c r="B482" s="5"/>
      <c r="C482" s="5"/>
      <c r="D482" s="5"/>
      <c r="E482" s="303"/>
      <c r="F482" s="30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customFormat="false" ht="15.75" hidden="false" customHeight="true" outlineLevel="0" collapsed="false">
      <c r="A483" s="5"/>
      <c r="B483" s="5"/>
      <c r="C483" s="5"/>
      <c r="D483" s="5"/>
      <c r="E483" s="303"/>
      <c r="F483" s="30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customFormat="false" ht="15.75" hidden="false" customHeight="true" outlineLevel="0" collapsed="false">
      <c r="A484" s="5"/>
      <c r="B484" s="5"/>
      <c r="C484" s="5"/>
      <c r="D484" s="5"/>
      <c r="E484" s="303"/>
      <c r="F484" s="30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customFormat="false" ht="15.75" hidden="false" customHeight="true" outlineLevel="0" collapsed="false">
      <c r="A485" s="5"/>
      <c r="B485" s="5"/>
      <c r="C485" s="5"/>
      <c r="D485" s="5"/>
      <c r="E485" s="303"/>
      <c r="F485" s="30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customFormat="false" ht="15.75" hidden="false" customHeight="true" outlineLevel="0" collapsed="false">
      <c r="A486" s="5"/>
      <c r="B486" s="5"/>
      <c r="C486" s="5"/>
      <c r="D486" s="5"/>
      <c r="E486" s="303"/>
      <c r="F486" s="30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customFormat="false" ht="15.75" hidden="false" customHeight="true" outlineLevel="0" collapsed="false">
      <c r="A487" s="5"/>
      <c r="B487" s="5"/>
      <c r="C487" s="5"/>
      <c r="D487" s="5"/>
      <c r="E487" s="303"/>
      <c r="F487" s="30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customFormat="false" ht="15.75" hidden="false" customHeight="true" outlineLevel="0" collapsed="false">
      <c r="A488" s="5"/>
      <c r="B488" s="5"/>
      <c r="C488" s="5"/>
      <c r="D488" s="5"/>
      <c r="E488" s="303"/>
      <c r="F488" s="30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customFormat="false" ht="15.75" hidden="false" customHeight="true" outlineLevel="0" collapsed="false">
      <c r="A489" s="5"/>
      <c r="B489" s="5"/>
      <c r="C489" s="5"/>
      <c r="D489" s="5"/>
      <c r="E489" s="303"/>
      <c r="F489" s="30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customFormat="false" ht="15.75" hidden="false" customHeight="true" outlineLevel="0" collapsed="false">
      <c r="A490" s="5"/>
      <c r="B490" s="5"/>
      <c r="C490" s="5"/>
      <c r="D490" s="5"/>
      <c r="E490" s="303"/>
      <c r="F490" s="30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customFormat="false" ht="15.75" hidden="false" customHeight="true" outlineLevel="0" collapsed="false">
      <c r="A491" s="5"/>
      <c r="B491" s="5"/>
      <c r="C491" s="5"/>
      <c r="D491" s="5"/>
      <c r="E491" s="303"/>
      <c r="F491" s="30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customFormat="false" ht="15.75" hidden="false" customHeight="true" outlineLevel="0" collapsed="false">
      <c r="A492" s="5"/>
      <c r="B492" s="5"/>
      <c r="C492" s="5"/>
      <c r="D492" s="5"/>
      <c r="E492" s="303"/>
      <c r="F492" s="30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customFormat="false" ht="15.75" hidden="false" customHeight="true" outlineLevel="0" collapsed="false">
      <c r="A493" s="5"/>
      <c r="B493" s="5"/>
      <c r="C493" s="5"/>
      <c r="D493" s="5"/>
      <c r="E493" s="303"/>
      <c r="F493" s="30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customFormat="false" ht="15.75" hidden="false" customHeight="true" outlineLevel="0" collapsed="false">
      <c r="A494" s="5"/>
      <c r="B494" s="5"/>
      <c r="C494" s="5"/>
      <c r="D494" s="5"/>
      <c r="E494" s="303"/>
      <c r="F494" s="30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customFormat="false" ht="15.75" hidden="false" customHeight="true" outlineLevel="0" collapsed="false">
      <c r="A495" s="5"/>
      <c r="B495" s="5"/>
      <c r="C495" s="5"/>
      <c r="D495" s="5"/>
      <c r="E495" s="303"/>
      <c r="F495" s="30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customFormat="false" ht="15.75" hidden="false" customHeight="true" outlineLevel="0" collapsed="false">
      <c r="A496" s="5"/>
      <c r="B496" s="5"/>
      <c r="C496" s="5"/>
      <c r="D496" s="5"/>
      <c r="E496" s="303"/>
      <c r="F496" s="30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customFormat="false" ht="15.75" hidden="false" customHeight="true" outlineLevel="0" collapsed="false">
      <c r="A497" s="5"/>
      <c r="B497" s="5"/>
      <c r="C497" s="5"/>
      <c r="D497" s="5"/>
      <c r="E497" s="303"/>
      <c r="F497" s="30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customFormat="false" ht="15.75" hidden="false" customHeight="true" outlineLevel="0" collapsed="false">
      <c r="A498" s="5"/>
      <c r="B498" s="5"/>
      <c r="C498" s="5"/>
      <c r="D498" s="5"/>
      <c r="E498" s="303"/>
      <c r="F498" s="30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customFormat="false" ht="15.75" hidden="false" customHeight="true" outlineLevel="0" collapsed="false">
      <c r="A499" s="5"/>
      <c r="B499" s="5"/>
      <c r="C499" s="5"/>
      <c r="D499" s="5"/>
      <c r="E499" s="303"/>
      <c r="F499" s="30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customFormat="false" ht="15.75" hidden="false" customHeight="true" outlineLevel="0" collapsed="false">
      <c r="A500" s="5"/>
      <c r="B500" s="5"/>
      <c r="C500" s="5"/>
      <c r="D500" s="5"/>
      <c r="E500" s="303"/>
      <c r="F500" s="30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customFormat="false" ht="15.75" hidden="false" customHeight="true" outlineLevel="0" collapsed="false">
      <c r="A501" s="5"/>
      <c r="B501" s="5"/>
      <c r="C501" s="5"/>
      <c r="D501" s="5"/>
      <c r="E501" s="303"/>
      <c r="F501" s="30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customFormat="false" ht="15.75" hidden="false" customHeight="true" outlineLevel="0" collapsed="false">
      <c r="A502" s="5"/>
      <c r="B502" s="5"/>
      <c r="C502" s="5"/>
      <c r="D502" s="5"/>
      <c r="E502" s="303"/>
      <c r="F502" s="30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customFormat="false" ht="15.75" hidden="false" customHeight="true" outlineLevel="0" collapsed="false">
      <c r="A503" s="5"/>
      <c r="B503" s="5"/>
      <c r="C503" s="5"/>
      <c r="D503" s="5"/>
      <c r="E503" s="303"/>
      <c r="F503" s="30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customFormat="false" ht="15.75" hidden="false" customHeight="true" outlineLevel="0" collapsed="false">
      <c r="A504" s="5"/>
      <c r="B504" s="5"/>
      <c r="C504" s="5"/>
      <c r="D504" s="5"/>
      <c r="E504" s="303"/>
      <c r="F504" s="30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customFormat="false" ht="15.75" hidden="false" customHeight="true" outlineLevel="0" collapsed="false">
      <c r="A505" s="5"/>
      <c r="B505" s="5"/>
      <c r="C505" s="5"/>
      <c r="D505" s="5"/>
      <c r="E505" s="303"/>
      <c r="F505" s="30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customFormat="false" ht="15.75" hidden="false" customHeight="true" outlineLevel="0" collapsed="false">
      <c r="A506" s="5"/>
      <c r="B506" s="5"/>
      <c r="C506" s="5"/>
      <c r="D506" s="5"/>
      <c r="E506" s="303"/>
      <c r="F506" s="30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customFormat="false" ht="15.75" hidden="false" customHeight="true" outlineLevel="0" collapsed="false">
      <c r="A507" s="5"/>
      <c r="B507" s="5"/>
      <c r="C507" s="5"/>
      <c r="D507" s="5"/>
      <c r="E507" s="303"/>
      <c r="F507" s="30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customFormat="false" ht="15.75" hidden="false" customHeight="true" outlineLevel="0" collapsed="false">
      <c r="A508" s="5"/>
      <c r="B508" s="5"/>
      <c r="C508" s="5"/>
      <c r="D508" s="5"/>
      <c r="E508" s="303"/>
      <c r="F508" s="30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customFormat="false" ht="15.75" hidden="false" customHeight="true" outlineLevel="0" collapsed="false">
      <c r="A509" s="5"/>
      <c r="B509" s="5"/>
      <c r="C509" s="5"/>
      <c r="D509" s="5"/>
      <c r="E509" s="303"/>
      <c r="F509" s="30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customFormat="false" ht="15.75" hidden="false" customHeight="true" outlineLevel="0" collapsed="false">
      <c r="A510" s="5"/>
      <c r="B510" s="5"/>
      <c r="C510" s="5"/>
      <c r="D510" s="5"/>
      <c r="E510" s="303"/>
      <c r="F510" s="30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customFormat="false" ht="15.75" hidden="false" customHeight="true" outlineLevel="0" collapsed="false">
      <c r="A511" s="5"/>
      <c r="B511" s="5"/>
      <c r="C511" s="5"/>
      <c r="D511" s="5"/>
      <c r="E511" s="303"/>
      <c r="F511" s="30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customFormat="false" ht="15.75" hidden="false" customHeight="true" outlineLevel="0" collapsed="false">
      <c r="A512" s="5"/>
      <c r="B512" s="5"/>
      <c r="C512" s="5"/>
      <c r="D512" s="5"/>
      <c r="E512" s="303"/>
      <c r="F512" s="30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customFormat="false" ht="15.75" hidden="false" customHeight="true" outlineLevel="0" collapsed="false">
      <c r="A513" s="5"/>
      <c r="B513" s="5"/>
      <c r="C513" s="5"/>
      <c r="D513" s="5"/>
      <c r="E513" s="303"/>
      <c r="F513" s="30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customFormat="false" ht="15.75" hidden="false" customHeight="true" outlineLevel="0" collapsed="false">
      <c r="A514" s="5"/>
      <c r="B514" s="5"/>
      <c r="C514" s="5"/>
      <c r="D514" s="5"/>
      <c r="E514" s="303"/>
      <c r="F514" s="30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customFormat="false" ht="15.75" hidden="false" customHeight="true" outlineLevel="0" collapsed="false">
      <c r="A515" s="5"/>
      <c r="B515" s="5"/>
      <c r="C515" s="5"/>
      <c r="D515" s="5"/>
      <c r="E515" s="303"/>
      <c r="F515" s="30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customFormat="false" ht="15.75" hidden="false" customHeight="true" outlineLevel="0" collapsed="false">
      <c r="A516" s="5"/>
      <c r="B516" s="5"/>
      <c r="C516" s="5"/>
      <c r="D516" s="5"/>
      <c r="E516" s="303"/>
      <c r="F516" s="30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customFormat="false" ht="15.75" hidden="false" customHeight="true" outlineLevel="0" collapsed="false">
      <c r="A517" s="5"/>
      <c r="B517" s="5"/>
      <c r="C517" s="5"/>
      <c r="D517" s="5"/>
      <c r="E517" s="303"/>
      <c r="F517" s="30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customFormat="false" ht="15.75" hidden="false" customHeight="true" outlineLevel="0" collapsed="false">
      <c r="A518" s="5"/>
      <c r="B518" s="5"/>
      <c r="C518" s="5"/>
      <c r="D518" s="5"/>
      <c r="E518" s="303"/>
      <c r="F518" s="30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customFormat="false" ht="15.75" hidden="false" customHeight="true" outlineLevel="0" collapsed="false">
      <c r="A519" s="5"/>
      <c r="B519" s="5"/>
      <c r="C519" s="5"/>
      <c r="D519" s="5"/>
      <c r="E519" s="303"/>
      <c r="F519" s="30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customFormat="false" ht="15.75" hidden="false" customHeight="true" outlineLevel="0" collapsed="false">
      <c r="A520" s="5"/>
      <c r="B520" s="5"/>
      <c r="C520" s="5"/>
      <c r="D520" s="5"/>
      <c r="E520" s="303"/>
      <c r="F520" s="30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customFormat="false" ht="15.75" hidden="false" customHeight="true" outlineLevel="0" collapsed="false">
      <c r="A521" s="5"/>
      <c r="B521" s="5"/>
      <c r="C521" s="5"/>
      <c r="D521" s="5"/>
      <c r="E521" s="303"/>
      <c r="F521" s="30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customFormat="false" ht="15.75" hidden="false" customHeight="true" outlineLevel="0" collapsed="false">
      <c r="A522" s="5"/>
      <c r="B522" s="5"/>
      <c r="C522" s="5"/>
      <c r="D522" s="5"/>
      <c r="E522" s="303"/>
      <c r="F522" s="30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customFormat="false" ht="15.75" hidden="false" customHeight="true" outlineLevel="0" collapsed="false">
      <c r="A523" s="5"/>
      <c r="B523" s="5"/>
      <c r="C523" s="5"/>
      <c r="D523" s="5"/>
      <c r="E523" s="303"/>
      <c r="F523" s="30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customFormat="false" ht="15.75" hidden="false" customHeight="true" outlineLevel="0" collapsed="false">
      <c r="A524" s="5"/>
      <c r="B524" s="5"/>
      <c r="C524" s="5"/>
      <c r="D524" s="5"/>
      <c r="E524" s="303"/>
      <c r="F524" s="30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customFormat="false" ht="15.75" hidden="false" customHeight="true" outlineLevel="0" collapsed="false">
      <c r="A525" s="5"/>
      <c r="B525" s="5"/>
      <c r="C525" s="5"/>
      <c r="D525" s="5"/>
      <c r="E525" s="303"/>
      <c r="F525" s="30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customFormat="false" ht="15.75" hidden="false" customHeight="true" outlineLevel="0" collapsed="false">
      <c r="A526" s="5"/>
      <c r="B526" s="5"/>
      <c r="C526" s="5"/>
      <c r="D526" s="5"/>
      <c r="E526" s="303"/>
      <c r="F526" s="30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customFormat="false" ht="15.75" hidden="false" customHeight="true" outlineLevel="0" collapsed="false">
      <c r="A527" s="5"/>
      <c r="B527" s="5"/>
      <c r="C527" s="5"/>
      <c r="D527" s="5"/>
      <c r="E527" s="303"/>
      <c r="F527" s="30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customFormat="false" ht="15.75" hidden="false" customHeight="true" outlineLevel="0" collapsed="false">
      <c r="A528" s="5"/>
      <c r="B528" s="5"/>
      <c r="C528" s="5"/>
      <c r="D528" s="5"/>
      <c r="E528" s="303"/>
      <c r="F528" s="30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customFormat="false" ht="15.75" hidden="false" customHeight="true" outlineLevel="0" collapsed="false">
      <c r="A529" s="5"/>
      <c r="B529" s="5"/>
      <c r="C529" s="5"/>
      <c r="D529" s="5"/>
      <c r="E529" s="303"/>
      <c r="F529" s="30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customFormat="false" ht="15.75" hidden="false" customHeight="true" outlineLevel="0" collapsed="false">
      <c r="A530" s="5"/>
      <c r="B530" s="5"/>
      <c r="C530" s="5"/>
      <c r="D530" s="5"/>
      <c r="E530" s="303"/>
      <c r="F530" s="30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customFormat="false" ht="15.75" hidden="false" customHeight="true" outlineLevel="0" collapsed="false">
      <c r="A531" s="5"/>
      <c r="B531" s="5"/>
      <c r="C531" s="5"/>
      <c r="D531" s="5"/>
      <c r="E531" s="303"/>
      <c r="F531" s="30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customFormat="false" ht="15.75" hidden="false" customHeight="true" outlineLevel="0" collapsed="false">
      <c r="A532" s="5"/>
      <c r="B532" s="5"/>
      <c r="C532" s="5"/>
      <c r="D532" s="5"/>
      <c r="E532" s="303"/>
      <c r="F532" s="30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customFormat="false" ht="15.75" hidden="false" customHeight="true" outlineLevel="0" collapsed="false">
      <c r="A533" s="5"/>
      <c r="B533" s="5"/>
      <c r="C533" s="5"/>
      <c r="D533" s="5"/>
      <c r="E533" s="303"/>
      <c r="F533" s="30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customFormat="false" ht="15.75" hidden="false" customHeight="true" outlineLevel="0" collapsed="false">
      <c r="A534" s="5"/>
      <c r="B534" s="5"/>
      <c r="C534" s="5"/>
      <c r="D534" s="5"/>
      <c r="E534" s="303"/>
      <c r="F534" s="30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customFormat="false" ht="15.75" hidden="false" customHeight="true" outlineLevel="0" collapsed="false">
      <c r="A535" s="5"/>
      <c r="B535" s="5"/>
      <c r="C535" s="5"/>
      <c r="D535" s="5"/>
      <c r="E535" s="303"/>
      <c r="F535" s="30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customFormat="false" ht="15.75" hidden="false" customHeight="true" outlineLevel="0" collapsed="false">
      <c r="A536" s="5"/>
      <c r="B536" s="5"/>
      <c r="C536" s="5"/>
      <c r="D536" s="5"/>
      <c r="E536" s="303"/>
      <c r="F536" s="30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customFormat="false" ht="15.75" hidden="false" customHeight="true" outlineLevel="0" collapsed="false">
      <c r="A537" s="5"/>
      <c r="B537" s="5"/>
      <c r="C537" s="5"/>
      <c r="D537" s="5"/>
      <c r="E537" s="303"/>
      <c r="F537" s="30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customFormat="false" ht="15.75" hidden="false" customHeight="true" outlineLevel="0" collapsed="false">
      <c r="A538" s="5"/>
      <c r="B538" s="5"/>
      <c r="C538" s="5"/>
      <c r="D538" s="5"/>
      <c r="E538" s="303"/>
      <c r="F538" s="30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customFormat="false" ht="15.75" hidden="false" customHeight="true" outlineLevel="0" collapsed="false">
      <c r="A539" s="5"/>
      <c r="B539" s="5"/>
      <c r="C539" s="5"/>
      <c r="D539" s="5"/>
      <c r="E539" s="303"/>
      <c r="F539" s="30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customFormat="false" ht="15.75" hidden="false" customHeight="true" outlineLevel="0" collapsed="false">
      <c r="A540" s="5"/>
      <c r="B540" s="5"/>
      <c r="C540" s="5"/>
      <c r="D540" s="5"/>
      <c r="E540" s="303"/>
      <c r="F540" s="30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customFormat="false" ht="15.75" hidden="false" customHeight="true" outlineLevel="0" collapsed="false">
      <c r="A541" s="5"/>
      <c r="B541" s="5"/>
      <c r="C541" s="5"/>
      <c r="D541" s="5"/>
      <c r="E541" s="303"/>
      <c r="F541" s="30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customFormat="false" ht="15.75" hidden="false" customHeight="true" outlineLevel="0" collapsed="false">
      <c r="A542" s="5"/>
      <c r="B542" s="5"/>
      <c r="C542" s="5"/>
      <c r="D542" s="5"/>
      <c r="E542" s="303"/>
      <c r="F542" s="30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customFormat="false" ht="15.75" hidden="false" customHeight="true" outlineLevel="0" collapsed="false">
      <c r="A543" s="5"/>
      <c r="B543" s="5"/>
      <c r="C543" s="5"/>
      <c r="D543" s="5"/>
      <c r="E543" s="303"/>
      <c r="F543" s="30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customFormat="false" ht="15.75" hidden="false" customHeight="true" outlineLevel="0" collapsed="false">
      <c r="A544" s="5"/>
      <c r="B544" s="5"/>
      <c r="C544" s="5"/>
      <c r="D544" s="5"/>
      <c r="E544" s="303"/>
      <c r="F544" s="30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customFormat="false" ht="15.75" hidden="false" customHeight="true" outlineLevel="0" collapsed="false">
      <c r="A545" s="5"/>
      <c r="B545" s="5"/>
      <c r="C545" s="5"/>
      <c r="D545" s="5"/>
      <c r="E545" s="303"/>
      <c r="F545" s="30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customFormat="false" ht="15.75" hidden="false" customHeight="true" outlineLevel="0" collapsed="false">
      <c r="A546" s="5"/>
      <c r="B546" s="5"/>
      <c r="C546" s="5"/>
      <c r="D546" s="5"/>
      <c r="E546" s="303"/>
      <c r="F546" s="30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customFormat="false" ht="15.75" hidden="false" customHeight="true" outlineLevel="0" collapsed="false">
      <c r="A547" s="5"/>
      <c r="B547" s="5"/>
      <c r="C547" s="5"/>
      <c r="D547" s="5"/>
      <c r="E547" s="303"/>
      <c r="F547" s="30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customFormat="false" ht="15.75" hidden="false" customHeight="true" outlineLevel="0" collapsed="false">
      <c r="A548" s="5"/>
      <c r="B548" s="5"/>
      <c r="C548" s="5"/>
      <c r="D548" s="5"/>
      <c r="E548" s="303"/>
      <c r="F548" s="30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customFormat="false" ht="15.75" hidden="false" customHeight="true" outlineLevel="0" collapsed="false">
      <c r="A549" s="5"/>
      <c r="B549" s="5"/>
      <c r="C549" s="5"/>
      <c r="D549" s="5"/>
      <c r="E549" s="303"/>
      <c r="F549" s="30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customFormat="false" ht="15.75" hidden="false" customHeight="true" outlineLevel="0" collapsed="false">
      <c r="A550" s="5"/>
      <c r="B550" s="5"/>
      <c r="C550" s="5"/>
      <c r="D550" s="5"/>
      <c r="E550" s="303"/>
      <c r="F550" s="30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customFormat="false" ht="15.75" hidden="false" customHeight="true" outlineLevel="0" collapsed="false">
      <c r="A551" s="5"/>
      <c r="B551" s="5"/>
      <c r="C551" s="5"/>
      <c r="D551" s="5"/>
      <c r="E551" s="303"/>
      <c r="F551" s="30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customFormat="false" ht="15.75" hidden="false" customHeight="true" outlineLevel="0" collapsed="false">
      <c r="A552" s="5"/>
      <c r="B552" s="5"/>
      <c r="C552" s="5"/>
      <c r="D552" s="5"/>
      <c r="E552" s="303"/>
      <c r="F552" s="30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customFormat="false" ht="15.75" hidden="false" customHeight="true" outlineLevel="0" collapsed="false">
      <c r="A553" s="5"/>
      <c r="B553" s="5"/>
      <c r="C553" s="5"/>
      <c r="D553" s="5"/>
      <c r="E553" s="303"/>
      <c r="F553" s="30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customFormat="false" ht="15.75" hidden="false" customHeight="true" outlineLevel="0" collapsed="false">
      <c r="A554" s="5"/>
      <c r="B554" s="5"/>
      <c r="C554" s="5"/>
      <c r="D554" s="5"/>
      <c r="E554" s="303"/>
      <c r="F554" s="30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customFormat="false" ht="15.75" hidden="false" customHeight="true" outlineLevel="0" collapsed="false">
      <c r="A555" s="5"/>
      <c r="B555" s="5"/>
      <c r="C555" s="5"/>
      <c r="D555" s="5"/>
      <c r="E555" s="303"/>
      <c r="F555" s="30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customFormat="false" ht="15.75" hidden="false" customHeight="true" outlineLevel="0" collapsed="false">
      <c r="A556" s="5"/>
      <c r="B556" s="5"/>
      <c r="C556" s="5"/>
      <c r="D556" s="5"/>
      <c r="E556" s="303"/>
      <c r="F556" s="30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customFormat="false" ht="15.75" hidden="false" customHeight="true" outlineLevel="0" collapsed="false">
      <c r="A557" s="5"/>
      <c r="B557" s="5"/>
      <c r="C557" s="5"/>
      <c r="D557" s="5"/>
      <c r="E557" s="303"/>
      <c r="F557" s="30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customFormat="false" ht="15.75" hidden="false" customHeight="true" outlineLevel="0" collapsed="false">
      <c r="A558" s="5"/>
      <c r="B558" s="5"/>
      <c r="C558" s="5"/>
      <c r="D558" s="5"/>
      <c r="E558" s="303"/>
      <c r="F558" s="30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customFormat="false" ht="15.75" hidden="false" customHeight="true" outlineLevel="0" collapsed="false">
      <c r="A559" s="5"/>
      <c r="B559" s="5"/>
      <c r="C559" s="5"/>
      <c r="D559" s="5"/>
      <c r="E559" s="303"/>
      <c r="F559" s="30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customFormat="false" ht="15.75" hidden="false" customHeight="true" outlineLevel="0" collapsed="false">
      <c r="A560" s="5"/>
      <c r="B560" s="5"/>
      <c r="C560" s="5"/>
      <c r="D560" s="5"/>
      <c r="E560" s="303"/>
      <c r="F560" s="30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customFormat="false" ht="15.75" hidden="false" customHeight="true" outlineLevel="0" collapsed="false">
      <c r="A561" s="5"/>
      <c r="B561" s="5"/>
      <c r="C561" s="5"/>
      <c r="D561" s="5"/>
      <c r="E561" s="303"/>
      <c r="F561" s="30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customFormat="false" ht="15.75" hidden="false" customHeight="true" outlineLevel="0" collapsed="false">
      <c r="A562" s="5"/>
      <c r="B562" s="5"/>
      <c r="C562" s="5"/>
      <c r="D562" s="5"/>
      <c r="E562" s="303"/>
      <c r="F562" s="30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customFormat="false" ht="15.75" hidden="false" customHeight="true" outlineLevel="0" collapsed="false">
      <c r="A563" s="5"/>
      <c r="B563" s="5"/>
      <c r="C563" s="5"/>
      <c r="D563" s="5"/>
      <c r="E563" s="303"/>
      <c r="F563" s="30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customFormat="false" ht="15.75" hidden="false" customHeight="true" outlineLevel="0" collapsed="false">
      <c r="A564" s="5"/>
      <c r="B564" s="5"/>
      <c r="C564" s="5"/>
      <c r="D564" s="5"/>
      <c r="E564" s="303"/>
      <c r="F564" s="30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customFormat="false" ht="15.75" hidden="false" customHeight="true" outlineLevel="0" collapsed="false">
      <c r="A565" s="5"/>
      <c r="B565" s="5"/>
      <c r="C565" s="5"/>
      <c r="D565" s="5"/>
      <c r="E565" s="303"/>
      <c r="F565" s="30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customFormat="false" ht="15.75" hidden="false" customHeight="true" outlineLevel="0" collapsed="false">
      <c r="A566" s="5"/>
      <c r="B566" s="5"/>
      <c r="C566" s="5"/>
      <c r="D566" s="5"/>
      <c r="E566" s="303"/>
      <c r="F566" s="30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customFormat="false" ht="15.75" hidden="false" customHeight="true" outlineLevel="0" collapsed="false">
      <c r="A567" s="5"/>
      <c r="B567" s="5"/>
      <c r="C567" s="5"/>
      <c r="D567" s="5"/>
      <c r="E567" s="303"/>
      <c r="F567" s="30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customFormat="false" ht="15.75" hidden="false" customHeight="true" outlineLevel="0" collapsed="false">
      <c r="A568" s="5"/>
      <c r="B568" s="5"/>
      <c r="C568" s="5"/>
      <c r="D568" s="5"/>
      <c r="E568" s="303"/>
      <c r="F568" s="30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customFormat="false" ht="15.75" hidden="false" customHeight="true" outlineLevel="0" collapsed="false">
      <c r="A569" s="5"/>
      <c r="B569" s="5"/>
      <c r="C569" s="5"/>
      <c r="D569" s="5"/>
      <c r="E569" s="303"/>
      <c r="F569" s="30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customFormat="false" ht="15.75" hidden="false" customHeight="true" outlineLevel="0" collapsed="false">
      <c r="A570" s="5"/>
      <c r="B570" s="5"/>
      <c r="C570" s="5"/>
      <c r="D570" s="5"/>
      <c r="E570" s="303"/>
      <c r="F570" s="30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customFormat="false" ht="15.75" hidden="false" customHeight="true" outlineLevel="0" collapsed="false">
      <c r="A571" s="5"/>
      <c r="B571" s="5"/>
      <c r="C571" s="5"/>
      <c r="D571" s="5"/>
      <c r="E571" s="303"/>
      <c r="F571" s="30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customFormat="false" ht="15.75" hidden="false" customHeight="true" outlineLevel="0" collapsed="false">
      <c r="A572" s="5"/>
      <c r="B572" s="5"/>
      <c r="C572" s="5"/>
      <c r="D572" s="5"/>
      <c r="E572" s="303"/>
      <c r="F572" s="30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customFormat="false" ht="15.75" hidden="false" customHeight="true" outlineLevel="0" collapsed="false">
      <c r="A573" s="5"/>
      <c r="B573" s="5"/>
      <c r="C573" s="5"/>
      <c r="D573" s="5"/>
      <c r="E573" s="303"/>
      <c r="F573" s="30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customFormat="false" ht="15.75" hidden="false" customHeight="true" outlineLevel="0" collapsed="false">
      <c r="A574" s="5"/>
      <c r="B574" s="5"/>
      <c r="C574" s="5"/>
      <c r="D574" s="5"/>
      <c r="E574" s="303"/>
      <c r="F574" s="30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customFormat="false" ht="15.75" hidden="false" customHeight="true" outlineLevel="0" collapsed="false">
      <c r="A575" s="5"/>
      <c r="B575" s="5"/>
      <c r="C575" s="5"/>
      <c r="D575" s="5"/>
      <c r="E575" s="303"/>
      <c r="F575" s="30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customFormat="false" ht="15.75" hidden="false" customHeight="true" outlineLevel="0" collapsed="false">
      <c r="A576" s="5"/>
      <c r="B576" s="5"/>
      <c r="C576" s="5"/>
      <c r="D576" s="5"/>
      <c r="E576" s="303"/>
      <c r="F576" s="30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customFormat="false" ht="15.75" hidden="false" customHeight="true" outlineLevel="0" collapsed="false">
      <c r="A577" s="5"/>
      <c r="B577" s="5"/>
      <c r="C577" s="5"/>
      <c r="D577" s="5"/>
      <c r="E577" s="303"/>
      <c r="F577" s="30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customFormat="false" ht="15.75" hidden="false" customHeight="true" outlineLevel="0" collapsed="false">
      <c r="A578" s="5"/>
      <c r="B578" s="5"/>
      <c r="C578" s="5"/>
      <c r="D578" s="5"/>
      <c r="E578" s="303"/>
      <c r="F578" s="30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customFormat="false" ht="15.75" hidden="false" customHeight="true" outlineLevel="0" collapsed="false">
      <c r="A579" s="5"/>
      <c r="B579" s="5"/>
      <c r="C579" s="5"/>
      <c r="D579" s="5"/>
      <c r="E579" s="303"/>
      <c r="F579" s="30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customFormat="false" ht="15.75" hidden="false" customHeight="true" outlineLevel="0" collapsed="false">
      <c r="A580" s="5"/>
      <c r="B580" s="5"/>
      <c r="C580" s="5"/>
      <c r="D580" s="5"/>
      <c r="E580" s="303"/>
      <c r="F580" s="30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customFormat="false" ht="15.75" hidden="false" customHeight="true" outlineLevel="0" collapsed="false">
      <c r="A581" s="5"/>
      <c r="B581" s="5"/>
      <c r="C581" s="5"/>
      <c r="D581" s="5"/>
      <c r="E581" s="303"/>
      <c r="F581" s="30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customFormat="false" ht="15.75" hidden="false" customHeight="true" outlineLevel="0" collapsed="false">
      <c r="A582" s="5"/>
      <c r="B582" s="5"/>
      <c r="C582" s="5"/>
      <c r="D582" s="5"/>
      <c r="E582" s="303"/>
      <c r="F582" s="30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customFormat="false" ht="15.75" hidden="false" customHeight="true" outlineLevel="0" collapsed="false">
      <c r="A583" s="5"/>
      <c r="B583" s="5"/>
      <c r="C583" s="5"/>
      <c r="D583" s="5"/>
      <c r="E583" s="303"/>
      <c r="F583" s="30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customFormat="false" ht="15.75" hidden="false" customHeight="true" outlineLevel="0" collapsed="false">
      <c r="A584" s="5"/>
      <c r="B584" s="5"/>
      <c r="C584" s="5"/>
      <c r="D584" s="5"/>
      <c r="E584" s="303"/>
      <c r="F584" s="30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customFormat="false" ht="15.75" hidden="false" customHeight="true" outlineLevel="0" collapsed="false">
      <c r="A585" s="5"/>
      <c r="B585" s="5"/>
      <c r="C585" s="5"/>
      <c r="D585" s="5"/>
      <c r="E585" s="303"/>
      <c r="F585" s="30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customFormat="false" ht="15.75" hidden="false" customHeight="true" outlineLevel="0" collapsed="false">
      <c r="A586" s="5"/>
      <c r="B586" s="5"/>
      <c r="C586" s="5"/>
      <c r="D586" s="5"/>
      <c r="E586" s="303"/>
      <c r="F586" s="30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customFormat="false" ht="15.75" hidden="false" customHeight="true" outlineLevel="0" collapsed="false">
      <c r="A587" s="5"/>
      <c r="B587" s="5"/>
      <c r="C587" s="5"/>
      <c r="D587" s="5"/>
      <c r="E587" s="303"/>
      <c r="F587" s="30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customFormat="false" ht="15.75" hidden="false" customHeight="true" outlineLevel="0" collapsed="false">
      <c r="A588" s="5"/>
      <c r="B588" s="5"/>
      <c r="C588" s="5"/>
      <c r="D588" s="5"/>
      <c r="E588" s="303"/>
      <c r="F588" s="30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customFormat="false" ht="15.75" hidden="false" customHeight="true" outlineLevel="0" collapsed="false">
      <c r="A589" s="5"/>
      <c r="B589" s="5"/>
      <c r="C589" s="5"/>
      <c r="D589" s="5"/>
      <c r="E589" s="303"/>
      <c r="F589" s="30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customFormat="false" ht="15.75" hidden="false" customHeight="true" outlineLevel="0" collapsed="false">
      <c r="A590" s="5"/>
      <c r="B590" s="5"/>
      <c r="C590" s="5"/>
      <c r="D590" s="5"/>
      <c r="E590" s="303"/>
      <c r="F590" s="30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customFormat="false" ht="15.75" hidden="false" customHeight="true" outlineLevel="0" collapsed="false">
      <c r="A591" s="5"/>
      <c r="B591" s="5"/>
      <c r="C591" s="5"/>
      <c r="D591" s="5"/>
      <c r="E591" s="303"/>
      <c r="F591" s="30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customFormat="false" ht="15.75" hidden="false" customHeight="true" outlineLevel="0" collapsed="false">
      <c r="A592" s="5"/>
      <c r="B592" s="5"/>
      <c r="C592" s="5"/>
      <c r="D592" s="5"/>
      <c r="E592" s="303"/>
      <c r="F592" s="30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customFormat="false" ht="15.75" hidden="false" customHeight="true" outlineLevel="0" collapsed="false">
      <c r="A593" s="5"/>
      <c r="B593" s="5"/>
      <c r="C593" s="5"/>
      <c r="D593" s="5"/>
      <c r="E593" s="303"/>
      <c r="F593" s="30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customFormat="false" ht="15.75" hidden="false" customHeight="true" outlineLevel="0" collapsed="false">
      <c r="A594" s="5"/>
      <c r="B594" s="5"/>
      <c r="C594" s="5"/>
      <c r="D594" s="5"/>
      <c r="E594" s="303"/>
      <c r="F594" s="30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customFormat="false" ht="15.75" hidden="false" customHeight="true" outlineLevel="0" collapsed="false">
      <c r="A595" s="5"/>
      <c r="B595" s="5"/>
      <c r="C595" s="5"/>
      <c r="D595" s="5"/>
      <c r="E595" s="303"/>
      <c r="F595" s="30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customFormat="false" ht="15.75" hidden="false" customHeight="true" outlineLevel="0" collapsed="false">
      <c r="A596" s="5"/>
      <c r="B596" s="5"/>
      <c r="C596" s="5"/>
      <c r="D596" s="5"/>
      <c r="E596" s="303"/>
      <c r="F596" s="30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customFormat="false" ht="15.75" hidden="false" customHeight="true" outlineLevel="0" collapsed="false">
      <c r="A597" s="5"/>
      <c r="B597" s="5"/>
      <c r="C597" s="5"/>
      <c r="D597" s="5"/>
      <c r="E597" s="303"/>
      <c r="F597" s="30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customFormat="false" ht="15.75" hidden="false" customHeight="true" outlineLevel="0" collapsed="false">
      <c r="A598" s="5"/>
      <c r="B598" s="5"/>
      <c r="C598" s="5"/>
      <c r="D598" s="5"/>
      <c r="E598" s="303"/>
      <c r="F598" s="30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customFormat="false" ht="15.75" hidden="false" customHeight="true" outlineLevel="0" collapsed="false">
      <c r="A599" s="5"/>
      <c r="B599" s="5"/>
      <c r="C599" s="5"/>
      <c r="D599" s="5"/>
      <c r="E599" s="303"/>
      <c r="F599" s="30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customFormat="false" ht="15.75" hidden="false" customHeight="true" outlineLevel="0" collapsed="false">
      <c r="A600" s="5"/>
      <c r="B600" s="5"/>
      <c r="C600" s="5"/>
      <c r="D600" s="5"/>
      <c r="E600" s="303"/>
      <c r="F600" s="30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customFormat="false" ht="15.75" hidden="false" customHeight="true" outlineLevel="0" collapsed="false">
      <c r="A601" s="5"/>
      <c r="B601" s="5"/>
      <c r="C601" s="5"/>
      <c r="D601" s="5"/>
      <c r="E601" s="303"/>
      <c r="F601" s="30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customFormat="false" ht="15.75" hidden="false" customHeight="true" outlineLevel="0" collapsed="false">
      <c r="A602" s="5"/>
      <c r="B602" s="5"/>
      <c r="C602" s="5"/>
      <c r="D602" s="5"/>
      <c r="E602" s="303"/>
      <c r="F602" s="30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customFormat="false" ht="15.75" hidden="false" customHeight="true" outlineLevel="0" collapsed="false">
      <c r="A603" s="5"/>
      <c r="B603" s="5"/>
      <c r="C603" s="5"/>
      <c r="D603" s="5"/>
      <c r="E603" s="303"/>
      <c r="F603" s="30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customFormat="false" ht="15.75" hidden="false" customHeight="true" outlineLevel="0" collapsed="false">
      <c r="A604" s="5"/>
      <c r="B604" s="5"/>
      <c r="C604" s="5"/>
      <c r="D604" s="5"/>
      <c r="E604" s="303"/>
      <c r="F604" s="30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customFormat="false" ht="15.75" hidden="false" customHeight="true" outlineLevel="0" collapsed="false">
      <c r="A605" s="5"/>
      <c r="B605" s="5"/>
      <c r="C605" s="5"/>
      <c r="D605" s="5"/>
      <c r="E605" s="303"/>
      <c r="F605" s="30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customFormat="false" ht="15.75" hidden="false" customHeight="true" outlineLevel="0" collapsed="false">
      <c r="A606" s="5"/>
      <c r="B606" s="5"/>
      <c r="C606" s="5"/>
      <c r="D606" s="5"/>
      <c r="E606" s="303"/>
      <c r="F606" s="30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customFormat="false" ht="15.75" hidden="false" customHeight="true" outlineLevel="0" collapsed="false">
      <c r="A607" s="5"/>
      <c r="B607" s="5"/>
      <c r="C607" s="5"/>
      <c r="D607" s="5"/>
      <c r="E607" s="303"/>
      <c r="F607" s="30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customFormat="false" ht="15.75" hidden="false" customHeight="true" outlineLevel="0" collapsed="false">
      <c r="A608" s="5"/>
      <c r="B608" s="5"/>
      <c r="C608" s="5"/>
      <c r="D608" s="5"/>
      <c r="E608" s="303"/>
      <c r="F608" s="30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customFormat="false" ht="15.75" hidden="false" customHeight="true" outlineLevel="0" collapsed="false">
      <c r="A609" s="5"/>
      <c r="B609" s="5"/>
      <c r="C609" s="5"/>
      <c r="D609" s="5"/>
      <c r="E609" s="303"/>
      <c r="F609" s="30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customFormat="false" ht="15.75" hidden="false" customHeight="true" outlineLevel="0" collapsed="false">
      <c r="A610" s="5"/>
      <c r="B610" s="5"/>
      <c r="C610" s="5"/>
      <c r="D610" s="5"/>
      <c r="E610" s="303"/>
      <c r="F610" s="30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customFormat="false" ht="15.75" hidden="false" customHeight="true" outlineLevel="0" collapsed="false">
      <c r="A611" s="5"/>
      <c r="B611" s="5"/>
      <c r="C611" s="5"/>
      <c r="D611" s="5"/>
      <c r="E611" s="303"/>
      <c r="F611" s="30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customFormat="false" ht="15.75" hidden="false" customHeight="true" outlineLevel="0" collapsed="false">
      <c r="A612" s="5"/>
      <c r="B612" s="5"/>
      <c r="C612" s="5"/>
      <c r="D612" s="5"/>
      <c r="E612" s="303"/>
      <c r="F612" s="30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customFormat="false" ht="15.75" hidden="false" customHeight="true" outlineLevel="0" collapsed="false">
      <c r="A613" s="5"/>
      <c r="B613" s="5"/>
      <c r="C613" s="5"/>
      <c r="D613" s="5"/>
      <c r="E613" s="303"/>
      <c r="F613" s="30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customFormat="false" ht="15.75" hidden="false" customHeight="true" outlineLevel="0" collapsed="false">
      <c r="A614" s="5"/>
      <c r="B614" s="5"/>
      <c r="C614" s="5"/>
      <c r="D614" s="5"/>
      <c r="E614" s="303"/>
      <c r="F614" s="30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customFormat="false" ht="15.75" hidden="false" customHeight="true" outlineLevel="0" collapsed="false">
      <c r="A615" s="5"/>
      <c r="B615" s="5"/>
      <c r="C615" s="5"/>
      <c r="D615" s="5"/>
      <c r="E615" s="303"/>
      <c r="F615" s="30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customFormat="false" ht="15.75" hidden="false" customHeight="true" outlineLevel="0" collapsed="false">
      <c r="A616" s="5"/>
      <c r="B616" s="5"/>
      <c r="C616" s="5"/>
      <c r="D616" s="5"/>
      <c r="E616" s="303"/>
      <c r="F616" s="30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customFormat="false" ht="15.75" hidden="false" customHeight="true" outlineLevel="0" collapsed="false">
      <c r="A617" s="5"/>
      <c r="B617" s="5"/>
      <c r="C617" s="5"/>
      <c r="D617" s="5"/>
      <c r="E617" s="303"/>
      <c r="F617" s="30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customFormat="false" ht="15.75" hidden="false" customHeight="true" outlineLevel="0" collapsed="false">
      <c r="A618" s="5"/>
      <c r="B618" s="5"/>
      <c r="C618" s="5"/>
      <c r="D618" s="5"/>
      <c r="E618" s="303"/>
      <c r="F618" s="30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customFormat="false" ht="15.75" hidden="false" customHeight="true" outlineLevel="0" collapsed="false">
      <c r="A619" s="5"/>
      <c r="B619" s="5"/>
      <c r="C619" s="5"/>
      <c r="D619" s="5"/>
      <c r="E619" s="303"/>
      <c r="F619" s="30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customFormat="false" ht="15.75" hidden="false" customHeight="true" outlineLevel="0" collapsed="false">
      <c r="A620" s="5"/>
      <c r="B620" s="5"/>
      <c r="C620" s="5"/>
      <c r="D620" s="5"/>
      <c r="E620" s="303"/>
      <c r="F620" s="30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customFormat="false" ht="15.75" hidden="false" customHeight="true" outlineLevel="0" collapsed="false">
      <c r="A621" s="5"/>
      <c r="B621" s="5"/>
      <c r="C621" s="5"/>
      <c r="D621" s="5"/>
      <c r="E621" s="303"/>
      <c r="F621" s="30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customFormat="false" ht="15.75" hidden="false" customHeight="true" outlineLevel="0" collapsed="false">
      <c r="A622" s="5"/>
      <c r="B622" s="5"/>
      <c r="C622" s="5"/>
      <c r="D622" s="5"/>
      <c r="E622" s="303"/>
      <c r="F622" s="30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customFormat="false" ht="15.75" hidden="false" customHeight="true" outlineLevel="0" collapsed="false">
      <c r="A623" s="5"/>
      <c r="B623" s="5"/>
      <c r="C623" s="5"/>
      <c r="D623" s="5"/>
      <c r="E623" s="303"/>
      <c r="F623" s="30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customFormat="false" ht="15.75" hidden="false" customHeight="true" outlineLevel="0" collapsed="false">
      <c r="A624" s="5"/>
      <c r="B624" s="5"/>
      <c r="C624" s="5"/>
      <c r="D624" s="5"/>
      <c r="E624" s="303"/>
      <c r="F624" s="30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customFormat="false" ht="15.75" hidden="false" customHeight="true" outlineLevel="0" collapsed="false">
      <c r="A625" s="5"/>
      <c r="B625" s="5"/>
      <c r="C625" s="5"/>
      <c r="D625" s="5"/>
      <c r="E625" s="303"/>
      <c r="F625" s="30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customFormat="false" ht="15.75" hidden="false" customHeight="true" outlineLevel="0" collapsed="false">
      <c r="A626" s="5"/>
      <c r="B626" s="5"/>
      <c r="C626" s="5"/>
      <c r="D626" s="5"/>
      <c r="E626" s="303"/>
      <c r="F626" s="30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customFormat="false" ht="15.75" hidden="false" customHeight="true" outlineLevel="0" collapsed="false">
      <c r="A627" s="5"/>
      <c r="B627" s="5"/>
      <c r="C627" s="5"/>
      <c r="D627" s="5"/>
      <c r="E627" s="303"/>
      <c r="F627" s="30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customFormat="false" ht="15.75" hidden="false" customHeight="true" outlineLevel="0" collapsed="false">
      <c r="A628" s="5"/>
      <c r="B628" s="5"/>
      <c r="C628" s="5"/>
      <c r="D628" s="5"/>
      <c r="E628" s="303"/>
      <c r="F628" s="30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customFormat="false" ht="15.75" hidden="false" customHeight="true" outlineLevel="0" collapsed="false">
      <c r="A629" s="5"/>
      <c r="B629" s="5"/>
      <c r="C629" s="5"/>
      <c r="D629" s="5"/>
      <c r="E629" s="303"/>
      <c r="F629" s="30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customFormat="false" ht="15.75" hidden="false" customHeight="true" outlineLevel="0" collapsed="false">
      <c r="A630" s="5"/>
      <c r="B630" s="5"/>
      <c r="C630" s="5"/>
      <c r="D630" s="5"/>
      <c r="E630" s="303"/>
      <c r="F630" s="30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customFormat="false" ht="15.75" hidden="false" customHeight="true" outlineLevel="0" collapsed="false">
      <c r="A631" s="5"/>
      <c r="B631" s="5"/>
      <c r="C631" s="5"/>
      <c r="D631" s="5"/>
      <c r="E631" s="303"/>
      <c r="F631" s="30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customFormat="false" ht="15.75" hidden="false" customHeight="true" outlineLevel="0" collapsed="false">
      <c r="A632" s="5"/>
      <c r="B632" s="5"/>
      <c r="C632" s="5"/>
      <c r="D632" s="5"/>
      <c r="E632" s="303"/>
      <c r="F632" s="30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customFormat="false" ht="15.75" hidden="false" customHeight="true" outlineLevel="0" collapsed="false">
      <c r="A633" s="5"/>
      <c r="B633" s="5"/>
      <c r="C633" s="5"/>
      <c r="D633" s="5"/>
      <c r="E633" s="303"/>
      <c r="F633" s="30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customFormat="false" ht="15.75" hidden="false" customHeight="true" outlineLevel="0" collapsed="false">
      <c r="A634" s="5"/>
      <c r="B634" s="5"/>
      <c r="C634" s="5"/>
      <c r="D634" s="5"/>
      <c r="E634" s="303"/>
      <c r="F634" s="30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customFormat="false" ht="15.75" hidden="false" customHeight="true" outlineLevel="0" collapsed="false">
      <c r="A635" s="5"/>
      <c r="B635" s="5"/>
      <c r="C635" s="5"/>
      <c r="D635" s="5"/>
      <c r="E635" s="303"/>
      <c r="F635" s="30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customFormat="false" ht="15.75" hidden="false" customHeight="true" outlineLevel="0" collapsed="false">
      <c r="A636" s="5"/>
      <c r="B636" s="5"/>
      <c r="C636" s="5"/>
      <c r="D636" s="5"/>
      <c r="E636" s="303"/>
      <c r="F636" s="30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customFormat="false" ht="15.75" hidden="false" customHeight="true" outlineLevel="0" collapsed="false">
      <c r="A637" s="5"/>
      <c r="B637" s="5"/>
      <c r="C637" s="5"/>
      <c r="D637" s="5"/>
      <c r="E637" s="303"/>
      <c r="F637" s="30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customFormat="false" ht="15.75" hidden="false" customHeight="true" outlineLevel="0" collapsed="false">
      <c r="A638" s="5"/>
      <c r="B638" s="5"/>
      <c r="C638" s="5"/>
      <c r="D638" s="5"/>
      <c r="E638" s="303"/>
      <c r="F638" s="30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customFormat="false" ht="15.75" hidden="false" customHeight="true" outlineLevel="0" collapsed="false">
      <c r="A639" s="5"/>
      <c r="B639" s="5"/>
      <c r="C639" s="5"/>
      <c r="D639" s="5"/>
      <c r="E639" s="303"/>
      <c r="F639" s="30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customFormat="false" ht="15.75" hidden="false" customHeight="true" outlineLevel="0" collapsed="false">
      <c r="A640" s="5"/>
      <c r="B640" s="5"/>
      <c r="C640" s="5"/>
      <c r="D640" s="5"/>
      <c r="E640" s="303"/>
      <c r="F640" s="30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customFormat="false" ht="15.75" hidden="false" customHeight="true" outlineLevel="0" collapsed="false">
      <c r="A641" s="5"/>
      <c r="B641" s="5"/>
      <c r="C641" s="5"/>
      <c r="D641" s="5"/>
      <c r="E641" s="303"/>
      <c r="F641" s="30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customFormat="false" ht="15.75" hidden="false" customHeight="true" outlineLevel="0" collapsed="false">
      <c r="A642" s="5"/>
      <c r="B642" s="5"/>
      <c r="C642" s="5"/>
      <c r="D642" s="5"/>
      <c r="E642" s="303"/>
      <c r="F642" s="30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customFormat="false" ht="15.75" hidden="false" customHeight="true" outlineLevel="0" collapsed="false">
      <c r="A643" s="5"/>
      <c r="B643" s="5"/>
      <c r="C643" s="5"/>
      <c r="D643" s="5"/>
      <c r="E643" s="303"/>
      <c r="F643" s="30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customFormat="false" ht="15.75" hidden="false" customHeight="true" outlineLevel="0" collapsed="false">
      <c r="A644" s="5"/>
      <c r="B644" s="5"/>
      <c r="C644" s="5"/>
      <c r="D644" s="5"/>
      <c r="E644" s="303"/>
      <c r="F644" s="30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customFormat="false" ht="15.75" hidden="false" customHeight="true" outlineLevel="0" collapsed="false">
      <c r="A645" s="5"/>
      <c r="B645" s="5"/>
      <c r="C645" s="5"/>
      <c r="D645" s="5"/>
      <c r="E645" s="303"/>
      <c r="F645" s="30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customFormat="false" ht="15.75" hidden="false" customHeight="true" outlineLevel="0" collapsed="false">
      <c r="A646" s="5"/>
      <c r="B646" s="5"/>
      <c r="C646" s="5"/>
      <c r="D646" s="5"/>
      <c r="E646" s="303"/>
      <c r="F646" s="30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customFormat="false" ht="15.75" hidden="false" customHeight="true" outlineLevel="0" collapsed="false">
      <c r="A647" s="5"/>
      <c r="B647" s="5"/>
      <c r="C647" s="5"/>
      <c r="D647" s="5"/>
      <c r="E647" s="303"/>
      <c r="F647" s="30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customFormat="false" ht="15.75" hidden="false" customHeight="true" outlineLevel="0" collapsed="false">
      <c r="A648" s="5"/>
      <c r="B648" s="5"/>
      <c r="C648" s="5"/>
      <c r="D648" s="5"/>
      <c r="E648" s="303"/>
      <c r="F648" s="30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customFormat="false" ht="15.75" hidden="false" customHeight="true" outlineLevel="0" collapsed="false">
      <c r="A649" s="5"/>
      <c r="B649" s="5"/>
      <c r="C649" s="5"/>
      <c r="D649" s="5"/>
      <c r="E649" s="303"/>
      <c r="F649" s="30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customFormat="false" ht="15.75" hidden="false" customHeight="true" outlineLevel="0" collapsed="false">
      <c r="A650" s="5"/>
      <c r="B650" s="5"/>
      <c r="C650" s="5"/>
      <c r="D650" s="5"/>
      <c r="E650" s="303"/>
      <c r="F650" s="30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customFormat="false" ht="15.75" hidden="false" customHeight="true" outlineLevel="0" collapsed="false">
      <c r="A651" s="5"/>
      <c r="B651" s="5"/>
      <c r="C651" s="5"/>
      <c r="D651" s="5"/>
      <c r="E651" s="303"/>
      <c r="F651" s="30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customFormat="false" ht="15.75" hidden="false" customHeight="true" outlineLevel="0" collapsed="false">
      <c r="A652" s="5"/>
      <c r="B652" s="5"/>
      <c r="C652" s="5"/>
      <c r="D652" s="5"/>
      <c r="E652" s="303"/>
      <c r="F652" s="30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customFormat="false" ht="15.75" hidden="false" customHeight="true" outlineLevel="0" collapsed="false">
      <c r="A653" s="5"/>
      <c r="B653" s="5"/>
      <c r="C653" s="5"/>
      <c r="D653" s="5"/>
      <c r="E653" s="303"/>
      <c r="F653" s="30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customFormat="false" ht="15.75" hidden="false" customHeight="true" outlineLevel="0" collapsed="false">
      <c r="A654" s="5"/>
      <c r="B654" s="5"/>
      <c r="C654" s="5"/>
      <c r="D654" s="5"/>
      <c r="E654" s="303"/>
      <c r="F654" s="30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customFormat="false" ht="15.75" hidden="false" customHeight="true" outlineLevel="0" collapsed="false">
      <c r="A655" s="5"/>
      <c r="B655" s="5"/>
      <c r="C655" s="5"/>
      <c r="D655" s="5"/>
      <c r="E655" s="303"/>
      <c r="F655" s="30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customFormat="false" ht="15.75" hidden="false" customHeight="true" outlineLevel="0" collapsed="false">
      <c r="A656" s="5"/>
      <c r="B656" s="5"/>
      <c r="C656" s="5"/>
      <c r="D656" s="5"/>
      <c r="E656" s="303"/>
      <c r="F656" s="30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customFormat="false" ht="15.75" hidden="false" customHeight="true" outlineLevel="0" collapsed="false">
      <c r="A657" s="5"/>
      <c r="B657" s="5"/>
      <c r="C657" s="5"/>
      <c r="D657" s="5"/>
      <c r="E657" s="303"/>
      <c r="F657" s="30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customFormat="false" ht="15.75" hidden="false" customHeight="true" outlineLevel="0" collapsed="false">
      <c r="A658" s="5"/>
      <c r="B658" s="5"/>
      <c r="C658" s="5"/>
      <c r="D658" s="5"/>
      <c r="E658" s="303"/>
      <c r="F658" s="30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customFormat="false" ht="15.75" hidden="false" customHeight="true" outlineLevel="0" collapsed="false">
      <c r="A659" s="5"/>
      <c r="B659" s="5"/>
      <c r="C659" s="5"/>
      <c r="D659" s="5"/>
      <c r="E659" s="303"/>
      <c r="F659" s="30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customFormat="false" ht="15.75" hidden="false" customHeight="true" outlineLevel="0" collapsed="false">
      <c r="A660" s="5"/>
      <c r="B660" s="5"/>
      <c r="C660" s="5"/>
      <c r="D660" s="5"/>
      <c r="E660" s="303"/>
      <c r="F660" s="30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customFormat="false" ht="15.75" hidden="false" customHeight="true" outlineLevel="0" collapsed="false">
      <c r="A661" s="5"/>
      <c r="B661" s="5"/>
      <c r="C661" s="5"/>
      <c r="D661" s="5"/>
      <c r="E661" s="303"/>
      <c r="F661" s="30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customFormat="false" ht="15.75" hidden="false" customHeight="true" outlineLevel="0" collapsed="false">
      <c r="A662" s="5"/>
      <c r="B662" s="5"/>
      <c r="C662" s="5"/>
      <c r="D662" s="5"/>
      <c r="E662" s="303"/>
      <c r="F662" s="30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customFormat="false" ht="15.75" hidden="false" customHeight="true" outlineLevel="0" collapsed="false">
      <c r="A663" s="5"/>
      <c r="B663" s="5"/>
      <c r="C663" s="5"/>
      <c r="D663" s="5"/>
      <c r="E663" s="303"/>
      <c r="F663" s="30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customFormat="false" ht="15.75" hidden="false" customHeight="true" outlineLevel="0" collapsed="false">
      <c r="A664" s="5"/>
      <c r="B664" s="5"/>
      <c r="C664" s="5"/>
      <c r="D664" s="5"/>
      <c r="E664" s="303"/>
      <c r="F664" s="30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customFormat="false" ht="15.75" hidden="false" customHeight="true" outlineLevel="0" collapsed="false">
      <c r="A665" s="5"/>
      <c r="B665" s="5"/>
      <c r="C665" s="5"/>
      <c r="D665" s="5"/>
      <c r="E665" s="303"/>
      <c r="F665" s="30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customFormat="false" ht="15.75" hidden="false" customHeight="true" outlineLevel="0" collapsed="false">
      <c r="A666" s="5"/>
      <c r="B666" s="5"/>
      <c r="C666" s="5"/>
      <c r="D666" s="5"/>
      <c r="E666" s="303"/>
      <c r="F666" s="30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customFormat="false" ht="15.75" hidden="false" customHeight="true" outlineLevel="0" collapsed="false">
      <c r="A667" s="5"/>
      <c r="B667" s="5"/>
      <c r="C667" s="5"/>
      <c r="D667" s="5"/>
      <c r="E667" s="303"/>
      <c r="F667" s="30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customFormat="false" ht="15.75" hidden="false" customHeight="true" outlineLevel="0" collapsed="false">
      <c r="A668" s="5"/>
      <c r="B668" s="5"/>
      <c r="C668" s="5"/>
      <c r="D668" s="5"/>
      <c r="E668" s="303"/>
      <c r="F668" s="30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customFormat="false" ht="15.75" hidden="false" customHeight="true" outlineLevel="0" collapsed="false">
      <c r="A669" s="5"/>
      <c r="B669" s="5"/>
      <c r="C669" s="5"/>
      <c r="D669" s="5"/>
      <c r="E669" s="303"/>
      <c r="F669" s="30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customFormat="false" ht="15.75" hidden="false" customHeight="true" outlineLevel="0" collapsed="false">
      <c r="A670" s="5"/>
      <c r="B670" s="5"/>
      <c r="C670" s="5"/>
      <c r="D670" s="5"/>
      <c r="E670" s="303"/>
      <c r="F670" s="30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customFormat="false" ht="15.75" hidden="false" customHeight="true" outlineLevel="0" collapsed="false">
      <c r="A671" s="5"/>
      <c r="B671" s="5"/>
      <c r="C671" s="5"/>
      <c r="D671" s="5"/>
      <c r="E671" s="303"/>
      <c r="F671" s="30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customFormat="false" ht="15.75" hidden="false" customHeight="true" outlineLevel="0" collapsed="false">
      <c r="A672" s="5"/>
      <c r="B672" s="5"/>
      <c r="C672" s="5"/>
      <c r="D672" s="5"/>
      <c r="E672" s="303"/>
      <c r="F672" s="30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customFormat="false" ht="15.75" hidden="false" customHeight="true" outlineLevel="0" collapsed="false">
      <c r="A673" s="5"/>
      <c r="B673" s="5"/>
      <c r="C673" s="5"/>
      <c r="D673" s="5"/>
      <c r="E673" s="303"/>
      <c r="F673" s="30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customFormat="false" ht="15.75" hidden="false" customHeight="true" outlineLevel="0" collapsed="false">
      <c r="A674" s="5"/>
      <c r="B674" s="5"/>
      <c r="C674" s="5"/>
      <c r="D674" s="5"/>
      <c r="E674" s="303"/>
      <c r="F674" s="30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customFormat="false" ht="15.75" hidden="false" customHeight="true" outlineLevel="0" collapsed="false">
      <c r="A675" s="5"/>
      <c r="B675" s="5"/>
      <c r="C675" s="5"/>
      <c r="D675" s="5"/>
      <c r="E675" s="303"/>
      <c r="F675" s="30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customFormat="false" ht="15.75" hidden="false" customHeight="true" outlineLevel="0" collapsed="false">
      <c r="A730" s="5"/>
      <c r="B730" s="5"/>
      <c r="C730" s="5"/>
      <c r="D730" s="5"/>
      <c r="E730" s="303"/>
      <c r="F730" s="30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customFormat="false" ht="15.75" hidden="false" customHeight="true" outlineLevel="0" collapsed="false">
      <c r="A731" s="5"/>
      <c r="B731" s="5"/>
      <c r="C731" s="5"/>
      <c r="D731" s="5"/>
      <c r="E731" s="303"/>
      <c r="F731" s="30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customFormat="false" ht="15.75" hidden="false" customHeight="true" outlineLevel="0" collapsed="false">
      <c r="A748" s="5"/>
      <c r="B748" s="5"/>
      <c r="C748" s="5"/>
      <c r="D748" s="5"/>
      <c r="E748" s="303"/>
      <c r="F748" s="30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customFormat="false" ht="15.75" hidden="false" customHeight="true" outlineLevel="0" collapsed="false">
      <c r="A749" s="5"/>
      <c r="B749" s="5"/>
      <c r="C749" s="5"/>
      <c r="D749" s="5"/>
      <c r="E749" s="303"/>
      <c r="F749" s="30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customFormat="false" ht="15.75" hidden="false" customHeight="true" outlineLevel="0" collapsed="false">
      <c r="A750" s="5"/>
      <c r="B750" s="5"/>
      <c r="C750" s="5"/>
      <c r="D750" s="5"/>
      <c r="E750" s="303"/>
      <c r="F750" s="30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customFormat="false" ht="15.75" hidden="false" customHeight="true" outlineLevel="0" collapsed="false">
      <c r="A751" s="5"/>
      <c r="B751" s="5"/>
      <c r="C751" s="5"/>
      <c r="D751" s="5"/>
      <c r="E751" s="303"/>
      <c r="F751" s="30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customFormat="false" ht="15.75" hidden="false" customHeight="true" outlineLevel="0" collapsed="false">
      <c r="A752" s="5"/>
      <c r="B752" s="5"/>
      <c r="C752" s="5"/>
      <c r="D752" s="5"/>
      <c r="E752" s="303"/>
      <c r="F752" s="30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customFormat="false" ht="15.75" hidden="false" customHeight="true" outlineLevel="0" collapsed="false">
      <c r="A753" s="5"/>
      <c r="B753" s="5"/>
      <c r="C753" s="5"/>
      <c r="D753" s="5"/>
      <c r="E753" s="303"/>
      <c r="F753" s="30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customFormat="false" ht="15.75" hidden="false" customHeight="true" outlineLevel="0" collapsed="false">
      <c r="A754" s="5"/>
      <c r="B754" s="5"/>
      <c r="C754" s="5"/>
      <c r="D754" s="5"/>
      <c r="E754" s="303"/>
      <c r="F754" s="30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customFormat="false" ht="15.75" hidden="false" customHeight="true" outlineLevel="0" collapsed="false">
      <c r="A755" s="5"/>
      <c r="B755" s="5"/>
      <c r="C755" s="5"/>
      <c r="D755" s="5"/>
      <c r="E755" s="303"/>
      <c r="F755" s="30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customFormat="false" ht="15.75" hidden="false" customHeight="true" outlineLevel="0" collapsed="false">
      <c r="A756" s="5"/>
      <c r="B756" s="5"/>
      <c r="C756" s="5"/>
      <c r="D756" s="5"/>
      <c r="E756" s="303"/>
      <c r="F756" s="30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customFormat="false" ht="15.75" hidden="false" customHeight="true" outlineLevel="0" collapsed="false">
      <c r="A757" s="5"/>
      <c r="B757" s="5"/>
      <c r="C757" s="5"/>
      <c r="D757" s="5"/>
      <c r="E757" s="303"/>
      <c r="F757" s="30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customFormat="false" ht="15.75" hidden="false" customHeight="true" outlineLevel="0" collapsed="false">
      <c r="A758" s="5"/>
      <c r="B758" s="5"/>
      <c r="C758" s="5"/>
      <c r="D758" s="5"/>
      <c r="E758" s="303"/>
      <c r="F758" s="30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customFormat="false" ht="15.75" hidden="false" customHeight="true" outlineLevel="0" collapsed="false">
      <c r="A759" s="5"/>
      <c r="B759" s="5"/>
      <c r="C759" s="5"/>
      <c r="D759" s="5"/>
      <c r="E759" s="303"/>
      <c r="F759" s="30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customFormat="false" ht="15.75" hidden="false" customHeight="true" outlineLevel="0" collapsed="false">
      <c r="A760" s="5"/>
      <c r="B760" s="5"/>
      <c r="C760" s="5"/>
      <c r="D760" s="5"/>
      <c r="E760" s="303"/>
      <c r="F760" s="30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customFormat="false" ht="15.75" hidden="false" customHeight="true" outlineLevel="0" collapsed="false">
      <c r="A761" s="5"/>
      <c r="B761" s="5"/>
      <c r="C761" s="5"/>
      <c r="D761" s="5"/>
      <c r="E761" s="303"/>
      <c r="F761" s="30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customFormat="false" ht="15.75" hidden="false" customHeight="true" outlineLevel="0" collapsed="false">
      <c r="A762" s="5"/>
      <c r="B762" s="5"/>
      <c r="C762" s="5"/>
      <c r="D762" s="5"/>
      <c r="E762" s="303"/>
      <c r="F762" s="30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customFormat="false" ht="15.75" hidden="false" customHeight="true" outlineLevel="0" collapsed="false">
      <c r="A763" s="5"/>
      <c r="B763" s="5"/>
      <c r="C763" s="5"/>
      <c r="D763" s="5"/>
      <c r="E763" s="303"/>
      <c r="F763" s="30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customFormat="false" ht="15.75" hidden="false" customHeight="true" outlineLevel="0" collapsed="false">
      <c r="A764" s="5"/>
      <c r="B764" s="5"/>
      <c r="C764" s="5"/>
      <c r="D764" s="5"/>
      <c r="E764" s="303"/>
      <c r="F764" s="30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customFormat="false" ht="15.75" hidden="false" customHeight="true" outlineLevel="0" collapsed="false">
      <c r="A765" s="5"/>
      <c r="B765" s="5"/>
      <c r="C765" s="5"/>
      <c r="D765" s="5"/>
      <c r="E765" s="303"/>
      <c r="F765" s="30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customFormat="false" ht="15.75" hidden="false" customHeight="true" outlineLevel="0" collapsed="false">
      <c r="A766" s="5"/>
      <c r="B766" s="5"/>
      <c r="C766" s="5"/>
      <c r="D766" s="5"/>
      <c r="E766" s="303"/>
      <c r="F766" s="30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customFormat="false" ht="15.75" hidden="false" customHeight="true" outlineLevel="0" collapsed="false">
      <c r="A767" s="5"/>
      <c r="B767" s="5"/>
      <c r="C767" s="5"/>
      <c r="D767" s="5"/>
      <c r="E767" s="303"/>
      <c r="F767" s="30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customFormat="false" ht="15.75" hidden="false" customHeight="true" outlineLevel="0" collapsed="false">
      <c r="A768" s="5"/>
      <c r="B768" s="5"/>
      <c r="C768" s="5"/>
      <c r="D768" s="5"/>
      <c r="E768" s="303"/>
      <c r="F768" s="30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customFormat="false" ht="15.75" hidden="false" customHeight="true" outlineLevel="0" collapsed="false">
      <c r="A769" s="5"/>
      <c r="B769" s="5"/>
      <c r="C769" s="5"/>
      <c r="D769" s="5"/>
      <c r="E769" s="303"/>
      <c r="F769" s="30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customFormat="false" ht="15.75" hidden="false" customHeight="true" outlineLevel="0" collapsed="false">
      <c r="A770" s="5"/>
      <c r="B770" s="5"/>
      <c r="C770" s="5"/>
      <c r="D770" s="5"/>
      <c r="E770" s="303"/>
      <c r="F770" s="30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customFormat="false" ht="15.75" hidden="false" customHeight="true" outlineLevel="0" collapsed="false">
      <c r="A771" s="5"/>
      <c r="B771" s="5"/>
      <c r="C771" s="5"/>
      <c r="D771" s="5"/>
      <c r="E771" s="303"/>
      <c r="F771" s="30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customFormat="false" ht="15.75" hidden="false" customHeight="true" outlineLevel="0" collapsed="false">
      <c r="A772" s="5"/>
      <c r="B772" s="5"/>
      <c r="C772" s="5"/>
      <c r="D772" s="5"/>
      <c r="E772" s="303"/>
      <c r="F772" s="30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customFormat="false" ht="15.75" hidden="false" customHeight="true" outlineLevel="0" collapsed="false">
      <c r="A773" s="5"/>
      <c r="B773" s="5"/>
      <c r="C773" s="5"/>
      <c r="D773" s="5"/>
      <c r="E773" s="303"/>
      <c r="F773" s="30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customFormat="false" ht="15.75" hidden="false" customHeight="true" outlineLevel="0" collapsed="false">
      <c r="A774" s="5"/>
      <c r="B774" s="5"/>
      <c r="C774" s="5"/>
      <c r="D774" s="5"/>
      <c r="E774" s="303"/>
      <c r="F774" s="30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customFormat="false" ht="15.75" hidden="false" customHeight="true" outlineLevel="0" collapsed="false">
      <c r="A775" s="5"/>
      <c r="B775" s="5"/>
      <c r="C775" s="5"/>
      <c r="D775" s="5"/>
      <c r="E775" s="303"/>
      <c r="F775" s="30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customFormat="false" ht="15.75" hidden="false" customHeight="true" outlineLevel="0" collapsed="false">
      <c r="A776" s="5"/>
      <c r="B776" s="5"/>
      <c r="C776" s="5"/>
      <c r="D776" s="5"/>
      <c r="E776" s="303"/>
      <c r="F776" s="30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customFormat="false" ht="15.75" hidden="false" customHeight="true" outlineLevel="0" collapsed="false">
      <c r="A777" s="5"/>
      <c r="B777" s="5"/>
      <c r="C777" s="5"/>
      <c r="D777" s="5"/>
      <c r="E777" s="303"/>
      <c r="F777" s="30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customFormat="false" ht="15.75" hidden="false" customHeight="true" outlineLevel="0" collapsed="false">
      <c r="A778" s="5"/>
      <c r="B778" s="5"/>
      <c r="C778" s="5"/>
      <c r="D778" s="5"/>
      <c r="E778" s="303"/>
      <c r="F778" s="30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customFormat="false" ht="15.75" hidden="false" customHeight="true" outlineLevel="0" collapsed="false">
      <c r="A779" s="5"/>
      <c r="B779" s="5"/>
      <c r="C779" s="5"/>
      <c r="D779" s="5"/>
      <c r="E779" s="303"/>
      <c r="F779" s="30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customFormat="false" ht="15.75" hidden="false" customHeight="true" outlineLevel="0" collapsed="false">
      <c r="A780" s="5"/>
      <c r="B780" s="5"/>
      <c r="C780" s="5"/>
      <c r="D780" s="5"/>
      <c r="E780" s="303"/>
      <c r="F780" s="30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customFormat="false" ht="15.75" hidden="false" customHeight="true" outlineLevel="0" collapsed="false">
      <c r="A781" s="5"/>
      <c r="B781" s="5"/>
      <c r="C781" s="5"/>
      <c r="D781" s="5"/>
      <c r="E781" s="303"/>
      <c r="F781" s="30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customFormat="false" ht="15.75" hidden="false" customHeight="true" outlineLevel="0" collapsed="false">
      <c r="A782" s="5"/>
      <c r="B782" s="5"/>
      <c r="C782" s="5"/>
      <c r="D782" s="5"/>
      <c r="E782" s="303"/>
      <c r="F782" s="30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customFormat="false" ht="15.75" hidden="false" customHeight="true" outlineLevel="0" collapsed="false">
      <c r="A783" s="5"/>
      <c r="B783" s="5"/>
      <c r="C783" s="5"/>
      <c r="D783" s="5"/>
      <c r="E783" s="303"/>
      <c r="F783" s="30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customFormat="false" ht="15.75" hidden="false" customHeight="true" outlineLevel="0" collapsed="false">
      <c r="A784" s="5"/>
      <c r="B784" s="5"/>
      <c r="C784" s="5"/>
      <c r="D784" s="5"/>
      <c r="E784" s="303"/>
      <c r="F784" s="30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customFormat="false" ht="15.75" hidden="false" customHeight="true" outlineLevel="0" collapsed="false">
      <c r="A785" s="5"/>
      <c r="B785" s="5"/>
      <c r="C785" s="5"/>
      <c r="D785" s="5"/>
      <c r="E785" s="303"/>
      <c r="F785" s="30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customFormat="false" ht="15.75" hidden="false" customHeight="true" outlineLevel="0" collapsed="false">
      <c r="A786" s="5"/>
      <c r="B786" s="5"/>
      <c r="C786" s="5"/>
      <c r="D786" s="5"/>
      <c r="E786" s="303"/>
      <c r="F786" s="30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customFormat="false" ht="15.75" hidden="false" customHeight="true" outlineLevel="0" collapsed="false">
      <c r="A787" s="5"/>
      <c r="B787" s="5"/>
      <c r="C787" s="5"/>
      <c r="D787" s="5"/>
      <c r="E787" s="303"/>
      <c r="F787" s="30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customFormat="false" ht="15.75" hidden="false" customHeight="true" outlineLevel="0" collapsed="false">
      <c r="A788" s="5"/>
      <c r="B788" s="5"/>
      <c r="C788" s="5"/>
      <c r="D788" s="5"/>
      <c r="E788" s="303"/>
      <c r="F788" s="30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customFormat="false" ht="15.75" hidden="false" customHeight="true" outlineLevel="0" collapsed="false">
      <c r="A789" s="5"/>
      <c r="B789" s="5"/>
      <c r="C789" s="5"/>
      <c r="D789" s="5"/>
      <c r="E789" s="303"/>
      <c r="F789" s="30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customFormat="false" ht="15.75" hidden="false" customHeight="true" outlineLevel="0" collapsed="false">
      <c r="A790" s="5"/>
      <c r="B790" s="5"/>
      <c r="C790" s="5"/>
      <c r="D790" s="5"/>
      <c r="E790" s="303"/>
      <c r="F790" s="30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customFormat="false" ht="15.75" hidden="false" customHeight="true" outlineLevel="0" collapsed="false">
      <c r="A791" s="5"/>
      <c r="B791" s="5"/>
      <c r="C791" s="5"/>
      <c r="D791" s="5"/>
      <c r="E791" s="303"/>
      <c r="F791" s="30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customFormat="false" ht="15.75" hidden="false" customHeight="true" outlineLevel="0" collapsed="false">
      <c r="A792" s="5"/>
      <c r="B792" s="5"/>
      <c r="C792" s="5"/>
      <c r="D792" s="5"/>
      <c r="E792" s="303"/>
      <c r="F792" s="30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customFormat="false" ht="15.75" hidden="false" customHeight="true" outlineLevel="0" collapsed="false">
      <c r="A793" s="5"/>
      <c r="B793" s="5"/>
      <c r="C793" s="5"/>
      <c r="D793" s="5"/>
      <c r="E793" s="303"/>
      <c r="F793" s="30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customFormat="false" ht="15.75" hidden="false" customHeight="true" outlineLevel="0" collapsed="false">
      <c r="A794" s="5"/>
      <c r="B794" s="5"/>
      <c r="C794" s="5"/>
      <c r="D794" s="5"/>
      <c r="E794" s="303"/>
      <c r="F794" s="30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customFormat="false" ht="15.75" hidden="false" customHeight="true" outlineLevel="0" collapsed="false">
      <c r="A795" s="5"/>
      <c r="B795" s="5"/>
      <c r="C795" s="5"/>
      <c r="D795" s="5"/>
      <c r="E795" s="303"/>
      <c r="F795" s="30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customFormat="false" ht="15.75" hidden="false" customHeight="true" outlineLevel="0" collapsed="false">
      <c r="A796" s="5"/>
      <c r="B796" s="5"/>
      <c r="C796" s="5"/>
      <c r="D796" s="5"/>
      <c r="E796" s="303"/>
      <c r="F796" s="30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customFormat="false" ht="15.75" hidden="false" customHeight="true" outlineLevel="0" collapsed="false">
      <c r="A797" s="5"/>
      <c r="B797" s="5"/>
      <c r="C797" s="5"/>
      <c r="D797" s="5"/>
      <c r="E797" s="303"/>
      <c r="F797" s="30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customFormat="false" ht="15.75" hidden="false" customHeight="true" outlineLevel="0" collapsed="false">
      <c r="A798" s="5"/>
      <c r="B798" s="5"/>
      <c r="C798" s="5"/>
      <c r="D798" s="5"/>
      <c r="E798" s="303"/>
      <c r="F798" s="30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customFormat="false" ht="15.75" hidden="false" customHeight="true" outlineLevel="0" collapsed="false">
      <c r="A799" s="5"/>
      <c r="B799" s="5"/>
      <c r="C799" s="5"/>
      <c r="D799" s="5"/>
      <c r="E799" s="303"/>
      <c r="F799" s="30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customFormat="false" ht="15.75" hidden="false" customHeight="true" outlineLevel="0" collapsed="false">
      <c r="A800" s="5"/>
      <c r="B800" s="5"/>
      <c r="C800" s="5"/>
      <c r="D800" s="5"/>
      <c r="E800" s="303"/>
      <c r="F800" s="30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customFormat="false" ht="15.75" hidden="false" customHeight="true" outlineLevel="0" collapsed="false">
      <c r="A801" s="5"/>
      <c r="B801" s="5"/>
      <c r="C801" s="5"/>
      <c r="D801" s="5"/>
      <c r="E801" s="303"/>
      <c r="F801" s="30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customFormat="false" ht="15.75" hidden="false" customHeight="true" outlineLevel="0" collapsed="false">
      <c r="A802" s="5"/>
      <c r="B802" s="5"/>
      <c r="C802" s="5"/>
      <c r="D802" s="5"/>
      <c r="E802" s="303"/>
      <c r="F802" s="30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customFormat="false" ht="15.75" hidden="false" customHeight="true" outlineLevel="0" collapsed="false">
      <c r="A803" s="5"/>
      <c r="B803" s="5"/>
      <c r="C803" s="5"/>
      <c r="D803" s="5"/>
      <c r="E803" s="303"/>
      <c r="F803" s="30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customFormat="false" ht="15.75" hidden="false" customHeight="true" outlineLevel="0" collapsed="false">
      <c r="A804" s="5"/>
      <c r="B804" s="5"/>
      <c r="C804" s="5"/>
      <c r="D804" s="5"/>
      <c r="E804" s="303"/>
      <c r="F804" s="30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customFormat="false" ht="15.75" hidden="false" customHeight="true" outlineLevel="0" collapsed="false">
      <c r="A805" s="5"/>
      <c r="B805" s="5"/>
      <c r="C805" s="5"/>
      <c r="D805" s="5"/>
      <c r="E805" s="303"/>
      <c r="F805" s="30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customFormat="false" ht="15.75" hidden="false" customHeight="true" outlineLevel="0" collapsed="false">
      <c r="A806" s="5"/>
      <c r="B806" s="5"/>
      <c r="C806" s="5"/>
      <c r="D806" s="5"/>
      <c r="E806" s="303"/>
      <c r="F806" s="30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customFormat="false" ht="15.75" hidden="false" customHeight="true" outlineLevel="0" collapsed="false">
      <c r="A807" s="5"/>
      <c r="B807" s="5"/>
      <c r="C807" s="5"/>
      <c r="D807" s="5"/>
      <c r="E807" s="303"/>
      <c r="F807" s="30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customFormat="false" ht="15.75" hidden="false" customHeight="true" outlineLevel="0" collapsed="false">
      <c r="A808" s="5"/>
      <c r="B808" s="5"/>
      <c r="C808" s="5"/>
      <c r="D808" s="5"/>
      <c r="E808" s="303"/>
      <c r="F808" s="30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customFormat="false" ht="15.75" hidden="false" customHeight="true" outlineLevel="0" collapsed="false">
      <c r="A809" s="5"/>
      <c r="B809" s="5"/>
      <c r="C809" s="5"/>
      <c r="D809" s="5"/>
      <c r="E809" s="303"/>
      <c r="F809" s="30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customFormat="false" ht="15.75" hidden="false" customHeight="true" outlineLevel="0" collapsed="false">
      <c r="A810" s="5"/>
      <c r="B810" s="5"/>
      <c r="C810" s="5"/>
      <c r="D810" s="5"/>
      <c r="E810" s="303"/>
      <c r="F810" s="30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customFormat="false" ht="15.75" hidden="false" customHeight="true" outlineLevel="0" collapsed="false">
      <c r="A811" s="5"/>
      <c r="B811" s="5"/>
      <c r="C811" s="5"/>
      <c r="D811" s="5"/>
      <c r="E811" s="303"/>
      <c r="F811" s="30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customFormat="false" ht="15.75" hidden="false" customHeight="true" outlineLevel="0" collapsed="false">
      <c r="A812" s="5"/>
      <c r="B812" s="5"/>
      <c r="C812" s="5"/>
      <c r="D812" s="5"/>
      <c r="E812" s="303"/>
      <c r="F812" s="30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customFormat="false" ht="15.75" hidden="false" customHeight="true" outlineLevel="0" collapsed="false">
      <c r="A813" s="5"/>
      <c r="B813" s="5"/>
      <c r="C813" s="5"/>
      <c r="D813" s="5"/>
      <c r="E813" s="303"/>
      <c r="F813" s="30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customFormat="false" ht="15.75" hidden="false" customHeight="true" outlineLevel="0" collapsed="false">
      <c r="A814" s="5"/>
      <c r="B814" s="5"/>
      <c r="C814" s="5"/>
      <c r="D814" s="5"/>
      <c r="E814" s="303"/>
      <c r="F814" s="30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customFormat="false" ht="15.75" hidden="false" customHeight="true" outlineLevel="0" collapsed="false">
      <c r="A815" s="5"/>
      <c r="B815" s="5"/>
      <c r="C815" s="5"/>
      <c r="D815" s="5"/>
      <c r="E815" s="303"/>
      <c r="F815" s="30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customFormat="false" ht="15.75" hidden="false" customHeight="true" outlineLevel="0" collapsed="false">
      <c r="A816" s="5"/>
      <c r="B816" s="5"/>
      <c r="C816" s="5"/>
      <c r="D816" s="5"/>
      <c r="E816" s="303"/>
      <c r="F816" s="30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customFormat="false" ht="15.75" hidden="false" customHeight="true" outlineLevel="0" collapsed="false">
      <c r="A817" s="5"/>
      <c r="B817" s="5"/>
      <c r="C817" s="5"/>
      <c r="D817" s="5"/>
      <c r="E817" s="303"/>
      <c r="F817" s="30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customFormat="false" ht="15.75" hidden="false" customHeight="true" outlineLevel="0" collapsed="false">
      <c r="A818" s="5"/>
      <c r="B818" s="5"/>
      <c r="C818" s="5"/>
      <c r="D818" s="5"/>
      <c r="E818" s="303"/>
      <c r="F818" s="30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customFormat="false" ht="15.75" hidden="false" customHeight="true" outlineLevel="0" collapsed="false">
      <c r="A819" s="5"/>
      <c r="B819" s="5"/>
      <c r="C819" s="5"/>
      <c r="D819" s="5"/>
      <c r="E819" s="303"/>
      <c r="F819" s="30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customFormat="false" ht="15.75" hidden="false" customHeight="true" outlineLevel="0" collapsed="false">
      <c r="A820" s="5"/>
      <c r="B820" s="5"/>
      <c r="C820" s="5"/>
      <c r="D820" s="5"/>
      <c r="E820" s="303"/>
      <c r="F820" s="30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customFormat="false" ht="15.75" hidden="false" customHeight="true" outlineLevel="0" collapsed="false">
      <c r="A821" s="5"/>
      <c r="B821" s="5"/>
      <c r="C821" s="5"/>
      <c r="D821" s="5"/>
      <c r="E821" s="303"/>
      <c r="F821" s="30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customFormat="false" ht="15.75" hidden="false" customHeight="true" outlineLevel="0" collapsed="false">
      <c r="A822" s="5"/>
      <c r="B822" s="5"/>
      <c r="C822" s="5"/>
      <c r="D822" s="5"/>
      <c r="E822" s="303"/>
      <c r="F822" s="30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customFormat="false" ht="15.75" hidden="false" customHeight="true" outlineLevel="0" collapsed="false">
      <c r="A823" s="5"/>
      <c r="B823" s="5"/>
      <c r="C823" s="5"/>
      <c r="D823" s="5"/>
      <c r="E823" s="303"/>
      <c r="F823" s="30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customFormat="false" ht="15.75" hidden="false" customHeight="true" outlineLevel="0" collapsed="false">
      <c r="A824" s="5"/>
      <c r="B824" s="5"/>
      <c r="C824" s="5"/>
      <c r="D824" s="5"/>
      <c r="E824" s="303"/>
      <c r="F824" s="30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customFormat="false" ht="15.75" hidden="false" customHeight="true" outlineLevel="0" collapsed="false">
      <c r="A825" s="5"/>
      <c r="B825" s="5"/>
      <c r="C825" s="5"/>
      <c r="D825" s="5"/>
      <c r="E825" s="303"/>
      <c r="F825" s="30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customFormat="false" ht="15.75" hidden="false" customHeight="true" outlineLevel="0" collapsed="false">
      <c r="A826" s="5"/>
      <c r="B826" s="5"/>
      <c r="C826" s="5"/>
      <c r="D826" s="5"/>
      <c r="E826" s="303"/>
      <c r="F826" s="30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customFormat="false" ht="15.75" hidden="false" customHeight="true" outlineLevel="0" collapsed="false">
      <c r="A827" s="5"/>
      <c r="B827" s="5"/>
      <c r="C827" s="5"/>
      <c r="D827" s="5"/>
      <c r="E827" s="303"/>
      <c r="F827" s="30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customFormat="false" ht="15.75" hidden="false" customHeight="true" outlineLevel="0" collapsed="false">
      <c r="A828" s="5"/>
      <c r="B828" s="5"/>
      <c r="C828" s="5"/>
      <c r="D828" s="5"/>
      <c r="E828" s="303"/>
      <c r="F828" s="30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customFormat="false" ht="15.75" hidden="false" customHeight="true" outlineLevel="0" collapsed="false">
      <c r="A829" s="5"/>
      <c r="B829" s="5"/>
      <c r="C829" s="5"/>
      <c r="D829" s="5"/>
      <c r="E829" s="303"/>
      <c r="F829" s="30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customFormat="false" ht="15.75" hidden="false" customHeight="true" outlineLevel="0" collapsed="false">
      <c r="A830" s="5"/>
      <c r="B830" s="5"/>
      <c r="C830" s="5"/>
      <c r="D830" s="5"/>
      <c r="E830" s="303"/>
      <c r="F830" s="30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customFormat="false" ht="15.75" hidden="false" customHeight="true" outlineLevel="0" collapsed="false">
      <c r="A831" s="5"/>
      <c r="B831" s="5"/>
      <c r="C831" s="5"/>
      <c r="D831" s="5"/>
      <c r="E831" s="303"/>
      <c r="F831" s="30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customFormat="false" ht="15.75" hidden="false" customHeight="true" outlineLevel="0" collapsed="false">
      <c r="A832" s="5"/>
      <c r="B832" s="5"/>
      <c r="C832" s="5"/>
      <c r="D832" s="5"/>
      <c r="E832" s="303"/>
      <c r="F832" s="30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customFormat="false" ht="15.75" hidden="false" customHeight="true" outlineLevel="0" collapsed="false">
      <c r="A833" s="5"/>
      <c r="B833" s="5"/>
      <c r="C833" s="5"/>
      <c r="D833" s="5"/>
      <c r="E833" s="303"/>
      <c r="F833" s="30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customFormat="false" ht="15.75" hidden="false" customHeight="true" outlineLevel="0" collapsed="false">
      <c r="A834" s="5"/>
      <c r="B834" s="5"/>
      <c r="C834" s="5"/>
      <c r="D834" s="5"/>
      <c r="E834" s="303"/>
      <c r="F834" s="30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6">
    <mergeCell ref="A1:F1"/>
    <mergeCell ref="A5:A6"/>
    <mergeCell ref="B5:B6"/>
    <mergeCell ref="C5:C6"/>
    <mergeCell ref="D5:D6"/>
    <mergeCell ref="E5:F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38"/>
  </cols>
  <sheetData>
    <row r="1" customFormat="false" ht="15.75" hidden="false" customHeight="true" outlineLevel="0" collapsed="false">
      <c r="A1" s="285" t="s">
        <v>243</v>
      </c>
      <c r="B1" s="285"/>
      <c r="C1" s="285"/>
      <c r="D1" s="285"/>
      <c r="E1" s="285"/>
      <c r="F1" s="28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</row>
    <row r="2" customFormat="false" ht="15.75" hidden="false" customHeight="true" outlineLevel="0" collapsed="false">
      <c r="A2" s="286" t="s">
        <v>244</v>
      </c>
      <c r="B2" s="4"/>
      <c r="C2" s="4"/>
      <c r="D2" s="4"/>
      <c r="E2" s="4"/>
      <c r="F2" s="28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customFormat="false" ht="15.75" hidden="false" customHeight="true" outlineLevel="0" collapsed="false">
      <c r="A3" s="286" t="s">
        <v>245</v>
      </c>
      <c r="B3" s="4"/>
      <c r="C3" s="288" t="s">
        <v>246</v>
      </c>
      <c r="D3" s="4"/>
      <c r="E3" s="4"/>
      <c r="F3" s="28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customFormat="false" ht="15.75" hidden="false" customHeight="true" outlineLevel="0" collapsed="false">
      <c r="A4" s="289" t="s">
        <v>247</v>
      </c>
      <c r="B4" s="290"/>
      <c r="C4" s="291" t="s">
        <v>267</v>
      </c>
      <c r="D4" s="290"/>
      <c r="E4" s="290"/>
      <c r="F4" s="29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customFormat="false" ht="15.75" hidden="false" customHeight="true" outlineLevel="0" collapsed="false">
      <c r="A5" s="293" t="s">
        <v>249</v>
      </c>
      <c r="B5" s="293" t="s">
        <v>250</v>
      </c>
      <c r="C5" s="293" t="s">
        <v>251</v>
      </c>
      <c r="D5" s="293" t="s">
        <v>252</v>
      </c>
      <c r="E5" s="294" t="s">
        <v>253</v>
      </c>
      <c r="F5" s="29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customFormat="false" ht="15.75" hidden="false" customHeight="true" outlineLevel="0" collapsed="false">
      <c r="A6" s="293"/>
      <c r="B6" s="293"/>
      <c r="C6" s="293"/>
      <c r="D6" s="293"/>
      <c r="E6" s="293" t="s">
        <v>254</v>
      </c>
      <c r="F6" s="293" t="s">
        <v>45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customFormat="false" ht="15.75" hidden="false" customHeight="true" outlineLevel="0" collapsed="false">
      <c r="A7" s="295" t="s">
        <v>255</v>
      </c>
      <c r="B7" s="295" t="s">
        <v>16</v>
      </c>
      <c r="C7" s="295" t="s">
        <v>256</v>
      </c>
      <c r="D7" s="296" t="n">
        <f aca="false">886-123-106-34-178-187</f>
        <v>258</v>
      </c>
      <c r="E7" s="297" t="n">
        <v>87.92</v>
      </c>
      <c r="F7" s="297" t="n">
        <f aca="false">E7*D7</f>
        <v>22683.36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customFormat="false" ht="15.75" hidden="false" customHeight="true" outlineLevel="0" collapsed="false">
      <c r="A8" s="295" t="s">
        <v>255</v>
      </c>
      <c r="B8" s="295" t="s">
        <v>16</v>
      </c>
      <c r="C8" s="295" t="s">
        <v>256</v>
      </c>
      <c r="D8" s="296" t="n">
        <v>200</v>
      </c>
      <c r="E8" s="297" t="n">
        <v>109.9</v>
      </c>
      <c r="F8" s="297" t="n">
        <f aca="false">E8*D8</f>
        <v>21980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customFormat="false" ht="15.75" hidden="false" customHeight="true" outlineLevel="0" collapsed="false">
      <c r="A9" s="298" t="s">
        <v>257</v>
      </c>
      <c r="B9" s="298" t="s">
        <v>58</v>
      </c>
      <c r="C9" s="298" t="s">
        <v>256</v>
      </c>
      <c r="D9" s="299" t="n">
        <v>83</v>
      </c>
      <c r="E9" s="300" t="n">
        <v>29</v>
      </c>
      <c r="F9" s="300" t="n">
        <f aca="false">E9*D9</f>
        <v>2407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customFormat="false" ht="15.75" hidden="false" customHeight="true" outlineLevel="0" collapsed="false">
      <c r="A10" s="298" t="s">
        <v>257</v>
      </c>
      <c r="B10" s="298" t="s">
        <v>18</v>
      </c>
      <c r="C10" s="298" t="s">
        <v>256</v>
      </c>
      <c r="D10" s="299" t="n">
        <v>11</v>
      </c>
      <c r="E10" s="300" t="n">
        <v>29</v>
      </c>
      <c r="F10" s="300" t="n">
        <f aca="false">E10*D10</f>
        <v>319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customFormat="false" ht="15.75" hidden="false" customHeight="true" outlineLevel="0" collapsed="false">
      <c r="A11" s="298" t="s">
        <v>258</v>
      </c>
      <c r="B11" s="298" t="s">
        <v>19</v>
      </c>
      <c r="C11" s="298" t="s">
        <v>256</v>
      </c>
      <c r="D11" s="298" t="n">
        <v>6046</v>
      </c>
      <c r="E11" s="300" t="n">
        <v>0.57</v>
      </c>
      <c r="F11" s="300" t="n">
        <f aca="false">E11*D11</f>
        <v>3446.22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customFormat="false" ht="15.75" hidden="false" customHeight="true" outlineLevel="0" collapsed="false">
      <c r="A12" s="298" t="s">
        <v>258</v>
      </c>
      <c r="B12" s="298" t="s">
        <v>20</v>
      </c>
      <c r="C12" s="298" t="s">
        <v>256</v>
      </c>
      <c r="D12" s="298" t="n">
        <v>1208</v>
      </c>
      <c r="E12" s="300" t="n">
        <v>4.28</v>
      </c>
      <c r="F12" s="300" t="n">
        <f aca="false">E12*D12</f>
        <v>5170.24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customFormat="false" ht="15.75" hidden="false" customHeight="true" outlineLevel="0" collapsed="false">
      <c r="A13" s="298" t="s">
        <v>259</v>
      </c>
      <c r="B13" s="298" t="s">
        <v>21</v>
      </c>
      <c r="C13" s="298" t="s">
        <v>256</v>
      </c>
      <c r="D13" s="298" t="n">
        <v>265</v>
      </c>
      <c r="E13" s="300" t="n">
        <v>62.5</v>
      </c>
      <c r="F13" s="300" t="n">
        <f aca="false">E13*D13</f>
        <v>16562.5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customFormat="false" ht="15.75" hidden="false" customHeight="true" outlineLevel="0" collapsed="false">
      <c r="A14" s="298" t="s">
        <v>260</v>
      </c>
      <c r="B14" s="298" t="s">
        <v>22</v>
      </c>
      <c r="C14" s="298" t="s">
        <v>256</v>
      </c>
      <c r="D14" s="298" t="n">
        <v>137</v>
      </c>
      <c r="E14" s="300" t="n">
        <v>150</v>
      </c>
      <c r="F14" s="300" t="n">
        <f aca="false">E14*D14</f>
        <v>20550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customFormat="false" ht="15.75" hidden="false" customHeight="true" outlineLevel="0" collapsed="false">
      <c r="A15" s="298" t="s">
        <v>260</v>
      </c>
      <c r="B15" s="298" t="s">
        <v>23</v>
      </c>
      <c r="C15" s="298" t="s">
        <v>256</v>
      </c>
      <c r="D15" s="298" t="n">
        <v>1</v>
      </c>
      <c r="E15" s="300" t="n">
        <v>180</v>
      </c>
      <c r="F15" s="300" t="n">
        <f aca="false">E15*D15</f>
        <v>180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customFormat="false" ht="15.75" hidden="false" customHeight="true" outlineLevel="0" collapsed="false">
      <c r="A16" s="298" t="s">
        <v>261</v>
      </c>
      <c r="B16" s="298" t="s">
        <v>262</v>
      </c>
      <c r="C16" s="298" t="s">
        <v>256</v>
      </c>
      <c r="D16" s="298" t="n">
        <v>48</v>
      </c>
      <c r="E16" s="300" t="n">
        <v>15</v>
      </c>
      <c r="F16" s="300" t="n">
        <f aca="false">E16*D16</f>
        <v>720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customFormat="false" ht="15.75" hidden="false" customHeight="true" outlineLevel="0" collapsed="false">
      <c r="A17" s="298" t="s">
        <v>255</v>
      </c>
      <c r="B17" s="298" t="s">
        <v>263</v>
      </c>
      <c r="C17" s="298" t="s">
        <v>256</v>
      </c>
      <c r="D17" s="299" t="n">
        <v>51</v>
      </c>
      <c r="E17" s="300" t="n">
        <v>79.92</v>
      </c>
      <c r="F17" s="300" t="n">
        <f aca="false">E17*D17</f>
        <v>4075.92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customFormat="false" ht="15.75" hidden="false" customHeight="true" outlineLevel="0" collapsed="false">
      <c r="A18" s="298" t="s">
        <v>255</v>
      </c>
      <c r="B18" s="298" t="s">
        <v>264</v>
      </c>
      <c r="C18" s="298" t="s">
        <v>256</v>
      </c>
      <c r="D18" s="298" t="n">
        <v>38</v>
      </c>
      <c r="E18" s="300" t="n">
        <v>95.92</v>
      </c>
      <c r="F18" s="300" t="n">
        <f aca="false">E18*D18</f>
        <v>3644.96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customFormat="false" ht="15.75" hidden="false" customHeight="true" outlineLevel="0" collapsed="false">
      <c r="A19" s="298" t="s">
        <v>255</v>
      </c>
      <c r="B19" s="298" t="s">
        <v>265</v>
      </c>
      <c r="C19" s="298" t="s">
        <v>256</v>
      </c>
      <c r="D19" s="298" t="n">
        <v>6</v>
      </c>
      <c r="E19" s="300" t="n">
        <v>95.92</v>
      </c>
      <c r="F19" s="300" t="n">
        <f aca="false">E19*D19</f>
        <v>575.52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customFormat="false" ht="15.75" hidden="false" customHeight="true" outlineLevel="0" collapsed="false">
      <c r="A20" s="298" t="s">
        <v>255</v>
      </c>
      <c r="B20" s="298" t="s">
        <v>266</v>
      </c>
      <c r="C20" s="298" t="s">
        <v>256</v>
      </c>
      <c r="D20" s="298" t="n">
        <v>30</v>
      </c>
      <c r="E20" s="300" t="n">
        <v>63.92</v>
      </c>
      <c r="F20" s="300" t="n">
        <f aca="false">E20*D20</f>
        <v>1917.6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customFormat="false" ht="15.75" hidden="false" customHeight="true" outlineLevel="0" collapsed="false">
      <c r="A21" s="298" t="s">
        <v>255</v>
      </c>
      <c r="B21" s="298" t="s">
        <v>30</v>
      </c>
      <c r="C21" s="298" t="s">
        <v>256</v>
      </c>
      <c r="D21" s="298" t="n">
        <v>6</v>
      </c>
      <c r="E21" s="300" t="n">
        <v>119.92</v>
      </c>
      <c r="F21" s="300" t="n">
        <f aca="false">E21*D21</f>
        <v>719.52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customFormat="false" ht="15.75" hidden="false" customHeight="true" outlineLevel="0" collapsed="false">
      <c r="A22" s="298" t="s">
        <v>255</v>
      </c>
      <c r="B22" s="298" t="s">
        <v>31</v>
      </c>
      <c r="C22" s="298" t="s">
        <v>256</v>
      </c>
      <c r="D22" s="298" t="n">
        <v>378</v>
      </c>
      <c r="E22" s="300" t="n">
        <v>129.9</v>
      </c>
      <c r="F22" s="300" t="n">
        <f aca="false">E22*D22</f>
        <v>49102.2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customFormat="false" ht="15.75" hidden="false" customHeight="true" outlineLevel="0" collapsed="false">
      <c r="A23" s="20"/>
      <c r="B23" s="20"/>
      <c r="C23" s="20"/>
      <c r="D23" s="184"/>
      <c r="E23" s="20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customFormat="false" ht="15.75" hidden="false" customHeight="true" outlineLevel="0" collapsed="false">
      <c r="A24" s="20"/>
      <c r="B24" s="20"/>
      <c r="C24" s="20"/>
      <c r="D24" s="301" t="n">
        <f aca="false">SUM(D7:D22)</f>
        <v>8766</v>
      </c>
      <c r="E24" s="20"/>
      <c r="F24" s="302" t="n">
        <f aca="false">SUM(F7:F22)</f>
        <v>154054.04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customFormat="false" ht="15.75" hidden="false" customHeight="true" outlineLevel="0" collapsed="false">
      <c r="A138" s="5"/>
      <c r="B138" s="5"/>
      <c r="C138" s="5"/>
      <c r="D138" s="5"/>
      <c r="E138" s="303"/>
      <c r="F138" s="30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customFormat="false" ht="15.75" hidden="false" customHeight="true" outlineLevel="0" collapsed="false">
      <c r="A139" s="5"/>
      <c r="B139" s="5"/>
      <c r="C139" s="5"/>
      <c r="D139" s="5"/>
      <c r="E139" s="303"/>
      <c r="F139" s="30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customFormat="false" ht="15.75" hidden="false" customHeight="true" outlineLevel="0" collapsed="false">
      <c r="A140" s="5"/>
      <c r="B140" s="5"/>
      <c r="C140" s="5"/>
      <c r="D140" s="5"/>
      <c r="E140" s="303"/>
      <c r="F140" s="30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customFormat="false" ht="15.75" hidden="false" customHeight="true" outlineLevel="0" collapsed="false">
      <c r="A141" s="5"/>
      <c r="B141" s="5"/>
      <c r="C141" s="5"/>
      <c r="D141" s="5"/>
      <c r="E141" s="303"/>
      <c r="F141" s="30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customFormat="false" ht="15.75" hidden="false" customHeight="true" outlineLevel="0" collapsed="false">
      <c r="A142" s="5"/>
      <c r="B142" s="5"/>
      <c r="C142" s="5"/>
      <c r="D142" s="5"/>
      <c r="E142" s="303"/>
      <c r="F142" s="30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customFormat="false" ht="15.75" hidden="false" customHeight="true" outlineLevel="0" collapsed="false">
      <c r="A143" s="5"/>
      <c r="B143" s="5"/>
      <c r="C143" s="5"/>
      <c r="D143" s="5"/>
      <c r="E143" s="303"/>
      <c r="F143" s="30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customFormat="false" ht="15.75" hidden="false" customHeight="true" outlineLevel="0" collapsed="false">
      <c r="A144" s="5"/>
      <c r="B144" s="5"/>
      <c r="C144" s="5"/>
      <c r="D144" s="5"/>
      <c r="E144" s="303"/>
      <c r="F144" s="30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customFormat="false" ht="15.75" hidden="false" customHeight="true" outlineLevel="0" collapsed="false">
      <c r="A145" s="5"/>
      <c r="B145" s="5"/>
      <c r="C145" s="5"/>
      <c r="D145" s="5"/>
      <c r="E145" s="303"/>
      <c r="F145" s="30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customFormat="false" ht="15.75" hidden="false" customHeight="true" outlineLevel="0" collapsed="false">
      <c r="A146" s="5"/>
      <c r="B146" s="5"/>
      <c r="C146" s="5"/>
      <c r="D146" s="5"/>
      <c r="E146" s="303"/>
      <c r="F146" s="30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customFormat="false" ht="15.75" hidden="false" customHeight="true" outlineLevel="0" collapsed="false">
      <c r="A147" s="5"/>
      <c r="B147" s="5"/>
      <c r="C147" s="5"/>
      <c r="D147" s="5"/>
      <c r="E147" s="303"/>
      <c r="F147" s="30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customFormat="false" ht="15.75" hidden="false" customHeight="true" outlineLevel="0" collapsed="false">
      <c r="A148" s="5"/>
      <c r="B148" s="5"/>
      <c r="C148" s="5"/>
      <c r="D148" s="5"/>
      <c r="E148" s="303"/>
      <c r="F148" s="30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customFormat="false" ht="15.75" hidden="false" customHeight="true" outlineLevel="0" collapsed="false">
      <c r="A149" s="5"/>
      <c r="B149" s="5"/>
      <c r="C149" s="5"/>
      <c r="D149" s="5"/>
      <c r="E149" s="303"/>
      <c r="F149" s="30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customFormat="false" ht="15.75" hidden="false" customHeight="true" outlineLevel="0" collapsed="false">
      <c r="A150" s="5"/>
      <c r="B150" s="5"/>
      <c r="C150" s="5"/>
      <c r="D150" s="5"/>
      <c r="E150" s="303"/>
      <c r="F150" s="30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customFormat="false" ht="15.75" hidden="false" customHeight="true" outlineLevel="0" collapsed="false">
      <c r="A151" s="5"/>
      <c r="B151" s="5"/>
      <c r="C151" s="5"/>
      <c r="D151" s="5"/>
      <c r="E151" s="303"/>
      <c r="F151" s="30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customFormat="false" ht="15.75" hidden="false" customHeight="true" outlineLevel="0" collapsed="false">
      <c r="A152" s="5"/>
      <c r="B152" s="5"/>
      <c r="C152" s="5"/>
      <c r="D152" s="5"/>
      <c r="E152" s="303"/>
      <c r="F152" s="30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customFormat="false" ht="15.75" hidden="false" customHeight="true" outlineLevel="0" collapsed="false">
      <c r="A153" s="5"/>
      <c r="B153" s="5"/>
      <c r="C153" s="5"/>
      <c r="D153" s="5"/>
      <c r="E153" s="303"/>
      <c r="F153" s="30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customFormat="false" ht="15.75" hidden="false" customHeight="true" outlineLevel="0" collapsed="false">
      <c r="A154" s="5"/>
      <c r="B154" s="5"/>
      <c r="C154" s="5"/>
      <c r="D154" s="5"/>
      <c r="E154" s="303"/>
      <c r="F154" s="30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customFormat="false" ht="15.75" hidden="false" customHeight="true" outlineLevel="0" collapsed="false">
      <c r="A155" s="5"/>
      <c r="B155" s="5"/>
      <c r="C155" s="5"/>
      <c r="D155" s="5"/>
      <c r="E155" s="303"/>
      <c r="F155" s="30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customFormat="false" ht="15.75" hidden="false" customHeight="true" outlineLevel="0" collapsed="false">
      <c r="A156" s="5"/>
      <c r="B156" s="5"/>
      <c r="C156" s="5"/>
      <c r="D156" s="5"/>
      <c r="E156" s="303"/>
      <c r="F156" s="30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customFormat="false" ht="15.75" hidden="false" customHeight="true" outlineLevel="0" collapsed="false">
      <c r="A157" s="5"/>
      <c r="B157" s="5"/>
      <c r="C157" s="5"/>
      <c r="D157" s="5"/>
      <c r="E157" s="303"/>
      <c r="F157" s="30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customFormat="false" ht="15.75" hidden="false" customHeight="true" outlineLevel="0" collapsed="false">
      <c r="A158" s="5"/>
      <c r="B158" s="5"/>
      <c r="C158" s="5"/>
      <c r="D158" s="5"/>
      <c r="E158" s="303"/>
      <c r="F158" s="30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customFormat="false" ht="15.75" hidden="false" customHeight="true" outlineLevel="0" collapsed="false">
      <c r="A159" s="5"/>
      <c r="B159" s="5"/>
      <c r="C159" s="5"/>
      <c r="D159" s="5"/>
      <c r="E159" s="303"/>
      <c r="F159" s="30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customFormat="false" ht="15.75" hidden="false" customHeight="true" outlineLevel="0" collapsed="false">
      <c r="A160" s="5"/>
      <c r="B160" s="5"/>
      <c r="C160" s="5"/>
      <c r="D160" s="5"/>
      <c r="E160" s="303"/>
      <c r="F160" s="30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customFormat="false" ht="15.75" hidden="false" customHeight="true" outlineLevel="0" collapsed="false">
      <c r="A161" s="5"/>
      <c r="B161" s="5"/>
      <c r="C161" s="5"/>
      <c r="D161" s="5"/>
      <c r="E161" s="303"/>
      <c r="F161" s="30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customFormat="false" ht="15.75" hidden="false" customHeight="true" outlineLevel="0" collapsed="false">
      <c r="A162" s="5"/>
      <c r="B162" s="5"/>
      <c r="C162" s="5"/>
      <c r="D162" s="5"/>
      <c r="E162" s="303"/>
      <c r="F162" s="30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customFormat="false" ht="15.75" hidden="false" customHeight="true" outlineLevel="0" collapsed="false">
      <c r="A163" s="5"/>
      <c r="B163" s="5"/>
      <c r="C163" s="5"/>
      <c r="D163" s="5"/>
      <c r="E163" s="303"/>
      <c r="F163" s="30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customFormat="false" ht="15.75" hidden="false" customHeight="true" outlineLevel="0" collapsed="false">
      <c r="A164" s="5"/>
      <c r="B164" s="5"/>
      <c r="C164" s="5"/>
      <c r="D164" s="5"/>
      <c r="E164" s="303"/>
      <c r="F164" s="30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customFormat="false" ht="15.75" hidden="false" customHeight="true" outlineLevel="0" collapsed="false">
      <c r="A165" s="5"/>
      <c r="B165" s="5"/>
      <c r="C165" s="5"/>
      <c r="D165" s="5"/>
      <c r="E165" s="303"/>
      <c r="F165" s="30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customFormat="false" ht="15.75" hidden="false" customHeight="true" outlineLevel="0" collapsed="false">
      <c r="A166" s="5"/>
      <c r="B166" s="5"/>
      <c r="C166" s="5"/>
      <c r="D166" s="5"/>
      <c r="E166" s="303"/>
      <c r="F166" s="30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customFormat="false" ht="15.75" hidden="false" customHeight="true" outlineLevel="0" collapsed="false">
      <c r="A167" s="5"/>
      <c r="B167" s="5"/>
      <c r="C167" s="5"/>
      <c r="D167" s="5"/>
      <c r="E167" s="303"/>
      <c r="F167" s="30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customFormat="false" ht="15.75" hidden="false" customHeight="true" outlineLevel="0" collapsed="false">
      <c r="A168" s="5"/>
      <c r="B168" s="5"/>
      <c r="C168" s="5"/>
      <c r="D168" s="5"/>
      <c r="E168" s="303"/>
      <c r="F168" s="30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customFormat="false" ht="15.75" hidden="false" customHeight="true" outlineLevel="0" collapsed="false">
      <c r="A169" s="5"/>
      <c r="B169" s="5"/>
      <c r="C169" s="5"/>
      <c r="D169" s="5"/>
      <c r="E169" s="303"/>
      <c r="F169" s="30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customFormat="false" ht="15.75" hidden="false" customHeight="true" outlineLevel="0" collapsed="false">
      <c r="A170" s="5"/>
      <c r="B170" s="5"/>
      <c r="C170" s="5"/>
      <c r="D170" s="5"/>
      <c r="E170" s="303"/>
      <c r="F170" s="30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customFormat="false" ht="15.75" hidden="false" customHeight="true" outlineLevel="0" collapsed="false">
      <c r="A171" s="5"/>
      <c r="B171" s="5"/>
      <c r="C171" s="5"/>
      <c r="D171" s="5"/>
      <c r="E171" s="303"/>
      <c r="F171" s="30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customFormat="false" ht="15.75" hidden="false" customHeight="true" outlineLevel="0" collapsed="false">
      <c r="A172" s="5"/>
      <c r="B172" s="5"/>
      <c r="C172" s="5"/>
      <c r="D172" s="5"/>
      <c r="E172" s="303"/>
      <c r="F172" s="30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customFormat="false" ht="15.75" hidden="false" customHeight="true" outlineLevel="0" collapsed="false">
      <c r="A173" s="5"/>
      <c r="B173" s="5"/>
      <c r="C173" s="5"/>
      <c r="D173" s="5"/>
      <c r="E173" s="303"/>
      <c r="F173" s="30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customFormat="false" ht="15.75" hidden="false" customHeight="true" outlineLevel="0" collapsed="false">
      <c r="A174" s="5"/>
      <c r="B174" s="5"/>
      <c r="C174" s="5"/>
      <c r="D174" s="5"/>
      <c r="E174" s="303"/>
      <c r="F174" s="30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customFormat="false" ht="15.75" hidden="false" customHeight="true" outlineLevel="0" collapsed="false">
      <c r="A175" s="5"/>
      <c r="B175" s="5"/>
      <c r="C175" s="5"/>
      <c r="D175" s="5"/>
      <c r="E175" s="303"/>
      <c r="F175" s="30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customFormat="false" ht="15.75" hidden="false" customHeight="true" outlineLevel="0" collapsed="false">
      <c r="A176" s="5"/>
      <c r="B176" s="5"/>
      <c r="C176" s="5"/>
      <c r="D176" s="5"/>
      <c r="E176" s="303"/>
      <c r="F176" s="30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customFormat="false" ht="15.75" hidden="false" customHeight="true" outlineLevel="0" collapsed="false">
      <c r="A177" s="5"/>
      <c r="B177" s="5"/>
      <c r="C177" s="5"/>
      <c r="D177" s="5"/>
      <c r="E177" s="303"/>
      <c r="F177" s="30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customFormat="false" ht="15.75" hidden="false" customHeight="true" outlineLevel="0" collapsed="false">
      <c r="A178" s="5"/>
      <c r="B178" s="5"/>
      <c r="C178" s="5"/>
      <c r="D178" s="5"/>
      <c r="E178" s="303"/>
      <c r="F178" s="30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customFormat="false" ht="15.75" hidden="false" customHeight="true" outlineLevel="0" collapsed="false">
      <c r="A179" s="5"/>
      <c r="B179" s="5"/>
      <c r="C179" s="5"/>
      <c r="D179" s="5"/>
      <c r="E179" s="303"/>
      <c r="F179" s="30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customFormat="false" ht="15.75" hidden="false" customHeight="true" outlineLevel="0" collapsed="false">
      <c r="A180" s="5"/>
      <c r="B180" s="5"/>
      <c r="C180" s="5"/>
      <c r="D180" s="5"/>
      <c r="E180" s="303"/>
      <c r="F180" s="30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customFormat="false" ht="15.75" hidden="false" customHeight="true" outlineLevel="0" collapsed="false">
      <c r="A181" s="5"/>
      <c r="B181" s="5"/>
      <c r="C181" s="5"/>
      <c r="D181" s="5"/>
      <c r="E181" s="303"/>
      <c r="F181" s="30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customFormat="false" ht="15.75" hidden="false" customHeight="true" outlineLevel="0" collapsed="false">
      <c r="A182" s="5"/>
      <c r="B182" s="5"/>
      <c r="C182" s="5"/>
      <c r="D182" s="5"/>
      <c r="E182" s="303"/>
      <c r="F182" s="30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customFormat="false" ht="15.75" hidden="false" customHeight="true" outlineLevel="0" collapsed="false">
      <c r="A183" s="5"/>
      <c r="B183" s="5"/>
      <c r="C183" s="5"/>
      <c r="D183" s="5"/>
      <c r="E183" s="303"/>
      <c r="F183" s="30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customFormat="false" ht="15.75" hidden="false" customHeight="true" outlineLevel="0" collapsed="false">
      <c r="A184" s="5"/>
      <c r="B184" s="5"/>
      <c r="C184" s="5"/>
      <c r="D184" s="5"/>
      <c r="E184" s="303"/>
      <c r="F184" s="30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customFormat="false" ht="15.75" hidden="false" customHeight="true" outlineLevel="0" collapsed="false">
      <c r="A185" s="5"/>
      <c r="B185" s="5"/>
      <c r="C185" s="5"/>
      <c r="D185" s="5"/>
      <c r="E185" s="303"/>
      <c r="F185" s="30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customFormat="false" ht="15.75" hidden="false" customHeight="true" outlineLevel="0" collapsed="false">
      <c r="A186" s="5"/>
      <c r="B186" s="5"/>
      <c r="C186" s="5"/>
      <c r="D186" s="5"/>
      <c r="E186" s="303"/>
      <c r="F186" s="30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customFormat="false" ht="15.75" hidden="false" customHeight="true" outlineLevel="0" collapsed="false">
      <c r="A187" s="5"/>
      <c r="B187" s="5"/>
      <c r="C187" s="5"/>
      <c r="D187" s="5"/>
      <c r="E187" s="303"/>
      <c r="F187" s="30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customFormat="false" ht="15.75" hidden="false" customHeight="true" outlineLevel="0" collapsed="false">
      <c r="A188" s="5"/>
      <c r="B188" s="5"/>
      <c r="C188" s="5"/>
      <c r="D188" s="5"/>
      <c r="E188" s="303"/>
      <c r="F188" s="30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customFormat="false" ht="15.75" hidden="false" customHeight="true" outlineLevel="0" collapsed="false">
      <c r="A189" s="5"/>
      <c r="B189" s="5"/>
      <c r="C189" s="5"/>
      <c r="D189" s="5"/>
      <c r="E189" s="303"/>
      <c r="F189" s="30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customFormat="false" ht="15.75" hidden="false" customHeight="true" outlineLevel="0" collapsed="false">
      <c r="A190" s="5"/>
      <c r="B190" s="5"/>
      <c r="C190" s="5"/>
      <c r="D190" s="5"/>
      <c r="E190" s="303"/>
      <c r="F190" s="30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customFormat="false" ht="15.75" hidden="false" customHeight="true" outlineLevel="0" collapsed="false">
      <c r="A191" s="5"/>
      <c r="B191" s="5"/>
      <c r="C191" s="5"/>
      <c r="D191" s="5"/>
      <c r="E191" s="303"/>
      <c r="F191" s="30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customFormat="false" ht="15.75" hidden="false" customHeight="true" outlineLevel="0" collapsed="false">
      <c r="A192" s="5"/>
      <c r="B192" s="5"/>
      <c r="C192" s="5"/>
      <c r="D192" s="5"/>
      <c r="E192" s="303"/>
      <c r="F192" s="30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customFormat="false" ht="15.75" hidden="false" customHeight="true" outlineLevel="0" collapsed="false">
      <c r="A193" s="5"/>
      <c r="B193" s="5"/>
      <c r="C193" s="5"/>
      <c r="D193" s="5"/>
      <c r="E193" s="303"/>
      <c r="F193" s="30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customFormat="false" ht="15.75" hidden="false" customHeight="true" outlineLevel="0" collapsed="false">
      <c r="A194" s="5"/>
      <c r="B194" s="5"/>
      <c r="C194" s="5"/>
      <c r="D194" s="5"/>
      <c r="E194" s="303"/>
      <c r="F194" s="30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customFormat="false" ht="15.75" hidden="false" customHeight="true" outlineLevel="0" collapsed="false">
      <c r="A195" s="5"/>
      <c r="B195" s="5"/>
      <c r="C195" s="5"/>
      <c r="D195" s="5"/>
      <c r="E195" s="303"/>
      <c r="F195" s="30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customFormat="false" ht="15.75" hidden="false" customHeight="true" outlineLevel="0" collapsed="false">
      <c r="A196" s="5"/>
      <c r="B196" s="5"/>
      <c r="C196" s="5"/>
      <c r="D196" s="5"/>
      <c r="E196" s="303"/>
      <c r="F196" s="30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customFormat="false" ht="15.75" hidden="false" customHeight="true" outlineLevel="0" collapsed="false">
      <c r="A197" s="5"/>
      <c r="B197" s="5"/>
      <c r="C197" s="5"/>
      <c r="D197" s="5"/>
      <c r="E197" s="303"/>
      <c r="F197" s="30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customFormat="false" ht="15.75" hidden="false" customHeight="true" outlineLevel="0" collapsed="false">
      <c r="A198" s="5"/>
      <c r="B198" s="5"/>
      <c r="C198" s="5"/>
      <c r="D198" s="5"/>
      <c r="E198" s="303"/>
      <c r="F198" s="30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customFormat="false" ht="15.75" hidden="false" customHeight="true" outlineLevel="0" collapsed="false">
      <c r="A199" s="5"/>
      <c r="B199" s="5"/>
      <c r="C199" s="5"/>
      <c r="D199" s="5"/>
      <c r="E199" s="303"/>
      <c r="F199" s="30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customFormat="false" ht="15.75" hidden="false" customHeight="true" outlineLevel="0" collapsed="false">
      <c r="A200" s="5"/>
      <c r="B200" s="5"/>
      <c r="C200" s="5"/>
      <c r="D200" s="5"/>
      <c r="E200" s="303"/>
      <c r="F200" s="30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customFormat="false" ht="15.75" hidden="false" customHeight="true" outlineLevel="0" collapsed="false">
      <c r="A201" s="5"/>
      <c r="B201" s="5"/>
      <c r="C201" s="5"/>
      <c r="D201" s="5"/>
      <c r="E201" s="303"/>
      <c r="F201" s="30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customFormat="false" ht="15.75" hidden="false" customHeight="true" outlineLevel="0" collapsed="false">
      <c r="A202" s="5"/>
      <c r="B202" s="5"/>
      <c r="C202" s="5"/>
      <c r="D202" s="5"/>
      <c r="E202" s="303"/>
      <c r="F202" s="30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customFormat="false" ht="15.75" hidden="false" customHeight="true" outlineLevel="0" collapsed="false">
      <c r="A203" s="5"/>
      <c r="B203" s="5"/>
      <c r="C203" s="5"/>
      <c r="D203" s="5"/>
      <c r="E203" s="303"/>
      <c r="F203" s="30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customFormat="false" ht="15.75" hidden="false" customHeight="true" outlineLevel="0" collapsed="false">
      <c r="A204" s="5"/>
      <c r="B204" s="5"/>
      <c r="C204" s="5"/>
      <c r="D204" s="5"/>
      <c r="E204" s="303"/>
      <c r="F204" s="30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customFormat="false" ht="15.75" hidden="false" customHeight="true" outlineLevel="0" collapsed="false">
      <c r="A205" s="5"/>
      <c r="B205" s="5"/>
      <c r="C205" s="5"/>
      <c r="D205" s="5"/>
      <c r="E205" s="303"/>
      <c r="F205" s="30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customFormat="false" ht="15.75" hidden="false" customHeight="true" outlineLevel="0" collapsed="false">
      <c r="A206" s="5"/>
      <c r="B206" s="5"/>
      <c r="C206" s="5"/>
      <c r="D206" s="5"/>
      <c r="E206" s="303"/>
      <c r="F206" s="30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customFormat="false" ht="15.75" hidden="false" customHeight="true" outlineLevel="0" collapsed="false">
      <c r="A207" s="5"/>
      <c r="B207" s="5"/>
      <c r="C207" s="5"/>
      <c r="D207" s="5"/>
      <c r="E207" s="303"/>
      <c r="F207" s="30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customFormat="false" ht="15.75" hidden="false" customHeight="true" outlineLevel="0" collapsed="false">
      <c r="A208" s="5"/>
      <c r="B208" s="5"/>
      <c r="C208" s="5"/>
      <c r="D208" s="5"/>
      <c r="E208" s="303"/>
      <c r="F208" s="30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customFormat="false" ht="15.75" hidden="false" customHeight="true" outlineLevel="0" collapsed="false">
      <c r="A209" s="5"/>
      <c r="B209" s="5"/>
      <c r="C209" s="5"/>
      <c r="D209" s="5"/>
      <c r="E209" s="303"/>
      <c r="F209" s="30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customFormat="false" ht="15.75" hidden="false" customHeight="true" outlineLevel="0" collapsed="false">
      <c r="A210" s="5"/>
      <c r="B210" s="5"/>
      <c r="C210" s="5"/>
      <c r="D210" s="5"/>
      <c r="E210" s="303"/>
      <c r="F210" s="30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customFormat="false" ht="15.75" hidden="false" customHeight="true" outlineLevel="0" collapsed="false">
      <c r="A211" s="5"/>
      <c r="B211" s="5"/>
      <c r="C211" s="5"/>
      <c r="D211" s="5"/>
      <c r="E211" s="303"/>
      <c r="F211" s="30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customFormat="false" ht="15.75" hidden="false" customHeight="true" outlineLevel="0" collapsed="false">
      <c r="A212" s="5"/>
      <c r="B212" s="5"/>
      <c r="C212" s="5"/>
      <c r="D212" s="5"/>
      <c r="E212" s="303"/>
      <c r="F212" s="30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customFormat="false" ht="15.75" hidden="false" customHeight="true" outlineLevel="0" collapsed="false">
      <c r="A213" s="5"/>
      <c r="B213" s="5"/>
      <c r="C213" s="5"/>
      <c r="D213" s="5"/>
      <c r="E213" s="303"/>
      <c r="F213" s="30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customFormat="false" ht="15.75" hidden="false" customHeight="true" outlineLevel="0" collapsed="false">
      <c r="A214" s="5"/>
      <c r="B214" s="5"/>
      <c r="C214" s="5"/>
      <c r="D214" s="5"/>
      <c r="E214" s="303"/>
      <c r="F214" s="30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customFormat="false" ht="15.75" hidden="false" customHeight="true" outlineLevel="0" collapsed="false">
      <c r="A215" s="5"/>
      <c r="B215" s="5"/>
      <c r="C215" s="5"/>
      <c r="D215" s="5"/>
      <c r="E215" s="303"/>
      <c r="F215" s="30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customFormat="false" ht="15.75" hidden="false" customHeight="true" outlineLevel="0" collapsed="false">
      <c r="A216" s="5"/>
      <c r="B216" s="5"/>
      <c r="C216" s="5"/>
      <c r="D216" s="5"/>
      <c r="E216" s="303"/>
      <c r="F216" s="30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customFormat="false" ht="15.75" hidden="false" customHeight="true" outlineLevel="0" collapsed="false">
      <c r="A217" s="5"/>
      <c r="B217" s="5"/>
      <c r="C217" s="5"/>
      <c r="D217" s="5"/>
      <c r="E217" s="303"/>
      <c r="F217" s="30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customFormat="false" ht="15.75" hidden="false" customHeight="true" outlineLevel="0" collapsed="false">
      <c r="A218" s="5"/>
      <c r="B218" s="5"/>
      <c r="C218" s="5"/>
      <c r="D218" s="5"/>
      <c r="E218" s="303"/>
      <c r="F218" s="30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customFormat="false" ht="15.75" hidden="false" customHeight="true" outlineLevel="0" collapsed="false">
      <c r="A219" s="5"/>
      <c r="B219" s="5"/>
      <c r="C219" s="5"/>
      <c r="D219" s="5"/>
      <c r="E219" s="303"/>
      <c r="F219" s="30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customFormat="false" ht="15.75" hidden="false" customHeight="true" outlineLevel="0" collapsed="false">
      <c r="A220" s="5"/>
      <c r="B220" s="5"/>
      <c r="C220" s="5"/>
      <c r="D220" s="5"/>
      <c r="E220" s="303"/>
      <c r="F220" s="30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customFormat="false" ht="15.75" hidden="false" customHeight="true" outlineLevel="0" collapsed="false">
      <c r="A221" s="5"/>
      <c r="B221" s="5"/>
      <c r="C221" s="5"/>
      <c r="D221" s="5"/>
      <c r="E221" s="303"/>
      <c r="F221" s="30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customFormat="false" ht="15.75" hidden="false" customHeight="true" outlineLevel="0" collapsed="false">
      <c r="A222" s="5"/>
      <c r="B222" s="5"/>
      <c r="C222" s="5"/>
      <c r="D222" s="5"/>
      <c r="E222" s="303"/>
      <c r="F222" s="30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customFormat="false" ht="15.75" hidden="false" customHeight="true" outlineLevel="0" collapsed="false">
      <c r="A223" s="5"/>
      <c r="B223" s="5"/>
      <c r="C223" s="5"/>
      <c r="D223" s="5"/>
      <c r="E223" s="303"/>
      <c r="F223" s="30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customFormat="false" ht="15.75" hidden="false" customHeight="true" outlineLevel="0" collapsed="false">
      <c r="A224" s="5"/>
      <c r="B224" s="5"/>
      <c r="C224" s="5"/>
      <c r="D224" s="5"/>
      <c r="E224" s="303"/>
      <c r="F224" s="30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customFormat="false" ht="15.75" hidden="false" customHeight="true" outlineLevel="0" collapsed="false">
      <c r="A225" s="5"/>
      <c r="B225" s="5"/>
      <c r="C225" s="5"/>
      <c r="D225" s="5"/>
      <c r="E225" s="303"/>
      <c r="F225" s="30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customFormat="false" ht="15.75" hidden="false" customHeight="true" outlineLevel="0" collapsed="false">
      <c r="A226" s="5"/>
      <c r="B226" s="5"/>
      <c r="C226" s="5"/>
      <c r="D226" s="5"/>
      <c r="E226" s="303"/>
      <c r="F226" s="30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customFormat="false" ht="15.75" hidden="false" customHeight="true" outlineLevel="0" collapsed="false">
      <c r="A227" s="5"/>
      <c r="B227" s="5"/>
      <c r="C227" s="5"/>
      <c r="D227" s="5"/>
      <c r="E227" s="303"/>
      <c r="F227" s="30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customFormat="false" ht="15.75" hidden="false" customHeight="true" outlineLevel="0" collapsed="false">
      <c r="A228" s="5"/>
      <c r="B228" s="5"/>
      <c r="C228" s="5"/>
      <c r="D228" s="5"/>
      <c r="E228" s="303"/>
      <c r="F228" s="30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customFormat="false" ht="15.75" hidden="false" customHeight="true" outlineLevel="0" collapsed="false">
      <c r="A229" s="5"/>
      <c r="B229" s="5"/>
      <c r="C229" s="5"/>
      <c r="D229" s="5"/>
      <c r="E229" s="303"/>
      <c r="F229" s="30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customFormat="false" ht="15.75" hidden="false" customHeight="true" outlineLevel="0" collapsed="false">
      <c r="A230" s="5"/>
      <c r="B230" s="5"/>
      <c r="C230" s="5"/>
      <c r="D230" s="5"/>
      <c r="E230" s="303"/>
      <c r="F230" s="30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customFormat="false" ht="15.75" hidden="false" customHeight="true" outlineLevel="0" collapsed="false">
      <c r="A231" s="5"/>
      <c r="B231" s="5"/>
      <c r="C231" s="5"/>
      <c r="D231" s="5"/>
      <c r="E231" s="303"/>
      <c r="F231" s="30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customFormat="false" ht="15.75" hidden="false" customHeight="true" outlineLevel="0" collapsed="false">
      <c r="A232" s="5"/>
      <c r="B232" s="5"/>
      <c r="C232" s="5"/>
      <c r="D232" s="5"/>
      <c r="E232" s="303"/>
      <c r="F232" s="30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customFormat="false" ht="15.75" hidden="false" customHeight="true" outlineLevel="0" collapsed="false">
      <c r="A233" s="5"/>
      <c r="B233" s="5"/>
      <c r="C233" s="5"/>
      <c r="D233" s="5"/>
      <c r="E233" s="303"/>
      <c r="F233" s="30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customFormat="false" ht="15.75" hidden="false" customHeight="true" outlineLevel="0" collapsed="false">
      <c r="A234" s="5"/>
      <c r="B234" s="5"/>
      <c r="C234" s="5"/>
      <c r="D234" s="5"/>
      <c r="E234" s="303"/>
      <c r="F234" s="30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customFormat="false" ht="15.75" hidden="false" customHeight="true" outlineLevel="0" collapsed="false">
      <c r="A235" s="5"/>
      <c r="B235" s="5"/>
      <c r="C235" s="5"/>
      <c r="D235" s="5"/>
      <c r="E235" s="303"/>
      <c r="F235" s="30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customFormat="false" ht="15.75" hidden="false" customHeight="true" outlineLevel="0" collapsed="false">
      <c r="A236" s="5"/>
      <c r="B236" s="5"/>
      <c r="C236" s="5"/>
      <c r="D236" s="5"/>
      <c r="E236" s="303"/>
      <c r="F236" s="30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customFormat="false" ht="15.75" hidden="false" customHeight="true" outlineLevel="0" collapsed="false">
      <c r="A237" s="5"/>
      <c r="B237" s="5"/>
      <c r="C237" s="5"/>
      <c r="D237" s="5"/>
      <c r="E237" s="303"/>
      <c r="F237" s="30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customFormat="false" ht="15.75" hidden="false" customHeight="true" outlineLevel="0" collapsed="false">
      <c r="A238" s="5"/>
      <c r="B238" s="5"/>
      <c r="C238" s="5"/>
      <c r="D238" s="5"/>
      <c r="E238" s="303"/>
      <c r="F238" s="30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customFormat="false" ht="15.75" hidden="false" customHeight="true" outlineLevel="0" collapsed="false">
      <c r="A239" s="5"/>
      <c r="B239" s="5"/>
      <c r="C239" s="5"/>
      <c r="D239" s="5"/>
      <c r="E239" s="303"/>
      <c r="F239" s="30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customFormat="false" ht="15.75" hidden="false" customHeight="true" outlineLevel="0" collapsed="false">
      <c r="A240" s="5"/>
      <c r="B240" s="5"/>
      <c r="C240" s="5"/>
      <c r="D240" s="5"/>
      <c r="E240" s="303"/>
      <c r="F240" s="30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customFormat="false" ht="15.75" hidden="false" customHeight="true" outlineLevel="0" collapsed="false">
      <c r="A241" s="5"/>
      <c r="B241" s="5"/>
      <c r="C241" s="5"/>
      <c r="D241" s="5"/>
      <c r="E241" s="303"/>
      <c r="F241" s="30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customFormat="false" ht="15.75" hidden="false" customHeight="true" outlineLevel="0" collapsed="false">
      <c r="A242" s="5"/>
      <c r="B242" s="5"/>
      <c r="C242" s="5"/>
      <c r="D242" s="5"/>
      <c r="E242" s="303"/>
      <c r="F242" s="30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customFormat="false" ht="15.75" hidden="false" customHeight="true" outlineLevel="0" collapsed="false">
      <c r="A243" s="5"/>
      <c r="B243" s="5"/>
      <c r="C243" s="5"/>
      <c r="D243" s="5"/>
      <c r="E243" s="303"/>
      <c r="F243" s="30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customFormat="false" ht="15.75" hidden="false" customHeight="true" outlineLevel="0" collapsed="false">
      <c r="A244" s="5"/>
      <c r="B244" s="5"/>
      <c r="C244" s="5"/>
      <c r="D244" s="5"/>
      <c r="E244" s="303"/>
      <c r="F244" s="30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customFormat="false" ht="15.75" hidden="false" customHeight="true" outlineLevel="0" collapsed="false">
      <c r="A245" s="5"/>
      <c r="B245" s="5"/>
      <c r="C245" s="5"/>
      <c r="D245" s="5"/>
      <c r="E245" s="303"/>
      <c r="F245" s="30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customFormat="false" ht="15.75" hidden="false" customHeight="true" outlineLevel="0" collapsed="false">
      <c r="A246" s="5"/>
      <c r="B246" s="5"/>
      <c r="C246" s="5"/>
      <c r="D246" s="5"/>
      <c r="E246" s="303"/>
      <c r="F246" s="30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customFormat="false" ht="15.75" hidden="false" customHeight="true" outlineLevel="0" collapsed="false">
      <c r="A247" s="5"/>
      <c r="B247" s="5"/>
      <c r="C247" s="5"/>
      <c r="D247" s="5"/>
      <c r="E247" s="303"/>
      <c r="F247" s="30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customFormat="false" ht="15.75" hidden="false" customHeight="true" outlineLevel="0" collapsed="false">
      <c r="A248" s="5"/>
      <c r="B248" s="5"/>
      <c r="C248" s="5"/>
      <c r="D248" s="5"/>
      <c r="E248" s="303"/>
      <c r="F248" s="30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customFormat="false" ht="15.75" hidden="false" customHeight="true" outlineLevel="0" collapsed="false">
      <c r="A249" s="5"/>
      <c r="B249" s="5"/>
      <c r="C249" s="5"/>
      <c r="D249" s="5"/>
      <c r="E249" s="303"/>
      <c r="F249" s="30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customFormat="false" ht="15.75" hidden="false" customHeight="true" outlineLevel="0" collapsed="false">
      <c r="A250" s="5"/>
      <c r="B250" s="5"/>
      <c r="C250" s="5"/>
      <c r="D250" s="5"/>
      <c r="E250" s="303"/>
      <c r="F250" s="30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customFormat="false" ht="15.75" hidden="false" customHeight="true" outlineLevel="0" collapsed="false">
      <c r="A251" s="5"/>
      <c r="B251" s="5"/>
      <c r="C251" s="5"/>
      <c r="D251" s="5"/>
      <c r="E251" s="303"/>
      <c r="F251" s="30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customFormat="false" ht="15.75" hidden="false" customHeight="true" outlineLevel="0" collapsed="false">
      <c r="A252" s="5"/>
      <c r="B252" s="5"/>
      <c r="C252" s="5"/>
      <c r="D252" s="5"/>
      <c r="E252" s="303"/>
      <c r="F252" s="30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customFormat="false" ht="15.75" hidden="false" customHeight="true" outlineLevel="0" collapsed="false">
      <c r="A253" s="5"/>
      <c r="B253" s="5"/>
      <c r="C253" s="5"/>
      <c r="D253" s="5"/>
      <c r="E253" s="303"/>
      <c r="F253" s="30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customFormat="false" ht="15.75" hidden="false" customHeight="true" outlineLevel="0" collapsed="false">
      <c r="A254" s="5"/>
      <c r="B254" s="5"/>
      <c r="C254" s="5"/>
      <c r="D254" s="5"/>
      <c r="E254" s="303"/>
      <c r="F254" s="30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customFormat="false" ht="15.75" hidden="false" customHeight="true" outlineLevel="0" collapsed="false">
      <c r="A255" s="5"/>
      <c r="B255" s="5"/>
      <c r="C255" s="5"/>
      <c r="D255" s="5"/>
      <c r="E255" s="303"/>
      <c r="F255" s="30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customFormat="false" ht="15.75" hidden="false" customHeight="true" outlineLevel="0" collapsed="false">
      <c r="A256" s="5"/>
      <c r="B256" s="5"/>
      <c r="C256" s="5"/>
      <c r="D256" s="5"/>
      <c r="E256" s="303"/>
      <c r="F256" s="30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customFormat="false" ht="15.75" hidden="false" customHeight="true" outlineLevel="0" collapsed="false">
      <c r="A257" s="5"/>
      <c r="B257" s="5"/>
      <c r="C257" s="5"/>
      <c r="D257" s="5"/>
      <c r="E257" s="303"/>
      <c r="F257" s="30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customFormat="false" ht="15.75" hidden="false" customHeight="true" outlineLevel="0" collapsed="false">
      <c r="A258" s="5"/>
      <c r="B258" s="5"/>
      <c r="C258" s="5"/>
      <c r="D258" s="5"/>
      <c r="E258" s="303"/>
      <c r="F258" s="30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customFormat="false" ht="15.75" hidden="false" customHeight="true" outlineLevel="0" collapsed="false">
      <c r="A259" s="5"/>
      <c r="B259" s="5"/>
      <c r="C259" s="5"/>
      <c r="D259" s="5"/>
      <c r="E259" s="303"/>
      <c r="F259" s="30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customFormat="false" ht="15.75" hidden="false" customHeight="true" outlineLevel="0" collapsed="false">
      <c r="A260" s="5"/>
      <c r="B260" s="5"/>
      <c r="C260" s="5"/>
      <c r="D260" s="5"/>
      <c r="E260" s="303"/>
      <c r="F260" s="30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customFormat="false" ht="15.75" hidden="false" customHeight="true" outlineLevel="0" collapsed="false">
      <c r="A261" s="5"/>
      <c r="B261" s="5"/>
      <c r="C261" s="5"/>
      <c r="D261" s="5"/>
      <c r="E261" s="303"/>
      <c r="F261" s="30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customFormat="false" ht="15.75" hidden="false" customHeight="true" outlineLevel="0" collapsed="false">
      <c r="A262" s="5"/>
      <c r="B262" s="5"/>
      <c r="C262" s="5"/>
      <c r="D262" s="5"/>
      <c r="E262" s="303"/>
      <c r="F262" s="30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customFormat="false" ht="15.75" hidden="false" customHeight="true" outlineLevel="0" collapsed="false">
      <c r="A263" s="5"/>
      <c r="B263" s="5"/>
      <c r="C263" s="5"/>
      <c r="D263" s="5"/>
      <c r="E263" s="303"/>
      <c r="F263" s="30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customFormat="false" ht="15.75" hidden="false" customHeight="true" outlineLevel="0" collapsed="false">
      <c r="A264" s="5"/>
      <c r="B264" s="5"/>
      <c r="C264" s="5"/>
      <c r="D264" s="5"/>
      <c r="E264" s="303"/>
      <c r="F264" s="30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customFormat="false" ht="15.75" hidden="false" customHeight="true" outlineLevel="0" collapsed="false">
      <c r="A265" s="5"/>
      <c r="B265" s="5"/>
      <c r="C265" s="5"/>
      <c r="D265" s="5"/>
      <c r="E265" s="303"/>
      <c r="F265" s="30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customFormat="false" ht="15.75" hidden="false" customHeight="true" outlineLevel="0" collapsed="false">
      <c r="A266" s="5"/>
      <c r="B266" s="5"/>
      <c r="C266" s="5"/>
      <c r="D266" s="5"/>
      <c r="E266" s="303"/>
      <c r="F266" s="30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customFormat="false" ht="15.75" hidden="false" customHeight="true" outlineLevel="0" collapsed="false">
      <c r="A267" s="5"/>
      <c r="B267" s="5"/>
      <c r="C267" s="5"/>
      <c r="D267" s="5"/>
      <c r="E267" s="303"/>
      <c r="F267" s="30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customFormat="false" ht="15.75" hidden="false" customHeight="true" outlineLevel="0" collapsed="false">
      <c r="A268" s="5"/>
      <c r="B268" s="5"/>
      <c r="C268" s="5"/>
      <c r="D268" s="5"/>
      <c r="E268" s="303"/>
      <c r="F268" s="30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customFormat="false" ht="15.75" hidden="false" customHeight="true" outlineLevel="0" collapsed="false">
      <c r="A269" s="5"/>
      <c r="B269" s="5"/>
      <c r="C269" s="5"/>
      <c r="D269" s="5"/>
      <c r="E269" s="303"/>
      <c r="F269" s="30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customFormat="false" ht="15.75" hidden="false" customHeight="true" outlineLevel="0" collapsed="false">
      <c r="A270" s="5"/>
      <c r="B270" s="5"/>
      <c r="C270" s="5"/>
      <c r="D270" s="5"/>
      <c r="E270" s="303"/>
      <c r="F270" s="30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customFormat="false" ht="15.75" hidden="false" customHeight="true" outlineLevel="0" collapsed="false">
      <c r="A271" s="5"/>
      <c r="B271" s="5"/>
      <c r="C271" s="5"/>
      <c r="D271" s="5"/>
      <c r="E271" s="303"/>
      <c r="F271" s="30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customFormat="false" ht="15.75" hidden="false" customHeight="true" outlineLevel="0" collapsed="false">
      <c r="A272" s="5"/>
      <c r="B272" s="5"/>
      <c r="C272" s="5"/>
      <c r="D272" s="5"/>
      <c r="E272" s="303"/>
      <c r="F272" s="30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customFormat="false" ht="15.75" hidden="false" customHeight="true" outlineLevel="0" collapsed="false">
      <c r="A273" s="5"/>
      <c r="B273" s="5"/>
      <c r="C273" s="5"/>
      <c r="D273" s="5"/>
      <c r="E273" s="303"/>
      <c r="F273" s="30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customFormat="false" ht="15.75" hidden="false" customHeight="true" outlineLevel="0" collapsed="false">
      <c r="A274" s="5"/>
      <c r="B274" s="5"/>
      <c r="C274" s="5"/>
      <c r="D274" s="5"/>
      <c r="E274" s="303"/>
      <c r="F274" s="30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customFormat="false" ht="15.75" hidden="false" customHeight="true" outlineLevel="0" collapsed="false">
      <c r="A275" s="5"/>
      <c r="B275" s="5"/>
      <c r="C275" s="5"/>
      <c r="D275" s="5"/>
      <c r="E275" s="303"/>
      <c r="F275" s="30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customFormat="false" ht="15.75" hidden="false" customHeight="true" outlineLevel="0" collapsed="false">
      <c r="A276" s="5"/>
      <c r="B276" s="5"/>
      <c r="C276" s="5"/>
      <c r="D276" s="5"/>
      <c r="E276" s="303"/>
      <c r="F276" s="30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customFormat="false" ht="15.75" hidden="false" customHeight="true" outlineLevel="0" collapsed="false">
      <c r="A277" s="5"/>
      <c r="B277" s="5"/>
      <c r="C277" s="5"/>
      <c r="D277" s="5"/>
      <c r="E277" s="303"/>
      <c r="F277" s="30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customFormat="false" ht="15.75" hidden="false" customHeight="true" outlineLevel="0" collapsed="false">
      <c r="A278" s="5"/>
      <c r="B278" s="5"/>
      <c r="C278" s="5"/>
      <c r="D278" s="5"/>
      <c r="E278" s="303"/>
      <c r="F278" s="30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customFormat="false" ht="15.75" hidden="false" customHeight="true" outlineLevel="0" collapsed="false">
      <c r="A279" s="5"/>
      <c r="B279" s="5"/>
      <c r="C279" s="5"/>
      <c r="D279" s="5"/>
      <c r="E279" s="303"/>
      <c r="F279" s="30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customFormat="false" ht="15.75" hidden="false" customHeight="true" outlineLevel="0" collapsed="false">
      <c r="A280" s="5"/>
      <c r="B280" s="5"/>
      <c r="C280" s="5"/>
      <c r="D280" s="5"/>
      <c r="E280" s="303"/>
      <c r="F280" s="30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customFormat="false" ht="15.75" hidden="false" customHeight="true" outlineLevel="0" collapsed="false">
      <c r="A281" s="5"/>
      <c r="B281" s="5"/>
      <c r="C281" s="5"/>
      <c r="D281" s="5"/>
      <c r="E281" s="303"/>
      <c r="F281" s="30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customFormat="false" ht="15.75" hidden="false" customHeight="true" outlineLevel="0" collapsed="false">
      <c r="A282" s="5"/>
      <c r="B282" s="5"/>
      <c r="C282" s="5"/>
      <c r="D282" s="5"/>
      <c r="E282" s="303"/>
      <c r="F282" s="30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customFormat="false" ht="15.75" hidden="false" customHeight="true" outlineLevel="0" collapsed="false">
      <c r="A283" s="5"/>
      <c r="B283" s="5"/>
      <c r="C283" s="5"/>
      <c r="D283" s="5"/>
      <c r="E283" s="303"/>
      <c r="F283" s="30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customFormat="false" ht="15.75" hidden="false" customHeight="true" outlineLevel="0" collapsed="false">
      <c r="A284" s="5"/>
      <c r="B284" s="5"/>
      <c r="C284" s="5"/>
      <c r="D284" s="5"/>
      <c r="E284" s="303"/>
      <c r="F284" s="30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customFormat="false" ht="15.75" hidden="false" customHeight="true" outlineLevel="0" collapsed="false">
      <c r="A285" s="5"/>
      <c r="B285" s="5"/>
      <c r="C285" s="5"/>
      <c r="D285" s="5"/>
      <c r="E285" s="303"/>
      <c r="F285" s="30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customFormat="false" ht="15.75" hidden="false" customHeight="true" outlineLevel="0" collapsed="false">
      <c r="A286" s="5"/>
      <c r="B286" s="5"/>
      <c r="C286" s="5"/>
      <c r="D286" s="5"/>
      <c r="E286" s="303"/>
      <c r="F286" s="30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customFormat="false" ht="15.75" hidden="false" customHeight="true" outlineLevel="0" collapsed="false">
      <c r="A287" s="5"/>
      <c r="B287" s="5"/>
      <c r="C287" s="5"/>
      <c r="D287" s="5"/>
      <c r="E287" s="303"/>
      <c r="F287" s="30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customFormat="false" ht="15.75" hidden="false" customHeight="true" outlineLevel="0" collapsed="false">
      <c r="A288" s="5"/>
      <c r="B288" s="5"/>
      <c r="C288" s="5"/>
      <c r="D288" s="5"/>
      <c r="E288" s="303"/>
      <c r="F288" s="30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customFormat="false" ht="15.75" hidden="false" customHeight="true" outlineLevel="0" collapsed="false">
      <c r="A289" s="5"/>
      <c r="B289" s="5"/>
      <c r="C289" s="5"/>
      <c r="D289" s="5"/>
      <c r="E289" s="303"/>
      <c r="F289" s="30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customFormat="false" ht="15.75" hidden="false" customHeight="true" outlineLevel="0" collapsed="false">
      <c r="A290" s="5"/>
      <c r="B290" s="5"/>
      <c r="C290" s="5"/>
      <c r="D290" s="5"/>
      <c r="E290" s="303"/>
      <c r="F290" s="30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customFormat="false" ht="15.75" hidden="false" customHeight="true" outlineLevel="0" collapsed="false">
      <c r="A291" s="5"/>
      <c r="B291" s="5"/>
      <c r="C291" s="5"/>
      <c r="D291" s="5"/>
      <c r="E291" s="303"/>
      <c r="F291" s="30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customFormat="false" ht="15.75" hidden="false" customHeight="true" outlineLevel="0" collapsed="false">
      <c r="A292" s="5"/>
      <c r="B292" s="5"/>
      <c r="C292" s="5"/>
      <c r="D292" s="5"/>
      <c r="E292" s="303"/>
      <c r="F292" s="30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customFormat="false" ht="15.75" hidden="false" customHeight="true" outlineLevel="0" collapsed="false">
      <c r="A293" s="5"/>
      <c r="B293" s="5"/>
      <c r="C293" s="5"/>
      <c r="D293" s="5"/>
      <c r="E293" s="303"/>
      <c r="F293" s="30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customFormat="false" ht="15.75" hidden="false" customHeight="true" outlineLevel="0" collapsed="false">
      <c r="A294" s="5"/>
      <c r="B294" s="5"/>
      <c r="C294" s="5"/>
      <c r="D294" s="5"/>
      <c r="E294" s="303"/>
      <c r="F294" s="30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customFormat="false" ht="15.75" hidden="false" customHeight="true" outlineLevel="0" collapsed="false">
      <c r="A295" s="5"/>
      <c r="B295" s="5"/>
      <c r="C295" s="5"/>
      <c r="D295" s="5"/>
      <c r="E295" s="303"/>
      <c r="F295" s="30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customFormat="false" ht="15.75" hidden="false" customHeight="true" outlineLevel="0" collapsed="false">
      <c r="A296" s="5"/>
      <c r="B296" s="5"/>
      <c r="C296" s="5"/>
      <c r="D296" s="5"/>
      <c r="E296" s="303"/>
      <c r="F296" s="30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customFormat="false" ht="15.75" hidden="false" customHeight="true" outlineLevel="0" collapsed="false">
      <c r="A297" s="5"/>
      <c r="B297" s="5"/>
      <c r="C297" s="5"/>
      <c r="D297" s="5"/>
      <c r="E297" s="303"/>
      <c r="F297" s="30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customFormat="false" ht="15.75" hidden="false" customHeight="true" outlineLevel="0" collapsed="false">
      <c r="A298" s="5"/>
      <c r="B298" s="5"/>
      <c r="C298" s="5"/>
      <c r="D298" s="5"/>
      <c r="E298" s="303"/>
      <c r="F298" s="30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customFormat="false" ht="15.75" hidden="false" customHeight="true" outlineLevel="0" collapsed="false">
      <c r="A299" s="5"/>
      <c r="B299" s="5"/>
      <c r="C299" s="5"/>
      <c r="D299" s="5"/>
      <c r="E299" s="303"/>
      <c r="F299" s="30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customFormat="false" ht="15.75" hidden="false" customHeight="true" outlineLevel="0" collapsed="false">
      <c r="A300" s="5"/>
      <c r="B300" s="5"/>
      <c r="C300" s="5"/>
      <c r="D300" s="5"/>
      <c r="E300" s="303"/>
      <c r="F300" s="30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customFormat="false" ht="15.75" hidden="false" customHeight="true" outlineLevel="0" collapsed="false">
      <c r="A301" s="5"/>
      <c r="B301" s="5"/>
      <c r="C301" s="5"/>
      <c r="D301" s="5"/>
      <c r="E301" s="303"/>
      <c r="F301" s="30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customFormat="false" ht="15.75" hidden="false" customHeight="true" outlineLevel="0" collapsed="false">
      <c r="A302" s="5"/>
      <c r="B302" s="5"/>
      <c r="C302" s="5"/>
      <c r="D302" s="5"/>
      <c r="E302" s="303"/>
      <c r="F302" s="30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customFormat="false" ht="15.75" hidden="false" customHeight="true" outlineLevel="0" collapsed="false">
      <c r="A303" s="5"/>
      <c r="B303" s="5"/>
      <c r="C303" s="5"/>
      <c r="D303" s="5"/>
      <c r="E303" s="303"/>
      <c r="F303" s="30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customFormat="false" ht="15.75" hidden="false" customHeight="true" outlineLevel="0" collapsed="false">
      <c r="A304" s="5"/>
      <c r="B304" s="5"/>
      <c r="C304" s="5"/>
      <c r="D304" s="5"/>
      <c r="E304" s="303"/>
      <c r="F304" s="30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customFormat="false" ht="15.75" hidden="false" customHeight="true" outlineLevel="0" collapsed="false">
      <c r="A305" s="5"/>
      <c r="B305" s="5"/>
      <c r="C305" s="5"/>
      <c r="D305" s="5"/>
      <c r="E305" s="303"/>
      <c r="F305" s="30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customFormat="false" ht="15.75" hidden="false" customHeight="true" outlineLevel="0" collapsed="false">
      <c r="A306" s="5"/>
      <c r="B306" s="5"/>
      <c r="C306" s="5"/>
      <c r="D306" s="5"/>
      <c r="E306" s="303"/>
      <c r="F306" s="30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customFormat="false" ht="15.75" hidden="false" customHeight="true" outlineLevel="0" collapsed="false">
      <c r="A307" s="5"/>
      <c r="B307" s="5"/>
      <c r="C307" s="5"/>
      <c r="D307" s="5"/>
      <c r="E307" s="303"/>
      <c r="F307" s="30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customFormat="false" ht="15.75" hidden="false" customHeight="true" outlineLevel="0" collapsed="false">
      <c r="A308" s="5"/>
      <c r="B308" s="5"/>
      <c r="C308" s="5"/>
      <c r="D308" s="5"/>
      <c r="E308" s="303"/>
      <c r="F308" s="30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customFormat="false" ht="15.75" hidden="false" customHeight="true" outlineLevel="0" collapsed="false">
      <c r="A309" s="5"/>
      <c r="B309" s="5"/>
      <c r="C309" s="5"/>
      <c r="D309" s="5"/>
      <c r="E309" s="303"/>
      <c r="F309" s="30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customFormat="false" ht="15.75" hidden="false" customHeight="true" outlineLevel="0" collapsed="false">
      <c r="A310" s="5"/>
      <c r="B310" s="5"/>
      <c r="C310" s="5"/>
      <c r="D310" s="5"/>
      <c r="E310" s="303"/>
      <c r="F310" s="30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customFormat="false" ht="15.75" hidden="false" customHeight="true" outlineLevel="0" collapsed="false">
      <c r="A311" s="5"/>
      <c r="B311" s="5"/>
      <c r="C311" s="5"/>
      <c r="D311" s="5"/>
      <c r="E311" s="303"/>
      <c r="F311" s="30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customFormat="false" ht="15.75" hidden="false" customHeight="true" outlineLevel="0" collapsed="false">
      <c r="A312" s="5"/>
      <c r="B312" s="5"/>
      <c r="C312" s="5"/>
      <c r="D312" s="5"/>
      <c r="E312" s="303"/>
      <c r="F312" s="30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customFormat="false" ht="15.75" hidden="false" customHeight="true" outlineLevel="0" collapsed="false">
      <c r="A313" s="5"/>
      <c r="B313" s="5"/>
      <c r="C313" s="5"/>
      <c r="D313" s="5"/>
      <c r="E313" s="303"/>
      <c r="F313" s="30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customFormat="false" ht="15.75" hidden="false" customHeight="true" outlineLevel="0" collapsed="false">
      <c r="A314" s="5"/>
      <c r="B314" s="5"/>
      <c r="C314" s="5"/>
      <c r="D314" s="5"/>
      <c r="E314" s="303"/>
      <c r="F314" s="30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customFormat="false" ht="15.75" hidden="false" customHeight="true" outlineLevel="0" collapsed="false">
      <c r="A315" s="5"/>
      <c r="B315" s="5"/>
      <c r="C315" s="5"/>
      <c r="D315" s="5"/>
      <c r="E315" s="303"/>
      <c r="F315" s="30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customFormat="false" ht="15.75" hidden="false" customHeight="true" outlineLevel="0" collapsed="false">
      <c r="A316" s="5"/>
      <c r="B316" s="5"/>
      <c r="C316" s="5"/>
      <c r="D316" s="5"/>
      <c r="E316" s="303"/>
      <c r="F316" s="30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customFormat="false" ht="15.75" hidden="false" customHeight="true" outlineLevel="0" collapsed="false">
      <c r="A317" s="5"/>
      <c r="B317" s="5"/>
      <c r="C317" s="5"/>
      <c r="D317" s="5"/>
      <c r="E317" s="303"/>
      <c r="F317" s="30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customFormat="false" ht="15.75" hidden="false" customHeight="true" outlineLevel="0" collapsed="false">
      <c r="A318" s="5"/>
      <c r="B318" s="5"/>
      <c r="C318" s="5"/>
      <c r="D318" s="5"/>
      <c r="E318" s="303"/>
      <c r="F318" s="30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customFormat="false" ht="15.75" hidden="false" customHeight="true" outlineLevel="0" collapsed="false">
      <c r="A319" s="5"/>
      <c r="B319" s="5"/>
      <c r="C319" s="5"/>
      <c r="D319" s="5"/>
      <c r="E319" s="303"/>
      <c r="F319" s="30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customFormat="false" ht="15.75" hidden="false" customHeight="true" outlineLevel="0" collapsed="false">
      <c r="A320" s="5"/>
      <c r="B320" s="5"/>
      <c r="C320" s="5"/>
      <c r="D320" s="5"/>
      <c r="E320" s="303"/>
      <c r="F320" s="30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customFormat="false" ht="15.75" hidden="false" customHeight="true" outlineLevel="0" collapsed="false">
      <c r="A321" s="5"/>
      <c r="B321" s="5"/>
      <c r="C321" s="5"/>
      <c r="D321" s="5"/>
      <c r="E321" s="303"/>
      <c r="F321" s="30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customFormat="false" ht="15.75" hidden="false" customHeight="true" outlineLevel="0" collapsed="false">
      <c r="A322" s="5"/>
      <c r="B322" s="5"/>
      <c r="C322" s="5"/>
      <c r="D322" s="5"/>
      <c r="E322" s="303"/>
      <c r="F322" s="30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customFormat="false" ht="15.75" hidden="false" customHeight="true" outlineLevel="0" collapsed="false">
      <c r="A323" s="5"/>
      <c r="B323" s="5"/>
      <c r="C323" s="5"/>
      <c r="D323" s="5"/>
      <c r="E323" s="303"/>
      <c r="F323" s="30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customFormat="false" ht="15.75" hidden="false" customHeight="true" outlineLevel="0" collapsed="false">
      <c r="A324" s="5"/>
      <c r="B324" s="5"/>
      <c r="C324" s="5"/>
      <c r="D324" s="5"/>
      <c r="E324" s="303"/>
      <c r="F324" s="30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customFormat="false" ht="15.75" hidden="false" customHeight="true" outlineLevel="0" collapsed="false">
      <c r="A325" s="5"/>
      <c r="B325" s="5"/>
      <c r="C325" s="5"/>
      <c r="D325" s="5"/>
      <c r="E325" s="303"/>
      <c r="F325" s="30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customFormat="false" ht="15.75" hidden="false" customHeight="true" outlineLevel="0" collapsed="false">
      <c r="A326" s="5"/>
      <c r="B326" s="5"/>
      <c r="C326" s="5"/>
      <c r="D326" s="5"/>
      <c r="E326" s="303"/>
      <c r="F326" s="30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customFormat="false" ht="15.75" hidden="false" customHeight="true" outlineLevel="0" collapsed="false">
      <c r="A327" s="5"/>
      <c r="B327" s="5"/>
      <c r="C327" s="5"/>
      <c r="D327" s="5"/>
      <c r="E327" s="303"/>
      <c r="F327" s="30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customFormat="false" ht="15.75" hidden="false" customHeight="true" outlineLevel="0" collapsed="false">
      <c r="A328" s="5"/>
      <c r="B328" s="5"/>
      <c r="C328" s="5"/>
      <c r="D328" s="5"/>
      <c r="E328" s="303"/>
      <c r="F328" s="30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customFormat="false" ht="15.75" hidden="false" customHeight="true" outlineLevel="0" collapsed="false">
      <c r="A329" s="5"/>
      <c r="B329" s="5"/>
      <c r="C329" s="5"/>
      <c r="D329" s="5"/>
      <c r="E329" s="303"/>
      <c r="F329" s="30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customFormat="false" ht="15.75" hidden="false" customHeight="true" outlineLevel="0" collapsed="false">
      <c r="A330" s="5"/>
      <c r="B330" s="5"/>
      <c r="C330" s="5"/>
      <c r="D330" s="5"/>
      <c r="E330" s="303"/>
      <c r="F330" s="30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customFormat="false" ht="15.75" hidden="false" customHeight="true" outlineLevel="0" collapsed="false">
      <c r="A331" s="5"/>
      <c r="B331" s="5"/>
      <c r="C331" s="5"/>
      <c r="D331" s="5"/>
      <c r="E331" s="303"/>
      <c r="F331" s="30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customFormat="false" ht="15.75" hidden="false" customHeight="true" outlineLevel="0" collapsed="false">
      <c r="A332" s="5"/>
      <c r="B332" s="5"/>
      <c r="C332" s="5"/>
      <c r="D332" s="5"/>
      <c r="E332" s="303"/>
      <c r="F332" s="30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customFormat="false" ht="15.75" hidden="false" customHeight="true" outlineLevel="0" collapsed="false">
      <c r="A333" s="5"/>
      <c r="B333" s="5"/>
      <c r="C333" s="5"/>
      <c r="D333" s="5"/>
      <c r="E333" s="303"/>
      <c r="F333" s="30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customFormat="false" ht="15.75" hidden="false" customHeight="true" outlineLevel="0" collapsed="false">
      <c r="A334" s="5"/>
      <c r="B334" s="5"/>
      <c r="C334" s="5"/>
      <c r="D334" s="5"/>
      <c r="E334" s="303"/>
      <c r="F334" s="30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customFormat="false" ht="15.75" hidden="false" customHeight="true" outlineLevel="0" collapsed="false">
      <c r="A335" s="5"/>
      <c r="B335" s="5"/>
      <c r="C335" s="5"/>
      <c r="D335" s="5"/>
      <c r="E335" s="303"/>
      <c r="F335" s="30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customFormat="false" ht="15.75" hidden="false" customHeight="true" outlineLevel="0" collapsed="false">
      <c r="A336" s="5"/>
      <c r="B336" s="5"/>
      <c r="C336" s="5"/>
      <c r="D336" s="5"/>
      <c r="E336" s="303"/>
      <c r="F336" s="30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customFormat="false" ht="15.75" hidden="false" customHeight="true" outlineLevel="0" collapsed="false">
      <c r="A337" s="5"/>
      <c r="B337" s="5"/>
      <c r="C337" s="5"/>
      <c r="D337" s="5"/>
      <c r="E337" s="303"/>
      <c r="F337" s="30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customFormat="false" ht="15.75" hidden="false" customHeight="true" outlineLevel="0" collapsed="false">
      <c r="A338" s="5"/>
      <c r="B338" s="5"/>
      <c r="C338" s="5"/>
      <c r="D338" s="5"/>
      <c r="E338" s="303"/>
      <c r="F338" s="30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customFormat="false" ht="15.75" hidden="false" customHeight="true" outlineLevel="0" collapsed="false">
      <c r="A339" s="5"/>
      <c r="B339" s="5"/>
      <c r="C339" s="5"/>
      <c r="D339" s="5"/>
      <c r="E339" s="303"/>
      <c r="F339" s="30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customFormat="false" ht="15.75" hidden="false" customHeight="true" outlineLevel="0" collapsed="false">
      <c r="A340" s="5"/>
      <c r="B340" s="5"/>
      <c r="C340" s="5"/>
      <c r="D340" s="5"/>
      <c r="E340" s="303"/>
      <c r="F340" s="30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customFormat="false" ht="15.75" hidden="false" customHeight="true" outlineLevel="0" collapsed="false">
      <c r="A341" s="5"/>
      <c r="B341" s="5"/>
      <c r="C341" s="5"/>
      <c r="D341" s="5"/>
      <c r="E341" s="303"/>
      <c r="F341" s="30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customFormat="false" ht="15.75" hidden="false" customHeight="true" outlineLevel="0" collapsed="false">
      <c r="A342" s="5"/>
      <c r="B342" s="5"/>
      <c r="C342" s="5"/>
      <c r="D342" s="5"/>
      <c r="E342" s="303"/>
      <c r="F342" s="30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customFormat="false" ht="15.75" hidden="false" customHeight="true" outlineLevel="0" collapsed="false">
      <c r="A343" s="5"/>
      <c r="B343" s="5"/>
      <c r="C343" s="5"/>
      <c r="D343" s="5"/>
      <c r="E343" s="303"/>
      <c r="F343" s="30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customFormat="false" ht="15.75" hidden="false" customHeight="true" outlineLevel="0" collapsed="false">
      <c r="A344" s="5"/>
      <c r="B344" s="5"/>
      <c r="C344" s="5"/>
      <c r="D344" s="5"/>
      <c r="E344" s="303"/>
      <c r="F344" s="30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customFormat="false" ht="15.75" hidden="false" customHeight="true" outlineLevel="0" collapsed="false">
      <c r="A345" s="5"/>
      <c r="B345" s="5"/>
      <c r="C345" s="5"/>
      <c r="D345" s="5"/>
      <c r="E345" s="303"/>
      <c r="F345" s="30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customFormat="false" ht="15.75" hidden="false" customHeight="true" outlineLevel="0" collapsed="false">
      <c r="A346" s="5"/>
      <c r="B346" s="5"/>
      <c r="C346" s="5"/>
      <c r="D346" s="5"/>
      <c r="E346" s="303"/>
      <c r="F346" s="30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customFormat="false" ht="15.75" hidden="false" customHeight="true" outlineLevel="0" collapsed="false">
      <c r="A347" s="5"/>
      <c r="B347" s="5"/>
      <c r="C347" s="5"/>
      <c r="D347" s="5"/>
      <c r="E347" s="303"/>
      <c r="F347" s="30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customFormat="false" ht="15.75" hidden="false" customHeight="true" outlineLevel="0" collapsed="false">
      <c r="A348" s="5"/>
      <c r="B348" s="5"/>
      <c r="C348" s="5"/>
      <c r="D348" s="5"/>
      <c r="E348" s="303"/>
      <c r="F348" s="30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customFormat="false" ht="15.75" hidden="false" customHeight="true" outlineLevel="0" collapsed="false">
      <c r="A349" s="5"/>
      <c r="B349" s="5"/>
      <c r="C349" s="5"/>
      <c r="D349" s="5"/>
      <c r="E349" s="303"/>
      <c r="F349" s="30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customFormat="false" ht="15.75" hidden="false" customHeight="true" outlineLevel="0" collapsed="false">
      <c r="A350" s="5"/>
      <c r="B350" s="5"/>
      <c r="C350" s="5"/>
      <c r="D350" s="5"/>
      <c r="E350" s="303"/>
      <c r="F350" s="30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customFormat="false" ht="15.75" hidden="false" customHeight="true" outlineLevel="0" collapsed="false">
      <c r="A351" s="5"/>
      <c r="B351" s="5"/>
      <c r="C351" s="5"/>
      <c r="D351" s="5"/>
      <c r="E351" s="303"/>
      <c r="F351" s="30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customFormat="false" ht="15.75" hidden="false" customHeight="true" outlineLevel="0" collapsed="false">
      <c r="A352" s="5"/>
      <c r="B352" s="5"/>
      <c r="C352" s="5"/>
      <c r="D352" s="5"/>
      <c r="E352" s="303"/>
      <c r="F352" s="30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customFormat="false" ht="15.75" hidden="false" customHeight="true" outlineLevel="0" collapsed="false">
      <c r="A353" s="5"/>
      <c r="B353" s="5"/>
      <c r="C353" s="5"/>
      <c r="D353" s="5"/>
      <c r="E353" s="303"/>
      <c r="F353" s="30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customFormat="false" ht="15.75" hidden="false" customHeight="true" outlineLevel="0" collapsed="false">
      <c r="A354" s="5"/>
      <c r="B354" s="5"/>
      <c r="C354" s="5"/>
      <c r="D354" s="5"/>
      <c r="E354" s="303"/>
      <c r="F354" s="30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customFormat="false" ht="15.75" hidden="false" customHeight="true" outlineLevel="0" collapsed="false">
      <c r="A355" s="5"/>
      <c r="B355" s="5"/>
      <c r="C355" s="5"/>
      <c r="D355" s="5"/>
      <c r="E355" s="303"/>
      <c r="F355" s="30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customFormat="false" ht="15.75" hidden="false" customHeight="true" outlineLevel="0" collapsed="false">
      <c r="A356" s="5"/>
      <c r="B356" s="5"/>
      <c r="C356" s="5"/>
      <c r="D356" s="5"/>
      <c r="E356" s="303"/>
      <c r="F356" s="30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customFormat="false" ht="15.75" hidden="false" customHeight="true" outlineLevel="0" collapsed="false">
      <c r="A357" s="5"/>
      <c r="B357" s="5"/>
      <c r="C357" s="5"/>
      <c r="D357" s="5"/>
      <c r="E357" s="303"/>
      <c r="F357" s="30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customFormat="false" ht="15.75" hidden="false" customHeight="true" outlineLevel="0" collapsed="false">
      <c r="A358" s="5"/>
      <c r="B358" s="5"/>
      <c r="C358" s="5"/>
      <c r="D358" s="5"/>
      <c r="E358" s="303"/>
      <c r="F358" s="30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customFormat="false" ht="15.75" hidden="false" customHeight="true" outlineLevel="0" collapsed="false">
      <c r="A359" s="5"/>
      <c r="B359" s="5"/>
      <c r="C359" s="5"/>
      <c r="D359" s="5"/>
      <c r="E359" s="303"/>
      <c r="F359" s="30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customFormat="false" ht="15.75" hidden="false" customHeight="true" outlineLevel="0" collapsed="false">
      <c r="A360" s="5"/>
      <c r="B360" s="5"/>
      <c r="C360" s="5"/>
      <c r="D360" s="5"/>
      <c r="E360" s="303"/>
      <c r="F360" s="30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customFormat="false" ht="15.75" hidden="false" customHeight="true" outlineLevel="0" collapsed="false">
      <c r="A361" s="5"/>
      <c r="B361" s="5"/>
      <c r="C361" s="5"/>
      <c r="D361" s="5"/>
      <c r="E361" s="303"/>
      <c r="F361" s="30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customFormat="false" ht="15.75" hidden="false" customHeight="true" outlineLevel="0" collapsed="false">
      <c r="A362" s="5"/>
      <c r="B362" s="5"/>
      <c r="C362" s="5"/>
      <c r="D362" s="5"/>
      <c r="E362" s="303"/>
      <c r="F362" s="30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customFormat="false" ht="15.75" hidden="false" customHeight="true" outlineLevel="0" collapsed="false">
      <c r="A363" s="5"/>
      <c r="B363" s="5"/>
      <c r="C363" s="5"/>
      <c r="D363" s="5"/>
      <c r="E363" s="303"/>
      <c r="F363" s="30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customFormat="false" ht="15.75" hidden="false" customHeight="true" outlineLevel="0" collapsed="false">
      <c r="A364" s="5"/>
      <c r="B364" s="5"/>
      <c r="C364" s="5"/>
      <c r="D364" s="5"/>
      <c r="E364" s="303"/>
      <c r="F364" s="30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customFormat="false" ht="15.75" hidden="false" customHeight="true" outlineLevel="0" collapsed="false">
      <c r="A365" s="5"/>
      <c r="B365" s="5"/>
      <c r="C365" s="5"/>
      <c r="D365" s="5"/>
      <c r="E365" s="303"/>
      <c r="F365" s="30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customFormat="false" ht="15.75" hidden="false" customHeight="true" outlineLevel="0" collapsed="false">
      <c r="A366" s="5"/>
      <c r="B366" s="5"/>
      <c r="C366" s="5"/>
      <c r="D366" s="5"/>
      <c r="E366" s="303"/>
      <c r="F366" s="30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customFormat="false" ht="15.75" hidden="false" customHeight="true" outlineLevel="0" collapsed="false">
      <c r="A367" s="5"/>
      <c r="B367" s="5"/>
      <c r="C367" s="5"/>
      <c r="D367" s="5"/>
      <c r="E367" s="303"/>
      <c r="F367" s="30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customFormat="false" ht="15.75" hidden="false" customHeight="true" outlineLevel="0" collapsed="false">
      <c r="A368" s="5"/>
      <c r="B368" s="5"/>
      <c r="C368" s="5"/>
      <c r="D368" s="5"/>
      <c r="E368" s="303"/>
      <c r="F368" s="30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customFormat="false" ht="15.75" hidden="false" customHeight="true" outlineLevel="0" collapsed="false">
      <c r="A369" s="5"/>
      <c r="B369" s="5"/>
      <c r="C369" s="5"/>
      <c r="D369" s="5"/>
      <c r="E369" s="303"/>
      <c r="F369" s="30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customFormat="false" ht="15.75" hidden="false" customHeight="true" outlineLevel="0" collapsed="false">
      <c r="A370" s="5"/>
      <c r="B370" s="5"/>
      <c r="C370" s="5"/>
      <c r="D370" s="5"/>
      <c r="E370" s="303"/>
      <c r="F370" s="30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customFormat="false" ht="15.75" hidden="false" customHeight="true" outlineLevel="0" collapsed="false">
      <c r="A371" s="5"/>
      <c r="B371" s="5"/>
      <c r="C371" s="5"/>
      <c r="D371" s="5"/>
      <c r="E371" s="303"/>
      <c r="F371" s="30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customFormat="false" ht="15.75" hidden="false" customHeight="true" outlineLevel="0" collapsed="false">
      <c r="A372" s="5"/>
      <c r="B372" s="5"/>
      <c r="C372" s="5"/>
      <c r="D372" s="5"/>
      <c r="E372" s="303"/>
      <c r="F372" s="30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customFormat="false" ht="15.75" hidden="false" customHeight="true" outlineLevel="0" collapsed="false">
      <c r="A373" s="5"/>
      <c r="B373" s="5"/>
      <c r="C373" s="5"/>
      <c r="D373" s="5"/>
      <c r="E373" s="303"/>
      <c r="F373" s="30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customFormat="false" ht="15.75" hidden="false" customHeight="true" outlineLevel="0" collapsed="false">
      <c r="A374" s="5"/>
      <c r="B374" s="5"/>
      <c r="C374" s="5"/>
      <c r="D374" s="5"/>
      <c r="E374" s="303"/>
      <c r="F374" s="30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customFormat="false" ht="15.75" hidden="false" customHeight="true" outlineLevel="0" collapsed="false">
      <c r="A375" s="5"/>
      <c r="B375" s="5"/>
      <c r="C375" s="5"/>
      <c r="D375" s="5"/>
      <c r="E375" s="303"/>
      <c r="F375" s="30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customFormat="false" ht="15.75" hidden="false" customHeight="true" outlineLevel="0" collapsed="false">
      <c r="A376" s="5"/>
      <c r="B376" s="5"/>
      <c r="C376" s="5"/>
      <c r="D376" s="5"/>
      <c r="E376" s="303"/>
      <c r="F376" s="30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customFormat="false" ht="15.75" hidden="false" customHeight="true" outlineLevel="0" collapsed="false">
      <c r="A377" s="5"/>
      <c r="B377" s="5"/>
      <c r="C377" s="5"/>
      <c r="D377" s="5"/>
      <c r="E377" s="303"/>
      <c r="F377" s="30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customFormat="false" ht="15.75" hidden="false" customHeight="true" outlineLevel="0" collapsed="false">
      <c r="A378" s="5"/>
      <c r="B378" s="5"/>
      <c r="C378" s="5"/>
      <c r="D378" s="5"/>
      <c r="E378" s="303"/>
      <c r="F378" s="30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customFormat="false" ht="15.75" hidden="false" customHeight="true" outlineLevel="0" collapsed="false">
      <c r="A379" s="5"/>
      <c r="B379" s="5"/>
      <c r="C379" s="5"/>
      <c r="D379" s="5"/>
      <c r="E379" s="303"/>
      <c r="F379" s="30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customFormat="false" ht="15.75" hidden="false" customHeight="true" outlineLevel="0" collapsed="false">
      <c r="A380" s="5"/>
      <c r="B380" s="5"/>
      <c r="C380" s="5"/>
      <c r="D380" s="5"/>
      <c r="E380" s="303"/>
      <c r="F380" s="30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customFormat="false" ht="15.75" hidden="false" customHeight="true" outlineLevel="0" collapsed="false">
      <c r="A381" s="5"/>
      <c r="B381" s="5"/>
      <c r="C381" s="5"/>
      <c r="D381" s="5"/>
      <c r="E381" s="303"/>
      <c r="F381" s="30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customFormat="false" ht="15.75" hidden="false" customHeight="true" outlineLevel="0" collapsed="false">
      <c r="A382" s="5"/>
      <c r="B382" s="5"/>
      <c r="C382" s="5"/>
      <c r="D382" s="5"/>
      <c r="E382" s="303"/>
      <c r="F382" s="30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customFormat="false" ht="15.75" hidden="false" customHeight="true" outlineLevel="0" collapsed="false">
      <c r="A383" s="5"/>
      <c r="B383" s="5"/>
      <c r="C383" s="5"/>
      <c r="D383" s="5"/>
      <c r="E383" s="303"/>
      <c r="F383" s="30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customFormat="false" ht="15.75" hidden="false" customHeight="true" outlineLevel="0" collapsed="false">
      <c r="A384" s="5"/>
      <c r="B384" s="5"/>
      <c r="C384" s="5"/>
      <c r="D384" s="5"/>
      <c r="E384" s="303"/>
      <c r="F384" s="30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customFormat="false" ht="15.75" hidden="false" customHeight="true" outlineLevel="0" collapsed="false">
      <c r="A385" s="5"/>
      <c r="B385" s="5"/>
      <c r="C385" s="5"/>
      <c r="D385" s="5"/>
      <c r="E385" s="303"/>
      <c r="F385" s="30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customFormat="false" ht="15.75" hidden="false" customHeight="true" outlineLevel="0" collapsed="false">
      <c r="A386" s="5"/>
      <c r="B386" s="5"/>
      <c r="C386" s="5"/>
      <c r="D386" s="5"/>
      <c r="E386" s="303"/>
      <c r="F386" s="30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customFormat="false" ht="15.75" hidden="false" customHeight="true" outlineLevel="0" collapsed="false">
      <c r="A387" s="5"/>
      <c r="B387" s="5"/>
      <c r="C387" s="5"/>
      <c r="D387" s="5"/>
      <c r="E387" s="303"/>
      <c r="F387" s="30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customFormat="false" ht="15.75" hidden="false" customHeight="true" outlineLevel="0" collapsed="false">
      <c r="A388" s="5"/>
      <c r="B388" s="5"/>
      <c r="C388" s="5"/>
      <c r="D388" s="5"/>
      <c r="E388" s="303"/>
      <c r="F388" s="30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customFormat="false" ht="15.75" hidden="false" customHeight="true" outlineLevel="0" collapsed="false">
      <c r="A389" s="5"/>
      <c r="B389" s="5"/>
      <c r="C389" s="5"/>
      <c r="D389" s="5"/>
      <c r="E389" s="303"/>
      <c r="F389" s="30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customFormat="false" ht="15.75" hidden="false" customHeight="true" outlineLevel="0" collapsed="false">
      <c r="A390" s="5"/>
      <c r="B390" s="5"/>
      <c r="C390" s="5"/>
      <c r="D390" s="5"/>
      <c r="E390" s="303"/>
      <c r="F390" s="30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customFormat="false" ht="15.75" hidden="false" customHeight="true" outlineLevel="0" collapsed="false">
      <c r="A391" s="5"/>
      <c r="B391" s="5"/>
      <c r="C391" s="5"/>
      <c r="D391" s="5"/>
      <c r="E391" s="303"/>
      <c r="F391" s="30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customFormat="false" ht="15.75" hidden="false" customHeight="true" outlineLevel="0" collapsed="false">
      <c r="A392" s="5"/>
      <c r="B392" s="5"/>
      <c r="C392" s="5"/>
      <c r="D392" s="5"/>
      <c r="E392" s="303"/>
      <c r="F392" s="30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customFormat="false" ht="15.75" hidden="false" customHeight="true" outlineLevel="0" collapsed="false">
      <c r="A393" s="5"/>
      <c r="B393" s="5"/>
      <c r="C393" s="5"/>
      <c r="D393" s="5"/>
      <c r="E393" s="303"/>
      <c r="F393" s="30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customFormat="false" ht="15.75" hidden="false" customHeight="true" outlineLevel="0" collapsed="false">
      <c r="A394" s="5"/>
      <c r="B394" s="5"/>
      <c r="C394" s="5"/>
      <c r="D394" s="5"/>
      <c r="E394" s="303"/>
      <c r="F394" s="30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customFormat="false" ht="15.75" hidden="false" customHeight="true" outlineLevel="0" collapsed="false">
      <c r="A395" s="5"/>
      <c r="B395" s="5"/>
      <c r="C395" s="5"/>
      <c r="D395" s="5"/>
      <c r="E395" s="303"/>
      <c r="F395" s="30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customFormat="false" ht="15.75" hidden="false" customHeight="true" outlineLevel="0" collapsed="false">
      <c r="A396" s="5"/>
      <c r="B396" s="5"/>
      <c r="C396" s="5"/>
      <c r="D396" s="5"/>
      <c r="E396" s="303"/>
      <c r="F396" s="30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customFormat="false" ht="15.75" hidden="false" customHeight="true" outlineLevel="0" collapsed="false">
      <c r="A397" s="5"/>
      <c r="B397" s="5"/>
      <c r="C397" s="5"/>
      <c r="D397" s="5"/>
      <c r="E397" s="303"/>
      <c r="F397" s="30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customFormat="false" ht="15.75" hidden="false" customHeight="true" outlineLevel="0" collapsed="false">
      <c r="A398" s="5"/>
      <c r="B398" s="5"/>
      <c r="C398" s="5"/>
      <c r="D398" s="5"/>
      <c r="E398" s="303"/>
      <c r="F398" s="30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customFormat="false" ht="15.75" hidden="false" customHeight="true" outlineLevel="0" collapsed="false">
      <c r="A399" s="5"/>
      <c r="B399" s="5"/>
      <c r="C399" s="5"/>
      <c r="D399" s="5"/>
      <c r="E399" s="303"/>
      <c r="F399" s="30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customFormat="false" ht="15.75" hidden="false" customHeight="true" outlineLevel="0" collapsed="false">
      <c r="A400" s="5"/>
      <c r="B400" s="5"/>
      <c r="C400" s="5"/>
      <c r="D400" s="5"/>
      <c r="E400" s="303"/>
      <c r="F400" s="30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customFormat="false" ht="15.75" hidden="false" customHeight="true" outlineLevel="0" collapsed="false">
      <c r="A401" s="5"/>
      <c r="B401" s="5"/>
      <c r="C401" s="5"/>
      <c r="D401" s="5"/>
      <c r="E401" s="303"/>
      <c r="F401" s="30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customFormat="false" ht="15.75" hidden="false" customHeight="true" outlineLevel="0" collapsed="false">
      <c r="A402" s="5"/>
      <c r="B402" s="5"/>
      <c r="C402" s="5"/>
      <c r="D402" s="5"/>
      <c r="E402" s="303"/>
      <c r="F402" s="30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customFormat="false" ht="15.75" hidden="false" customHeight="true" outlineLevel="0" collapsed="false">
      <c r="A403" s="5"/>
      <c r="B403" s="5"/>
      <c r="C403" s="5"/>
      <c r="D403" s="5"/>
      <c r="E403" s="303"/>
      <c r="F403" s="30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customFormat="false" ht="15.75" hidden="false" customHeight="true" outlineLevel="0" collapsed="false">
      <c r="A404" s="5"/>
      <c r="B404" s="5"/>
      <c r="C404" s="5"/>
      <c r="D404" s="5"/>
      <c r="E404" s="303"/>
      <c r="F404" s="30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customFormat="false" ht="15.75" hidden="false" customHeight="true" outlineLevel="0" collapsed="false">
      <c r="A405" s="5"/>
      <c r="B405" s="5"/>
      <c r="C405" s="5"/>
      <c r="D405" s="5"/>
      <c r="E405" s="303"/>
      <c r="F405" s="30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customFormat="false" ht="15.75" hidden="false" customHeight="true" outlineLevel="0" collapsed="false">
      <c r="A406" s="5"/>
      <c r="B406" s="5"/>
      <c r="C406" s="5"/>
      <c r="D406" s="5"/>
      <c r="E406" s="303"/>
      <c r="F406" s="30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customFormat="false" ht="15.75" hidden="false" customHeight="true" outlineLevel="0" collapsed="false">
      <c r="A407" s="5"/>
      <c r="B407" s="5"/>
      <c r="C407" s="5"/>
      <c r="D407" s="5"/>
      <c r="E407" s="303"/>
      <c r="F407" s="30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customFormat="false" ht="15.75" hidden="false" customHeight="true" outlineLevel="0" collapsed="false">
      <c r="A408" s="5"/>
      <c r="B408" s="5"/>
      <c r="C408" s="5"/>
      <c r="D408" s="5"/>
      <c r="E408" s="303"/>
      <c r="F408" s="30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customFormat="false" ht="15.75" hidden="false" customHeight="true" outlineLevel="0" collapsed="false">
      <c r="A409" s="5"/>
      <c r="B409" s="5"/>
      <c r="C409" s="5"/>
      <c r="D409" s="5"/>
      <c r="E409" s="303"/>
      <c r="F409" s="30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customFormat="false" ht="15.75" hidden="false" customHeight="true" outlineLevel="0" collapsed="false">
      <c r="A410" s="5"/>
      <c r="B410" s="5"/>
      <c r="C410" s="5"/>
      <c r="D410" s="5"/>
      <c r="E410" s="303"/>
      <c r="F410" s="30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customFormat="false" ht="15.75" hidden="false" customHeight="true" outlineLevel="0" collapsed="false">
      <c r="A411" s="5"/>
      <c r="B411" s="5"/>
      <c r="C411" s="5"/>
      <c r="D411" s="5"/>
      <c r="E411" s="303"/>
      <c r="F411" s="30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customFormat="false" ht="15.75" hidden="false" customHeight="true" outlineLevel="0" collapsed="false">
      <c r="A412" s="5"/>
      <c r="B412" s="5"/>
      <c r="C412" s="5"/>
      <c r="D412" s="5"/>
      <c r="E412" s="303"/>
      <c r="F412" s="30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customFormat="false" ht="15.75" hidden="false" customHeight="true" outlineLevel="0" collapsed="false">
      <c r="A413" s="5"/>
      <c r="B413" s="5"/>
      <c r="C413" s="5"/>
      <c r="D413" s="5"/>
      <c r="E413" s="303"/>
      <c r="F413" s="30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customFormat="false" ht="15.75" hidden="false" customHeight="true" outlineLevel="0" collapsed="false">
      <c r="A414" s="5"/>
      <c r="B414" s="5"/>
      <c r="C414" s="5"/>
      <c r="D414" s="5"/>
      <c r="E414" s="303"/>
      <c r="F414" s="30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customFormat="false" ht="15.75" hidden="false" customHeight="true" outlineLevel="0" collapsed="false">
      <c r="A415" s="5"/>
      <c r="B415" s="5"/>
      <c r="C415" s="5"/>
      <c r="D415" s="5"/>
      <c r="E415" s="303"/>
      <c r="F415" s="30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customFormat="false" ht="15.75" hidden="false" customHeight="true" outlineLevel="0" collapsed="false">
      <c r="A416" s="5"/>
      <c r="B416" s="5"/>
      <c r="C416" s="5"/>
      <c r="D416" s="5"/>
      <c r="E416" s="303"/>
      <c r="F416" s="30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customFormat="false" ht="15.75" hidden="false" customHeight="true" outlineLevel="0" collapsed="false">
      <c r="A417" s="5"/>
      <c r="B417" s="5"/>
      <c r="C417" s="5"/>
      <c r="D417" s="5"/>
      <c r="E417" s="303"/>
      <c r="F417" s="30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customFormat="false" ht="15.75" hidden="false" customHeight="true" outlineLevel="0" collapsed="false">
      <c r="A418" s="5"/>
      <c r="B418" s="5"/>
      <c r="C418" s="5"/>
      <c r="D418" s="5"/>
      <c r="E418" s="303"/>
      <c r="F418" s="30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customFormat="false" ht="15.75" hidden="false" customHeight="true" outlineLevel="0" collapsed="false">
      <c r="A419" s="5"/>
      <c r="B419" s="5"/>
      <c r="C419" s="5"/>
      <c r="D419" s="5"/>
      <c r="E419" s="303"/>
      <c r="F419" s="30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customFormat="false" ht="15.75" hidden="false" customHeight="true" outlineLevel="0" collapsed="false">
      <c r="A420" s="5"/>
      <c r="B420" s="5"/>
      <c r="C420" s="5"/>
      <c r="D420" s="5"/>
      <c r="E420" s="303"/>
      <c r="F420" s="30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customFormat="false" ht="15.75" hidden="false" customHeight="true" outlineLevel="0" collapsed="false">
      <c r="A421" s="5"/>
      <c r="B421" s="5"/>
      <c r="C421" s="5"/>
      <c r="D421" s="5"/>
      <c r="E421" s="303"/>
      <c r="F421" s="30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customFormat="false" ht="15.75" hidden="false" customHeight="true" outlineLevel="0" collapsed="false">
      <c r="A422" s="5"/>
      <c r="B422" s="5"/>
      <c r="C422" s="5"/>
      <c r="D422" s="5"/>
      <c r="E422" s="303"/>
      <c r="F422" s="30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customFormat="false" ht="15.75" hidden="false" customHeight="true" outlineLevel="0" collapsed="false">
      <c r="A423" s="5"/>
      <c r="B423" s="5"/>
      <c r="C423" s="5"/>
      <c r="D423" s="5"/>
      <c r="E423" s="303"/>
      <c r="F423" s="30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customFormat="false" ht="15.75" hidden="false" customHeight="true" outlineLevel="0" collapsed="false">
      <c r="A424" s="5"/>
      <c r="B424" s="5"/>
      <c r="C424" s="5"/>
      <c r="D424" s="5"/>
      <c r="E424" s="303"/>
      <c r="F424" s="30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customFormat="false" ht="15.75" hidden="false" customHeight="true" outlineLevel="0" collapsed="false">
      <c r="A425" s="5"/>
      <c r="B425" s="5"/>
      <c r="C425" s="5"/>
      <c r="D425" s="5"/>
      <c r="E425" s="303"/>
      <c r="F425" s="30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customFormat="false" ht="15.75" hidden="false" customHeight="true" outlineLevel="0" collapsed="false">
      <c r="A426" s="5"/>
      <c r="B426" s="5"/>
      <c r="C426" s="5"/>
      <c r="D426" s="5"/>
      <c r="E426" s="303"/>
      <c r="F426" s="30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customFormat="false" ht="15.75" hidden="false" customHeight="true" outlineLevel="0" collapsed="false">
      <c r="A427" s="5"/>
      <c r="B427" s="5"/>
      <c r="C427" s="5"/>
      <c r="D427" s="5"/>
      <c r="E427" s="303"/>
      <c r="F427" s="30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customFormat="false" ht="15.75" hidden="false" customHeight="true" outlineLevel="0" collapsed="false">
      <c r="A428" s="5"/>
      <c r="B428" s="5"/>
      <c r="C428" s="5"/>
      <c r="D428" s="5"/>
      <c r="E428" s="303"/>
      <c r="F428" s="30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customFormat="false" ht="15.75" hidden="false" customHeight="true" outlineLevel="0" collapsed="false">
      <c r="A429" s="5"/>
      <c r="B429" s="5"/>
      <c r="C429" s="5"/>
      <c r="D429" s="5"/>
      <c r="E429" s="303"/>
      <c r="F429" s="30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customFormat="false" ht="15.75" hidden="false" customHeight="true" outlineLevel="0" collapsed="false">
      <c r="A430" s="5"/>
      <c r="B430" s="5"/>
      <c r="C430" s="5"/>
      <c r="D430" s="5"/>
      <c r="E430" s="303"/>
      <c r="F430" s="30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customFormat="false" ht="15.75" hidden="false" customHeight="true" outlineLevel="0" collapsed="false">
      <c r="A431" s="5"/>
      <c r="B431" s="5"/>
      <c r="C431" s="5"/>
      <c r="D431" s="5"/>
      <c r="E431" s="303"/>
      <c r="F431" s="30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customFormat="false" ht="15.75" hidden="false" customHeight="true" outlineLevel="0" collapsed="false">
      <c r="A432" s="5"/>
      <c r="B432" s="5"/>
      <c r="C432" s="5"/>
      <c r="D432" s="5"/>
      <c r="E432" s="303"/>
      <c r="F432" s="30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customFormat="false" ht="15.75" hidden="false" customHeight="true" outlineLevel="0" collapsed="false">
      <c r="A433" s="5"/>
      <c r="B433" s="5"/>
      <c r="C433" s="5"/>
      <c r="D433" s="5"/>
      <c r="E433" s="303"/>
      <c r="F433" s="30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customFormat="false" ht="15.75" hidden="false" customHeight="true" outlineLevel="0" collapsed="false">
      <c r="A434" s="5"/>
      <c r="B434" s="5"/>
      <c r="C434" s="5"/>
      <c r="D434" s="5"/>
      <c r="E434" s="303"/>
      <c r="F434" s="30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customFormat="false" ht="15.75" hidden="false" customHeight="true" outlineLevel="0" collapsed="false">
      <c r="A435" s="5"/>
      <c r="B435" s="5"/>
      <c r="C435" s="5"/>
      <c r="D435" s="5"/>
      <c r="E435" s="303"/>
      <c r="F435" s="30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customFormat="false" ht="15.75" hidden="false" customHeight="true" outlineLevel="0" collapsed="false">
      <c r="A436" s="5"/>
      <c r="B436" s="5"/>
      <c r="C436" s="5"/>
      <c r="D436" s="5"/>
      <c r="E436" s="303"/>
      <c r="F436" s="30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customFormat="false" ht="15.75" hidden="false" customHeight="true" outlineLevel="0" collapsed="false">
      <c r="A437" s="5"/>
      <c r="B437" s="5"/>
      <c r="C437" s="5"/>
      <c r="D437" s="5"/>
      <c r="E437" s="303"/>
      <c r="F437" s="30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customFormat="false" ht="15.75" hidden="false" customHeight="true" outlineLevel="0" collapsed="false">
      <c r="A438" s="5"/>
      <c r="B438" s="5"/>
      <c r="C438" s="5"/>
      <c r="D438" s="5"/>
      <c r="E438" s="303"/>
      <c r="F438" s="30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customFormat="false" ht="15.75" hidden="false" customHeight="true" outlineLevel="0" collapsed="false">
      <c r="A439" s="5"/>
      <c r="B439" s="5"/>
      <c r="C439" s="5"/>
      <c r="D439" s="5"/>
      <c r="E439" s="303"/>
      <c r="F439" s="30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customFormat="false" ht="15.75" hidden="false" customHeight="true" outlineLevel="0" collapsed="false">
      <c r="A440" s="5"/>
      <c r="B440" s="5"/>
      <c r="C440" s="5"/>
      <c r="D440" s="5"/>
      <c r="E440" s="303"/>
      <c r="F440" s="30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customFormat="false" ht="15.75" hidden="false" customHeight="true" outlineLevel="0" collapsed="false">
      <c r="A441" s="5"/>
      <c r="B441" s="5"/>
      <c r="C441" s="5"/>
      <c r="D441" s="5"/>
      <c r="E441" s="303"/>
      <c r="F441" s="30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customFormat="false" ht="15.75" hidden="false" customHeight="true" outlineLevel="0" collapsed="false">
      <c r="A442" s="5"/>
      <c r="B442" s="5"/>
      <c r="C442" s="5"/>
      <c r="D442" s="5"/>
      <c r="E442" s="303"/>
      <c r="F442" s="30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customFormat="false" ht="15.75" hidden="false" customHeight="true" outlineLevel="0" collapsed="false">
      <c r="A443" s="5"/>
      <c r="B443" s="5"/>
      <c r="C443" s="5"/>
      <c r="D443" s="5"/>
      <c r="E443" s="303"/>
      <c r="F443" s="30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customFormat="false" ht="15.75" hidden="false" customHeight="true" outlineLevel="0" collapsed="false">
      <c r="A444" s="5"/>
      <c r="B444" s="5"/>
      <c r="C444" s="5"/>
      <c r="D444" s="5"/>
      <c r="E444" s="303"/>
      <c r="F444" s="30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customFormat="false" ht="15.75" hidden="false" customHeight="true" outlineLevel="0" collapsed="false">
      <c r="A445" s="5"/>
      <c r="B445" s="5"/>
      <c r="C445" s="5"/>
      <c r="D445" s="5"/>
      <c r="E445" s="303"/>
      <c r="F445" s="30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customFormat="false" ht="15.75" hidden="false" customHeight="true" outlineLevel="0" collapsed="false">
      <c r="A446" s="5"/>
      <c r="B446" s="5"/>
      <c r="C446" s="5"/>
      <c r="D446" s="5"/>
      <c r="E446" s="303"/>
      <c r="F446" s="30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customFormat="false" ht="15.75" hidden="false" customHeight="true" outlineLevel="0" collapsed="false">
      <c r="A447" s="5"/>
      <c r="B447" s="5"/>
      <c r="C447" s="5"/>
      <c r="D447" s="5"/>
      <c r="E447" s="303"/>
      <c r="F447" s="30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customFormat="false" ht="15.75" hidden="false" customHeight="true" outlineLevel="0" collapsed="false">
      <c r="A448" s="5"/>
      <c r="B448" s="5"/>
      <c r="C448" s="5"/>
      <c r="D448" s="5"/>
      <c r="E448" s="303"/>
      <c r="F448" s="30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customFormat="false" ht="15.75" hidden="false" customHeight="true" outlineLevel="0" collapsed="false">
      <c r="A449" s="5"/>
      <c r="B449" s="5"/>
      <c r="C449" s="5"/>
      <c r="D449" s="5"/>
      <c r="E449" s="303"/>
      <c r="F449" s="30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customFormat="false" ht="15.75" hidden="false" customHeight="true" outlineLevel="0" collapsed="false">
      <c r="A450" s="5"/>
      <c r="B450" s="5"/>
      <c r="C450" s="5"/>
      <c r="D450" s="5"/>
      <c r="E450" s="303"/>
      <c r="F450" s="30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customFormat="false" ht="15.75" hidden="false" customHeight="true" outlineLevel="0" collapsed="false">
      <c r="A451" s="5"/>
      <c r="B451" s="5"/>
      <c r="C451" s="5"/>
      <c r="D451" s="5"/>
      <c r="E451" s="303"/>
      <c r="F451" s="30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customFormat="false" ht="15.75" hidden="false" customHeight="true" outlineLevel="0" collapsed="false">
      <c r="A452" s="5"/>
      <c r="B452" s="5"/>
      <c r="C452" s="5"/>
      <c r="D452" s="5"/>
      <c r="E452" s="303"/>
      <c r="F452" s="30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customFormat="false" ht="15.75" hidden="false" customHeight="true" outlineLevel="0" collapsed="false">
      <c r="A453" s="5"/>
      <c r="B453" s="5"/>
      <c r="C453" s="5"/>
      <c r="D453" s="5"/>
      <c r="E453" s="303"/>
      <c r="F453" s="30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customFormat="false" ht="15.75" hidden="false" customHeight="true" outlineLevel="0" collapsed="false">
      <c r="A454" s="5"/>
      <c r="B454" s="5"/>
      <c r="C454" s="5"/>
      <c r="D454" s="5"/>
      <c r="E454" s="303"/>
      <c r="F454" s="30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customFormat="false" ht="15.75" hidden="false" customHeight="true" outlineLevel="0" collapsed="false">
      <c r="A455" s="5"/>
      <c r="B455" s="5"/>
      <c r="C455" s="5"/>
      <c r="D455" s="5"/>
      <c r="E455" s="303"/>
      <c r="F455" s="30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customFormat="false" ht="15.75" hidden="false" customHeight="true" outlineLevel="0" collapsed="false">
      <c r="A456" s="5"/>
      <c r="B456" s="5"/>
      <c r="C456" s="5"/>
      <c r="D456" s="5"/>
      <c r="E456" s="303"/>
      <c r="F456" s="30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customFormat="false" ht="15.75" hidden="false" customHeight="true" outlineLevel="0" collapsed="false">
      <c r="A457" s="5"/>
      <c r="B457" s="5"/>
      <c r="C457" s="5"/>
      <c r="D457" s="5"/>
      <c r="E457" s="303"/>
      <c r="F457" s="30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customFormat="false" ht="15.75" hidden="false" customHeight="true" outlineLevel="0" collapsed="false">
      <c r="A458" s="5"/>
      <c r="B458" s="5"/>
      <c r="C458" s="5"/>
      <c r="D458" s="5"/>
      <c r="E458" s="303"/>
      <c r="F458" s="30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customFormat="false" ht="15.75" hidden="false" customHeight="true" outlineLevel="0" collapsed="false">
      <c r="A459" s="5"/>
      <c r="B459" s="5"/>
      <c r="C459" s="5"/>
      <c r="D459" s="5"/>
      <c r="E459" s="303"/>
      <c r="F459" s="30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customFormat="false" ht="15.75" hidden="false" customHeight="true" outlineLevel="0" collapsed="false">
      <c r="A460" s="5"/>
      <c r="B460" s="5"/>
      <c r="C460" s="5"/>
      <c r="D460" s="5"/>
      <c r="E460" s="303"/>
      <c r="F460" s="30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customFormat="false" ht="15.75" hidden="false" customHeight="true" outlineLevel="0" collapsed="false">
      <c r="A461" s="5"/>
      <c r="B461" s="5"/>
      <c r="C461" s="5"/>
      <c r="D461" s="5"/>
      <c r="E461" s="303"/>
      <c r="F461" s="30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customFormat="false" ht="15.75" hidden="false" customHeight="true" outlineLevel="0" collapsed="false">
      <c r="A462" s="5"/>
      <c r="B462" s="5"/>
      <c r="C462" s="5"/>
      <c r="D462" s="5"/>
      <c r="E462" s="303"/>
      <c r="F462" s="30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customFormat="false" ht="15.75" hidden="false" customHeight="true" outlineLevel="0" collapsed="false">
      <c r="A463" s="5"/>
      <c r="B463" s="5"/>
      <c r="C463" s="5"/>
      <c r="D463" s="5"/>
      <c r="E463" s="303"/>
      <c r="F463" s="30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customFormat="false" ht="15.75" hidden="false" customHeight="true" outlineLevel="0" collapsed="false">
      <c r="A464" s="5"/>
      <c r="B464" s="5"/>
      <c r="C464" s="5"/>
      <c r="D464" s="5"/>
      <c r="E464" s="303"/>
      <c r="F464" s="30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customFormat="false" ht="15.75" hidden="false" customHeight="true" outlineLevel="0" collapsed="false">
      <c r="A465" s="5"/>
      <c r="B465" s="5"/>
      <c r="C465" s="5"/>
      <c r="D465" s="5"/>
      <c r="E465" s="303"/>
      <c r="F465" s="30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customFormat="false" ht="15.75" hidden="false" customHeight="true" outlineLevel="0" collapsed="false">
      <c r="A466" s="5"/>
      <c r="B466" s="5"/>
      <c r="C466" s="5"/>
      <c r="D466" s="5"/>
      <c r="E466" s="303"/>
      <c r="F466" s="30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customFormat="false" ht="15.75" hidden="false" customHeight="true" outlineLevel="0" collapsed="false">
      <c r="A467" s="5"/>
      <c r="B467" s="5"/>
      <c r="C467" s="5"/>
      <c r="D467" s="5"/>
      <c r="E467" s="303"/>
      <c r="F467" s="30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customFormat="false" ht="15.75" hidden="false" customHeight="true" outlineLevel="0" collapsed="false">
      <c r="A468" s="5"/>
      <c r="B468" s="5"/>
      <c r="C468" s="5"/>
      <c r="D468" s="5"/>
      <c r="E468" s="303"/>
      <c r="F468" s="30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customFormat="false" ht="15.75" hidden="false" customHeight="true" outlineLevel="0" collapsed="false">
      <c r="A469" s="5"/>
      <c r="B469" s="5"/>
      <c r="C469" s="5"/>
      <c r="D469" s="5"/>
      <c r="E469" s="303"/>
      <c r="F469" s="30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customFormat="false" ht="15.75" hidden="false" customHeight="true" outlineLevel="0" collapsed="false">
      <c r="A470" s="5"/>
      <c r="B470" s="5"/>
      <c r="C470" s="5"/>
      <c r="D470" s="5"/>
      <c r="E470" s="303"/>
      <c r="F470" s="30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customFormat="false" ht="15.75" hidden="false" customHeight="true" outlineLevel="0" collapsed="false">
      <c r="A471" s="5"/>
      <c r="B471" s="5"/>
      <c r="C471" s="5"/>
      <c r="D471" s="5"/>
      <c r="E471" s="303"/>
      <c r="F471" s="30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customFormat="false" ht="15.75" hidden="false" customHeight="true" outlineLevel="0" collapsed="false">
      <c r="A472" s="5"/>
      <c r="B472" s="5"/>
      <c r="C472" s="5"/>
      <c r="D472" s="5"/>
      <c r="E472" s="303"/>
      <c r="F472" s="30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customFormat="false" ht="15.75" hidden="false" customHeight="true" outlineLevel="0" collapsed="false">
      <c r="A473" s="5"/>
      <c r="B473" s="5"/>
      <c r="C473" s="5"/>
      <c r="D473" s="5"/>
      <c r="E473" s="303"/>
      <c r="F473" s="30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customFormat="false" ht="15.75" hidden="false" customHeight="true" outlineLevel="0" collapsed="false">
      <c r="A474" s="5"/>
      <c r="B474" s="5"/>
      <c r="C474" s="5"/>
      <c r="D474" s="5"/>
      <c r="E474" s="303"/>
      <c r="F474" s="30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customFormat="false" ht="15.75" hidden="false" customHeight="true" outlineLevel="0" collapsed="false">
      <c r="A475" s="5"/>
      <c r="B475" s="5"/>
      <c r="C475" s="5"/>
      <c r="D475" s="5"/>
      <c r="E475" s="303"/>
      <c r="F475" s="30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customFormat="false" ht="15.75" hidden="false" customHeight="true" outlineLevel="0" collapsed="false">
      <c r="A476" s="5"/>
      <c r="B476" s="5"/>
      <c r="C476" s="5"/>
      <c r="D476" s="5"/>
      <c r="E476" s="303"/>
      <c r="F476" s="30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customFormat="false" ht="15.75" hidden="false" customHeight="true" outlineLevel="0" collapsed="false">
      <c r="A477" s="5"/>
      <c r="B477" s="5"/>
      <c r="C477" s="5"/>
      <c r="D477" s="5"/>
      <c r="E477" s="303"/>
      <c r="F477" s="30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customFormat="false" ht="15.75" hidden="false" customHeight="true" outlineLevel="0" collapsed="false">
      <c r="A478" s="5"/>
      <c r="B478" s="5"/>
      <c r="C478" s="5"/>
      <c r="D478" s="5"/>
      <c r="E478" s="303"/>
      <c r="F478" s="30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customFormat="false" ht="15.75" hidden="false" customHeight="true" outlineLevel="0" collapsed="false">
      <c r="A479" s="5"/>
      <c r="B479" s="5"/>
      <c r="C479" s="5"/>
      <c r="D479" s="5"/>
      <c r="E479" s="303"/>
      <c r="F479" s="30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customFormat="false" ht="15.75" hidden="false" customHeight="true" outlineLevel="0" collapsed="false">
      <c r="A480" s="5"/>
      <c r="B480" s="5"/>
      <c r="C480" s="5"/>
      <c r="D480" s="5"/>
      <c r="E480" s="303"/>
      <c r="F480" s="30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customFormat="false" ht="15.75" hidden="false" customHeight="true" outlineLevel="0" collapsed="false">
      <c r="A481" s="5"/>
      <c r="B481" s="5"/>
      <c r="C481" s="5"/>
      <c r="D481" s="5"/>
      <c r="E481" s="303"/>
      <c r="F481" s="30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customFormat="false" ht="15.75" hidden="false" customHeight="true" outlineLevel="0" collapsed="false">
      <c r="A482" s="5"/>
      <c r="B482" s="5"/>
      <c r="C482" s="5"/>
      <c r="D482" s="5"/>
      <c r="E482" s="303"/>
      <c r="F482" s="30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customFormat="false" ht="15.75" hidden="false" customHeight="true" outlineLevel="0" collapsed="false">
      <c r="A483" s="5"/>
      <c r="B483" s="5"/>
      <c r="C483" s="5"/>
      <c r="D483" s="5"/>
      <c r="E483" s="303"/>
      <c r="F483" s="30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customFormat="false" ht="15.75" hidden="false" customHeight="true" outlineLevel="0" collapsed="false">
      <c r="A484" s="5"/>
      <c r="B484" s="5"/>
      <c r="C484" s="5"/>
      <c r="D484" s="5"/>
      <c r="E484" s="303"/>
      <c r="F484" s="30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customFormat="false" ht="15.75" hidden="false" customHeight="true" outlineLevel="0" collapsed="false">
      <c r="A485" s="5"/>
      <c r="B485" s="5"/>
      <c r="C485" s="5"/>
      <c r="D485" s="5"/>
      <c r="E485" s="303"/>
      <c r="F485" s="30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customFormat="false" ht="15.75" hidden="false" customHeight="true" outlineLevel="0" collapsed="false">
      <c r="A486" s="5"/>
      <c r="B486" s="5"/>
      <c r="C486" s="5"/>
      <c r="D486" s="5"/>
      <c r="E486" s="303"/>
      <c r="F486" s="30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customFormat="false" ht="15.75" hidden="false" customHeight="true" outlineLevel="0" collapsed="false">
      <c r="A487" s="5"/>
      <c r="B487" s="5"/>
      <c r="C487" s="5"/>
      <c r="D487" s="5"/>
      <c r="E487" s="303"/>
      <c r="F487" s="30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customFormat="false" ht="15.75" hidden="false" customHeight="true" outlineLevel="0" collapsed="false">
      <c r="A488" s="5"/>
      <c r="B488" s="5"/>
      <c r="C488" s="5"/>
      <c r="D488" s="5"/>
      <c r="E488" s="303"/>
      <c r="F488" s="30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customFormat="false" ht="15.75" hidden="false" customHeight="true" outlineLevel="0" collapsed="false">
      <c r="A489" s="5"/>
      <c r="B489" s="5"/>
      <c r="C489" s="5"/>
      <c r="D489" s="5"/>
      <c r="E489" s="303"/>
      <c r="F489" s="30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customFormat="false" ht="15.75" hidden="false" customHeight="true" outlineLevel="0" collapsed="false">
      <c r="A490" s="5"/>
      <c r="B490" s="5"/>
      <c r="C490" s="5"/>
      <c r="D490" s="5"/>
      <c r="E490" s="303"/>
      <c r="F490" s="30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customFormat="false" ht="15.75" hidden="false" customHeight="true" outlineLevel="0" collapsed="false">
      <c r="A491" s="5"/>
      <c r="B491" s="5"/>
      <c r="C491" s="5"/>
      <c r="D491" s="5"/>
      <c r="E491" s="303"/>
      <c r="F491" s="30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customFormat="false" ht="15.75" hidden="false" customHeight="true" outlineLevel="0" collapsed="false">
      <c r="A492" s="5"/>
      <c r="B492" s="5"/>
      <c r="C492" s="5"/>
      <c r="D492" s="5"/>
      <c r="E492" s="303"/>
      <c r="F492" s="30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customFormat="false" ht="15.75" hidden="false" customHeight="true" outlineLevel="0" collapsed="false">
      <c r="A493" s="5"/>
      <c r="B493" s="5"/>
      <c r="C493" s="5"/>
      <c r="D493" s="5"/>
      <c r="E493" s="303"/>
      <c r="F493" s="30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customFormat="false" ht="15.75" hidden="false" customHeight="true" outlineLevel="0" collapsed="false">
      <c r="A494" s="5"/>
      <c r="B494" s="5"/>
      <c r="C494" s="5"/>
      <c r="D494" s="5"/>
      <c r="E494" s="303"/>
      <c r="F494" s="30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customFormat="false" ht="15.75" hidden="false" customHeight="true" outlineLevel="0" collapsed="false">
      <c r="A495" s="5"/>
      <c r="B495" s="5"/>
      <c r="C495" s="5"/>
      <c r="D495" s="5"/>
      <c r="E495" s="303"/>
      <c r="F495" s="30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customFormat="false" ht="15.75" hidden="false" customHeight="true" outlineLevel="0" collapsed="false">
      <c r="A496" s="5"/>
      <c r="B496" s="5"/>
      <c r="C496" s="5"/>
      <c r="D496" s="5"/>
      <c r="E496" s="303"/>
      <c r="F496" s="30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customFormat="false" ht="15.75" hidden="false" customHeight="true" outlineLevel="0" collapsed="false">
      <c r="A497" s="5"/>
      <c r="B497" s="5"/>
      <c r="C497" s="5"/>
      <c r="D497" s="5"/>
      <c r="E497" s="303"/>
      <c r="F497" s="30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customFormat="false" ht="15.75" hidden="false" customHeight="true" outlineLevel="0" collapsed="false">
      <c r="A498" s="5"/>
      <c r="B498" s="5"/>
      <c r="C498" s="5"/>
      <c r="D498" s="5"/>
      <c r="E498" s="303"/>
      <c r="F498" s="30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customFormat="false" ht="15.75" hidden="false" customHeight="true" outlineLevel="0" collapsed="false">
      <c r="A499" s="5"/>
      <c r="B499" s="5"/>
      <c r="C499" s="5"/>
      <c r="D499" s="5"/>
      <c r="E499" s="303"/>
      <c r="F499" s="30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customFormat="false" ht="15.75" hidden="false" customHeight="true" outlineLevel="0" collapsed="false">
      <c r="A500" s="5"/>
      <c r="B500" s="5"/>
      <c r="C500" s="5"/>
      <c r="D500" s="5"/>
      <c r="E500" s="303"/>
      <c r="F500" s="30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customFormat="false" ht="15.75" hidden="false" customHeight="true" outlineLevel="0" collapsed="false">
      <c r="A501" s="5"/>
      <c r="B501" s="5"/>
      <c r="C501" s="5"/>
      <c r="D501" s="5"/>
      <c r="E501" s="303"/>
      <c r="F501" s="30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customFormat="false" ht="15.75" hidden="false" customHeight="true" outlineLevel="0" collapsed="false">
      <c r="A502" s="5"/>
      <c r="B502" s="5"/>
      <c r="C502" s="5"/>
      <c r="D502" s="5"/>
      <c r="E502" s="303"/>
      <c r="F502" s="30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customFormat="false" ht="15.75" hidden="false" customHeight="true" outlineLevel="0" collapsed="false">
      <c r="A503" s="5"/>
      <c r="B503" s="5"/>
      <c r="C503" s="5"/>
      <c r="D503" s="5"/>
      <c r="E503" s="303"/>
      <c r="F503" s="30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customFormat="false" ht="15.75" hidden="false" customHeight="true" outlineLevel="0" collapsed="false">
      <c r="A504" s="5"/>
      <c r="B504" s="5"/>
      <c r="C504" s="5"/>
      <c r="D504" s="5"/>
      <c r="E504" s="303"/>
      <c r="F504" s="30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customFormat="false" ht="15.75" hidden="false" customHeight="true" outlineLevel="0" collapsed="false">
      <c r="A505" s="5"/>
      <c r="B505" s="5"/>
      <c r="C505" s="5"/>
      <c r="D505" s="5"/>
      <c r="E505" s="303"/>
      <c r="F505" s="30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customFormat="false" ht="15.75" hidden="false" customHeight="true" outlineLevel="0" collapsed="false">
      <c r="A506" s="5"/>
      <c r="B506" s="5"/>
      <c r="C506" s="5"/>
      <c r="D506" s="5"/>
      <c r="E506" s="303"/>
      <c r="F506" s="30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customFormat="false" ht="15.75" hidden="false" customHeight="true" outlineLevel="0" collapsed="false">
      <c r="A507" s="5"/>
      <c r="B507" s="5"/>
      <c r="C507" s="5"/>
      <c r="D507" s="5"/>
      <c r="E507" s="303"/>
      <c r="F507" s="30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customFormat="false" ht="15.75" hidden="false" customHeight="true" outlineLevel="0" collapsed="false">
      <c r="A508" s="5"/>
      <c r="B508" s="5"/>
      <c r="C508" s="5"/>
      <c r="D508" s="5"/>
      <c r="E508" s="303"/>
      <c r="F508" s="30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customFormat="false" ht="15.75" hidden="false" customHeight="true" outlineLevel="0" collapsed="false">
      <c r="A509" s="5"/>
      <c r="B509" s="5"/>
      <c r="C509" s="5"/>
      <c r="D509" s="5"/>
      <c r="E509" s="303"/>
      <c r="F509" s="30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customFormat="false" ht="15.75" hidden="false" customHeight="true" outlineLevel="0" collapsed="false">
      <c r="A510" s="5"/>
      <c r="B510" s="5"/>
      <c r="C510" s="5"/>
      <c r="D510" s="5"/>
      <c r="E510" s="303"/>
      <c r="F510" s="30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customFormat="false" ht="15.75" hidden="false" customHeight="true" outlineLevel="0" collapsed="false">
      <c r="A511" s="5"/>
      <c r="B511" s="5"/>
      <c r="C511" s="5"/>
      <c r="D511" s="5"/>
      <c r="E511" s="303"/>
      <c r="F511" s="30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customFormat="false" ht="15.75" hidden="false" customHeight="true" outlineLevel="0" collapsed="false">
      <c r="A512" s="5"/>
      <c r="B512" s="5"/>
      <c r="C512" s="5"/>
      <c r="D512" s="5"/>
      <c r="E512" s="303"/>
      <c r="F512" s="30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customFormat="false" ht="15.75" hidden="false" customHeight="true" outlineLevel="0" collapsed="false">
      <c r="A513" s="5"/>
      <c r="B513" s="5"/>
      <c r="C513" s="5"/>
      <c r="D513" s="5"/>
      <c r="E513" s="303"/>
      <c r="F513" s="30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customFormat="false" ht="15.75" hidden="false" customHeight="true" outlineLevel="0" collapsed="false">
      <c r="A514" s="5"/>
      <c r="B514" s="5"/>
      <c r="C514" s="5"/>
      <c r="D514" s="5"/>
      <c r="E514" s="303"/>
      <c r="F514" s="30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customFormat="false" ht="15.75" hidden="false" customHeight="true" outlineLevel="0" collapsed="false">
      <c r="A515" s="5"/>
      <c r="B515" s="5"/>
      <c r="C515" s="5"/>
      <c r="D515" s="5"/>
      <c r="E515" s="303"/>
      <c r="F515" s="30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customFormat="false" ht="15.75" hidden="false" customHeight="true" outlineLevel="0" collapsed="false">
      <c r="A516" s="5"/>
      <c r="B516" s="5"/>
      <c r="C516" s="5"/>
      <c r="D516" s="5"/>
      <c r="E516" s="303"/>
      <c r="F516" s="30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customFormat="false" ht="15.75" hidden="false" customHeight="true" outlineLevel="0" collapsed="false">
      <c r="A517" s="5"/>
      <c r="B517" s="5"/>
      <c r="C517" s="5"/>
      <c r="D517" s="5"/>
      <c r="E517" s="303"/>
      <c r="F517" s="30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customFormat="false" ht="15.75" hidden="false" customHeight="true" outlineLevel="0" collapsed="false">
      <c r="A518" s="5"/>
      <c r="B518" s="5"/>
      <c r="C518" s="5"/>
      <c r="D518" s="5"/>
      <c r="E518" s="303"/>
      <c r="F518" s="30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customFormat="false" ht="15.75" hidden="false" customHeight="true" outlineLevel="0" collapsed="false">
      <c r="A519" s="5"/>
      <c r="B519" s="5"/>
      <c r="C519" s="5"/>
      <c r="D519" s="5"/>
      <c r="E519" s="303"/>
      <c r="F519" s="30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customFormat="false" ht="15.75" hidden="false" customHeight="true" outlineLevel="0" collapsed="false">
      <c r="A520" s="5"/>
      <c r="B520" s="5"/>
      <c r="C520" s="5"/>
      <c r="D520" s="5"/>
      <c r="E520" s="303"/>
      <c r="F520" s="30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customFormat="false" ht="15.75" hidden="false" customHeight="true" outlineLevel="0" collapsed="false">
      <c r="A521" s="5"/>
      <c r="B521" s="5"/>
      <c r="C521" s="5"/>
      <c r="D521" s="5"/>
      <c r="E521" s="303"/>
      <c r="F521" s="30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customFormat="false" ht="15.75" hidden="false" customHeight="true" outlineLevel="0" collapsed="false">
      <c r="A522" s="5"/>
      <c r="B522" s="5"/>
      <c r="C522" s="5"/>
      <c r="D522" s="5"/>
      <c r="E522" s="303"/>
      <c r="F522" s="30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customFormat="false" ht="15.75" hidden="false" customHeight="true" outlineLevel="0" collapsed="false">
      <c r="A523" s="5"/>
      <c r="B523" s="5"/>
      <c r="C523" s="5"/>
      <c r="D523" s="5"/>
      <c r="E523" s="303"/>
      <c r="F523" s="30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customFormat="false" ht="15.75" hidden="false" customHeight="true" outlineLevel="0" collapsed="false">
      <c r="A524" s="5"/>
      <c r="B524" s="5"/>
      <c r="C524" s="5"/>
      <c r="D524" s="5"/>
      <c r="E524" s="303"/>
      <c r="F524" s="30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customFormat="false" ht="15.75" hidden="false" customHeight="true" outlineLevel="0" collapsed="false">
      <c r="A525" s="5"/>
      <c r="B525" s="5"/>
      <c r="C525" s="5"/>
      <c r="D525" s="5"/>
      <c r="E525" s="303"/>
      <c r="F525" s="30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customFormat="false" ht="15.75" hidden="false" customHeight="true" outlineLevel="0" collapsed="false">
      <c r="A526" s="5"/>
      <c r="B526" s="5"/>
      <c r="C526" s="5"/>
      <c r="D526" s="5"/>
      <c r="E526" s="303"/>
      <c r="F526" s="30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customFormat="false" ht="15.75" hidden="false" customHeight="true" outlineLevel="0" collapsed="false">
      <c r="A527" s="5"/>
      <c r="B527" s="5"/>
      <c r="C527" s="5"/>
      <c r="D527" s="5"/>
      <c r="E527" s="303"/>
      <c r="F527" s="30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customFormat="false" ht="15.75" hidden="false" customHeight="true" outlineLevel="0" collapsed="false">
      <c r="A528" s="5"/>
      <c r="B528" s="5"/>
      <c r="C528" s="5"/>
      <c r="D528" s="5"/>
      <c r="E528" s="303"/>
      <c r="F528" s="30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customFormat="false" ht="15.75" hidden="false" customHeight="true" outlineLevel="0" collapsed="false">
      <c r="A529" s="5"/>
      <c r="B529" s="5"/>
      <c r="C529" s="5"/>
      <c r="D529" s="5"/>
      <c r="E529" s="303"/>
      <c r="F529" s="30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customFormat="false" ht="15.75" hidden="false" customHeight="true" outlineLevel="0" collapsed="false">
      <c r="A530" s="5"/>
      <c r="B530" s="5"/>
      <c r="C530" s="5"/>
      <c r="D530" s="5"/>
      <c r="E530" s="303"/>
      <c r="F530" s="30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customFormat="false" ht="15.75" hidden="false" customHeight="true" outlineLevel="0" collapsed="false">
      <c r="A531" s="5"/>
      <c r="B531" s="5"/>
      <c r="C531" s="5"/>
      <c r="D531" s="5"/>
      <c r="E531" s="303"/>
      <c r="F531" s="30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customFormat="false" ht="15.75" hidden="false" customHeight="true" outlineLevel="0" collapsed="false">
      <c r="A532" s="5"/>
      <c r="B532" s="5"/>
      <c r="C532" s="5"/>
      <c r="D532" s="5"/>
      <c r="E532" s="303"/>
      <c r="F532" s="30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customFormat="false" ht="15.75" hidden="false" customHeight="true" outlineLevel="0" collapsed="false">
      <c r="A533" s="5"/>
      <c r="B533" s="5"/>
      <c r="C533" s="5"/>
      <c r="D533" s="5"/>
      <c r="E533" s="303"/>
      <c r="F533" s="30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customFormat="false" ht="15.75" hidden="false" customHeight="true" outlineLevel="0" collapsed="false">
      <c r="A534" s="5"/>
      <c r="B534" s="5"/>
      <c r="C534" s="5"/>
      <c r="D534" s="5"/>
      <c r="E534" s="303"/>
      <c r="F534" s="30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customFormat="false" ht="15.75" hidden="false" customHeight="true" outlineLevel="0" collapsed="false">
      <c r="A535" s="5"/>
      <c r="B535" s="5"/>
      <c r="C535" s="5"/>
      <c r="D535" s="5"/>
      <c r="E535" s="303"/>
      <c r="F535" s="30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customFormat="false" ht="15.75" hidden="false" customHeight="true" outlineLevel="0" collapsed="false">
      <c r="A536" s="5"/>
      <c r="B536" s="5"/>
      <c r="C536" s="5"/>
      <c r="D536" s="5"/>
      <c r="E536" s="303"/>
      <c r="F536" s="30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customFormat="false" ht="15.75" hidden="false" customHeight="true" outlineLevel="0" collapsed="false">
      <c r="A537" s="5"/>
      <c r="B537" s="5"/>
      <c r="C537" s="5"/>
      <c r="D537" s="5"/>
      <c r="E537" s="303"/>
      <c r="F537" s="30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customFormat="false" ht="15.75" hidden="false" customHeight="true" outlineLevel="0" collapsed="false">
      <c r="A538" s="5"/>
      <c r="B538" s="5"/>
      <c r="C538" s="5"/>
      <c r="D538" s="5"/>
      <c r="E538" s="303"/>
      <c r="F538" s="30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customFormat="false" ht="15.75" hidden="false" customHeight="true" outlineLevel="0" collapsed="false">
      <c r="A539" s="5"/>
      <c r="B539" s="5"/>
      <c r="C539" s="5"/>
      <c r="D539" s="5"/>
      <c r="E539" s="303"/>
      <c r="F539" s="30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customFormat="false" ht="15.75" hidden="false" customHeight="true" outlineLevel="0" collapsed="false">
      <c r="A540" s="5"/>
      <c r="B540" s="5"/>
      <c r="C540" s="5"/>
      <c r="D540" s="5"/>
      <c r="E540" s="303"/>
      <c r="F540" s="30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customFormat="false" ht="15.75" hidden="false" customHeight="true" outlineLevel="0" collapsed="false">
      <c r="A541" s="5"/>
      <c r="B541" s="5"/>
      <c r="C541" s="5"/>
      <c r="D541" s="5"/>
      <c r="E541" s="303"/>
      <c r="F541" s="30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customFormat="false" ht="15.75" hidden="false" customHeight="true" outlineLevel="0" collapsed="false">
      <c r="A542" s="5"/>
      <c r="B542" s="5"/>
      <c r="C542" s="5"/>
      <c r="D542" s="5"/>
      <c r="E542" s="303"/>
      <c r="F542" s="30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customFormat="false" ht="15.75" hidden="false" customHeight="true" outlineLevel="0" collapsed="false">
      <c r="A543" s="5"/>
      <c r="B543" s="5"/>
      <c r="C543" s="5"/>
      <c r="D543" s="5"/>
      <c r="E543" s="303"/>
      <c r="F543" s="30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customFormat="false" ht="15.75" hidden="false" customHeight="true" outlineLevel="0" collapsed="false">
      <c r="A544" s="5"/>
      <c r="B544" s="5"/>
      <c r="C544" s="5"/>
      <c r="D544" s="5"/>
      <c r="E544" s="303"/>
      <c r="F544" s="30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customFormat="false" ht="15.75" hidden="false" customHeight="true" outlineLevel="0" collapsed="false">
      <c r="A545" s="5"/>
      <c r="B545" s="5"/>
      <c r="C545" s="5"/>
      <c r="D545" s="5"/>
      <c r="E545" s="303"/>
      <c r="F545" s="30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customFormat="false" ht="15.75" hidden="false" customHeight="true" outlineLevel="0" collapsed="false">
      <c r="A546" s="5"/>
      <c r="B546" s="5"/>
      <c r="C546" s="5"/>
      <c r="D546" s="5"/>
      <c r="E546" s="303"/>
      <c r="F546" s="30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customFormat="false" ht="15.75" hidden="false" customHeight="true" outlineLevel="0" collapsed="false">
      <c r="A547" s="5"/>
      <c r="B547" s="5"/>
      <c r="C547" s="5"/>
      <c r="D547" s="5"/>
      <c r="E547" s="303"/>
      <c r="F547" s="30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customFormat="false" ht="15.75" hidden="false" customHeight="true" outlineLevel="0" collapsed="false">
      <c r="A548" s="5"/>
      <c r="B548" s="5"/>
      <c r="C548" s="5"/>
      <c r="D548" s="5"/>
      <c r="E548" s="303"/>
      <c r="F548" s="30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customFormat="false" ht="15.75" hidden="false" customHeight="true" outlineLevel="0" collapsed="false">
      <c r="A549" s="5"/>
      <c r="B549" s="5"/>
      <c r="C549" s="5"/>
      <c r="D549" s="5"/>
      <c r="E549" s="303"/>
      <c r="F549" s="30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customFormat="false" ht="15.75" hidden="false" customHeight="true" outlineLevel="0" collapsed="false">
      <c r="A550" s="5"/>
      <c r="B550" s="5"/>
      <c r="C550" s="5"/>
      <c r="D550" s="5"/>
      <c r="E550" s="303"/>
      <c r="F550" s="30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customFormat="false" ht="15.75" hidden="false" customHeight="true" outlineLevel="0" collapsed="false">
      <c r="A551" s="5"/>
      <c r="B551" s="5"/>
      <c r="C551" s="5"/>
      <c r="D551" s="5"/>
      <c r="E551" s="303"/>
      <c r="F551" s="30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customFormat="false" ht="15.75" hidden="false" customHeight="true" outlineLevel="0" collapsed="false">
      <c r="A552" s="5"/>
      <c r="B552" s="5"/>
      <c r="C552" s="5"/>
      <c r="D552" s="5"/>
      <c r="E552" s="303"/>
      <c r="F552" s="30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customFormat="false" ht="15.75" hidden="false" customHeight="true" outlineLevel="0" collapsed="false">
      <c r="A553" s="5"/>
      <c r="B553" s="5"/>
      <c r="C553" s="5"/>
      <c r="D553" s="5"/>
      <c r="E553" s="303"/>
      <c r="F553" s="30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customFormat="false" ht="15.75" hidden="false" customHeight="true" outlineLevel="0" collapsed="false">
      <c r="A554" s="5"/>
      <c r="B554" s="5"/>
      <c r="C554" s="5"/>
      <c r="D554" s="5"/>
      <c r="E554" s="303"/>
      <c r="F554" s="30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customFormat="false" ht="15.75" hidden="false" customHeight="true" outlineLevel="0" collapsed="false">
      <c r="A555" s="5"/>
      <c r="B555" s="5"/>
      <c r="C555" s="5"/>
      <c r="D555" s="5"/>
      <c r="E555" s="303"/>
      <c r="F555" s="30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customFormat="false" ht="15.75" hidden="false" customHeight="true" outlineLevel="0" collapsed="false">
      <c r="A556" s="5"/>
      <c r="B556" s="5"/>
      <c r="C556" s="5"/>
      <c r="D556" s="5"/>
      <c r="E556" s="303"/>
      <c r="F556" s="30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customFormat="false" ht="15.75" hidden="false" customHeight="true" outlineLevel="0" collapsed="false">
      <c r="A557" s="5"/>
      <c r="B557" s="5"/>
      <c r="C557" s="5"/>
      <c r="D557" s="5"/>
      <c r="E557" s="303"/>
      <c r="F557" s="30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customFormat="false" ht="15.75" hidden="false" customHeight="true" outlineLevel="0" collapsed="false">
      <c r="A558" s="5"/>
      <c r="B558" s="5"/>
      <c r="C558" s="5"/>
      <c r="D558" s="5"/>
      <c r="E558" s="303"/>
      <c r="F558" s="30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customFormat="false" ht="15.75" hidden="false" customHeight="true" outlineLevel="0" collapsed="false">
      <c r="A559" s="5"/>
      <c r="B559" s="5"/>
      <c r="C559" s="5"/>
      <c r="D559" s="5"/>
      <c r="E559" s="303"/>
      <c r="F559" s="30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customFormat="false" ht="15.75" hidden="false" customHeight="true" outlineLevel="0" collapsed="false">
      <c r="A560" s="5"/>
      <c r="B560" s="5"/>
      <c r="C560" s="5"/>
      <c r="D560" s="5"/>
      <c r="E560" s="303"/>
      <c r="F560" s="30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customFormat="false" ht="15.75" hidden="false" customHeight="true" outlineLevel="0" collapsed="false">
      <c r="A561" s="5"/>
      <c r="B561" s="5"/>
      <c r="C561" s="5"/>
      <c r="D561" s="5"/>
      <c r="E561" s="303"/>
      <c r="F561" s="30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customFormat="false" ht="15.75" hidden="false" customHeight="true" outlineLevel="0" collapsed="false">
      <c r="A562" s="5"/>
      <c r="B562" s="5"/>
      <c r="C562" s="5"/>
      <c r="D562" s="5"/>
      <c r="E562" s="303"/>
      <c r="F562" s="30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customFormat="false" ht="15.75" hidden="false" customHeight="true" outlineLevel="0" collapsed="false">
      <c r="A563" s="5"/>
      <c r="B563" s="5"/>
      <c r="C563" s="5"/>
      <c r="D563" s="5"/>
      <c r="E563" s="303"/>
      <c r="F563" s="30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customFormat="false" ht="15.75" hidden="false" customHeight="true" outlineLevel="0" collapsed="false">
      <c r="A564" s="5"/>
      <c r="B564" s="5"/>
      <c r="C564" s="5"/>
      <c r="D564" s="5"/>
      <c r="E564" s="303"/>
      <c r="F564" s="30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customFormat="false" ht="15.75" hidden="false" customHeight="true" outlineLevel="0" collapsed="false">
      <c r="A565" s="5"/>
      <c r="B565" s="5"/>
      <c r="C565" s="5"/>
      <c r="D565" s="5"/>
      <c r="E565" s="303"/>
      <c r="F565" s="30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customFormat="false" ht="15.75" hidden="false" customHeight="true" outlineLevel="0" collapsed="false">
      <c r="A566" s="5"/>
      <c r="B566" s="5"/>
      <c r="C566" s="5"/>
      <c r="D566" s="5"/>
      <c r="E566" s="303"/>
      <c r="F566" s="30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customFormat="false" ht="15.75" hidden="false" customHeight="true" outlineLevel="0" collapsed="false">
      <c r="A567" s="5"/>
      <c r="B567" s="5"/>
      <c r="C567" s="5"/>
      <c r="D567" s="5"/>
      <c r="E567" s="303"/>
      <c r="F567" s="30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customFormat="false" ht="15.75" hidden="false" customHeight="true" outlineLevel="0" collapsed="false">
      <c r="A568" s="5"/>
      <c r="B568" s="5"/>
      <c r="C568" s="5"/>
      <c r="D568" s="5"/>
      <c r="E568" s="303"/>
      <c r="F568" s="30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customFormat="false" ht="15.75" hidden="false" customHeight="true" outlineLevel="0" collapsed="false">
      <c r="A569" s="5"/>
      <c r="B569" s="5"/>
      <c r="C569" s="5"/>
      <c r="D569" s="5"/>
      <c r="E569" s="303"/>
      <c r="F569" s="30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customFormat="false" ht="15.75" hidden="false" customHeight="true" outlineLevel="0" collapsed="false">
      <c r="A570" s="5"/>
      <c r="B570" s="5"/>
      <c r="C570" s="5"/>
      <c r="D570" s="5"/>
      <c r="E570" s="303"/>
      <c r="F570" s="30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customFormat="false" ht="15.75" hidden="false" customHeight="true" outlineLevel="0" collapsed="false">
      <c r="A571" s="5"/>
      <c r="B571" s="5"/>
      <c r="C571" s="5"/>
      <c r="D571" s="5"/>
      <c r="E571" s="303"/>
      <c r="F571" s="30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customFormat="false" ht="15.75" hidden="false" customHeight="true" outlineLevel="0" collapsed="false">
      <c r="A572" s="5"/>
      <c r="B572" s="5"/>
      <c r="C572" s="5"/>
      <c r="D572" s="5"/>
      <c r="E572" s="303"/>
      <c r="F572" s="30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customFormat="false" ht="15.75" hidden="false" customHeight="true" outlineLevel="0" collapsed="false">
      <c r="A573" s="5"/>
      <c r="B573" s="5"/>
      <c r="C573" s="5"/>
      <c r="D573" s="5"/>
      <c r="E573" s="303"/>
      <c r="F573" s="30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customFormat="false" ht="15.75" hidden="false" customHeight="true" outlineLevel="0" collapsed="false">
      <c r="A574" s="5"/>
      <c r="B574" s="5"/>
      <c r="C574" s="5"/>
      <c r="D574" s="5"/>
      <c r="E574" s="303"/>
      <c r="F574" s="30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customFormat="false" ht="15.75" hidden="false" customHeight="true" outlineLevel="0" collapsed="false">
      <c r="A575" s="5"/>
      <c r="B575" s="5"/>
      <c r="C575" s="5"/>
      <c r="D575" s="5"/>
      <c r="E575" s="303"/>
      <c r="F575" s="30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customFormat="false" ht="15.75" hidden="false" customHeight="true" outlineLevel="0" collapsed="false">
      <c r="A576" s="5"/>
      <c r="B576" s="5"/>
      <c r="C576" s="5"/>
      <c r="D576" s="5"/>
      <c r="E576" s="303"/>
      <c r="F576" s="30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customFormat="false" ht="15.75" hidden="false" customHeight="true" outlineLevel="0" collapsed="false">
      <c r="A577" s="5"/>
      <c r="B577" s="5"/>
      <c r="C577" s="5"/>
      <c r="D577" s="5"/>
      <c r="E577" s="303"/>
      <c r="F577" s="30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customFormat="false" ht="15.75" hidden="false" customHeight="true" outlineLevel="0" collapsed="false">
      <c r="A578" s="5"/>
      <c r="B578" s="5"/>
      <c r="C578" s="5"/>
      <c r="D578" s="5"/>
      <c r="E578" s="303"/>
      <c r="F578" s="30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customFormat="false" ht="15.75" hidden="false" customHeight="true" outlineLevel="0" collapsed="false">
      <c r="A579" s="5"/>
      <c r="B579" s="5"/>
      <c r="C579" s="5"/>
      <c r="D579" s="5"/>
      <c r="E579" s="303"/>
      <c r="F579" s="30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customFormat="false" ht="15.75" hidden="false" customHeight="true" outlineLevel="0" collapsed="false">
      <c r="A580" s="5"/>
      <c r="B580" s="5"/>
      <c r="C580" s="5"/>
      <c r="D580" s="5"/>
      <c r="E580" s="303"/>
      <c r="F580" s="30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customFormat="false" ht="15.75" hidden="false" customHeight="true" outlineLevel="0" collapsed="false">
      <c r="A581" s="5"/>
      <c r="B581" s="5"/>
      <c r="C581" s="5"/>
      <c r="D581" s="5"/>
      <c r="E581" s="303"/>
      <c r="F581" s="30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customFormat="false" ht="15.75" hidden="false" customHeight="true" outlineLevel="0" collapsed="false">
      <c r="A582" s="5"/>
      <c r="B582" s="5"/>
      <c r="C582" s="5"/>
      <c r="D582" s="5"/>
      <c r="E582" s="303"/>
      <c r="F582" s="30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customFormat="false" ht="15.75" hidden="false" customHeight="true" outlineLevel="0" collapsed="false">
      <c r="A583" s="5"/>
      <c r="B583" s="5"/>
      <c r="C583" s="5"/>
      <c r="D583" s="5"/>
      <c r="E583" s="303"/>
      <c r="F583" s="30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customFormat="false" ht="15.75" hidden="false" customHeight="true" outlineLevel="0" collapsed="false">
      <c r="A584" s="5"/>
      <c r="B584" s="5"/>
      <c r="C584" s="5"/>
      <c r="D584" s="5"/>
      <c r="E584" s="303"/>
      <c r="F584" s="30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customFormat="false" ht="15.75" hidden="false" customHeight="true" outlineLevel="0" collapsed="false">
      <c r="A585" s="5"/>
      <c r="B585" s="5"/>
      <c r="C585" s="5"/>
      <c r="D585" s="5"/>
      <c r="E585" s="303"/>
      <c r="F585" s="30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customFormat="false" ht="15.75" hidden="false" customHeight="true" outlineLevel="0" collapsed="false">
      <c r="A586" s="5"/>
      <c r="B586" s="5"/>
      <c r="C586" s="5"/>
      <c r="D586" s="5"/>
      <c r="E586" s="303"/>
      <c r="F586" s="30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customFormat="false" ht="15.75" hidden="false" customHeight="true" outlineLevel="0" collapsed="false">
      <c r="A587" s="5"/>
      <c r="B587" s="5"/>
      <c r="C587" s="5"/>
      <c r="D587" s="5"/>
      <c r="E587" s="303"/>
      <c r="F587" s="30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customFormat="false" ht="15.75" hidden="false" customHeight="true" outlineLevel="0" collapsed="false">
      <c r="A588" s="5"/>
      <c r="B588" s="5"/>
      <c r="C588" s="5"/>
      <c r="D588" s="5"/>
      <c r="E588" s="303"/>
      <c r="F588" s="30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customFormat="false" ht="15.75" hidden="false" customHeight="true" outlineLevel="0" collapsed="false">
      <c r="A589" s="5"/>
      <c r="B589" s="5"/>
      <c r="C589" s="5"/>
      <c r="D589" s="5"/>
      <c r="E589" s="303"/>
      <c r="F589" s="30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customFormat="false" ht="15.75" hidden="false" customHeight="true" outlineLevel="0" collapsed="false">
      <c r="A590" s="5"/>
      <c r="B590" s="5"/>
      <c r="C590" s="5"/>
      <c r="D590" s="5"/>
      <c r="E590" s="303"/>
      <c r="F590" s="30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customFormat="false" ht="15.75" hidden="false" customHeight="true" outlineLevel="0" collapsed="false">
      <c r="A591" s="5"/>
      <c r="B591" s="5"/>
      <c r="C591" s="5"/>
      <c r="D591" s="5"/>
      <c r="E591" s="303"/>
      <c r="F591" s="30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customFormat="false" ht="15.75" hidden="false" customHeight="true" outlineLevel="0" collapsed="false">
      <c r="A592" s="5"/>
      <c r="B592" s="5"/>
      <c r="C592" s="5"/>
      <c r="D592" s="5"/>
      <c r="E592" s="303"/>
      <c r="F592" s="30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customFormat="false" ht="15.75" hidden="false" customHeight="true" outlineLevel="0" collapsed="false">
      <c r="A593" s="5"/>
      <c r="B593" s="5"/>
      <c r="C593" s="5"/>
      <c r="D593" s="5"/>
      <c r="E593" s="303"/>
      <c r="F593" s="30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customFormat="false" ht="15.75" hidden="false" customHeight="true" outlineLevel="0" collapsed="false">
      <c r="A594" s="5"/>
      <c r="B594" s="5"/>
      <c r="C594" s="5"/>
      <c r="D594" s="5"/>
      <c r="E594" s="303"/>
      <c r="F594" s="30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customFormat="false" ht="15.75" hidden="false" customHeight="true" outlineLevel="0" collapsed="false">
      <c r="A595" s="5"/>
      <c r="B595" s="5"/>
      <c r="C595" s="5"/>
      <c r="D595" s="5"/>
      <c r="E595" s="303"/>
      <c r="F595" s="30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customFormat="false" ht="15.75" hidden="false" customHeight="true" outlineLevel="0" collapsed="false">
      <c r="A596" s="5"/>
      <c r="B596" s="5"/>
      <c r="C596" s="5"/>
      <c r="D596" s="5"/>
      <c r="E596" s="303"/>
      <c r="F596" s="30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customFormat="false" ht="15.75" hidden="false" customHeight="true" outlineLevel="0" collapsed="false">
      <c r="A597" s="5"/>
      <c r="B597" s="5"/>
      <c r="C597" s="5"/>
      <c r="D597" s="5"/>
      <c r="E597" s="303"/>
      <c r="F597" s="30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customFormat="false" ht="15.75" hidden="false" customHeight="true" outlineLevel="0" collapsed="false">
      <c r="A598" s="5"/>
      <c r="B598" s="5"/>
      <c r="C598" s="5"/>
      <c r="D598" s="5"/>
      <c r="E598" s="303"/>
      <c r="F598" s="30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customFormat="false" ht="15.75" hidden="false" customHeight="true" outlineLevel="0" collapsed="false">
      <c r="A599" s="5"/>
      <c r="B599" s="5"/>
      <c r="C599" s="5"/>
      <c r="D599" s="5"/>
      <c r="E599" s="303"/>
      <c r="F599" s="30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customFormat="false" ht="15.75" hidden="false" customHeight="true" outlineLevel="0" collapsed="false">
      <c r="A600" s="5"/>
      <c r="B600" s="5"/>
      <c r="C600" s="5"/>
      <c r="D600" s="5"/>
      <c r="E600" s="303"/>
      <c r="F600" s="30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customFormat="false" ht="15.75" hidden="false" customHeight="true" outlineLevel="0" collapsed="false">
      <c r="A601" s="5"/>
      <c r="B601" s="5"/>
      <c r="C601" s="5"/>
      <c r="D601" s="5"/>
      <c r="E601" s="303"/>
      <c r="F601" s="30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customFormat="false" ht="15.75" hidden="false" customHeight="true" outlineLevel="0" collapsed="false">
      <c r="A602" s="5"/>
      <c r="B602" s="5"/>
      <c r="C602" s="5"/>
      <c r="D602" s="5"/>
      <c r="E602" s="303"/>
      <c r="F602" s="30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customFormat="false" ht="15.75" hidden="false" customHeight="true" outlineLevel="0" collapsed="false">
      <c r="A603" s="5"/>
      <c r="B603" s="5"/>
      <c r="C603" s="5"/>
      <c r="D603" s="5"/>
      <c r="E603" s="303"/>
      <c r="F603" s="30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customFormat="false" ht="15.75" hidden="false" customHeight="true" outlineLevel="0" collapsed="false">
      <c r="A604" s="5"/>
      <c r="B604" s="5"/>
      <c r="C604" s="5"/>
      <c r="D604" s="5"/>
      <c r="E604" s="303"/>
      <c r="F604" s="30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customFormat="false" ht="15.75" hidden="false" customHeight="true" outlineLevel="0" collapsed="false">
      <c r="A605" s="5"/>
      <c r="B605" s="5"/>
      <c r="C605" s="5"/>
      <c r="D605" s="5"/>
      <c r="E605" s="303"/>
      <c r="F605" s="30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customFormat="false" ht="15.75" hidden="false" customHeight="true" outlineLevel="0" collapsed="false">
      <c r="A606" s="5"/>
      <c r="B606" s="5"/>
      <c r="C606" s="5"/>
      <c r="D606" s="5"/>
      <c r="E606" s="303"/>
      <c r="F606" s="30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customFormat="false" ht="15.75" hidden="false" customHeight="true" outlineLevel="0" collapsed="false">
      <c r="A607" s="5"/>
      <c r="B607" s="5"/>
      <c r="C607" s="5"/>
      <c r="D607" s="5"/>
      <c r="E607" s="303"/>
      <c r="F607" s="30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customFormat="false" ht="15.75" hidden="false" customHeight="true" outlineLevel="0" collapsed="false">
      <c r="A608" s="5"/>
      <c r="B608" s="5"/>
      <c r="C608" s="5"/>
      <c r="D608" s="5"/>
      <c r="E608" s="303"/>
      <c r="F608" s="30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customFormat="false" ht="15.75" hidden="false" customHeight="true" outlineLevel="0" collapsed="false">
      <c r="A609" s="5"/>
      <c r="B609" s="5"/>
      <c r="C609" s="5"/>
      <c r="D609" s="5"/>
      <c r="E609" s="303"/>
      <c r="F609" s="30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customFormat="false" ht="15.75" hidden="false" customHeight="true" outlineLevel="0" collapsed="false">
      <c r="A610" s="5"/>
      <c r="B610" s="5"/>
      <c r="C610" s="5"/>
      <c r="D610" s="5"/>
      <c r="E610" s="303"/>
      <c r="F610" s="30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customFormat="false" ht="15.75" hidden="false" customHeight="true" outlineLevel="0" collapsed="false">
      <c r="A611" s="5"/>
      <c r="B611" s="5"/>
      <c r="C611" s="5"/>
      <c r="D611" s="5"/>
      <c r="E611" s="303"/>
      <c r="F611" s="30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customFormat="false" ht="15.75" hidden="false" customHeight="true" outlineLevel="0" collapsed="false">
      <c r="A612" s="5"/>
      <c r="B612" s="5"/>
      <c r="C612" s="5"/>
      <c r="D612" s="5"/>
      <c r="E612" s="303"/>
      <c r="F612" s="30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customFormat="false" ht="15.75" hidden="false" customHeight="true" outlineLevel="0" collapsed="false">
      <c r="A613" s="5"/>
      <c r="B613" s="5"/>
      <c r="C613" s="5"/>
      <c r="D613" s="5"/>
      <c r="E613" s="303"/>
      <c r="F613" s="30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customFormat="false" ht="15.75" hidden="false" customHeight="true" outlineLevel="0" collapsed="false">
      <c r="A614" s="5"/>
      <c r="B614" s="5"/>
      <c r="C614" s="5"/>
      <c r="D614" s="5"/>
      <c r="E614" s="303"/>
      <c r="F614" s="30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customFormat="false" ht="15.75" hidden="false" customHeight="true" outlineLevel="0" collapsed="false">
      <c r="A615" s="5"/>
      <c r="B615" s="5"/>
      <c r="C615" s="5"/>
      <c r="D615" s="5"/>
      <c r="E615" s="303"/>
      <c r="F615" s="30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customFormat="false" ht="15.75" hidden="false" customHeight="true" outlineLevel="0" collapsed="false">
      <c r="A616" s="5"/>
      <c r="B616" s="5"/>
      <c r="C616" s="5"/>
      <c r="D616" s="5"/>
      <c r="E616" s="303"/>
      <c r="F616" s="30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customFormat="false" ht="15.75" hidden="false" customHeight="true" outlineLevel="0" collapsed="false">
      <c r="A617" s="5"/>
      <c r="B617" s="5"/>
      <c r="C617" s="5"/>
      <c r="D617" s="5"/>
      <c r="E617" s="303"/>
      <c r="F617" s="30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customFormat="false" ht="15.75" hidden="false" customHeight="true" outlineLevel="0" collapsed="false">
      <c r="A618" s="5"/>
      <c r="B618" s="5"/>
      <c r="C618" s="5"/>
      <c r="D618" s="5"/>
      <c r="E618" s="303"/>
      <c r="F618" s="30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customFormat="false" ht="15.75" hidden="false" customHeight="true" outlineLevel="0" collapsed="false">
      <c r="A619" s="5"/>
      <c r="B619" s="5"/>
      <c r="C619" s="5"/>
      <c r="D619" s="5"/>
      <c r="E619" s="303"/>
      <c r="F619" s="30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customFormat="false" ht="15.75" hidden="false" customHeight="true" outlineLevel="0" collapsed="false">
      <c r="A620" s="5"/>
      <c r="B620" s="5"/>
      <c r="C620" s="5"/>
      <c r="D620" s="5"/>
      <c r="E620" s="303"/>
      <c r="F620" s="30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customFormat="false" ht="15.75" hidden="false" customHeight="true" outlineLevel="0" collapsed="false">
      <c r="A621" s="5"/>
      <c r="B621" s="5"/>
      <c r="C621" s="5"/>
      <c r="D621" s="5"/>
      <c r="E621" s="303"/>
      <c r="F621" s="30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customFormat="false" ht="15.75" hidden="false" customHeight="true" outlineLevel="0" collapsed="false">
      <c r="A622" s="5"/>
      <c r="B622" s="5"/>
      <c r="C622" s="5"/>
      <c r="D622" s="5"/>
      <c r="E622" s="303"/>
      <c r="F622" s="30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customFormat="false" ht="15.75" hidden="false" customHeight="true" outlineLevel="0" collapsed="false">
      <c r="A623" s="5"/>
      <c r="B623" s="5"/>
      <c r="C623" s="5"/>
      <c r="D623" s="5"/>
      <c r="E623" s="303"/>
      <c r="F623" s="30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customFormat="false" ht="15.75" hidden="false" customHeight="true" outlineLevel="0" collapsed="false">
      <c r="A624" s="5"/>
      <c r="B624" s="5"/>
      <c r="C624" s="5"/>
      <c r="D624" s="5"/>
      <c r="E624" s="303"/>
      <c r="F624" s="30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customFormat="false" ht="15.75" hidden="false" customHeight="true" outlineLevel="0" collapsed="false">
      <c r="A625" s="5"/>
      <c r="B625" s="5"/>
      <c r="C625" s="5"/>
      <c r="D625" s="5"/>
      <c r="E625" s="303"/>
      <c r="F625" s="30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customFormat="false" ht="15.75" hidden="false" customHeight="true" outlineLevel="0" collapsed="false">
      <c r="A626" s="5"/>
      <c r="B626" s="5"/>
      <c r="C626" s="5"/>
      <c r="D626" s="5"/>
      <c r="E626" s="303"/>
      <c r="F626" s="30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customFormat="false" ht="15.75" hidden="false" customHeight="true" outlineLevel="0" collapsed="false">
      <c r="A627" s="5"/>
      <c r="B627" s="5"/>
      <c r="C627" s="5"/>
      <c r="D627" s="5"/>
      <c r="E627" s="303"/>
      <c r="F627" s="30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customFormat="false" ht="15.75" hidden="false" customHeight="true" outlineLevel="0" collapsed="false">
      <c r="A628" s="5"/>
      <c r="B628" s="5"/>
      <c r="C628" s="5"/>
      <c r="D628" s="5"/>
      <c r="E628" s="303"/>
      <c r="F628" s="30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customFormat="false" ht="15.75" hidden="false" customHeight="true" outlineLevel="0" collapsed="false">
      <c r="A629" s="5"/>
      <c r="B629" s="5"/>
      <c r="C629" s="5"/>
      <c r="D629" s="5"/>
      <c r="E629" s="303"/>
      <c r="F629" s="30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customFormat="false" ht="15.75" hidden="false" customHeight="true" outlineLevel="0" collapsed="false">
      <c r="A630" s="5"/>
      <c r="B630" s="5"/>
      <c r="C630" s="5"/>
      <c r="D630" s="5"/>
      <c r="E630" s="303"/>
      <c r="F630" s="30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customFormat="false" ht="15.75" hidden="false" customHeight="true" outlineLevel="0" collapsed="false">
      <c r="A631" s="5"/>
      <c r="B631" s="5"/>
      <c r="C631" s="5"/>
      <c r="D631" s="5"/>
      <c r="E631" s="303"/>
      <c r="F631" s="30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customFormat="false" ht="15.75" hidden="false" customHeight="true" outlineLevel="0" collapsed="false">
      <c r="A632" s="5"/>
      <c r="B632" s="5"/>
      <c r="C632" s="5"/>
      <c r="D632" s="5"/>
      <c r="E632" s="303"/>
      <c r="F632" s="30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customFormat="false" ht="15.75" hidden="false" customHeight="true" outlineLevel="0" collapsed="false">
      <c r="A633" s="5"/>
      <c r="B633" s="5"/>
      <c r="C633" s="5"/>
      <c r="D633" s="5"/>
      <c r="E633" s="303"/>
      <c r="F633" s="30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customFormat="false" ht="15.75" hidden="false" customHeight="true" outlineLevel="0" collapsed="false">
      <c r="A634" s="5"/>
      <c r="B634" s="5"/>
      <c r="C634" s="5"/>
      <c r="D634" s="5"/>
      <c r="E634" s="303"/>
      <c r="F634" s="30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customFormat="false" ht="15.75" hidden="false" customHeight="true" outlineLevel="0" collapsed="false">
      <c r="A635" s="5"/>
      <c r="B635" s="5"/>
      <c r="C635" s="5"/>
      <c r="D635" s="5"/>
      <c r="E635" s="303"/>
      <c r="F635" s="30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customFormat="false" ht="15.75" hidden="false" customHeight="true" outlineLevel="0" collapsed="false">
      <c r="A636" s="5"/>
      <c r="B636" s="5"/>
      <c r="C636" s="5"/>
      <c r="D636" s="5"/>
      <c r="E636" s="303"/>
      <c r="F636" s="30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customFormat="false" ht="15.75" hidden="false" customHeight="true" outlineLevel="0" collapsed="false">
      <c r="A637" s="5"/>
      <c r="B637" s="5"/>
      <c r="C637" s="5"/>
      <c r="D637" s="5"/>
      <c r="E637" s="303"/>
      <c r="F637" s="30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customFormat="false" ht="15.75" hidden="false" customHeight="true" outlineLevel="0" collapsed="false">
      <c r="A638" s="5"/>
      <c r="B638" s="5"/>
      <c r="C638" s="5"/>
      <c r="D638" s="5"/>
      <c r="E638" s="303"/>
      <c r="F638" s="30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customFormat="false" ht="15.75" hidden="false" customHeight="true" outlineLevel="0" collapsed="false">
      <c r="A639" s="5"/>
      <c r="B639" s="5"/>
      <c r="C639" s="5"/>
      <c r="D639" s="5"/>
      <c r="E639" s="303"/>
      <c r="F639" s="30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customFormat="false" ht="15.75" hidden="false" customHeight="true" outlineLevel="0" collapsed="false">
      <c r="A640" s="5"/>
      <c r="B640" s="5"/>
      <c r="C640" s="5"/>
      <c r="D640" s="5"/>
      <c r="E640" s="303"/>
      <c r="F640" s="30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customFormat="false" ht="15.75" hidden="false" customHeight="true" outlineLevel="0" collapsed="false">
      <c r="A641" s="5"/>
      <c r="B641" s="5"/>
      <c r="C641" s="5"/>
      <c r="D641" s="5"/>
      <c r="E641" s="303"/>
      <c r="F641" s="30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customFormat="false" ht="15.75" hidden="false" customHeight="true" outlineLevel="0" collapsed="false">
      <c r="A642" s="5"/>
      <c r="B642" s="5"/>
      <c r="C642" s="5"/>
      <c r="D642" s="5"/>
      <c r="E642" s="303"/>
      <c r="F642" s="30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customFormat="false" ht="15.75" hidden="false" customHeight="true" outlineLevel="0" collapsed="false">
      <c r="A643" s="5"/>
      <c r="B643" s="5"/>
      <c r="C643" s="5"/>
      <c r="D643" s="5"/>
      <c r="E643" s="303"/>
      <c r="F643" s="30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customFormat="false" ht="15.75" hidden="false" customHeight="true" outlineLevel="0" collapsed="false">
      <c r="A644" s="5"/>
      <c r="B644" s="5"/>
      <c r="C644" s="5"/>
      <c r="D644" s="5"/>
      <c r="E644" s="303"/>
      <c r="F644" s="30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customFormat="false" ht="15.75" hidden="false" customHeight="true" outlineLevel="0" collapsed="false">
      <c r="A645" s="5"/>
      <c r="B645" s="5"/>
      <c r="C645" s="5"/>
      <c r="D645" s="5"/>
      <c r="E645" s="303"/>
      <c r="F645" s="30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customFormat="false" ht="15.75" hidden="false" customHeight="true" outlineLevel="0" collapsed="false">
      <c r="A646" s="5"/>
      <c r="B646" s="5"/>
      <c r="C646" s="5"/>
      <c r="D646" s="5"/>
      <c r="E646" s="303"/>
      <c r="F646" s="30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customFormat="false" ht="15.75" hidden="false" customHeight="true" outlineLevel="0" collapsed="false">
      <c r="A647" s="5"/>
      <c r="B647" s="5"/>
      <c r="C647" s="5"/>
      <c r="D647" s="5"/>
      <c r="E647" s="303"/>
      <c r="F647" s="30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customFormat="false" ht="15.75" hidden="false" customHeight="true" outlineLevel="0" collapsed="false">
      <c r="A648" s="5"/>
      <c r="B648" s="5"/>
      <c r="C648" s="5"/>
      <c r="D648" s="5"/>
      <c r="E648" s="303"/>
      <c r="F648" s="30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customFormat="false" ht="15.75" hidden="false" customHeight="true" outlineLevel="0" collapsed="false">
      <c r="A649" s="5"/>
      <c r="B649" s="5"/>
      <c r="C649" s="5"/>
      <c r="D649" s="5"/>
      <c r="E649" s="303"/>
      <c r="F649" s="30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customFormat="false" ht="15.75" hidden="false" customHeight="true" outlineLevel="0" collapsed="false">
      <c r="A650" s="5"/>
      <c r="B650" s="5"/>
      <c r="C650" s="5"/>
      <c r="D650" s="5"/>
      <c r="E650" s="303"/>
      <c r="F650" s="30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customFormat="false" ht="15.75" hidden="false" customHeight="true" outlineLevel="0" collapsed="false">
      <c r="A651" s="5"/>
      <c r="B651" s="5"/>
      <c r="C651" s="5"/>
      <c r="D651" s="5"/>
      <c r="E651" s="303"/>
      <c r="F651" s="30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customFormat="false" ht="15.75" hidden="false" customHeight="true" outlineLevel="0" collapsed="false">
      <c r="A652" s="5"/>
      <c r="B652" s="5"/>
      <c r="C652" s="5"/>
      <c r="D652" s="5"/>
      <c r="E652" s="303"/>
      <c r="F652" s="30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customFormat="false" ht="15.75" hidden="false" customHeight="true" outlineLevel="0" collapsed="false">
      <c r="A653" s="5"/>
      <c r="B653" s="5"/>
      <c r="C653" s="5"/>
      <c r="D653" s="5"/>
      <c r="E653" s="303"/>
      <c r="F653" s="30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customFormat="false" ht="15.75" hidden="false" customHeight="true" outlineLevel="0" collapsed="false">
      <c r="A654" s="5"/>
      <c r="B654" s="5"/>
      <c r="C654" s="5"/>
      <c r="D654" s="5"/>
      <c r="E654" s="303"/>
      <c r="F654" s="30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customFormat="false" ht="15.75" hidden="false" customHeight="true" outlineLevel="0" collapsed="false">
      <c r="A655" s="5"/>
      <c r="B655" s="5"/>
      <c r="C655" s="5"/>
      <c r="D655" s="5"/>
      <c r="E655" s="303"/>
      <c r="F655" s="30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customFormat="false" ht="15.75" hidden="false" customHeight="true" outlineLevel="0" collapsed="false">
      <c r="A656" s="5"/>
      <c r="B656" s="5"/>
      <c r="C656" s="5"/>
      <c r="D656" s="5"/>
      <c r="E656" s="303"/>
      <c r="F656" s="30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customFormat="false" ht="15.75" hidden="false" customHeight="true" outlineLevel="0" collapsed="false">
      <c r="A657" s="5"/>
      <c r="B657" s="5"/>
      <c r="C657" s="5"/>
      <c r="D657" s="5"/>
      <c r="E657" s="303"/>
      <c r="F657" s="30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customFormat="false" ht="15.75" hidden="false" customHeight="true" outlineLevel="0" collapsed="false">
      <c r="A658" s="5"/>
      <c r="B658" s="5"/>
      <c r="C658" s="5"/>
      <c r="D658" s="5"/>
      <c r="E658" s="303"/>
      <c r="F658" s="30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customFormat="false" ht="15.75" hidden="false" customHeight="true" outlineLevel="0" collapsed="false">
      <c r="A659" s="5"/>
      <c r="B659" s="5"/>
      <c r="C659" s="5"/>
      <c r="D659" s="5"/>
      <c r="E659" s="303"/>
      <c r="F659" s="30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customFormat="false" ht="15.75" hidden="false" customHeight="true" outlineLevel="0" collapsed="false">
      <c r="A660" s="5"/>
      <c r="B660" s="5"/>
      <c r="C660" s="5"/>
      <c r="D660" s="5"/>
      <c r="E660" s="303"/>
      <c r="F660" s="30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customFormat="false" ht="15.75" hidden="false" customHeight="true" outlineLevel="0" collapsed="false">
      <c r="A661" s="5"/>
      <c r="B661" s="5"/>
      <c r="C661" s="5"/>
      <c r="D661" s="5"/>
      <c r="E661" s="303"/>
      <c r="F661" s="30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customFormat="false" ht="15.75" hidden="false" customHeight="true" outlineLevel="0" collapsed="false">
      <c r="A662" s="5"/>
      <c r="B662" s="5"/>
      <c r="C662" s="5"/>
      <c r="D662" s="5"/>
      <c r="E662" s="303"/>
      <c r="F662" s="30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customFormat="false" ht="15.75" hidden="false" customHeight="true" outlineLevel="0" collapsed="false">
      <c r="A663" s="5"/>
      <c r="B663" s="5"/>
      <c r="C663" s="5"/>
      <c r="D663" s="5"/>
      <c r="E663" s="303"/>
      <c r="F663" s="30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customFormat="false" ht="15.75" hidden="false" customHeight="true" outlineLevel="0" collapsed="false">
      <c r="A664" s="5"/>
      <c r="B664" s="5"/>
      <c r="C664" s="5"/>
      <c r="D664" s="5"/>
      <c r="E664" s="303"/>
      <c r="F664" s="30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customFormat="false" ht="15.75" hidden="false" customHeight="true" outlineLevel="0" collapsed="false">
      <c r="A665" s="5"/>
      <c r="B665" s="5"/>
      <c r="C665" s="5"/>
      <c r="D665" s="5"/>
      <c r="E665" s="303"/>
      <c r="F665" s="30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customFormat="false" ht="15.75" hidden="false" customHeight="true" outlineLevel="0" collapsed="false">
      <c r="A666" s="5"/>
      <c r="B666" s="5"/>
      <c r="C666" s="5"/>
      <c r="D666" s="5"/>
      <c r="E666" s="303"/>
      <c r="F666" s="30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customFormat="false" ht="15.75" hidden="false" customHeight="true" outlineLevel="0" collapsed="false">
      <c r="A667" s="5"/>
      <c r="B667" s="5"/>
      <c r="C667" s="5"/>
      <c r="D667" s="5"/>
      <c r="E667" s="303"/>
      <c r="F667" s="30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customFormat="false" ht="15.75" hidden="false" customHeight="true" outlineLevel="0" collapsed="false">
      <c r="A668" s="5"/>
      <c r="B668" s="5"/>
      <c r="C668" s="5"/>
      <c r="D668" s="5"/>
      <c r="E668" s="303"/>
      <c r="F668" s="30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customFormat="false" ht="15.75" hidden="false" customHeight="true" outlineLevel="0" collapsed="false">
      <c r="A669" s="5"/>
      <c r="B669" s="5"/>
      <c r="C669" s="5"/>
      <c r="D669" s="5"/>
      <c r="E669" s="303"/>
      <c r="F669" s="30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customFormat="false" ht="15.75" hidden="false" customHeight="true" outlineLevel="0" collapsed="false">
      <c r="A670" s="5"/>
      <c r="B670" s="5"/>
      <c r="C670" s="5"/>
      <c r="D670" s="5"/>
      <c r="E670" s="303"/>
      <c r="F670" s="30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customFormat="false" ht="15.75" hidden="false" customHeight="true" outlineLevel="0" collapsed="false">
      <c r="A671" s="5"/>
      <c r="B671" s="5"/>
      <c r="C671" s="5"/>
      <c r="D671" s="5"/>
      <c r="E671" s="303"/>
      <c r="F671" s="30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customFormat="false" ht="15.75" hidden="false" customHeight="true" outlineLevel="0" collapsed="false">
      <c r="A672" s="5"/>
      <c r="B672" s="5"/>
      <c r="C672" s="5"/>
      <c r="D672" s="5"/>
      <c r="E672" s="303"/>
      <c r="F672" s="30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customFormat="false" ht="15.75" hidden="false" customHeight="true" outlineLevel="0" collapsed="false">
      <c r="A673" s="5"/>
      <c r="B673" s="5"/>
      <c r="C673" s="5"/>
      <c r="D673" s="5"/>
      <c r="E673" s="303"/>
      <c r="F673" s="30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customFormat="false" ht="15.75" hidden="false" customHeight="true" outlineLevel="0" collapsed="false">
      <c r="A674" s="5"/>
      <c r="B674" s="5"/>
      <c r="C674" s="5"/>
      <c r="D674" s="5"/>
      <c r="E674" s="303"/>
      <c r="F674" s="30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customFormat="false" ht="15.75" hidden="false" customHeight="true" outlineLevel="0" collapsed="false">
      <c r="A675" s="5"/>
      <c r="B675" s="5"/>
      <c r="C675" s="5"/>
      <c r="D675" s="5"/>
      <c r="E675" s="303"/>
      <c r="F675" s="30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customFormat="false" ht="15.75" hidden="false" customHeight="true" outlineLevel="0" collapsed="false">
      <c r="A730" s="5"/>
      <c r="B730" s="5"/>
      <c r="C730" s="5"/>
      <c r="D730" s="5"/>
      <c r="E730" s="303"/>
      <c r="F730" s="30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customFormat="false" ht="15.75" hidden="false" customHeight="true" outlineLevel="0" collapsed="false">
      <c r="A731" s="5"/>
      <c r="B731" s="5"/>
      <c r="C731" s="5"/>
      <c r="D731" s="5"/>
      <c r="E731" s="303"/>
      <c r="F731" s="30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customFormat="false" ht="15.75" hidden="false" customHeight="true" outlineLevel="0" collapsed="false">
      <c r="A748" s="5"/>
      <c r="B748" s="5"/>
      <c r="C748" s="5"/>
      <c r="D748" s="5"/>
      <c r="E748" s="303"/>
      <c r="F748" s="30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customFormat="false" ht="15.75" hidden="false" customHeight="true" outlineLevel="0" collapsed="false">
      <c r="A749" s="5"/>
      <c r="B749" s="5"/>
      <c r="C749" s="5"/>
      <c r="D749" s="5"/>
      <c r="E749" s="303"/>
      <c r="F749" s="30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customFormat="false" ht="15.75" hidden="false" customHeight="true" outlineLevel="0" collapsed="false">
      <c r="A750" s="5"/>
      <c r="B750" s="5"/>
      <c r="C750" s="5"/>
      <c r="D750" s="5"/>
      <c r="E750" s="303"/>
      <c r="F750" s="30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customFormat="false" ht="15.75" hidden="false" customHeight="true" outlineLevel="0" collapsed="false">
      <c r="A751" s="5"/>
      <c r="B751" s="5"/>
      <c r="C751" s="5"/>
      <c r="D751" s="5"/>
      <c r="E751" s="303"/>
      <c r="F751" s="30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customFormat="false" ht="15.75" hidden="false" customHeight="true" outlineLevel="0" collapsed="false">
      <c r="A752" s="5"/>
      <c r="B752" s="5"/>
      <c r="C752" s="5"/>
      <c r="D752" s="5"/>
      <c r="E752" s="303"/>
      <c r="F752" s="30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customFormat="false" ht="15.75" hidden="false" customHeight="true" outlineLevel="0" collapsed="false">
      <c r="A753" s="5"/>
      <c r="B753" s="5"/>
      <c r="C753" s="5"/>
      <c r="D753" s="5"/>
      <c r="E753" s="303"/>
      <c r="F753" s="30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customFormat="false" ht="15.75" hidden="false" customHeight="true" outlineLevel="0" collapsed="false">
      <c r="A754" s="5"/>
      <c r="B754" s="5"/>
      <c r="C754" s="5"/>
      <c r="D754" s="5"/>
      <c r="E754" s="303"/>
      <c r="F754" s="30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customFormat="false" ht="15.75" hidden="false" customHeight="true" outlineLevel="0" collapsed="false">
      <c r="A755" s="5"/>
      <c r="B755" s="5"/>
      <c r="C755" s="5"/>
      <c r="D755" s="5"/>
      <c r="E755" s="303"/>
      <c r="F755" s="30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customFormat="false" ht="15.75" hidden="false" customHeight="true" outlineLevel="0" collapsed="false">
      <c r="A756" s="5"/>
      <c r="B756" s="5"/>
      <c r="C756" s="5"/>
      <c r="D756" s="5"/>
      <c r="E756" s="303"/>
      <c r="F756" s="30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customFormat="false" ht="15.75" hidden="false" customHeight="true" outlineLevel="0" collapsed="false">
      <c r="A757" s="5"/>
      <c r="B757" s="5"/>
      <c r="C757" s="5"/>
      <c r="D757" s="5"/>
      <c r="E757" s="303"/>
      <c r="F757" s="30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customFormat="false" ht="15.75" hidden="false" customHeight="true" outlineLevel="0" collapsed="false">
      <c r="A758" s="5"/>
      <c r="B758" s="5"/>
      <c r="C758" s="5"/>
      <c r="D758" s="5"/>
      <c r="E758" s="303"/>
      <c r="F758" s="30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customFormat="false" ht="15.75" hidden="false" customHeight="true" outlineLevel="0" collapsed="false">
      <c r="A759" s="5"/>
      <c r="B759" s="5"/>
      <c r="C759" s="5"/>
      <c r="D759" s="5"/>
      <c r="E759" s="303"/>
      <c r="F759" s="30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customFormat="false" ht="15.75" hidden="false" customHeight="true" outlineLevel="0" collapsed="false">
      <c r="A760" s="5"/>
      <c r="B760" s="5"/>
      <c r="C760" s="5"/>
      <c r="D760" s="5"/>
      <c r="E760" s="303"/>
      <c r="F760" s="30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customFormat="false" ht="15.75" hidden="false" customHeight="true" outlineLevel="0" collapsed="false">
      <c r="A761" s="5"/>
      <c r="B761" s="5"/>
      <c r="C761" s="5"/>
      <c r="D761" s="5"/>
      <c r="E761" s="303"/>
      <c r="F761" s="30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customFormat="false" ht="15.75" hidden="false" customHeight="true" outlineLevel="0" collapsed="false">
      <c r="A762" s="5"/>
      <c r="B762" s="5"/>
      <c r="C762" s="5"/>
      <c r="D762" s="5"/>
      <c r="E762" s="303"/>
      <c r="F762" s="30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customFormat="false" ht="15.75" hidden="false" customHeight="true" outlineLevel="0" collapsed="false">
      <c r="A763" s="5"/>
      <c r="B763" s="5"/>
      <c r="C763" s="5"/>
      <c r="D763" s="5"/>
      <c r="E763" s="303"/>
      <c r="F763" s="30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customFormat="false" ht="15.75" hidden="false" customHeight="true" outlineLevel="0" collapsed="false">
      <c r="A764" s="5"/>
      <c r="B764" s="5"/>
      <c r="C764" s="5"/>
      <c r="D764" s="5"/>
      <c r="E764" s="303"/>
      <c r="F764" s="30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customFormat="false" ht="15.75" hidden="false" customHeight="true" outlineLevel="0" collapsed="false">
      <c r="A765" s="5"/>
      <c r="B765" s="5"/>
      <c r="C765" s="5"/>
      <c r="D765" s="5"/>
      <c r="E765" s="303"/>
      <c r="F765" s="30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customFormat="false" ht="15.75" hidden="false" customHeight="true" outlineLevel="0" collapsed="false">
      <c r="A766" s="5"/>
      <c r="B766" s="5"/>
      <c r="C766" s="5"/>
      <c r="D766" s="5"/>
      <c r="E766" s="303"/>
      <c r="F766" s="30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customFormat="false" ht="15.75" hidden="false" customHeight="true" outlineLevel="0" collapsed="false">
      <c r="A767" s="5"/>
      <c r="B767" s="5"/>
      <c r="C767" s="5"/>
      <c r="D767" s="5"/>
      <c r="E767" s="303"/>
      <c r="F767" s="30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customFormat="false" ht="15.75" hidden="false" customHeight="true" outlineLevel="0" collapsed="false">
      <c r="A768" s="5"/>
      <c r="B768" s="5"/>
      <c r="C768" s="5"/>
      <c r="D768" s="5"/>
      <c r="E768" s="303"/>
      <c r="F768" s="30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customFormat="false" ht="15.75" hidden="false" customHeight="true" outlineLevel="0" collapsed="false">
      <c r="A769" s="5"/>
      <c r="B769" s="5"/>
      <c r="C769" s="5"/>
      <c r="D769" s="5"/>
      <c r="E769" s="303"/>
      <c r="F769" s="30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customFormat="false" ht="15.75" hidden="false" customHeight="true" outlineLevel="0" collapsed="false">
      <c r="A770" s="5"/>
      <c r="B770" s="5"/>
      <c r="C770" s="5"/>
      <c r="D770" s="5"/>
      <c r="E770" s="303"/>
      <c r="F770" s="30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customFormat="false" ht="15.75" hidden="false" customHeight="true" outlineLevel="0" collapsed="false">
      <c r="A771" s="5"/>
      <c r="B771" s="5"/>
      <c r="C771" s="5"/>
      <c r="D771" s="5"/>
      <c r="E771" s="303"/>
      <c r="F771" s="30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customFormat="false" ht="15.75" hidden="false" customHeight="true" outlineLevel="0" collapsed="false">
      <c r="A772" s="5"/>
      <c r="B772" s="5"/>
      <c r="C772" s="5"/>
      <c r="D772" s="5"/>
      <c r="E772" s="303"/>
      <c r="F772" s="30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customFormat="false" ht="15.75" hidden="false" customHeight="true" outlineLevel="0" collapsed="false">
      <c r="A773" s="5"/>
      <c r="B773" s="5"/>
      <c r="C773" s="5"/>
      <c r="D773" s="5"/>
      <c r="E773" s="303"/>
      <c r="F773" s="30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customFormat="false" ht="15.75" hidden="false" customHeight="true" outlineLevel="0" collapsed="false">
      <c r="A774" s="5"/>
      <c r="B774" s="5"/>
      <c r="C774" s="5"/>
      <c r="D774" s="5"/>
      <c r="E774" s="303"/>
      <c r="F774" s="30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customFormat="false" ht="15.75" hidden="false" customHeight="true" outlineLevel="0" collapsed="false">
      <c r="A775" s="5"/>
      <c r="B775" s="5"/>
      <c r="C775" s="5"/>
      <c r="D775" s="5"/>
      <c r="E775" s="303"/>
      <c r="F775" s="30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customFormat="false" ht="15.75" hidden="false" customHeight="true" outlineLevel="0" collapsed="false">
      <c r="A776" s="5"/>
      <c r="B776" s="5"/>
      <c r="C776" s="5"/>
      <c r="D776" s="5"/>
      <c r="E776" s="303"/>
      <c r="F776" s="30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customFormat="false" ht="15.75" hidden="false" customHeight="true" outlineLevel="0" collapsed="false">
      <c r="A777" s="5"/>
      <c r="B777" s="5"/>
      <c r="C777" s="5"/>
      <c r="D777" s="5"/>
      <c r="E777" s="303"/>
      <c r="F777" s="30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customFormat="false" ht="15.75" hidden="false" customHeight="true" outlineLevel="0" collapsed="false">
      <c r="A778" s="5"/>
      <c r="B778" s="5"/>
      <c r="C778" s="5"/>
      <c r="D778" s="5"/>
      <c r="E778" s="303"/>
      <c r="F778" s="30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customFormat="false" ht="15.75" hidden="false" customHeight="true" outlineLevel="0" collapsed="false">
      <c r="A779" s="5"/>
      <c r="B779" s="5"/>
      <c r="C779" s="5"/>
      <c r="D779" s="5"/>
      <c r="E779" s="303"/>
      <c r="F779" s="30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customFormat="false" ht="15.75" hidden="false" customHeight="true" outlineLevel="0" collapsed="false">
      <c r="A780" s="5"/>
      <c r="B780" s="5"/>
      <c r="C780" s="5"/>
      <c r="D780" s="5"/>
      <c r="E780" s="303"/>
      <c r="F780" s="30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customFormat="false" ht="15.75" hidden="false" customHeight="true" outlineLevel="0" collapsed="false">
      <c r="A781" s="5"/>
      <c r="B781" s="5"/>
      <c r="C781" s="5"/>
      <c r="D781" s="5"/>
      <c r="E781" s="303"/>
      <c r="F781" s="30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customFormat="false" ht="15.75" hidden="false" customHeight="true" outlineLevel="0" collapsed="false">
      <c r="A782" s="5"/>
      <c r="B782" s="5"/>
      <c r="C782" s="5"/>
      <c r="D782" s="5"/>
      <c r="E782" s="303"/>
      <c r="F782" s="30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customFormat="false" ht="15.75" hidden="false" customHeight="true" outlineLevel="0" collapsed="false">
      <c r="A783" s="5"/>
      <c r="B783" s="5"/>
      <c r="C783" s="5"/>
      <c r="D783" s="5"/>
      <c r="E783" s="303"/>
      <c r="F783" s="30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customFormat="false" ht="15.75" hidden="false" customHeight="true" outlineLevel="0" collapsed="false">
      <c r="A784" s="5"/>
      <c r="B784" s="5"/>
      <c r="C784" s="5"/>
      <c r="D784" s="5"/>
      <c r="E784" s="303"/>
      <c r="F784" s="30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customFormat="false" ht="15.75" hidden="false" customHeight="true" outlineLevel="0" collapsed="false">
      <c r="A785" s="5"/>
      <c r="B785" s="5"/>
      <c r="C785" s="5"/>
      <c r="D785" s="5"/>
      <c r="E785" s="303"/>
      <c r="F785" s="30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customFormat="false" ht="15.75" hidden="false" customHeight="true" outlineLevel="0" collapsed="false">
      <c r="A786" s="5"/>
      <c r="B786" s="5"/>
      <c r="C786" s="5"/>
      <c r="D786" s="5"/>
      <c r="E786" s="303"/>
      <c r="F786" s="30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customFormat="false" ht="15.75" hidden="false" customHeight="true" outlineLevel="0" collapsed="false">
      <c r="A787" s="5"/>
      <c r="B787" s="5"/>
      <c r="C787" s="5"/>
      <c r="D787" s="5"/>
      <c r="E787" s="303"/>
      <c r="F787" s="30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customFormat="false" ht="15.75" hidden="false" customHeight="true" outlineLevel="0" collapsed="false">
      <c r="A788" s="5"/>
      <c r="B788" s="5"/>
      <c r="C788" s="5"/>
      <c r="D788" s="5"/>
      <c r="E788" s="303"/>
      <c r="F788" s="30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customFormat="false" ht="15.75" hidden="false" customHeight="true" outlineLevel="0" collapsed="false">
      <c r="A789" s="5"/>
      <c r="B789" s="5"/>
      <c r="C789" s="5"/>
      <c r="D789" s="5"/>
      <c r="E789" s="303"/>
      <c r="F789" s="30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customFormat="false" ht="15.75" hidden="false" customHeight="true" outlineLevel="0" collapsed="false">
      <c r="A790" s="5"/>
      <c r="B790" s="5"/>
      <c r="C790" s="5"/>
      <c r="D790" s="5"/>
      <c r="E790" s="303"/>
      <c r="F790" s="30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customFormat="false" ht="15.75" hidden="false" customHeight="true" outlineLevel="0" collapsed="false">
      <c r="A791" s="5"/>
      <c r="B791" s="5"/>
      <c r="C791" s="5"/>
      <c r="D791" s="5"/>
      <c r="E791" s="303"/>
      <c r="F791" s="30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customFormat="false" ht="15.75" hidden="false" customHeight="true" outlineLevel="0" collapsed="false">
      <c r="A792" s="5"/>
      <c r="B792" s="5"/>
      <c r="C792" s="5"/>
      <c r="D792" s="5"/>
      <c r="E792" s="303"/>
      <c r="F792" s="30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customFormat="false" ht="15.75" hidden="false" customHeight="true" outlineLevel="0" collapsed="false">
      <c r="A793" s="5"/>
      <c r="B793" s="5"/>
      <c r="C793" s="5"/>
      <c r="D793" s="5"/>
      <c r="E793" s="303"/>
      <c r="F793" s="30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customFormat="false" ht="15.75" hidden="false" customHeight="true" outlineLevel="0" collapsed="false">
      <c r="A794" s="5"/>
      <c r="B794" s="5"/>
      <c r="C794" s="5"/>
      <c r="D794" s="5"/>
      <c r="E794" s="303"/>
      <c r="F794" s="30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customFormat="false" ht="15.75" hidden="false" customHeight="true" outlineLevel="0" collapsed="false">
      <c r="A795" s="5"/>
      <c r="B795" s="5"/>
      <c r="C795" s="5"/>
      <c r="D795" s="5"/>
      <c r="E795" s="303"/>
      <c r="F795" s="30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customFormat="false" ht="15.75" hidden="false" customHeight="true" outlineLevel="0" collapsed="false">
      <c r="A796" s="5"/>
      <c r="B796" s="5"/>
      <c r="C796" s="5"/>
      <c r="D796" s="5"/>
      <c r="E796" s="303"/>
      <c r="F796" s="30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customFormat="false" ht="15.75" hidden="false" customHeight="true" outlineLevel="0" collapsed="false">
      <c r="A797" s="5"/>
      <c r="B797" s="5"/>
      <c r="C797" s="5"/>
      <c r="D797" s="5"/>
      <c r="E797" s="303"/>
      <c r="F797" s="30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customFormat="false" ht="15.75" hidden="false" customHeight="true" outlineLevel="0" collapsed="false">
      <c r="A798" s="5"/>
      <c r="B798" s="5"/>
      <c r="C798" s="5"/>
      <c r="D798" s="5"/>
      <c r="E798" s="303"/>
      <c r="F798" s="30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customFormat="false" ht="15.75" hidden="false" customHeight="true" outlineLevel="0" collapsed="false">
      <c r="A799" s="5"/>
      <c r="B799" s="5"/>
      <c r="C799" s="5"/>
      <c r="D799" s="5"/>
      <c r="E799" s="303"/>
      <c r="F799" s="30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customFormat="false" ht="15.75" hidden="false" customHeight="true" outlineLevel="0" collapsed="false">
      <c r="A800" s="5"/>
      <c r="B800" s="5"/>
      <c r="C800" s="5"/>
      <c r="D800" s="5"/>
      <c r="E800" s="303"/>
      <c r="F800" s="30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customFormat="false" ht="15.75" hidden="false" customHeight="true" outlineLevel="0" collapsed="false">
      <c r="A801" s="5"/>
      <c r="B801" s="5"/>
      <c r="C801" s="5"/>
      <c r="D801" s="5"/>
      <c r="E801" s="303"/>
      <c r="F801" s="30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customFormat="false" ht="15.75" hidden="false" customHeight="true" outlineLevel="0" collapsed="false">
      <c r="A802" s="5"/>
      <c r="B802" s="5"/>
      <c r="C802" s="5"/>
      <c r="D802" s="5"/>
      <c r="E802" s="303"/>
      <c r="F802" s="30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customFormat="false" ht="15.75" hidden="false" customHeight="true" outlineLevel="0" collapsed="false">
      <c r="A803" s="5"/>
      <c r="B803" s="5"/>
      <c r="C803" s="5"/>
      <c r="D803" s="5"/>
      <c r="E803" s="303"/>
      <c r="F803" s="30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customFormat="false" ht="15.75" hidden="false" customHeight="true" outlineLevel="0" collapsed="false">
      <c r="A804" s="5"/>
      <c r="B804" s="5"/>
      <c r="C804" s="5"/>
      <c r="D804" s="5"/>
      <c r="E804" s="303"/>
      <c r="F804" s="30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customFormat="false" ht="15.75" hidden="false" customHeight="true" outlineLevel="0" collapsed="false">
      <c r="A805" s="5"/>
      <c r="B805" s="5"/>
      <c r="C805" s="5"/>
      <c r="D805" s="5"/>
      <c r="E805" s="303"/>
      <c r="F805" s="30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customFormat="false" ht="15.75" hidden="false" customHeight="true" outlineLevel="0" collapsed="false">
      <c r="A806" s="5"/>
      <c r="B806" s="5"/>
      <c r="C806" s="5"/>
      <c r="D806" s="5"/>
      <c r="E806" s="303"/>
      <c r="F806" s="30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customFormat="false" ht="15.75" hidden="false" customHeight="true" outlineLevel="0" collapsed="false">
      <c r="A807" s="5"/>
      <c r="B807" s="5"/>
      <c r="C807" s="5"/>
      <c r="D807" s="5"/>
      <c r="E807" s="303"/>
      <c r="F807" s="30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customFormat="false" ht="15.75" hidden="false" customHeight="true" outlineLevel="0" collapsed="false">
      <c r="A808" s="5"/>
      <c r="B808" s="5"/>
      <c r="C808" s="5"/>
      <c r="D808" s="5"/>
      <c r="E808" s="303"/>
      <c r="F808" s="30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customFormat="false" ht="15.75" hidden="false" customHeight="true" outlineLevel="0" collapsed="false">
      <c r="A809" s="5"/>
      <c r="B809" s="5"/>
      <c r="C809" s="5"/>
      <c r="D809" s="5"/>
      <c r="E809" s="303"/>
      <c r="F809" s="30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customFormat="false" ht="15.75" hidden="false" customHeight="true" outlineLevel="0" collapsed="false">
      <c r="A810" s="5"/>
      <c r="B810" s="5"/>
      <c r="C810" s="5"/>
      <c r="D810" s="5"/>
      <c r="E810" s="303"/>
      <c r="F810" s="30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customFormat="false" ht="15.75" hidden="false" customHeight="true" outlineLevel="0" collapsed="false">
      <c r="A811" s="5"/>
      <c r="B811" s="5"/>
      <c r="C811" s="5"/>
      <c r="D811" s="5"/>
      <c r="E811" s="303"/>
      <c r="F811" s="30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customFormat="false" ht="15.75" hidden="false" customHeight="true" outlineLevel="0" collapsed="false">
      <c r="A812" s="5"/>
      <c r="B812" s="5"/>
      <c r="C812" s="5"/>
      <c r="D812" s="5"/>
      <c r="E812" s="303"/>
      <c r="F812" s="30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customFormat="false" ht="15.75" hidden="false" customHeight="true" outlineLevel="0" collapsed="false">
      <c r="A813" s="5"/>
      <c r="B813" s="5"/>
      <c r="C813" s="5"/>
      <c r="D813" s="5"/>
      <c r="E813" s="303"/>
      <c r="F813" s="30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customFormat="false" ht="15.75" hidden="false" customHeight="true" outlineLevel="0" collapsed="false">
      <c r="A814" s="5"/>
      <c r="B814" s="5"/>
      <c r="C814" s="5"/>
      <c r="D814" s="5"/>
      <c r="E814" s="303"/>
      <c r="F814" s="30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customFormat="false" ht="15.75" hidden="false" customHeight="true" outlineLevel="0" collapsed="false">
      <c r="A815" s="5"/>
      <c r="B815" s="5"/>
      <c r="C815" s="5"/>
      <c r="D815" s="5"/>
      <c r="E815" s="303"/>
      <c r="F815" s="30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customFormat="false" ht="15.75" hidden="false" customHeight="true" outlineLevel="0" collapsed="false">
      <c r="A816" s="5"/>
      <c r="B816" s="5"/>
      <c r="C816" s="5"/>
      <c r="D816" s="5"/>
      <c r="E816" s="303"/>
      <c r="F816" s="30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customFormat="false" ht="15.75" hidden="false" customHeight="true" outlineLevel="0" collapsed="false">
      <c r="A817" s="5"/>
      <c r="B817" s="5"/>
      <c r="C817" s="5"/>
      <c r="D817" s="5"/>
      <c r="E817" s="303"/>
      <c r="F817" s="30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customFormat="false" ht="15.75" hidden="false" customHeight="true" outlineLevel="0" collapsed="false">
      <c r="A818" s="5"/>
      <c r="B818" s="5"/>
      <c r="C818" s="5"/>
      <c r="D818" s="5"/>
      <c r="E818" s="303"/>
      <c r="F818" s="30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customFormat="false" ht="15.75" hidden="false" customHeight="true" outlineLevel="0" collapsed="false">
      <c r="A819" s="5"/>
      <c r="B819" s="5"/>
      <c r="C819" s="5"/>
      <c r="D819" s="5"/>
      <c r="E819" s="303"/>
      <c r="F819" s="30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customFormat="false" ht="15.75" hidden="false" customHeight="true" outlineLevel="0" collapsed="false">
      <c r="A820" s="5"/>
      <c r="B820" s="5"/>
      <c r="C820" s="5"/>
      <c r="D820" s="5"/>
      <c r="E820" s="303"/>
      <c r="F820" s="30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customFormat="false" ht="15.75" hidden="false" customHeight="true" outlineLevel="0" collapsed="false">
      <c r="A821" s="5"/>
      <c r="B821" s="5"/>
      <c r="C821" s="5"/>
      <c r="D821" s="5"/>
      <c r="E821" s="303"/>
      <c r="F821" s="30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customFormat="false" ht="15.75" hidden="false" customHeight="true" outlineLevel="0" collapsed="false">
      <c r="A822" s="5"/>
      <c r="B822" s="5"/>
      <c r="C822" s="5"/>
      <c r="D822" s="5"/>
      <c r="E822" s="303"/>
      <c r="F822" s="30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customFormat="false" ht="15.75" hidden="false" customHeight="true" outlineLevel="0" collapsed="false">
      <c r="A823" s="5"/>
      <c r="B823" s="5"/>
      <c r="C823" s="5"/>
      <c r="D823" s="5"/>
      <c r="E823" s="303"/>
      <c r="F823" s="30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customFormat="false" ht="15.75" hidden="false" customHeight="true" outlineLevel="0" collapsed="false">
      <c r="A824" s="5"/>
      <c r="B824" s="5"/>
      <c r="C824" s="5"/>
      <c r="D824" s="5"/>
      <c r="E824" s="303"/>
      <c r="F824" s="30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customFormat="false" ht="15.75" hidden="false" customHeight="true" outlineLevel="0" collapsed="false">
      <c r="A825" s="5"/>
      <c r="B825" s="5"/>
      <c r="C825" s="5"/>
      <c r="D825" s="5"/>
      <c r="E825" s="303"/>
      <c r="F825" s="30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customFormat="false" ht="15.75" hidden="false" customHeight="true" outlineLevel="0" collapsed="false">
      <c r="A826" s="5"/>
      <c r="B826" s="5"/>
      <c r="C826" s="5"/>
      <c r="D826" s="5"/>
      <c r="E826" s="303"/>
      <c r="F826" s="30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customFormat="false" ht="15.75" hidden="false" customHeight="true" outlineLevel="0" collapsed="false">
      <c r="A827" s="5"/>
      <c r="B827" s="5"/>
      <c r="C827" s="5"/>
      <c r="D827" s="5"/>
      <c r="E827" s="303"/>
      <c r="F827" s="30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customFormat="false" ht="15.75" hidden="false" customHeight="true" outlineLevel="0" collapsed="false">
      <c r="A828" s="5"/>
      <c r="B828" s="5"/>
      <c r="C828" s="5"/>
      <c r="D828" s="5"/>
      <c r="E828" s="303"/>
      <c r="F828" s="30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customFormat="false" ht="15.75" hidden="false" customHeight="true" outlineLevel="0" collapsed="false">
      <c r="A829" s="5"/>
      <c r="B829" s="5"/>
      <c r="C829" s="5"/>
      <c r="D829" s="5"/>
      <c r="E829" s="303"/>
      <c r="F829" s="30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customFormat="false" ht="15.75" hidden="false" customHeight="true" outlineLevel="0" collapsed="false">
      <c r="A830" s="5"/>
      <c r="B830" s="5"/>
      <c r="C830" s="5"/>
      <c r="D830" s="5"/>
      <c r="E830" s="303"/>
      <c r="F830" s="30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customFormat="false" ht="15.75" hidden="false" customHeight="true" outlineLevel="0" collapsed="false">
      <c r="A831" s="5"/>
      <c r="B831" s="5"/>
      <c r="C831" s="5"/>
      <c r="D831" s="5"/>
      <c r="E831" s="303"/>
      <c r="F831" s="30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customFormat="false" ht="15.75" hidden="false" customHeight="true" outlineLevel="0" collapsed="false">
      <c r="A832" s="5"/>
      <c r="B832" s="5"/>
      <c r="C832" s="5"/>
      <c r="D832" s="5"/>
      <c r="E832" s="303"/>
      <c r="F832" s="30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customFormat="false" ht="15.75" hidden="false" customHeight="true" outlineLevel="0" collapsed="false">
      <c r="A833" s="5"/>
      <c r="B833" s="5"/>
      <c r="C833" s="5"/>
      <c r="D833" s="5"/>
      <c r="E833" s="303"/>
      <c r="F833" s="30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customFormat="false" ht="15.75" hidden="false" customHeight="true" outlineLevel="0" collapsed="false">
      <c r="A834" s="5"/>
      <c r="B834" s="5"/>
      <c r="C834" s="5"/>
      <c r="D834" s="5"/>
      <c r="E834" s="303"/>
      <c r="F834" s="30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6">
    <mergeCell ref="A1:F1"/>
    <mergeCell ref="A5:A6"/>
    <mergeCell ref="B5:B6"/>
    <mergeCell ref="C5:C6"/>
    <mergeCell ref="D5:D6"/>
    <mergeCell ref="E5:F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Z10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38"/>
  </cols>
  <sheetData>
    <row r="1" customFormat="false" ht="15.75" hidden="false" customHeight="true" outlineLevel="0" collapsed="false">
      <c r="A1" s="285" t="s">
        <v>243</v>
      </c>
      <c r="B1" s="285"/>
      <c r="C1" s="285"/>
      <c r="D1" s="285"/>
      <c r="E1" s="285"/>
      <c r="F1" s="28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4"/>
    </row>
    <row r="2" customFormat="false" ht="15.75" hidden="false" customHeight="true" outlineLevel="0" collapsed="false">
      <c r="A2" s="286" t="s">
        <v>244</v>
      </c>
      <c r="B2" s="4"/>
      <c r="C2" s="4"/>
      <c r="D2" s="4"/>
      <c r="E2" s="4"/>
      <c r="F2" s="287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</row>
    <row r="3" customFormat="false" ht="15.75" hidden="false" customHeight="true" outlineLevel="0" collapsed="false">
      <c r="A3" s="286" t="s">
        <v>245</v>
      </c>
      <c r="B3" s="4"/>
      <c r="C3" s="288" t="s">
        <v>246</v>
      </c>
      <c r="D3" s="4"/>
      <c r="E3" s="4"/>
      <c r="F3" s="28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4"/>
    </row>
    <row r="4" customFormat="false" ht="15.75" hidden="false" customHeight="true" outlineLevel="0" collapsed="false">
      <c r="A4" s="289" t="s">
        <v>247</v>
      </c>
      <c r="B4" s="290"/>
      <c r="C4" s="291" t="s">
        <v>268</v>
      </c>
      <c r="D4" s="290"/>
      <c r="E4" s="290"/>
      <c r="F4" s="29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4"/>
    </row>
    <row r="5" customFormat="false" ht="15.75" hidden="false" customHeight="true" outlineLevel="0" collapsed="false">
      <c r="A5" s="293" t="s">
        <v>249</v>
      </c>
      <c r="B5" s="293" t="s">
        <v>250</v>
      </c>
      <c r="C5" s="293" t="s">
        <v>251</v>
      </c>
      <c r="D5" s="293" t="s">
        <v>252</v>
      </c>
      <c r="E5" s="294" t="s">
        <v>253</v>
      </c>
      <c r="F5" s="294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4"/>
    </row>
    <row r="6" customFormat="false" ht="15.75" hidden="false" customHeight="true" outlineLevel="0" collapsed="false">
      <c r="A6" s="293"/>
      <c r="B6" s="293"/>
      <c r="C6" s="293"/>
      <c r="D6" s="293"/>
      <c r="E6" s="293" t="s">
        <v>254</v>
      </c>
      <c r="F6" s="293" t="s">
        <v>45</v>
      </c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4"/>
    </row>
    <row r="7" customFormat="false" ht="15.75" hidden="false" customHeight="true" outlineLevel="0" collapsed="false">
      <c r="A7" s="295" t="s">
        <v>255</v>
      </c>
      <c r="B7" s="295" t="s">
        <v>16</v>
      </c>
      <c r="C7" s="295" t="s">
        <v>256</v>
      </c>
      <c r="D7" s="296" t="n">
        <f aca="false">886-123-106-34-178-187-36</f>
        <v>222</v>
      </c>
      <c r="E7" s="297" t="n">
        <v>87.92</v>
      </c>
      <c r="F7" s="297" t="n">
        <f aca="false">E7*D7</f>
        <v>19518.24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4"/>
    </row>
    <row r="8" customFormat="false" ht="15.75" hidden="false" customHeight="true" outlineLevel="0" collapsed="false">
      <c r="A8" s="295" t="s">
        <v>255</v>
      </c>
      <c r="B8" s="295" t="s">
        <v>16</v>
      </c>
      <c r="C8" s="295" t="s">
        <v>256</v>
      </c>
      <c r="D8" s="296" t="n">
        <v>200</v>
      </c>
      <c r="E8" s="297" t="n">
        <v>109.9</v>
      </c>
      <c r="F8" s="297" t="n">
        <f aca="false">E8*D8</f>
        <v>21980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4"/>
    </row>
    <row r="9" customFormat="false" ht="15.75" hidden="false" customHeight="true" outlineLevel="0" collapsed="false">
      <c r="A9" s="298" t="s">
        <v>257</v>
      </c>
      <c r="B9" s="298" t="s">
        <v>58</v>
      </c>
      <c r="C9" s="298" t="s">
        <v>256</v>
      </c>
      <c r="D9" s="299" t="n">
        <v>80</v>
      </c>
      <c r="E9" s="300" t="n">
        <v>29</v>
      </c>
      <c r="F9" s="300" t="n">
        <f aca="false">E9*D9</f>
        <v>2320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4"/>
    </row>
    <row r="10" customFormat="false" ht="15.75" hidden="false" customHeight="true" outlineLevel="0" collapsed="false">
      <c r="A10" s="298" t="s">
        <v>257</v>
      </c>
      <c r="B10" s="298" t="s">
        <v>18</v>
      </c>
      <c r="C10" s="298" t="s">
        <v>256</v>
      </c>
      <c r="D10" s="299" t="n">
        <v>11</v>
      </c>
      <c r="E10" s="300" t="n">
        <v>29</v>
      </c>
      <c r="F10" s="300" t="n">
        <f aca="false">E10*D10</f>
        <v>319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4"/>
    </row>
    <row r="11" customFormat="false" ht="15.75" hidden="false" customHeight="true" outlineLevel="0" collapsed="false">
      <c r="A11" s="298" t="s">
        <v>258</v>
      </c>
      <c r="B11" s="298" t="s">
        <v>19</v>
      </c>
      <c r="C11" s="298" t="s">
        <v>256</v>
      </c>
      <c r="D11" s="298" t="n">
        <v>6046</v>
      </c>
      <c r="E11" s="300" t="n">
        <v>0.57</v>
      </c>
      <c r="F11" s="300" t="n">
        <f aca="false">E11*D11</f>
        <v>3446.22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4"/>
    </row>
    <row r="12" customFormat="false" ht="15.75" hidden="false" customHeight="true" outlineLevel="0" collapsed="false">
      <c r="A12" s="298" t="s">
        <v>258</v>
      </c>
      <c r="B12" s="298" t="s">
        <v>20</v>
      </c>
      <c r="C12" s="298" t="s">
        <v>256</v>
      </c>
      <c r="D12" s="298" t="n">
        <v>1208</v>
      </c>
      <c r="E12" s="300" t="n">
        <v>4.28</v>
      </c>
      <c r="F12" s="300" t="n">
        <f aca="false">E12*D12</f>
        <v>5170.24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4"/>
    </row>
    <row r="13" customFormat="false" ht="15.75" hidden="false" customHeight="true" outlineLevel="0" collapsed="false">
      <c r="A13" s="298" t="s">
        <v>259</v>
      </c>
      <c r="B13" s="298" t="s">
        <v>21</v>
      </c>
      <c r="C13" s="298" t="s">
        <v>256</v>
      </c>
      <c r="D13" s="298" t="n">
        <v>265</v>
      </c>
      <c r="E13" s="300" t="n">
        <v>62.5</v>
      </c>
      <c r="F13" s="300" t="n">
        <f aca="false">E13*D13</f>
        <v>16562.5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4"/>
    </row>
    <row r="14" customFormat="false" ht="15.75" hidden="false" customHeight="true" outlineLevel="0" collapsed="false">
      <c r="A14" s="298" t="s">
        <v>260</v>
      </c>
      <c r="B14" s="298" t="s">
        <v>22</v>
      </c>
      <c r="C14" s="298" t="s">
        <v>256</v>
      </c>
      <c r="D14" s="298" t="n">
        <v>137</v>
      </c>
      <c r="E14" s="300" t="n">
        <v>150</v>
      </c>
      <c r="F14" s="300" t="n">
        <f aca="false">E14*D14</f>
        <v>20550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4"/>
    </row>
    <row r="15" customFormat="false" ht="15.75" hidden="false" customHeight="true" outlineLevel="0" collapsed="false">
      <c r="A15" s="298" t="s">
        <v>260</v>
      </c>
      <c r="B15" s="298" t="s">
        <v>23</v>
      </c>
      <c r="C15" s="298" t="s">
        <v>256</v>
      </c>
      <c r="D15" s="298" t="n">
        <v>1</v>
      </c>
      <c r="E15" s="300" t="n">
        <v>180</v>
      </c>
      <c r="F15" s="300" t="n">
        <f aca="false">E15*D15</f>
        <v>180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4"/>
    </row>
    <row r="16" customFormat="false" ht="15.75" hidden="false" customHeight="true" outlineLevel="0" collapsed="false">
      <c r="A16" s="298" t="s">
        <v>261</v>
      </c>
      <c r="B16" s="298" t="s">
        <v>262</v>
      </c>
      <c r="C16" s="298" t="s">
        <v>256</v>
      </c>
      <c r="D16" s="298" t="n">
        <v>48</v>
      </c>
      <c r="E16" s="300" t="n">
        <v>15</v>
      </c>
      <c r="F16" s="300" t="n">
        <f aca="false">E16*D16</f>
        <v>720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4"/>
    </row>
    <row r="17" customFormat="false" ht="15.75" hidden="false" customHeight="true" outlineLevel="0" collapsed="false">
      <c r="A17" s="298" t="s">
        <v>255</v>
      </c>
      <c r="B17" s="298" t="s">
        <v>263</v>
      </c>
      <c r="C17" s="298" t="s">
        <v>256</v>
      </c>
      <c r="D17" s="299" t="n">
        <v>51</v>
      </c>
      <c r="E17" s="300" t="n">
        <v>79.92</v>
      </c>
      <c r="F17" s="300" t="n">
        <f aca="false">E17*D17</f>
        <v>4075.92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4"/>
    </row>
    <row r="18" customFormat="false" ht="15.75" hidden="false" customHeight="true" outlineLevel="0" collapsed="false">
      <c r="A18" s="298" t="s">
        <v>255</v>
      </c>
      <c r="B18" s="298" t="s">
        <v>264</v>
      </c>
      <c r="C18" s="298" t="s">
        <v>256</v>
      </c>
      <c r="D18" s="298" t="n">
        <v>37</v>
      </c>
      <c r="E18" s="300" t="n">
        <v>95.92</v>
      </c>
      <c r="F18" s="300" t="n">
        <f aca="false">E18*D18</f>
        <v>3549.04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4"/>
    </row>
    <row r="19" customFormat="false" ht="15.75" hidden="false" customHeight="true" outlineLevel="0" collapsed="false">
      <c r="A19" s="298" t="s">
        <v>255</v>
      </c>
      <c r="B19" s="298" t="s">
        <v>265</v>
      </c>
      <c r="C19" s="298" t="s">
        <v>256</v>
      </c>
      <c r="D19" s="298" t="n">
        <v>6</v>
      </c>
      <c r="E19" s="300" t="n">
        <v>95.92</v>
      </c>
      <c r="F19" s="300" t="n">
        <f aca="false">E19*D19</f>
        <v>575.52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4"/>
    </row>
    <row r="20" customFormat="false" ht="15.75" hidden="false" customHeight="true" outlineLevel="0" collapsed="false">
      <c r="A20" s="298" t="s">
        <v>255</v>
      </c>
      <c r="B20" s="298" t="s">
        <v>266</v>
      </c>
      <c r="C20" s="298" t="s">
        <v>256</v>
      </c>
      <c r="D20" s="298" t="n">
        <v>30</v>
      </c>
      <c r="E20" s="300" t="n">
        <v>63.92</v>
      </c>
      <c r="F20" s="300" t="n">
        <f aca="false">E20*D20</f>
        <v>1917.6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4"/>
    </row>
    <row r="21" customFormat="false" ht="15.75" hidden="false" customHeight="true" outlineLevel="0" collapsed="false">
      <c r="A21" s="298" t="s">
        <v>255</v>
      </c>
      <c r="B21" s="298" t="s">
        <v>30</v>
      </c>
      <c r="C21" s="298" t="s">
        <v>256</v>
      </c>
      <c r="D21" s="298" t="n">
        <v>6</v>
      </c>
      <c r="E21" s="300" t="n">
        <v>119.92</v>
      </c>
      <c r="F21" s="300" t="n">
        <f aca="false">E21*D21</f>
        <v>719.52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4"/>
    </row>
    <row r="22" customFormat="false" ht="15.75" hidden="false" customHeight="true" outlineLevel="0" collapsed="false">
      <c r="A22" s="298" t="s">
        <v>255</v>
      </c>
      <c r="B22" s="298" t="s">
        <v>31</v>
      </c>
      <c r="C22" s="298" t="s">
        <v>256</v>
      </c>
      <c r="D22" s="298" t="n">
        <v>372</v>
      </c>
      <c r="E22" s="300" t="n">
        <v>129.9</v>
      </c>
      <c r="F22" s="300" t="n">
        <f aca="false">E22*D22</f>
        <v>48322.8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4"/>
    </row>
    <row r="23" customFormat="false" ht="15.75" hidden="false" customHeight="true" outlineLevel="0" collapsed="false">
      <c r="A23" s="20"/>
      <c r="B23" s="20"/>
      <c r="C23" s="20"/>
      <c r="D23" s="184"/>
      <c r="E23" s="20"/>
      <c r="F23" s="13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4"/>
    </row>
    <row r="24" customFormat="false" ht="15.75" hidden="false" customHeight="true" outlineLevel="0" collapsed="false">
      <c r="A24" s="20"/>
      <c r="B24" s="20"/>
      <c r="C24" s="20"/>
      <c r="D24" s="301" t="n">
        <f aca="false">SUM(D7:D22)</f>
        <v>8720</v>
      </c>
      <c r="E24" s="20"/>
      <c r="F24" s="302" t="n">
        <f aca="false">SUM(F7:F22)</f>
        <v>149926.6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4"/>
    </row>
    <row r="25" customFormat="false" ht="15.75" hidden="false" customHeight="true" outlineLevel="0" collapsed="false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4"/>
    </row>
    <row r="26" customFormat="false" ht="15.75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4"/>
    </row>
    <row r="27" customFormat="false" ht="15.75" hidden="false" customHeight="true" outlineLevel="0" collapsed="false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4"/>
    </row>
    <row r="28" customFormat="false" ht="15.75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4"/>
    </row>
    <row r="29" customFormat="false" ht="15.75" hidden="false" customHeight="true" outlineLevel="0" collapsed="false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4"/>
    </row>
    <row r="30" customFormat="false" ht="15.75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4"/>
    </row>
    <row r="31" customFormat="false" ht="15.75" hidden="false" customHeight="true" outlineLevel="0" collapsed="false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4"/>
    </row>
    <row r="32" customFormat="false" ht="15.75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4"/>
    </row>
    <row r="33" customFormat="false" ht="15.75" hidden="false" customHeight="true" outlineLevel="0" collapsed="false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4"/>
    </row>
    <row r="34" customFormat="false" ht="15.75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4"/>
    </row>
    <row r="35" customFormat="false" ht="15.75" hidden="false" customHeight="true" outlineLevel="0" collapsed="false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4"/>
    </row>
    <row r="36" customFormat="false" ht="15.75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4"/>
    </row>
    <row r="37" customFormat="false" ht="15.75" hidden="false" customHeight="true" outlineLevel="0" collapsed="false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4"/>
    </row>
    <row r="38" customFormat="false" ht="15.75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4"/>
    </row>
    <row r="39" customFormat="false" ht="15.75" hidden="false" customHeight="true" outlineLevel="0" collapsed="false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4"/>
    </row>
    <row r="40" customFormat="false" ht="15.75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4"/>
    </row>
    <row r="41" customFormat="false" ht="15.75" hidden="false" customHeight="true" outlineLevel="0" collapsed="false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4"/>
    </row>
    <row r="42" customFormat="false" ht="15.75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4"/>
    </row>
    <row r="43" customFormat="false" ht="15.75" hidden="false" customHeight="true" outlineLevel="0" collapsed="false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4"/>
    </row>
    <row r="44" customFormat="false" ht="15.75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4"/>
    </row>
    <row r="45" customFormat="false" ht="15.75" hidden="false" customHeight="true" outlineLevel="0" collapsed="false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4"/>
    </row>
    <row r="46" customFormat="false" ht="15.75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4"/>
    </row>
    <row r="47" customFormat="false" ht="15.75" hidden="false" customHeight="true" outlineLevel="0" collapsed="false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4"/>
    </row>
    <row r="48" customFormat="false" ht="15.75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4"/>
    </row>
    <row r="49" customFormat="false" ht="15.75" hidden="false" customHeight="true" outlineLevel="0" collapsed="false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4"/>
    </row>
    <row r="50" customFormat="false" ht="15.75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4"/>
    </row>
    <row r="51" customFormat="false" ht="15.75" hidden="false" customHeight="true" outlineLevel="0" collapsed="false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4"/>
    </row>
    <row r="52" customFormat="false" ht="15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4"/>
    </row>
    <row r="53" customFormat="false" ht="15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4"/>
    </row>
    <row r="54" customFormat="false" ht="15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4"/>
    </row>
    <row r="55" customFormat="false" ht="15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4"/>
    </row>
    <row r="56" customFormat="false" ht="15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4"/>
    </row>
    <row r="57" customFormat="false" ht="15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4"/>
    </row>
    <row r="58" customFormat="false" ht="15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4"/>
    </row>
    <row r="59" customFormat="false" ht="15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4"/>
    </row>
    <row r="60" customFormat="false" ht="15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4"/>
    </row>
    <row r="61" customFormat="false" ht="15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4"/>
    </row>
    <row r="62" customFormat="false" ht="15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4"/>
    </row>
    <row r="63" customFormat="false" ht="15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4"/>
    </row>
    <row r="64" customFormat="false" ht="15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4"/>
    </row>
    <row r="65" customFormat="false" ht="15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4"/>
    </row>
    <row r="66" customFormat="false" ht="15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4"/>
    </row>
    <row r="67" customFormat="false" ht="15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4"/>
    </row>
    <row r="68" customFormat="false" ht="15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4"/>
    </row>
    <row r="69" customFormat="false" ht="15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4"/>
    </row>
    <row r="70" customFormat="false" ht="15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4"/>
    </row>
    <row r="71" customFormat="false" ht="15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4"/>
    </row>
    <row r="72" customFormat="false" ht="15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4"/>
    </row>
    <row r="73" customFormat="false" ht="15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4"/>
    </row>
    <row r="74" customFormat="false" ht="15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4"/>
    </row>
    <row r="75" customFormat="false" ht="15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4"/>
    </row>
    <row r="76" customFormat="false" ht="15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4"/>
    </row>
    <row r="77" customFormat="false" ht="15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4"/>
    </row>
    <row r="78" customFormat="false" ht="15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4"/>
    </row>
    <row r="79" customFormat="false" ht="15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4"/>
    </row>
    <row r="80" customFormat="false" ht="15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4"/>
    </row>
    <row r="81" customFormat="false" ht="15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4"/>
    </row>
    <row r="82" customFormat="false" ht="15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4"/>
    </row>
    <row r="83" customFormat="false" ht="15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4"/>
    </row>
    <row r="84" customFormat="false" ht="15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4"/>
    </row>
    <row r="85" customFormat="false" ht="15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4"/>
    </row>
    <row r="86" customFormat="false" ht="15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4"/>
    </row>
    <row r="87" customFormat="false" ht="15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4"/>
    </row>
    <row r="88" customFormat="false" ht="15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4"/>
    </row>
    <row r="89" customFormat="false" ht="15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4"/>
    </row>
    <row r="90" customFormat="false" ht="15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4"/>
    </row>
    <row r="91" customFormat="false" ht="15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4"/>
    </row>
    <row r="92" customFormat="false" ht="15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4"/>
    </row>
    <row r="93" customFormat="false" ht="15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4"/>
    </row>
    <row r="94" customFormat="false" ht="15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4"/>
    </row>
    <row r="95" customFormat="false" ht="15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4"/>
    </row>
    <row r="96" customFormat="false" ht="15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4"/>
    </row>
    <row r="97" customFormat="false" ht="15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4"/>
    </row>
    <row r="98" customFormat="false" ht="15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4"/>
    </row>
    <row r="99" customFormat="false" ht="15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4"/>
    </row>
    <row r="100" customFormat="false" ht="15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4"/>
    </row>
    <row r="101" customFormat="false" ht="15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4"/>
    </row>
    <row r="102" customFormat="false" ht="15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4"/>
    </row>
    <row r="103" customFormat="false" ht="15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4"/>
    </row>
    <row r="104" customFormat="false" ht="15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4"/>
    </row>
    <row r="105" customFormat="false" ht="15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4"/>
    </row>
    <row r="106" customFormat="false" ht="15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4"/>
    </row>
    <row r="107" customFormat="false" ht="15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4"/>
    </row>
    <row r="108" customFormat="false" ht="15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4"/>
    </row>
    <row r="109" customFormat="false" ht="15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4"/>
    </row>
    <row r="110" customFormat="false" ht="15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4"/>
    </row>
    <row r="111" customFormat="false" ht="15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4"/>
    </row>
    <row r="112" customFormat="false" ht="15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4"/>
    </row>
    <row r="113" customFormat="false" ht="15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4"/>
    </row>
    <row r="114" customFormat="false" ht="15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4"/>
    </row>
    <row r="115" customFormat="false" ht="15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4"/>
    </row>
    <row r="116" customFormat="false" ht="15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4"/>
    </row>
    <row r="117" customFormat="false" ht="15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4"/>
    </row>
    <row r="118" customFormat="false" ht="15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4"/>
    </row>
    <row r="119" customFormat="false" ht="15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4"/>
    </row>
    <row r="120" customFormat="false" ht="15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4"/>
    </row>
    <row r="121" customFormat="false" ht="15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4"/>
    </row>
    <row r="122" customFormat="false" ht="15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4"/>
    </row>
    <row r="123" customFormat="false" ht="15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4"/>
    </row>
    <row r="124" customFormat="false" ht="15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4"/>
    </row>
    <row r="125" customFormat="false" ht="15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4"/>
    </row>
    <row r="126" customFormat="false" ht="15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4"/>
    </row>
    <row r="127" customFormat="false" ht="15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4"/>
    </row>
    <row r="128" customFormat="false" ht="15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4"/>
    </row>
    <row r="129" customFormat="false" ht="15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4"/>
    </row>
    <row r="130" customFormat="false" ht="15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4"/>
    </row>
    <row r="131" customFormat="false" ht="15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4"/>
    </row>
    <row r="132" customFormat="false" ht="15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4"/>
    </row>
    <row r="133" customFormat="false" ht="15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4"/>
    </row>
    <row r="134" customFormat="false" ht="15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4"/>
    </row>
    <row r="135" customFormat="false" ht="15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4"/>
    </row>
    <row r="136" customFormat="false" ht="15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4"/>
    </row>
    <row r="137" customFormat="false" ht="15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4"/>
    </row>
    <row r="138" customFormat="false" ht="15.75" hidden="false" customHeight="true" outlineLevel="0" collapsed="false">
      <c r="A138" s="5"/>
      <c r="B138" s="5"/>
      <c r="C138" s="5"/>
      <c r="D138" s="5"/>
      <c r="E138" s="303"/>
      <c r="F138" s="303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4"/>
    </row>
    <row r="139" customFormat="false" ht="15.75" hidden="false" customHeight="true" outlineLevel="0" collapsed="false">
      <c r="A139" s="5"/>
      <c r="B139" s="5"/>
      <c r="C139" s="5"/>
      <c r="D139" s="5"/>
      <c r="E139" s="303"/>
      <c r="F139" s="303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4"/>
    </row>
    <row r="140" customFormat="false" ht="15.75" hidden="false" customHeight="true" outlineLevel="0" collapsed="false">
      <c r="A140" s="5"/>
      <c r="B140" s="5"/>
      <c r="C140" s="5"/>
      <c r="D140" s="5"/>
      <c r="E140" s="303"/>
      <c r="F140" s="303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4"/>
    </row>
    <row r="141" customFormat="false" ht="15.75" hidden="false" customHeight="true" outlineLevel="0" collapsed="false">
      <c r="A141" s="5"/>
      <c r="B141" s="5"/>
      <c r="C141" s="5"/>
      <c r="D141" s="5"/>
      <c r="E141" s="303"/>
      <c r="F141" s="303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4"/>
    </row>
    <row r="142" customFormat="false" ht="15.75" hidden="false" customHeight="true" outlineLevel="0" collapsed="false">
      <c r="A142" s="5"/>
      <c r="B142" s="5"/>
      <c r="C142" s="5"/>
      <c r="D142" s="5"/>
      <c r="E142" s="303"/>
      <c r="F142" s="303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4"/>
    </row>
    <row r="143" customFormat="false" ht="15.75" hidden="false" customHeight="true" outlineLevel="0" collapsed="false">
      <c r="A143" s="5"/>
      <c r="B143" s="5"/>
      <c r="C143" s="5"/>
      <c r="D143" s="5"/>
      <c r="E143" s="303"/>
      <c r="F143" s="303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4"/>
    </row>
    <row r="144" customFormat="false" ht="15.75" hidden="false" customHeight="true" outlineLevel="0" collapsed="false">
      <c r="A144" s="5"/>
      <c r="B144" s="5"/>
      <c r="C144" s="5"/>
      <c r="D144" s="5"/>
      <c r="E144" s="303"/>
      <c r="F144" s="303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4"/>
    </row>
    <row r="145" customFormat="false" ht="15.75" hidden="false" customHeight="true" outlineLevel="0" collapsed="false">
      <c r="A145" s="5"/>
      <c r="B145" s="5"/>
      <c r="C145" s="5"/>
      <c r="D145" s="5"/>
      <c r="E145" s="303"/>
      <c r="F145" s="303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4"/>
    </row>
    <row r="146" customFormat="false" ht="15.75" hidden="false" customHeight="true" outlineLevel="0" collapsed="false">
      <c r="A146" s="5"/>
      <c r="B146" s="5"/>
      <c r="C146" s="5"/>
      <c r="D146" s="5"/>
      <c r="E146" s="303"/>
      <c r="F146" s="303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4"/>
    </row>
    <row r="147" customFormat="false" ht="15.75" hidden="false" customHeight="true" outlineLevel="0" collapsed="false">
      <c r="A147" s="5"/>
      <c r="B147" s="5"/>
      <c r="C147" s="5"/>
      <c r="D147" s="5"/>
      <c r="E147" s="303"/>
      <c r="F147" s="303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4"/>
    </row>
    <row r="148" customFormat="false" ht="15.75" hidden="false" customHeight="true" outlineLevel="0" collapsed="false">
      <c r="A148" s="5"/>
      <c r="B148" s="5"/>
      <c r="C148" s="5"/>
      <c r="D148" s="5"/>
      <c r="E148" s="303"/>
      <c r="F148" s="303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4"/>
    </row>
    <row r="149" customFormat="false" ht="15.75" hidden="false" customHeight="true" outlineLevel="0" collapsed="false">
      <c r="A149" s="5"/>
      <c r="B149" s="5"/>
      <c r="C149" s="5"/>
      <c r="D149" s="5"/>
      <c r="E149" s="303"/>
      <c r="F149" s="303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4"/>
    </row>
    <row r="150" customFormat="false" ht="15.75" hidden="false" customHeight="true" outlineLevel="0" collapsed="false">
      <c r="A150" s="5"/>
      <c r="B150" s="5"/>
      <c r="C150" s="5"/>
      <c r="D150" s="5"/>
      <c r="E150" s="303"/>
      <c r="F150" s="303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4"/>
    </row>
    <row r="151" customFormat="false" ht="15.75" hidden="false" customHeight="true" outlineLevel="0" collapsed="false">
      <c r="A151" s="5"/>
      <c r="B151" s="5"/>
      <c r="C151" s="5"/>
      <c r="D151" s="5"/>
      <c r="E151" s="303"/>
      <c r="F151" s="303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4"/>
    </row>
    <row r="152" customFormat="false" ht="15.75" hidden="false" customHeight="true" outlineLevel="0" collapsed="false">
      <c r="A152" s="5"/>
      <c r="B152" s="5"/>
      <c r="C152" s="5"/>
      <c r="D152" s="5"/>
      <c r="E152" s="303"/>
      <c r="F152" s="303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4"/>
    </row>
    <row r="153" customFormat="false" ht="15.75" hidden="false" customHeight="true" outlineLevel="0" collapsed="false">
      <c r="A153" s="5"/>
      <c r="B153" s="5"/>
      <c r="C153" s="5"/>
      <c r="D153" s="5"/>
      <c r="E153" s="303"/>
      <c r="F153" s="303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4"/>
    </row>
    <row r="154" customFormat="false" ht="15.75" hidden="false" customHeight="true" outlineLevel="0" collapsed="false">
      <c r="A154" s="5"/>
      <c r="B154" s="5"/>
      <c r="C154" s="5"/>
      <c r="D154" s="5"/>
      <c r="E154" s="303"/>
      <c r="F154" s="303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4"/>
    </row>
    <row r="155" customFormat="false" ht="15.75" hidden="false" customHeight="true" outlineLevel="0" collapsed="false">
      <c r="A155" s="5"/>
      <c r="B155" s="5"/>
      <c r="C155" s="5"/>
      <c r="D155" s="5"/>
      <c r="E155" s="303"/>
      <c r="F155" s="303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4"/>
    </row>
    <row r="156" customFormat="false" ht="15.75" hidden="false" customHeight="true" outlineLevel="0" collapsed="false">
      <c r="A156" s="5"/>
      <c r="B156" s="5"/>
      <c r="C156" s="5"/>
      <c r="D156" s="5"/>
      <c r="E156" s="303"/>
      <c r="F156" s="303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4"/>
    </row>
    <row r="157" customFormat="false" ht="15.75" hidden="false" customHeight="true" outlineLevel="0" collapsed="false">
      <c r="A157" s="5"/>
      <c r="B157" s="5"/>
      <c r="C157" s="5"/>
      <c r="D157" s="5"/>
      <c r="E157" s="303"/>
      <c r="F157" s="303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4"/>
    </row>
    <row r="158" customFormat="false" ht="15.75" hidden="false" customHeight="true" outlineLevel="0" collapsed="false">
      <c r="A158" s="5"/>
      <c r="B158" s="5"/>
      <c r="C158" s="5"/>
      <c r="D158" s="5"/>
      <c r="E158" s="303"/>
      <c r="F158" s="303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4"/>
    </row>
    <row r="159" customFormat="false" ht="15.75" hidden="false" customHeight="true" outlineLevel="0" collapsed="false">
      <c r="A159" s="5"/>
      <c r="B159" s="5"/>
      <c r="C159" s="5"/>
      <c r="D159" s="5"/>
      <c r="E159" s="303"/>
      <c r="F159" s="303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4"/>
    </row>
    <row r="160" customFormat="false" ht="15.75" hidden="false" customHeight="true" outlineLevel="0" collapsed="false">
      <c r="A160" s="5"/>
      <c r="B160" s="5"/>
      <c r="C160" s="5"/>
      <c r="D160" s="5"/>
      <c r="E160" s="303"/>
      <c r="F160" s="303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4"/>
    </row>
    <row r="161" customFormat="false" ht="15.75" hidden="false" customHeight="true" outlineLevel="0" collapsed="false">
      <c r="A161" s="5"/>
      <c r="B161" s="5"/>
      <c r="C161" s="5"/>
      <c r="D161" s="5"/>
      <c r="E161" s="303"/>
      <c r="F161" s="303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4"/>
    </row>
    <row r="162" customFormat="false" ht="15.75" hidden="false" customHeight="true" outlineLevel="0" collapsed="false">
      <c r="A162" s="5"/>
      <c r="B162" s="5"/>
      <c r="C162" s="5"/>
      <c r="D162" s="5"/>
      <c r="E162" s="303"/>
      <c r="F162" s="303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4"/>
    </row>
    <row r="163" customFormat="false" ht="15.75" hidden="false" customHeight="true" outlineLevel="0" collapsed="false">
      <c r="A163" s="5"/>
      <c r="B163" s="5"/>
      <c r="C163" s="5"/>
      <c r="D163" s="5"/>
      <c r="E163" s="303"/>
      <c r="F163" s="303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4"/>
    </row>
    <row r="164" customFormat="false" ht="15.75" hidden="false" customHeight="true" outlineLevel="0" collapsed="false">
      <c r="A164" s="5"/>
      <c r="B164" s="5"/>
      <c r="C164" s="5"/>
      <c r="D164" s="5"/>
      <c r="E164" s="303"/>
      <c r="F164" s="303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4"/>
    </row>
    <row r="165" customFormat="false" ht="15.75" hidden="false" customHeight="true" outlineLevel="0" collapsed="false">
      <c r="A165" s="5"/>
      <c r="B165" s="5"/>
      <c r="C165" s="5"/>
      <c r="D165" s="5"/>
      <c r="E165" s="303"/>
      <c r="F165" s="303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4"/>
    </row>
    <row r="166" customFormat="false" ht="15.75" hidden="false" customHeight="true" outlineLevel="0" collapsed="false">
      <c r="A166" s="5"/>
      <c r="B166" s="5"/>
      <c r="C166" s="5"/>
      <c r="D166" s="5"/>
      <c r="E166" s="303"/>
      <c r="F166" s="303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4"/>
    </row>
    <row r="167" customFormat="false" ht="15.75" hidden="false" customHeight="true" outlineLevel="0" collapsed="false">
      <c r="A167" s="5"/>
      <c r="B167" s="5"/>
      <c r="C167" s="5"/>
      <c r="D167" s="5"/>
      <c r="E167" s="303"/>
      <c r="F167" s="303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4"/>
    </row>
    <row r="168" customFormat="false" ht="15.75" hidden="false" customHeight="true" outlineLevel="0" collapsed="false">
      <c r="A168" s="5"/>
      <c r="B168" s="5"/>
      <c r="C168" s="5"/>
      <c r="D168" s="5"/>
      <c r="E168" s="303"/>
      <c r="F168" s="303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4"/>
    </row>
    <row r="169" customFormat="false" ht="15.75" hidden="false" customHeight="true" outlineLevel="0" collapsed="false">
      <c r="A169" s="5"/>
      <c r="B169" s="5"/>
      <c r="C169" s="5"/>
      <c r="D169" s="5"/>
      <c r="E169" s="303"/>
      <c r="F169" s="303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4"/>
    </row>
    <row r="170" customFormat="false" ht="15.75" hidden="false" customHeight="true" outlineLevel="0" collapsed="false">
      <c r="A170" s="5"/>
      <c r="B170" s="5"/>
      <c r="C170" s="5"/>
      <c r="D170" s="5"/>
      <c r="E170" s="303"/>
      <c r="F170" s="303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4"/>
    </row>
    <row r="171" customFormat="false" ht="15.75" hidden="false" customHeight="true" outlineLevel="0" collapsed="false">
      <c r="A171" s="5"/>
      <c r="B171" s="5"/>
      <c r="C171" s="5"/>
      <c r="D171" s="5"/>
      <c r="E171" s="303"/>
      <c r="F171" s="303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4"/>
    </row>
    <row r="172" customFormat="false" ht="15.75" hidden="false" customHeight="true" outlineLevel="0" collapsed="false">
      <c r="A172" s="5"/>
      <c r="B172" s="5"/>
      <c r="C172" s="5"/>
      <c r="D172" s="5"/>
      <c r="E172" s="303"/>
      <c r="F172" s="303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4"/>
    </row>
    <row r="173" customFormat="false" ht="15.75" hidden="false" customHeight="true" outlineLevel="0" collapsed="false">
      <c r="A173" s="5"/>
      <c r="B173" s="5"/>
      <c r="C173" s="5"/>
      <c r="D173" s="5"/>
      <c r="E173" s="303"/>
      <c r="F173" s="303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4"/>
    </row>
    <row r="174" customFormat="false" ht="15.75" hidden="false" customHeight="true" outlineLevel="0" collapsed="false">
      <c r="A174" s="5"/>
      <c r="B174" s="5"/>
      <c r="C174" s="5"/>
      <c r="D174" s="5"/>
      <c r="E174" s="303"/>
      <c r="F174" s="303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4"/>
    </row>
    <row r="175" customFormat="false" ht="15.75" hidden="false" customHeight="true" outlineLevel="0" collapsed="false">
      <c r="A175" s="5"/>
      <c r="B175" s="5"/>
      <c r="C175" s="5"/>
      <c r="D175" s="5"/>
      <c r="E175" s="303"/>
      <c r="F175" s="303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4"/>
    </row>
    <row r="176" customFormat="false" ht="15.75" hidden="false" customHeight="true" outlineLevel="0" collapsed="false">
      <c r="A176" s="5"/>
      <c r="B176" s="5"/>
      <c r="C176" s="5"/>
      <c r="D176" s="5"/>
      <c r="E176" s="303"/>
      <c r="F176" s="303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4"/>
    </row>
    <row r="177" customFormat="false" ht="15.75" hidden="false" customHeight="true" outlineLevel="0" collapsed="false">
      <c r="A177" s="5"/>
      <c r="B177" s="5"/>
      <c r="C177" s="5"/>
      <c r="D177" s="5"/>
      <c r="E177" s="303"/>
      <c r="F177" s="303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4"/>
    </row>
    <row r="178" customFormat="false" ht="15.75" hidden="false" customHeight="true" outlineLevel="0" collapsed="false">
      <c r="A178" s="5"/>
      <c r="B178" s="5"/>
      <c r="C178" s="5"/>
      <c r="D178" s="5"/>
      <c r="E178" s="303"/>
      <c r="F178" s="303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4"/>
    </row>
    <row r="179" customFormat="false" ht="15.75" hidden="false" customHeight="true" outlineLevel="0" collapsed="false">
      <c r="A179" s="5"/>
      <c r="B179" s="5"/>
      <c r="C179" s="5"/>
      <c r="D179" s="5"/>
      <c r="E179" s="303"/>
      <c r="F179" s="303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4"/>
    </row>
    <row r="180" customFormat="false" ht="15.75" hidden="false" customHeight="true" outlineLevel="0" collapsed="false">
      <c r="A180" s="5"/>
      <c r="B180" s="5"/>
      <c r="C180" s="5"/>
      <c r="D180" s="5"/>
      <c r="E180" s="303"/>
      <c r="F180" s="303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4"/>
    </row>
    <row r="181" customFormat="false" ht="15.75" hidden="false" customHeight="true" outlineLevel="0" collapsed="false">
      <c r="A181" s="5"/>
      <c r="B181" s="5"/>
      <c r="C181" s="5"/>
      <c r="D181" s="5"/>
      <c r="E181" s="303"/>
      <c r="F181" s="303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4"/>
    </row>
    <row r="182" customFormat="false" ht="15.75" hidden="false" customHeight="true" outlineLevel="0" collapsed="false">
      <c r="A182" s="5"/>
      <c r="B182" s="5"/>
      <c r="C182" s="5"/>
      <c r="D182" s="5"/>
      <c r="E182" s="303"/>
      <c r="F182" s="303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4"/>
    </row>
    <row r="183" customFormat="false" ht="15.75" hidden="false" customHeight="true" outlineLevel="0" collapsed="false">
      <c r="A183" s="5"/>
      <c r="B183" s="5"/>
      <c r="C183" s="5"/>
      <c r="D183" s="5"/>
      <c r="E183" s="303"/>
      <c r="F183" s="303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4"/>
    </row>
    <row r="184" customFormat="false" ht="15.75" hidden="false" customHeight="true" outlineLevel="0" collapsed="false">
      <c r="A184" s="5"/>
      <c r="B184" s="5"/>
      <c r="C184" s="5"/>
      <c r="D184" s="5"/>
      <c r="E184" s="303"/>
      <c r="F184" s="303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4"/>
    </row>
    <row r="185" customFormat="false" ht="15.75" hidden="false" customHeight="true" outlineLevel="0" collapsed="false">
      <c r="A185" s="5"/>
      <c r="B185" s="5"/>
      <c r="C185" s="5"/>
      <c r="D185" s="5"/>
      <c r="E185" s="303"/>
      <c r="F185" s="303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4"/>
    </row>
    <row r="186" customFormat="false" ht="15.75" hidden="false" customHeight="true" outlineLevel="0" collapsed="false">
      <c r="A186" s="5"/>
      <c r="B186" s="5"/>
      <c r="C186" s="5"/>
      <c r="D186" s="5"/>
      <c r="E186" s="303"/>
      <c r="F186" s="303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4"/>
    </row>
    <row r="187" customFormat="false" ht="15.75" hidden="false" customHeight="true" outlineLevel="0" collapsed="false">
      <c r="A187" s="5"/>
      <c r="B187" s="5"/>
      <c r="C187" s="5"/>
      <c r="D187" s="5"/>
      <c r="E187" s="303"/>
      <c r="F187" s="303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4"/>
    </row>
    <row r="188" customFormat="false" ht="15.75" hidden="false" customHeight="true" outlineLevel="0" collapsed="false">
      <c r="A188" s="5"/>
      <c r="B188" s="5"/>
      <c r="C188" s="5"/>
      <c r="D188" s="5"/>
      <c r="E188" s="303"/>
      <c r="F188" s="303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4"/>
    </row>
    <row r="189" customFormat="false" ht="15.75" hidden="false" customHeight="true" outlineLevel="0" collapsed="false">
      <c r="A189" s="5"/>
      <c r="B189" s="5"/>
      <c r="C189" s="5"/>
      <c r="D189" s="5"/>
      <c r="E189" s="303"/>
      <c r="F189" s="303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4"/>
    </row>
    <row r="190" customFormat="false" ht="15.75" hidden="false" customHeight="true" outlineLevel="0" collapsed="false">
      <c r="A190" s="5"/>
      <c r="B190" s="5"/>
      <c r="C190" s="5"/>
      <c r="D190" s="5"/>
      <c r="E190" s="303"/>
      <c r="F190" s="303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4"/>
    </row>
    <row r="191" customFormat="false" ht="15.75" hidden="false" customHeight="true" outlineLevel="0" collapsed="false">
      <c r="A191" s="5"/>
      <c r="B191" s="5"/>
      <c r="C191" s="5"/>
      <c r="D191" s="5"/>
      <c r="E191" s="303"/>
      <c r="F191" s="303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4"/>
    </row>
    <row r="192" customFormat="false" ht="15.75" hidden="false" customHeight="true" outlineLevel="0" collapsed="false">
      <c r="A192" s="5"/>
      <c r="B192" s="5"/>
      <c r="C192" s="5"/>
      <c r="D192" s="5"/>
      <c r="E192" s="303"/>
      <c r="F192" s="303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4"/>
    </row>
    <row r="193" customFormat="false" ht="15.75" hidden="false" customHeight="true" outlineLevel="0" collapsed="false">
      <c r="A193" s="5"/>
      <c r="B193" s="5"/>
      <c r="C193" s="5"/>
      <c r="D193" s="5"/>
      <c r="E193" s="303"/>
      <c r="F193" s="303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4"/>
    </row>
    <row r="194" customFormat="false" ht="15.75" hidden="false" customHeight="true" outlineLevel="0" collapsed="false">
      <c r="A194" s="5"/>
      <c r="B194" s="5"/>
      <c r="C194" s="5"/>
      <c r="D194" s="5"/>
      <c r="E194" s="303"/>
      <c r="F194" s="303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4"/>
    </row>
    <row r="195" customFormat="false" ht="15.75" hidden="false" customHeight="true" outlineLevel="0" collapsed="false">
      <c r="A195" s="5"/>
      <c r="B195" s="5"/>
      <c r="C195" s="5"/>
      <c r="D195" s="5"/>
      <c r="E195" s="303"/>
      <c r="F195" s="303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4"/>
    </row>
    <row r="196" customFormat="false" ht="15.75" hidden="false" customHeight="true" outlineLevel="0" collapsed="false">
      <c r="A196" s="5"/>
      <c r="B196" s="5"/>
      <c r="C196" s="5"/>
      <c r="D196" s="5"/>
      <c r="E196" s="303"/>
      <c r="F196" s="303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4"/>
    </row>
    <row r="197" customFormat="false" ht="15.75" hidden="false" customHeight="true" outlineLevel="0" collapsed="false">
      <c r="A197" s="5"/>
      <c r="B197" s="5"/>
      <c r="C197" s="5"/>
      <c r="D197" s="5"/>
      <c r="E197" s="303"/>
      <c r="F197" s="303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4"/>
    </row>
    <row r="198" customFormat="false" ht="15.75" hidden="false" customHeight="true" outlineLevel="0" collapsed="false">
      <c r="A198" s="5"/>
      <c r="B198" s="5"/>
      <c r="C198" s="5"/>
      <c r="D198" s="5"/>
      <c r="E198" s="303"/>
      <c r="F198" s="303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4"/>
    </row>
    <row r="199" customFormat="false" ht="15.75" hidden="false" customHeight="true" outlineLevel="0" collapsed="false">
      <c r="A199" s="5"/>
      <c r="B199" s="5"/>
      <c r="C199" s="5"/>
      <c r="D199" s="5"/>
      <c r="E199" s="303"/>
      <c r="F199" s="303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4"/>
    </row>
    <row r="200" customFormat="false" ht="15.75" hidden="false" customHeight="true" outlineLevel="0" collapsed="false">
      <c r="A200" s="5"/>
      <c r="B200" s="5"/>
      <c r="C200" s="5"/>
      <c r="D200" s="5"/>
      <c r="E200" s="303"/>
      <c r="F200" s="303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4"/>
    </row>
    <row r="201" customFormat="false" ht="15.75" hidden="false" customHeight="true" outlineLevel="0" collapsed="false">
      <c r="A201" s="5"/>
      <c r="B201" s="5"/>
      <c r="C201" s="5"/>
      <c r="D201" s="5"/>
      <c r="E201" s="303"/>
      <c r="F201" s="303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4"/>
    </row>
    <row r="202" customFormat="false" ht="15.75" hidden="false" customHeight="true" outlineLevel="0" collapsed="false">
      <c r="A202" s="5"/>
      <c r="B202" s="5"/>
      <c r="C202" s="5"/>
      <c r="D202" s="5"/>
      <c r="E202" s="303"/>
      <c r="F202" s="303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4"/>
    </row>
    <row r="203" customFormat="false" ht="15.75" hidden="false" customHeight="true" outlineLevel="0" collapsed="false">
      <c r="A203" s="5"/>
      <c r="B203" s="5"/>
      <c r="C203" s="5"/>
      <c r="D203" s="5"/>
      <c r="E203" s="303"/>
      <c r="F203" s="303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4"/>
    </row>
    <row r="204" customFormat="false" ht="15.75" hidden="false" customHeight="true" outlineLevel="0" collapsed="false">
      <c r="A204" s="5"/>
      <c r="B204" s="5"/>
      <c r="C204" s="5"/>
      <c r="D204" s="5"/>
      <c r="E204" s="303"/>
      <c r="F204" s="303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4"/>
    </row>
    <row r="205" customFormat="false" ht="15.75" hidden="false" customHeight="true" outlineLevel="0" collapsed="false">
      <c r="A205" s="5"/>
      <c r="B205" s="5"/>
      <c r="C205" s="5"/>
      <c r="D205" s="5"/>
      <c r="E205" s="303"/>
      <c r="F205" s="303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4"/>
    </row>
    <row r="206" customFormat="false" ht="15.75" hidden="false" customHeight="true" outlineLevel="0" collapsed="false">
      <c r="A206" s="5"/>
      <c r="B206" s="5"/>
      <c r="C206" s="5"/>
      <c r="D206" s="5"/>
      <c r="E206" s="303"/>
      <c r="F206" s="303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4"/>
    </row>
    <row r="207" customFormat="false" ht="15.75" hidden="false" customHeight="true" outlineLevel="0" collapsed="false">
      <c r="A207" s="5"/>
      <c r="B207" s="5"/>
      <c r="C207" s="5"/>
      <c r="D207" s="5"/>
      <c r="E207" s="303"/>
      <c r="F207" s="303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4"/>
    </row>
    <row r="208" customFormat="false" ht="15.75" hidden="false" customHeight="true" outlineLevel="0" collapsed="false">
      <c r="A208" s="5"/>
      <c r="B208" s="5"/>
      <c r="C208" s="5"/>
      <c r="D208" s="5"/>
      <c r="E208" s="303"/>
      <c r="F208" s="303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4"/>
    </row>
    <row r="209" customFormat="false" ht="15.75" hidden="false" customHeight="true" outlineLevel="0" collapsed="false">
      <c r="A209" s="5"/>
      <c r="B209" s="5"/>
      <c r="C209" s="5"/>
      <c r="D209" s="5"/>
      <c r="E209" s="303"/>
      <c r="F209" s="303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4"/>
    </row>
    <row r="210" customFormat="false" ht="15.75" hidden="false" customHeight="true" outlineLevel="0" collapsed="false">
      <c r="A210" s="5"/>
      <c r="B210" s="5"/>
      <c r="C210" s="5"/>
      <c r="D210" s="5"/>
      <c r="E210" s="303"/>
      <c r="F210" s="303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4"/>
    </row>
    <row r="211" customFormat="false" ht="15.75" hidden="false" customHeight="true" outlineLevel="0" collapsed="false">
      <c r="A211" s="5"/>
      <c r="B211" s="5"/>
      <c r="C211" s="5"/>
      <c r="D211" s="5"/>
      <c r="E211" s="303"/>
      <c r="F211" s="303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4"/>
    </row>
    <row r="212" customFormat="false" ht="15.75" hidden="false" customHeight="true" outlineLevel="0" collapsed="false">
      <c r="A212" s="5"/>
      <c r="B212" s="5"/>
      <c r="C212" s="5"/>
      <c r="D212" s="5"/>
      <c r="E212" s="303"/>
      <c r="F212" s="303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4"/>
    </row>
    <row r="213" customFormat="false" ht="15.75" hidden="false" customHeight="true" outlineLevel="0" collapsed="false">
      <c r="A213" s="5"/>
      <c r="B213" s="5"/>
      <c r="C213" s="5"/>
      <c r="D213" s="5"/>
      <c r="E213" s="303"/>
      <c r="F213" s="303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4"/>
    </row>
    <row r="214" customFormat="false" ht="15.75" hidden="false" customHeight="true" outlineLevel="0" collapsed="false">
      <c r="A214" s="5"/>
      <c r="B214" s="5"/>
      <c r="C214" s="5"/>
      <c r="D214" s="5"/>
      <c r="E214" s="303"/>
      <c r="F214" s="303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4"/>
    </row>
    <row r="215" customFormat="false" ht="15.75" hidden="false" customHeight="true" outlineLevel="0" collapsed="false">
      <c r="A215" s="5"/>
      <c r="B215" s="5"/>
      <c r="C215" s="5"/>
      <c r="D215" s="5"/>
      <c r="E215" s="303"/>
      <c r="F215" s="303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4"/>
    </row>
    <row r="216" customFormat="false" ht="15.75" hidden="false" customHeight="true" outlineLevel="0" collapsed="false">
      <c r="A216" s="5"/>
      <c r="B216" s="5"/>
      <c r="C216" s="5"/>
      <c r="D216" s="5"/>
      <c r="E216" s="303"/>
      <c r="F216" s="303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4"/>
    </row>
    <row r="217" customFormat="false" ht="15.75" hidden="false" customHeight="true" outlineLevel="0" collapsed="false">
      <c r="A217" s="5"/>
      <c r="B217" s="5"/>
      <c r="C217" s="5"/>
      <c r="D217" s="5"/>
      <c r="E217" s="303"/>
      <c r="F217" s="303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4"/>
    </row>
    <row r="218" customFormat="false" ht="15.75" hidden="false" customHeight="true" outlineLevel="0" collapsed="false">
      <c r="A218" s="5"/>
      <c r="B218" s="5"/>
      <c r="C218" s="5"/>
      <c r="D218" s="5"/>
      <c r="E218" s="303"/>
      <c r="F218" s="303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4"/>
    </row>
    <row r="219" customFormat="false" ht="15.75" hidden="false" customHeight="true" outlineLevel="0" collapsed="false">
      <c r="A219" s="5"/>
      <c r="B219" s="5"/>
      <c r="C219" s="5"/>
      <c r="D219" s="5"/>
      <c r="E219" s="303"/>
      <c r="F219" s="303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4"/>
    </row>
    <row r="220" customFormat="false" ht="15.75" hidden="false" customHeight="true" outlineLevel="0" collapsed="false">
      <c r="A220" s="5"/>
      <c r="B220" s="5"/>
      <c r="C220" s="5"/>
      <c r="D220" s="5"/>
      <c r="E220" s="303"/>
      <c r="F220" s="303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4"/>
    </row>
    <row r="221" customFormat="false" ht="15.75" hidden="false" customHeight="true" outlineLevel="0" collapsed="false">
      <c r="A221" s="5"/>
      <c r="B221" s="5"/>
      <c r="C221" s="5"/>
      <c r="D221" s="5"/>
      <c r="E221" s="303"/>
      <c r="F221" s="303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4"/>
    </row>
    <row r="222" customFormat="false" ht="15.75" hidden="false" customHeight="true" outlineLevel="0" collapsed="false">
      <c r="A222" s="5"/>
      <c r="B222" s="5"/>
      <c r="C222" s="5"/>
      <c r="D222" s="5"/>
      <c r="E222" s="303"/>
      <c r="F222" s="303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4"/>
    </row>
    <row r="223" customFormat="false" ht="15.75" hidden="false" customHeight="true" outlineLevel="0" collapsed="false">
      <c r="A223" s="5"/>
      <c r="B223" s="5"/>
      <c r="C223" s="5"/>
      <c r="D223" s="5"/>
      <c r="E223" s="303"/>
      <c r="F223" s="303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4"/>
    </row>
    <row r="224" customFormat="false" ht="15.75" hidden="false" customHeight="true" outlineLevel="0" collapsed="false">
      <c r="A224" s="5"/>
      <c r="B224" s="5"/>
      <c r="C224" s="5"/>
      <c r="D224" s="5"/>
      <c r="E224" s="303"/>
      <c r="F224" s="303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4"/>
    </row>
    <row r="225" customFormat="false" ht="15.75" hidden="false" customHeight="true" outlineLevel="0" collapsed="false">
      <c r="A225" s="5"/>
      <c r="B225" s="5"/>
      <c r="C225" s="5"/>
      <c r="D225" s="5"/>
      <c r="E225" s="303"/>
      <c r="F225" s="303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4"/>
    </row>
    <row r="226" customFormat="false" ht="15.75" hidden="false" customHeight="true" outlineLevel="0" collapsed="false">
      <c r="A226" s="5"/>
      <c r="B226" s="5"/>
      <c r="C226" s="5"/>
      <c r="D226" s="5"/>
      <c r="E226" s="303"/>
      <c r="F226" s="303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4"/>
    </row>
    <row r="227" customFormat="false" ht="15.75" hidden="false" customHeight="true" outlineLevel="0" collapsed="false">
      <c r="A227" s="5"/>
      <c r="B227" s="5"/>
      <c r="C227" s="5"/>
      <c r="D227" s="5"/>
      <c r="E227" s="303"/>
      <c r="F227" s="303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4"/>
    </row>
    <row r="228" customFormat="false" ht="15.75" hidden="false" customHeight="true" outlineLevel="0" collapsed="false">
      <c r="A228" s="5"/>
      <c r="B228" s="5"/>
      <c r="C228" s="5"/>
      <c r="D228" s="5"/>
      <c r="E228" s="303"/>
      <c r="F228" s="303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4"/>
    </row>
    <row r="229" customFormat="false" ht="15.75" hidden="false" customHeight="true" outlineLevel="0" collapsed="false">
      <c r="A229" s="5"/>
      <c r="B229" s="5"/>
      <c r="C229" s="5"/>
      <c r="D229" s="5"/>
      <c r="E229" s="303"/>
      <c r="F229" s="303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4"/>
    </row>
    <row r="230" customFormat="false" ht="15.75" hidden="false" customHeight="true" outlineLevel="0" collapsed="false">
      <c r="A230" s="5"/>
      <c r="B230" s="5"/>
      <c r="C230" s="5"/>
      <c r="D230" s="5"/>
      <c r="E230" s="303"/>
      <c r="F230" s="303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4"/>
    </row>
    <row r="231" customFormat="false" ht="15.75" hidden="false" customHeight="true" outlineLevel="0" collapsed="false">
      <c r="A231" s="5"/>
      <c r="B231" s="5"/>
      <c r="C231" s="5"/>
      <c r="D231" s="5"/>
      <c r="E231" s="303"/>
      <c r="F231" s="303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4"/>
    </row>
    <row r="232" customFormat="false" ht="15.75" hidden="false" customHeight="true" outlineLevel="0" collapsed="false">
      <c r="A232" s="5"/>
      <c r="B232" s="5"/>
      <c r="C232" s="5"/>
      <c r="D232" s="5"/>
      <c r="E232" s="303"/>
      <c r="F232" s="303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4"/>
    </row>
    <row r="233" customFormat="false" ht="15.75" hidden="false" customHeight="true" outlineLevel="0" collapsed="false">
      <c r="A233" s="5"/>
      <c r="B233" s="5"/>
      <c r="C233" s="5"/>
      <c r="D233" s="5"/>
      <c r="E233" s="303"/>
      <c r="F233" s="303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4"/>
    </row>
    <row r="234" customFormat="false" ht="15.75" hidden="false" customHeight="true" outlineLevel="0" collapsed="false">
      <c r="A234" s="5"/>
      <c r="B234" s="5"/>
      <c r="C234" s="5"/>
      <c r="D234" s="5"/>
      <c r="E234" s="303"/>
      <c r="F234" s="303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4"/>
    </row>
    <row r="235" customFormat="false" ht="15.75" hidden="false" customHeight="true" outlineLevel="0" collapsed="false">
      <c r="A235" s="5"/>
      <c r="B235" s="5"/>
      <c r="C235" s="5"/>
      <c r="D235" s="5"/>
      <c r="E235" s="303"/>
      <c r="F235" s="303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4"/>
    </row>
    <row r="236" customFormat="false" ht="15.75" hidden="false" customHeight="true" outlineLevel="0" collapsed="false">
      <c r="A236" s="5"/>
      <c r="B236" s="5"/>
      <c r="C236" s="5"/>
      <c r="D236" s="5"/>
      <c r="E236" s="303"/>
      <c r="F236" s="303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4"/>
    </row>
    <row r="237" customFormat="false" ht="15.75" hidden="false" customHeight="true" outlineLevel="0" collapsed="false">
      <c r="A237" s="5"/>
      <c r="B237" s="5"/>
      <c r="C237" s="5"/>
      <c r="D237" s="5"/>
      <c r="E237" s="303"/>
      <c r="F237" s="303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4"/>
    </row>
    <row r="238" customFormat="false" ht="15.75" hidden="false" customHeight="true" outlineLevel="0" collapsed="false">
      <c r="A238" s="5"/>
      <c r="B238" s="5"/>
      <c r="C238" s="5"/>
      <c r="D238" s="5"/>
      <c r="E238" s="303"/>
      <c r="F238" s="303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4"/>
    </row>
    <row r="239" customFormat="false" ht="15.75" hidden="false" customHeight="true" outlineLevel="0" collapsed="false">
      <c r="A239" s="5"/>
      <c r="B239" s="5"/>
      <c r="C239" s="5"/>
      <c r="D239" s="5"/>
      <c r="E239" s="303"/>
      <c r="F239" s="303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4"/>
    </row>
    <row r="240" customFormat="false" ht="15.75" hidden="false" customHeight="true" outlineLevel="0" collapsed="false">
      <c r="A240" s="5"/>
      <c r="B240" s="5"/>
      <c r="C240" s="5"/>
      <c r="D240" s="5"/>
      <c r="E240" s="303"/>
      <c r="F240" s="303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4"/>
    </row>
    <row r="241" customFormat="false" ht="15.75" hidden="false" customHeight="true" outlineLevel="0" collapsed="false">
      <c r="A241" s="5"/>
      <c r="B241" s="5"/>
      <c r="C241" s="5"/>
      <c r="D241" s="5"/>
      <c r="E241" s="303"/>
      <c r="F241" s="303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4"/>
    </row>
    <row r="242" customFormat="false" ht="15.75" hidden="false" customHeight="true" outlineLevel="0" collapsed="false">
      <c r="A242" s="5"/>
      <c r="B242" s="5"/>
      <c r="C242" s="5"/>
      <c r="D242" s="5"/>
      <c r="E242" s="303"/>
      <c r="F242" s="303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4"/>
    </row>
    <row r="243" customFormat="false" ht="15.75" hidden="false" customHeight="true" outlineLevel="0" collapsed="false">
      <c r="A243" s="5"/>
      <c r="B243" s="5"/>
      <c r="C243" s="5"/>
      <c r="D243" s="5"/>
      <c r="E243" s="303"/>
      <c r="F243" s="303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4"/>
    </row>
    <row r="244" customFormat="false" ht="15.75" hidden="false" customHeight="true" outlineLevel="0" collapsed="false">
      <c r="A244" s="5"/>
      <c r="B244" s="5"/>
      <c r="C244" s="5"/>
      <c r="D244" s="5"/>
      <c r="E244" s="303"/>
      <c r="F244" s="303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4"/>
    </row>
    <row r="245" customFormat="false" ht="15.75" hidden="false" customHeight="true" outlineLevel="0" collapsed="false">
      <c r="A245" s="5"/>
      <c r="B245" s="5"/>
      <c r="C245" s="5"/>
      <c r="D245" s="5"/>
      <c r="E245" s="303"/>
      <c r="F245" s="303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4"/>
    </row>
    <row r="246" customFormat="false" ht="15.75" hidden="false" customHeight="true" outlineLevel="0" collapsed="false">
      <c r="A246" s="5"/>
      <c r="B246" s="5"/>
      <c r="C246" s="5"/>
      <c r="D246" s="5"/>
      <c r="E246" s="303"/>
      <c r="F246" s="303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4"/>
    </row>
    <row r="247" customFormat="false" ht="15.75" hidden="false" customHeight="true" outlineLevel="0" collapsed="false">
      <c r="A247" s="5"/>
      <c r="B247" s="5"/>
      <c r="C247" s="5"/>
      <c r="D247" s="5"/>
      <c r="E247" s="303"/>
      <c r="F247" s="303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4"/>
    </row>
    <row r="248" customFormat="false" ht="15.75" hidden="false" customHeight="true" outlineLevel="0" collapsed="false">
      <c r="A248" s="5"/>
      <c r="B248" s="5"/>
      <c r="C248" s="5"/>
      <c r="D248" s="5"/>
      <c r="E248" s="303"/>
      <c r="F248" s="303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4"/>
    </row>
    <row r="249" customFormat="false" ht="15.75" hidden="false" customHeight="true" outlineLevel="0" collapsed="false">
      <c r="A249" s="5"/>
      <c r="B249" s="5"/>
      <c r="C249" s="5"/>
      <c r="D249" s="5"/>
      <c r="E249" s="303"/>
      <c r="F249" s="303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4"/>
    </row>
    <row r="250" customFormat="false" ht="15.75" hidden="false" customHeight="true" outlineLevel="0" collapsed="false">
      <c r="A250" s="5"/>
      <c r="B250" s="5"/>
      <c r="C250" s="5"/>
      <c r="D250" s="5"/>
      <c r="E250" s="303"/>
      <c r="F250" s="303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4"/>
    </row>
    <row r="251" customFormat="false" ht="15.75" hidden="false" customHeight="true" outlineLevel="0" collapsed="false">
      <c r="A251" s="5"/>
      <c r="B251" s="5"/>
      <c r="C251" s="5"/>
      <c r="D251" s="5"/>
      <c r="E251" s="303"/>
      <c r="F251" s="303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4"/>
    </row>
    <row r="252" customFormat="false" ht="15.75" hidden="false" customHeight="true" outlineLevel="0" collapsed="false">
      <c r="A252" s="5"/>
      <c r="B252" s="5"/>
      <c r="C252" s="5"/>
      <c r="D252" s="5"/>
      <c r="E252" s="303"/>
      <c r="F252" s="303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4"/>
    </row>
    <row r="253" customFormat="false" ht="15.75" hidden="false" customHeight="true" outlineLevel="0" collapsed="false">
      <c r="A253" s="5"/>
      <c r="B253" s="5"/>
      <c r="C253" s="5"/>
      <c r="D253" s="5"/>
      <c r="E253" s="303"/>
      <c r="F253" s="303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4"/>
    </row>
    <row r="254" customFormat="false" ht="15.75" hidden="false" customHeight="true" outlineLevel="0" collapsed="false">
      <c r="A254" s="5"/>
      <c r="B254" s="5"/>
      <c r="C254" s="5"/>
      <c r="D254" s="5"/>
      <c r="E254" s="303"/>
      <c r="F254" s="303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4"/>
    </row>
    <row r="255" customFormat="false" ht="15.75" hidden="false" customHeight="true" outlineLevel="0" collapsed="false">
      <c r="A255" s="5"/>
      <c r="B255" s="5"/>
      <c r="C255" s="5"/>
      <c r="D255" s="5"/>
      <c r="E255" s="303"/>
      <c r="F255" s="303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4"/>
    </row>
    <row r="256" customFormat="false" ht="15.75" hidden="false" customHeight="true" outlineLevel="0" collapsed="false">
      <c r="A256" s="5"/>
      <c r="B256" s="5"/>
      <c r="C256" s="5"/>
      <c r="D256" s="5"/>
      <c r="E256" s="303"/>
      <c r="F256" s="303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4"/>
    </row>
    <row r="257" customFormat="false" ht="15.75" hidden="false" customHeight="true" outlineLevel="0" collapsed="false">
      <c r="A257" s="5"/>
      <c r="B257" s="5"/>
      <c r="C257" s="5"/>
      <c r="D257" s="5"/>
      <c r="E257" s="303"/>
      <c r="F257" s="303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4"/>
    </row>
    <row r="258" customFormat="false" ht="15.75" hidden="false" customHeight="true" outlineLevel="0" collapsed="false">
      <c r="A258" s="5"/>
      <c r="B258" s="5"/>
      <c r="C258" s="5"/>
      <c r="D258" s="5"/>
      <c r="E258" s="303"/>
      <c r="F258" s="303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4"/>
    </row>
    <row r="259" customFormat="false" ht="15.75" hidden="false" customHeight="true" outlineLevel="0" collapsed="false">
      <c r="A259" s="5"/>
      <c r="B259" s="5"/>
      <c r="C259" s="5"/>
      <c r="D259" s="5"/>
      <c r="E259" s="303"/>
      <c r="F259" s="303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4"/>
    </row>
    <row r="260" customFormat="false" ht="15.75" hidden="false" customHeight="true" outlineLevel="0" collapsed="false">
      <c r="A260" s="5"/>
      <c r="B260" s="5"/>
      <c r="C260" s="5"/>
      <c r="D260" s="5"/>
      <c r="E260" s="303"/>
      <c r="F260" s="303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4"/>
    </row>
    <row r="261" customFormat="false" ht="15.75" hidden="false" customHeight="true" outlineLevel="0" collapsed="false">
      <c r="A261" s="5"/>
      <c r="B261" s="5"/>
      <c r="C261" s="5"/>
      <c r="D261" s="5"/>
      <c r="E261" s="303"/>
      <c r="F261" s="303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4"/>
    </row>
    <row r="262" customFormat="false" ht="15.75" hidden="false" customHeight="true" outlineLevel="0" collapsed="false">
      <c r="A262" s="5"/>
      <c r="B262" s="5"/>
      <c r="C262" s="5"/>
      <c r="D262" s="5"/>
      <c r="E262" s="303"/>
      <c r="F262" s="303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4"/>
    </row>
    <row r="263" customFormat="false" ht="15.75" hidden="false" customHeight="true" outlineLevel="0" collapsed="false">
      <c r="A263" s="5"/>
      <c r="B263" s="5"/>
      <c r="C263" s="5"/>
      <c r="D263" s="5"/>
      <c r="E263" s="303"/>
      <c r="F263" s="303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4"/>
    </row>
    <row r="264" customFormat="false" ht="15.75" hidden="false" customHeight="true" outlineLevel="0" collapsed="false">
      <c r="A264" s="5"/>
      <c r="B264" s="5"/>
      <c r="C264" s="5"/>
      <c r="D264" s="5"/>
      <c r="E264" s="303"/>
      <c r="F264" s="303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4"/>
    </row>
    <row r="265" customFormat="false" ht="15.75" hidden="false" customHeight="true" outlineLevel="0" collapsed="false">
      <c r="A265" s="5"/>
      <c r="B265" s="5"/>
      <c r="C265" s="5"/>
      <c r="D265" s="5"/>
      <c r="E265" s="303"/>
      <c r="F265" s="303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4"/>
    </row>
    <row r="266" customFormat="false" ht="15.75" hidden="false" customHeight="true" outlineLevel="0" collapsed="false">
      <c r="A266" s="5"/>
      <c r="B266" s="5"/>
      <c r="C266" s="5"/>
      <c r="D266" s="5"/>
      <c r="E266" s="303"/>
      <c r="F266" s="303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4"/>
    </row>
    <row r="267" customFormat="false" ht="15.75" hidden="false" customHeight="true" outlineLevel="0" collapsed="false">
      <c r="A267" s="5"/>
      <c r="B267" s="5"/>
      <c r="C267" s="5"/>
      <c r="D267" s="5"/>
      <c r="E267" s="303"/>
      <c r="F267" s="303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4"/>
    </row>
    <row r="268" customFormat="false" ht="15.75" hidden="false" customHeight="true" outlineLevel="0" collapsed="false">
      <c r="A268" s="5"/>
      <c r="B268" s="5"/>
      <c r="C268" s="5"/>
      <c r="D268" s="5"/>
      <c r="E268" s="303"/>
      <c r="F268" s="303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4"/>
    </row>
    <row r="269" customFormat="false" ht="15.75" hidden="false" customHeight="true" outlineLevel="0" collapsed="false">
      <c r="A269" s="5"/>
      <c r="B269" s="5"/>
      <c r="C269" s="5"/>
      <c r="D269" s="5"/>
      <c r="E269" s="303"/>
      <c r="F269" s="303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4"/>
    </row>
    <row r="270" customFormat="false" ht="15.75" hidden="false" customHeight="true" outlineLevel="0" collapsed="false">
      <c r="A270" s="5"/>
      <c r="B270" s="5"/>
      <c r="C270" s="5"/>
      <c r="D270" s="5"/>
      <c r="E270" s="303"/>
      <c r="F270" s="303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4"/>
    </row>
    <row r="271" customFormat="false" ht="15.75" hidden="false" customHeight="true" outlineLevel="0" collapsed="false">
      <c r="A271" s="5"/>
      <c r="B271" s="5"/>
      <c r="C271" s="5"/>
      <c r="D271" s="5"/>
      <c r="E271" s="303"/>
      <c r="F271" s="303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4"/>
    </row>
    <row r="272" customFormat="false" ht="15.75" hidden="false" customHeight="true" outlineLevel="0" collapsed="false">
      <c r="A272" s="5"/>
      <c r="B272" s="5"/>
      <c r="C272" s="5"/>
      <c r="D272" s="5"/>
      <c r="E272" s="303"/>
      <c r="F272" s="303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4"/>
    </row>
    <row r="273" customFormat="false" ht="15.75" hidden="false" customHeight="true" outlineLevel="0" collapsed="false">
      <c r="A273" s="5"/>
      <c r="B273" s="5"/>
      <c r="C273" s="5"/>
      <c r="D273" s="5"/>
      <c r="E273" s="303"/>
      <c r="F273" s="303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4"/>
    </row>
    <row r="274" customFormat="false" ht="15.75" hidden="false" customHeight="true" outlineLevel="0" collapsed="false">
      <c r="A274" s="5"/>
      <c r="B274" s="5"/>
      <c r="C274" s="5"/>
      <c r="D274" s="5"/>
      <c r="E274" s="303"/>
      <c r="F274" s="303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4"/>
    </row>
    <row r="275" customFormat="false" ht="15.75" hidden="false" customHeight="true" outlineLevel="0" collapsed="false">
      <c r="A275" s="5"/>
      <c r="B275" s="5"/>
      <c r="C275" s="5"/>
      <c r="D275" s="5"/>
      <c r="E275" s="303"/>
      <c r="F275" s="303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4"/>
    </row>
    <row r="276" customFormat="false" ht="15.75" hidden="false" customHeight="true" outlineLevel="0" collapsed="false">
      <c r="A276" s="5"/>
      <c r="B276" s="5"/>
      <c r="C276" s="5"/>
      <c r="D276" s="5"/>
      <c r="E276" s="303"/>
      <c r="F276" s="303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4"/>
    </row>
    <row r="277" customFormat="false" ht="15.75" hidden="false" customHeight="true" outlineLevel="0" collapsed="false">
      <c r="A277" s="5"/>
      <c r="B277" s="5"/>
      <c r="C277" s="5"/>
      <c r="D277" s="5"/>
      <c r="E277" s="303"/>
      <c r="F277" s="303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4"/>
    </row>
    <row r="278" customFormat="false" ht="15.75" hidden="false" customHeight="true" outlineLevel="0" collapsed="false">
      <c r="A278" s="5"/>
      <c r="B278" s="5"/>
      <c r="C278" s="5"/>
      <c r="D278" s="5"/>
      <c r="E278" s="303"/>
      <c r="F278" s="303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4"/>
    </row>
    <row r="279" customFormat="false" ht="15.75" hidden="false" customHeight="true" outlineLevel="0" collapsed="false">
      <c r="A279" s="5"/>
      <c r="B279" s="5"/>
      <c r="C279" s="5"/>
      <c r="D279" s="5"/>
      <c r="E279" s="303"/>
      <c r="F279" s="303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4"/>
    </row>
    <row r="280" customFormat="false" ht="15.75" hidden="false" customHeight="true" outlineLevel="0" collapsed="false">
      <c r="A280" s="5"/>
      <c r="B280" s="5"/>
      <c r="C280" s="5"/>
      <c r="D280" s="5"/>
      <c r="E280" s="303"/>
      <c r="F280" s="303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4"/>
    </row>
    <row r="281" customFormat="false" ht="15.75" hidden="false" customHeight="true" outlineLevel="0" collapsed="false">
      <c r="A281" s="5"/>
      <c r="B281" s="5"/>
      <c r="C281" s="5"/>
      <c r="D281" s="5"/>
      <c r="E281" s="303"/>
      <c r="F281" s="303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4"/>
    </row>
    <row r="282" customFormat="false" ht="15.75" hidden="false" customHeight="true" outlineLevel="0" collapsed="false">
      <c r="A282" s="5"/>
      <c r="B282" s="5"/>
      <c r="C282" s="5"/>
      <c r="D282" s="5"/>
      <c r="E282" s="303"/>
      <c r="F282" s="303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4"/>
    </row>
    <row r="283" customFormat="false" ht="15.75" hidden="false" customHeight="true" outlineLevel="0" collapsed="false">
      <c r="A283" s="5"/>
      <c r="B283" s="5"/>
      <c r="C283" s="5"/>
      <c r="D283" s="5"/>
      <c r="E283" s="303"/>
      <c r="F283" s="303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4"/>
    </row>
    <row r="284" customFormat="false" ht="15.75" hidden="false" customHeight="true" outlineLevel="0" collapsed="false">
      <c r="A284" s="5"/>
      <c r="B284" s="5"/>
      <c r="C284" s="5"/>
      <c r="D284" s="5"/>
      <c r="E284" s="303"/>
      <c r="F284" s="303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4"/>
    </row>
    <row r="285" customFormat="false" ht="15.75" hidden="false" customHeight="true" outlineLevel="0" collapsed="false">
      <c r="A285" s="5"/>
      <c r="B285" s="5"/>
      <c r="C285" s="5"/>
      <c r="D285" s="5"/>
      <c r="E285" s="303"/>
      <c r="F285" s="303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4"/>
    </row>
    <row r="286" customFormat="false" ht="15.75" hidden="false" customHeight="true" outlineLevel="0" collapsed="false">
      <c r="A286" s="5"/>
      <c r="B286" s="5"/>
      <c r="C286" s="5"/>
      <c r="D286" s="5"/>
      <c r="E286" s="303"/>
      <c r="F286" s="303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4"/>
    </row>
    <row r="287" customFormat="false" ht="15.75" hidden="false" customHeight="true" outlineLevel="0" collapsed="false">
      <c r="A287" s="5"/>
      <c r="B287" s="5"/>
      <c r="C287" s="5"/>
      <c r="D287" s="5"/>
      <c r="E287" s="303"/>
      <c r="F287" s="303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4"/>
    </row>
    <row r="288" customFormat="false" ht="15.75" hidden="false" customHeight="true" outlineLevel="0" collapsed="false">
      <c r="A288" s="5"/>
      <c r="B288" s="5"/>
      <c r="C288" s="5"/>
      <c r="D288" s="5"/>
      <c r="E288" s="303"/>
      <c r="F288" s="303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4"/>
    </row>
    <row r="289" customFormat="false" ht="15.75" hidden="false" customHeight="true" outlineLevel="0" collapsed="false">
      <c r="A289" s="5"/>
      <c r="B289" s="5"/>
      <c r="C289" s="5"/>
      <c r="D289" s="5"/>
      <c r="E289" s="303"/>
      <c r="F289" s="303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4"/>
    </row>
    <row r="290" customFormat="false" ht="15.75" hidden="false" customHeight="true" outlineLevel="0" collapsed="false">
      <c r="A290" s="5"/>
      <c r="B290" s="5"/>
      <c r="C290" s="5"/>
      <c r="D290" s="5"/>
      <c r="E290" s="303"/>
      <c r="F290" s="303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4"/>
    </row>
    <row r="291" customFormat="false" ht="15.75" hidden="false" customHeight="true" outlineLevel="0" collapsed="false">
      <c r="A291" s="5"/>
      <c r="B291" s="5"/>
      <c r="C291" s="5"/>
      <c r="D291" s="5"/>
      <c r="E291" s="303"/>
      <c r="F291" s="303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4"/>
    </row>
    <row r="292" customFormat="false" ht="15.75" hidden="false" customHeight="true" outlineLevel="0" collapsed="false">
      <c r="A292" s="5"/>
      <c r="B292" s="5"/>
      <c r="C292" s="5"/>
      <c r="D292" s="5"/>
      <c r="E292" s="303"/>
      <c r="F292" s="303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4"/>
    </row>
    <row r="293" customFormat="false" ht="15.75" hidden="false" customHeight="true" outlineLevel="0" collapsed="false">
      <c r="A293" s="5"/>
      <c r="B293" s="5"/>
      <c r="C293" s="5"/>
      <c r="D293" s="5"/>
      <c r="E293" s="303"/>
      <c r="F293" s="303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4"/>
    </row>
    <row r="294" customFormat="false" ht="15.75" hidden="false" customHeight="true" outlineLevel="0" collapsed="false">
      <c r="A294" s="5"/>
      <c r="B294" s="5"/>
      <c r="C294" s="5"/>
      <c r="D294" s="5"/>
      <c r="E294" s="303"/>
      <c r="F294" s="303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4"/>
    </row>
    <row r="295" customFormat="false" ht="15.75" hidden="false" customHeight="true" outlineLevel="0" collapsed="false">
      <c r="A295" s="5"/>
      <c r="B295" s="5"/>
      <c r="C295" s="5"/>
      <c r="D295" s="5"/>
      <c r="E295" s="303"/>
      <c r="F295" s="303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4"/>
    </row>
    <row r="296" customFormat="false" ht="15.75" hidden="false" customHeight="true" outlineLevel="0" collapsed="false">
      <c r="A296" s="5"/>
      <c r="B296" s="5"/>
      <c r="C296" s="5"/>
      <c r="D296" s="5"/>
      <c r="E296" s="303"/>
      <c r="F296" s="303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4"/>
    </row>
    <row r="297" customFormat="false" ht="15.75" hidden="false" customHeight="true" outlineLevel="0" collapsed="false">
      <c r="A297" s="5"/>
      <c r="B297" s="5"/>
      <c r="C297" s="5"/>
      <c r="D297" s="5"/>
      <c r="E297" s="303"/>
      <c r="F297" s="303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4"/>
    </row>
    <row r="298" customFormat="false" ht="15.75" hidden="false" customHeight="true" outlineLevel="0" collapsed="false">
      <c r="A298" s="5"/>
      <c r="B298" s="5"/>
      <c r="C298" s="5"/>
      <c r="D298" s="5"/>
      <c r="E298" s="303"/>
      <c r="F298" s="303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4"/>
    </row>
    <row r="299" customFormat="false" ht="15.75" hidden="false" customHeight="true" outlineLevel="0" collapsed="false">
      <c r="A299" s="5"/>
      <c r="B299" s="5"/>
      <c r="C299" s="5"/>
      <c r="D299" s="5"/>
      <c r="E299" s="303"/>
      <c r="F299" s="303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4"/>
    </row>
    <row r="300" customFormat="false" ht="15.75" hidden="false" customHeight="true" outlineLevel="0" collapsed="false">
      <c r="A300" s="5"/>
      <c r="B300" s="5"/>
      <c r="C300" s="5"/>
      <c r="D300" s="5"/>
      <c r="E300" s="303"/>
      <c r="F300" s="303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4"/>
    </row>
    <row r="301" customFormat="false" ht="15.75" hidden="false" customHeight="true" outlineLevel="0" collapsed="false">
      <c r="A301" s="5"/>
      <c r="B301" s="5"/>
      <c r="C301" s="5"/>
      <c r="D301" s="5"/>
      <c r="E301" s="303"/>
      <c r="F301" s="303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4"/>
    </row>
    <row r="302" customFormat="false" ht="15.75" hidden="false" customHeight="true" outlineLevel="0" collapsed="false">
      <c r="A302" s="5"/>
      <c r="B302" s="5"/>
      <c r="C302" s="5"/>
      <c r="D302" s="5"/>
      <c r="E302" s="303"/>
      <c r="F302" s="303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4"/>
    </row>
    <row r="303" customFormat="false" ht="15.75" hidden="false" customHeight="true" outlineLevel="0" collapsed="false">
      <c r="A303" s="5"/>
      <c r="B303" s="5"/>
      <c r="C303" s="5"/>
      <c r="D303" s="5"/>
      <c r="E303" s="303"/>
      <c r="F303" s="303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4"/>
    </row>
    <row r="304" customFormat="false" ht="15.75" hidden="false" customHeight="true" outlineLevel="0" collapsed="false">
      <c r="A304" s="5"/>
      <c r="B304" s="5"/>
      <c r="C304" s="5"/>
      <c r="D304" s="5"/>
      <c r="E304" s="303"/>
      <c r="F304" s="303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4"/>
    </row>
    <row r="305" customFormat="false" ht="15.75" hidden="false" customHeight="true" outlineLevel="0" collapsed="false">
      <c r="A305" s="5"/>
      <c r="B305" s="5"/>
      <c r="C305" s="5"/>
      <c r="D305" s="5"/>
      <c r="E305" s="303"/>
      <c r="F305" s="303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4"/>
    </row>
    <row r="306" customFormat="false" ht="15.75" hidden="false" customHeight="true" outlineLevel="0" collapsed="false">
      <c r="A306" s="5"/>
      <c r="B306" s="5"/>
      <c r="C306" s="5"/>
      <c r="D306" s="5"/>
      <c r="E306" s="303"/>
      <c r="F306" s="303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4"/>
    </row>
    <row r="307" customFormat="false" ht="15.75" hidden="false" customHeight="true" outlineLevel="0" collapsed="false">
      <c r="A307" s="5"/>
      <c r="B307" s="5"/>
      <c r="C307" s="5"/>
      <c r="D307" s="5"/>
      <c r="E307" s="303"/>
      <c r="F307" s="303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4"/>
    </row>
    <row r="308" customFormat="false" ht="15.75" hidden="false" customHeight="true" outlineLevel="0" collapsed="false">
      <c r="A308" s="5"/>
      <c r="B308" s="5"/>
      <c r="C308" s="5"/>
      <c r="D308" s="5"/>
      <c r="E308" s="303"/>
      <c r="F308" s="303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4"/>
    </row>
    <row r="309" customFormat="false" ht="15.75" hidden="false" customHeight="true" outlineLevel="0" collapsed="false">
      <c r="A309" s="5"/>
      <c r="B309" s="5"/>
      <c r="C309" s="5"/>
      <c r="D309" s="5"/>
      <c r="E309" s="303"/>
      <c r="F309" s="303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4"/>
    </row>
    <row r="310" customFormat="false" ht="15.75" hidden="false" customHeight="true" outlineLevel="0" collapsed="false">
      <c r="A310" s="5"/>
      <c r="B310" s="5"/>
      <c r="C310" s="5"/>
      <c r="D310" s="5"/>
      <c r="E310" s="303"/>
      <c r="F310" s="303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4"/>
    </row>
    <row r="311" customFormat="false" ht="15.75" hidden="false" customHeight="true" outlineLevel="0" collapsed="false">
      <c r="A311" s="5"/>
      <c r="B311" s="5"/>
      <c r="C311" s="5"/>
      <c r="D311" s="5"/>
      <c r="E311" s="303"/>
      <c r="F311" s="303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4"/>
    </row>
    <row r="312" customFormat="false" ht="15.75" hidden="false" customHeight="true" outlineLevel="0" collapsed="false">
      <c r="A312" s="5"/>
      <c r="B312" s="5"/>
      <c r="C312" s="5"/>
      <c r="D312" s="5"/>
      <c r="E312" s="303"/>
      <c r="F312" s="303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4"/>
    </row>
    <row r="313" customFormat="false" ht="15.75" hidden="false" customHeight="true" outlineLevel="0" collapsed="false">
      <c r="A313" s="5"/>
      <c r="B313" s="5"/>
      <c r="C313" s="5"/>
      <c r="D313" s="5"/>
      <c r="E313" s="303"/>
      <c r="F313" s="303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4"/>
    </row>
    <row r="314" customFormat="false" ht="15.75" hidden="false" customHeight="true" outlineLevel="0" collapsed="false">
      <c r="A314" s="5"/>
      <c r="B314" s="5"/>
      <c r="C314" s="5"/>
      <c r="D314" s="5"/>
      <c r="E314" s="303"/>
      <c r="F314" s="303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4"/>
    </row>
    <row r="315" customFormat="false" ht="15.75" hidden="false" customHeight="true" outlineLevel="0" collapsed="false">
      <c r="A315" s="5"/>
      <c r="B315" s="5"/>
      <c r="C315" s="5"/>
      <c r="D315" s="5"/>
      <c r="E315" s="303"/>
      <c r="F315" s="303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4"/>
    </row>
    <row r="316" customFormat="false" ht="15.75" hidden="false" customHeight="true" outlineLevel="0" collapsed="false">
      <c r="A316" s="5"/>
      <c r="B316" s="5"/>
      <c r="C316" s="5"/>
      <c r="D316" s="5"/>
      <c r="E316" s="303"/>
      <c r="F316" s="303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4"/>
    </row>
    <row r="317" customFormat="false" ht="15.75" hidden="false" customHeight="true" outlineLevel="0" collapsed="false">
      <c r="A317" s="5"/>
      <c r="B317" s="5"/>
      <c r="C317" s="5"/>
      <c r="D317" s="5"/>
      <c r="E317" s="303"/>
      <c r="F317" s="303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4"/>
    </row>
    <row r="318" customFormat="false" ht="15.75" hidden="false" customHeight="true" outlineLevel="0" collapsed="false">
      <c r="A318" s="5"/>
      <c r="B318" s="5"/>
      <c r="C318" s="5"/>
      <c r="D318" s="5"/>
      <c r="E318" s="303"/>
      <c r="F318" s="303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4"/>
    </row>
    <row r="319" customFormat="false" ht="15.75" hidden="false" customHeight="true" outlineLevel="0" collapsed="false">
      <c r="A319" s="5"/>
      <c r="B319" s="5"/>
      <c r="C319" s="5"/>
      <c r="D319" s="5"/>
      <c r="E319" s="303"/>
      <c r="F319" s="303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4"/>
    </row>
    <row r="320" customFormat="false" ht="15.75" hidden="false" customHeight="true" outlineLevel="0" collapsed="false">
      <c r="A320" s="5"/>
      <c r="B320" s="5"/>
      <c r="C320" s="5"/>
      <c r="D320" s="5"/>
      <c r="E320" s="303"/>
      <c r="F320" s="303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4"/>
    </row>
    <row r="321" customFormat="false" ht="15.75" hidden="false" customHeight="true" outlineLevel="0" collapsed="false">
      <c r="A321" s="5"/>
      <c r="B321" s="5"/>
      <c r="C321" s="5"/>
      <c r="D321" s="5"/>
      <c r="E321" s="303"/>
      <c r="F321" s="303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4"/>
    </row>
    <row r="322" customFormat="false" ht="15.75" hidden="false" customHeight="true" outlineLevel="0" collapsed="false">
      <c r="A322" s="5"/>
      <c r="B322" s="5"/>
      <c r="C322" s="5"/>
      <c r="D322" s="5"/>
      <c r="E322" s="303"/>
      <c r="F322" s="303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4"/>
    </row>
    <row r="323" customFormat="false" ht="15.75" hidden="false" customHeight="true" outlineLevel="0" collapsed="false">
      <c r="A323" s="5"/>
      <c r="B323" s="5"/>
      <c r="C323" s="5"/>
      <c r="D323" s="5"/>
      <c r="E323" s="303"/>
      <c r="F323" s="303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4"/>
    </row>
    <row r="324" customFormat="false" ht="15.75" hidden="false" customHeight="true" outlineLevel="0" collapsed="false">
      <c r="A324" s="5"/>
      <c r="B324" s="5"/>
      <c r="C324" s="5"/>
      <c r="D324" s="5"/>
      <c r="E324" s="303"/>
      <c r="F324" s="303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4"/>
    </row>
    <row r="325" customFormat="false" ht="15.75" hidden="false" customHeight="true" outlineLevel="0" collapsed="false">
      <c r="A325" s="5"/>
      <c r="B325" s="5"/>
      <c r="C325" s="5"/>
      <c r="D325" s="5"/>
      <c r="E325" s="303"/>
      <c r="F325" s="303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4"/>
    </row>
    <row r="326" customFormat="false" ht="15.75" hidden="false" customHeight="true" outlineLevel="0" collapsed="false">
      <c r="A326" s="5"/>
      <c r="B326" s="5"/>
      <c r="C326" s="5"/>
      <c r="D326" s="5"/>
      <c r="E326" s="303"/>
      <c r="F326" s="303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4"/>
    </row>
    <row r="327" customFormat="false" ht="15.75" hidden="false" customHeight="true" outlineLevel="0" collapsed="false">
      <c r="A327" s="5"/>
      <c r="B327" s="5"/>
      <c r="C327" s="5"/>
      <c r="D327" s="5"/>
      <c r="E327" s="303"/>
      <c r="F327" s="303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4"/>
    </row>
    <row r="328" customFormat="false" ht="15.75" hidden="false" customHeight="true" outlineLevel="0" collapsed="false">
      <c r="A328" s="5"/>
      <c r="B328" s="5"/>
      <c r="C328" s="5"/>
      <c r="D328" s="5"/>
      <c r="E328" s="303"/>
      <c r="F328" s="303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4"/>
    </row>
    <row r="329" customFormat="false" ht="15.75" hidden="false" customHeight="true" outlineLevel="0" collapsed="false">
      <c r="A329" s="5"/>
      <c r="B329" s="5"/>
      <c r="C329" s="5"/>
      <c r="D329" s="5"/>
      <c r="E329" s="303"/>
      <c r="F329" s="303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4"/>
    </row>
    <row r="330" customFormat="false" ht="15.75" hidden="false" customHeight="true" outlineLevel="0" collapsed="false">
      <c r="A330" s="5"/>
      <c r="B330" s="5"/>
      <c r="C330" s="5"/>
      <c r="D330" s="5"/>
      <c r="E330" s="303"/>
      <c r="F330" s="303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4"/>
    </row>
    <row r="331" customFormat="false" ht="15.75" hidden="false" customHeight="true" outlineLevel="0" collapsed="false">
      <c r="A331" s="5"/>
      <c r="B331" s="5"/>
      <c r="C331" s="5"/>
      <c r="D331" s="5"/>
      <c r="E331" s="303"/>
      <c r="F331" s="303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4"/>
    </row>
    <row r="332" customFormat="false" ht="15.75" hidden="false" customHeight="true" outlineLevel="0" collapsed="false">
      <c r="A332" s="5"/>
      <c r="B332" s="5"/>
      <c r="C332" s="5"/>
      <c r="D332" s="5"/>
      <c r="E332" s="303"/>
      <c r="F332" s="303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4"/>
    </row>
    <row r="333" customFormat="false" ht="15.75" hidden="false" customHeight="true" outlineLevel="0" collapsed="false">
      <c r="A333" s="5"/>
      <c r="B333" s="5"/>
      <c r="C333" s="5"/>
      <c r="D333" s="5"/>
      <c r="E333" s="303"/>
      <c r="F333" s="303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4"/>
    </row>
    <row r="334" customFormat="false" ht="15.75" hidden="false" customHeight="true" outlineLevel="0" collapsed="false">
      <c r="A334" s="5"/>
      <c r="B334" s="5"/>
      <c r="C334" s="5"/>
      <c r="D334" s="5"/>
      <c r="E334" s="303"/>
      <c r="F334" s="303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4"/>
    </row>
    <row r="335" customFormat="false" ht="15.75" hidden="false" customHeight="true" outlineLevel="0" collapsed="false">
      <c r="A335" s="5"/>
      <c r="B335" s="5"/>
      <c r="C335" s="5"/>
      <c r="D335" s="5"/>
      <c r="E335" s="303"/>
      <c r="F335" s="303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4"/>
    </row>
    <row r="336" customFormat="false" ht="15.75" hidden="false" customHeight="true" outlineLevel="0" collapsed="false">
      <c r="A336" s="5"/>
      <c r="B336" s="5"/>
      <c r="C336" s="5"/>
      <c r="D336" s="5"/>
      <c r="E336" s="303"/>
      <c r="F336" s="303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4"/>
    </row>
    <row r="337" customFormat="false" ht="15.75" hidden="false" customHeight="true" outlineLevel="0" collapsed="false">
      <c r="A337" s="5"/>
      <c r="B337" s="5"/>
      <c r="C337" s="5"/>
      <c r="D337" s="5"/>
      <c r="E337" s="303"/>
      <c r="F337" s="303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4"/>
    </row>
    <row r="338" customFormat="false" ht="15.75" hidden="false" customHeight="true" outlineLevel="0" collapsed="false">
      <c r="A338" s="5"/>
      <c r="B338" s="5"/>
      <c r="C338" s="5"/>
      <c r="D338" s="5"/>
      <c r="E338" s="303"/>
      <c r="F338" s="303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4"/>
    </row>
    <row r="339" customFormat="false" ht="15.75" hidden="false" customHeight="true" outlineLevel="0" collapsed="false">
      <c r="A339" s="5"/>
      <c r="B339" s="5"/>
      <c r="C339" s="5"/>
      <c r="D339" s="5"/>
      <c r="E339" s="303"/>
      <c r="F339" s="303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4"/>
    </row>
    <row r="340" customFormat="false" ht="15.75" hidden="false" customHeight="true" outlineLevel="0" collapsed="false">
      <c r="A340" s="5"/>
      <c r="B340" s="5"/>
      <c r="C340" s="5"/>
      <c r="D340" s="5"/>
      <c r="E340" s="303"/>
      <c r="F340" s="303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4"/>
    </row>
    <row r="341" customFormat="false" ht="15.75" hidden="false" customHeight="true" outlineLevel="0" collapsed="false">
      <c r="A341" s="5"/>
      <c r="B341" s="5"/>
      <c r="C341" s="5"/>
      <c r="D341" s="5"/>
      <c r="E341" s="303"/>
      <c r="F341" s="303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4"/>
    </row>
    <row r="342" customFormat="false" ht="15.75" hidden="false" customHeight="true" outlineLevel="0" collapsed="false">
      <c r="A342" s="5"/>
      <c r="B342" s="5"/>
      <c r="C342" s="5"/>
      <c r="D342" s="5"/>
      <c r="E342" s="303"/>
      <c r="F342" s="303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4"/>
    </row>
    <row r="343" customFormat="false" ht="15.75" hidden="false" customHeight="true" outlineLevel="0" collapsed="false">
      <c r="A343" s="5"/>
      <c r="B343" s="5"/>
      <c r="C343" s="5"/>
      <c r="D343" s="5"/>
      <c r="E343" s="303"/>
      <c r="F343" s="303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4"/>
    </row>
    <row r="344" customFormat="false" ht="15.75" hidden="false" customHeight="true" outlineLevel="0" collapsed="false">
      <c r="A344" s="5"/>
      <c r="B344" s="5"/>
      <c r="C344" s="5"/>
      <c r="D344" s="5"/>
      <c r="E344" s="303"/>
      <c r="F344" s="303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4"/>
    </row>
    <row r="345" customFormat="false" ht="15.75" hidden="false" customHeight="true" outlineLevel="0" collapsed="false">
      <c r="A345" s="5"/>
      <c r="B345" s="5"/>
      <c r="C345" s="5"/>
      <c r="D345" s="5"/>
      <c r="E345" s="303"/>
      <c r="F345" s="303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4"/>
    </row>
    <row r="346" customFormat="false" ht="15.75" hidden="false" customHeight="true" outlineLevel="0" collapsed="false">
      <c r="A346" s="5"/>
      <c r="B346" s="5"/>
      <c r="C346" s="5"/>
      <c r="D346" s="5"/>
      <c r="E346" s="303"/>
      <c r="F346" s="303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4"/>
    </row>
    <row r="347" customFormat="false" ht="15.75" hidden="false" customHeight="true" outlineLevel="0" collapsed="false">
      <c r="A347" s="5"/>
      <c r="B347" s="5"/>
      <c r="C347" s="5"/>
      <c r="D347" s="5"/>
      <c r="E347" s="303"/>
      <c r="F347" s="303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4"/>
    </row>
    <row r="348" customFormat="false" ht="15.75" hidden="false" customHeight="true" outlineLevel="0" collapsed="false">
      <c r="A348" s="5"/>
      <c r="B348" s="5"/>
      <c r="C348" s="5"/>
      <c r="D348" s="5"/>
      <c r="E348" s="303"/>
      <c r="F348" s="303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4"/>
    </row>
    <row r="349" customFormat="false" ht="15.75" hidden="false" customHeight="true" outlineLevel="0" collapsed="false">
      <c r="A349" s="5"/>
      <c r="B349" s="5"/>
      <c r="C349" s="5"/>
      <c r="D349" s="5"/>
      <c r="E349" s="303"/>
      <c r="F349" s="303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4"/>
    </row>
    <row r="350" customFormat="false" ht="15.75" hidden="false" customHeight="true" outlineLevel="0" collapsed="false">
      <c r="A350" s="5"/>
      <c r="B350" s="5"/>
      <c r="C350" s="5"/>
      <c r="D350" s="5"/>
      <c r="E350" s="303"/>
      <c r="F350" s="303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4"/>
    </row>
    <row r="351" customFormat="false" ht="15.75" hidden="false" customHeight="true" outlineLevel="0" collapsed="false">
      <c r="A351" s="5"/>
      <c r="B351" s="5"/>
      <c r="C351" s="5"/>
      <c r="D351" s="5"/>
      <c r="E351" s="303"/>
      <c r="F351" s="303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4"/>
    </row>
    <row r="352" customFormat="false" ht="15.75" hidden="false" customHeight="true" outlineLevel="0" collapsed="false">
      <c r="A352" s="5"/>
      <c r="B352" s="5"/>
      <c r="C352" s="5"/>
      <c r="D352" s="5"/>
      <c r="E352" s="303"/>
      <c r="F352" s="303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4"/>
    </row>
    <row r="353" customFormat="false" ht="15.75" hidden="false" customHeight="true" outlineLevel="0" collapsed="false">
      <c r="A353" s="5"/>
      <c r="B353" s="5"/>
      <c r="C353" s="5"/>
      <c r="D353" s="5"/>
      <c r="E353" s="303"/>
      <c r="F353" s="303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4"/>
    </row>
    <row r="354" customFormat="false" ht="15.75" hidden="false" customHeight="true" outlineLevel="0" collapsed="false">
      <c r="A354" s="5"/>
      <c r="B354" s="5"/>
      <c r="C354" s="5"/>
      <c r="D354" s="5"/>
      <c r="E354" s="303"/>
      <c r="F354" s="303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4"/>
    </row>
    <row r="355" customFormat="false" ht="15.75" hidden="false" customHeight="true" outlineLevel="0" collapsed="false">
      <c r="A355" s="5"/>
      <c r="B355" s="5"/>
      <c r="C355" s="5"/>
      <c r="D355" s="5"/>
      <c r="E355" s="303"/>
      <c r="F355" s="303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4"/>
    </row>
    <row r="356" customFormat="false" ht="15.75" hidden="false" customHeight="true" outlineLevel="0" collapsed="false">
      <c r="A356" s="5"/>
      <c r="B356" s="5"/>
      <c r="C356" s="5"/>
      <c r="D356" s="5"/>
      <c r="E356" s="303"/>
      <c r="F356" s="303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4"/>
    </row>
    <row r="357" customFormat="false" ht="15.75" hidden="false" customHeight="true" outlineLevel="0" collapsed="false">
      <c r="A357" s="5"/>
      <c r="B357" s="5"/>
      <c r="C357" s="5"/>
      <c r="D357" s="5"/>
      <c r="E357" s="303"/>
      <c r="F357" s="303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4"/>
    </row>
    <row r="358" customFormat="false" ht="15.75" hidden="false" customHeight="true" outlineLevel="0" collapsed="false">
      <c r="A358" s="5"/>
      <c r="B358" s="5"/>
      <c r="C358" s="5"/>
      <c r="D358" s="5"/>
      <c r="E358" s="303"/>
      <c r="F358" s="303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4"/>
    </row>
    <row r="359" customFormat="false" ht="15.75" hidden="false" customHeight="true" outlineLevel="0" collapsed="false">
      <c r="A359" s="5"/>
      <c r="B359" s="5"/>
      <c r="C359" s="5"/>
      <c r="D359" s="5"/>
      <c r="E359" s="303"/>
      <c r="F359" s="303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4"/>
    </row>
    <row r="360" customFormat="false" ht="15.75" hidden="false" customHeight="true" outlineLevel="0" collapsed="false">
      <c r="A360" s="5"/>
      <c r="B360" s="5"/>
      <c r="C360" s="5"/>
      <c r="D360" s="5"/>
      <c r="E360" s="303"/>
      <c r="F360" s="303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4"/>
    </row>
    <row r="361" customFormat="false" ht="15.75" hidden="false" customHeight="true" outlineLevel="0" collapsed="false">
      <c r="A361" s="5"/>
      <c r="B361" s="5"/>
      <c r="C361" s="5"/>
      <c r="D361" s="5"/>
      <c r="E361" s="303"/>
      <c r="F361" s="303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4"/>
    </row>
    <row r="362" customFormat="false" ht="15.75" hidden="false" customHeight="true" outlineLevel="0" collapsed="false">
      <c r="A362" s="5"/>
      <c r="B362" s="5"/>
      <c r="C362" s="5"/>
      <c r="D362" s="5"/>
      <c r="E362" s="303"/>
      <c r="F362" s="303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4"/>
    </row>
    <row r="363" customFormat="false" ht="15.75" hidden="false" customHeight="true" outlineLevel="0" collapsed="false">
      <c r="A363" s="5"/>
      <c r="B363" s="5"/>
      <c r="C363" s="5"/>
      <c r="D363" s="5"/>
      <c r="E363" s="303"/>
      <c r="F363" s="303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4"/>
    </row>
    <row r="364" customFormat="false" ht="15.75" hidden="false" customHeight="true" outlineLevel="0" collapsed="false">
      <c r="A364" s="5"/>
      <c r="B364" s="5"/>
      <c r="C364" s="5"/>
      <c r="D364" s="5"/>
      <c r="E364" s="303"/>
      <c r="F364" s="303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4"/>
    </row>
    <row r="365" customFormat="false" ht="15.75" hidden="false" customHeight="true" outlineLevel="0" collapsed="false">
      <c r="A365" s="5"/>
      <c r="B365" s="5"/>
      <c r="C365" s="5"/>
      <c r="D365" s="5"/>
      <c r="E365" s="303"/>
      <c r="F365" s="303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4"/>
    </row>
    <row r="366" customFormat="false" ht="15.75" hidden="false" customHeight="true" outlineLevel="0" collapsed="false">
      <c r="A366" s="5"/>
      <c r="B366" s="5"/>
      <c r="C366" s="5"/>
      <c r="D366" s="5"/>
      <c r="E366" s="303"/>
      <c r="F366" s="303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4"/>
    </row>
    <row r="367" customFormat="false" ht="15.75" hidden="false" customHeight="true" outlineLevel="0" collapsed="false">
      <c r="A367" s="5"/>
      <c r="B367" s="5"/>
      <c r="C367" s="5"/>
      <c r="D367" s="5"/>
      <c r="E367" s="303"/>
      <c r="F367" s="303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4"/>
    </row>
    <row r="368" customFormat="false" ht="15.75" hidden="false" customHeight="true" outlineLevel="0" collapsed="false">
      <c r="A368" s="5"/>
      <c r="B368" s="5"/>
      <c r="C368" s="5"/>
      <c r="D368" s="5"/>
      <c r="E368" s="303"/>
      <c r="F368" s="303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4"/>
    </row>
    <row r="369" customFormat="false" ht="15.75" hidden="false" customHeight="true" outlineLevel="0" collapsed="false">
      <c r="A369" s="5"/>
      <c r="B369" s="5"/>
      <c r="C369" s="5"/>
      <c r="D369" s="5"/>
      <c r="E369" s="303"/>
      <c r="F369" s="303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4"/>
    </row>
    <row r="370" customFormat="false" ht="15.75" hidden="false" customHeight="true" outlineLevel="0" collapsed="false">
      <c r="A370" s="5"/>
      <c r="B370" s="5"/>
      <c r="C370" s="5"/>
      <c r="D370" s="5"/>
      <c r="E370" s="303"/>
      <c r="F370" s="303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4"/>
    </row>
    <row r="371" customFormat="false" ht="15.75" hidden="false" customHeight="true" outlineLevel="0" collapsed="false">
      <c r="A371" s="5"/>
      <c r="B371" s="5"/>
      <c r="C371" s="5"/>
      <c r="D371" s="5"/>
      <c r="E371" s="303"/>
      <c r="F371" s="303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4"/>
    </row>
    <row r="372" customFormat="false" ht="15.75" hidden="false" customHeight="true" outlineLevel="0" collapsed="false">
      <c r="A372" s="5"/>
      <c r="B372" s="5"/>
      <c r="C372" s="5"/>
      <c r="D372" s="5"/>
      <c r="E372" s="303"/>
      <c r="F372" s="303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4"/>
    </row>
    <row r="373" customFormat="false" ht="15.75" hidden="false" customHeight="true" outlineLevel="0" collapsed="false">
      <c r="A373" s="5"/>
      <c r="B373" s="5"/>
      <c r="C373" s="5"/>
      <c r="D373" s="5"/>
      <c r="E373" s="303"/>
      <c r="F373" s="303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4"/>
    </row>
    <row r="374" customFormat="false" ht="15.75" hidden="false" customHeight="true" outlineLevel="0" collapsed="false">
      <c r="A374" s="5"/>
      <c r="B374" s="5"/>
      <c r="C374" s="5"/>
      <c r="D374" s="5"/>
      <c r="E374" s="303"/>
      <c r="F374" s="303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4"/>
    </row>
    <row r="375" customFormat="false" ht="15.75" hidden="false" customHeight="true" outlineLevel="0" collapsed="false">
      <c r="A375" s="5"/>
      <c r="B375" s="5"/>
      <c r="C375" s="5"/>
      <c r="D375" s="5"/>
      <c r="E375" s="303"/>
      <c r="F375" s="303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4"/>
    </row>
    <row r="376" customFormat="false" ht="15.75" hidden="false" customHeight="true" outlineLevel="0" collapsed="false">
      <c r="A376" s="5"/>
      <c r="B376" s="5"/>
      <c r="C376" s="5"/>
      <c r="D376" s="5"/>
      <c r="E376" s="303"/>
      <c r="F376" s="303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4"/>
    </row>
    <row r="377" customFormat="false" ht="15.75" hidden="false" customHeight="true" outlineLevel="0" collapsed="false">
      <c r="A377" s="5"/>
      <c r="B377" s="5"/>
      <c r="C377" s="5"/>
      <c r="D377" s="5"/>
      <c r="E377" s="303"/>
      <c r="F377" s="303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4"/>
    </row>
    <row r="378" customFormat="false" ht="15.75" hidden="false" customHeight="true" outlineLevel="0" collapsed="false">
      <c r="A378" s="5"/>
      <c r="B378" s="5"/>
      <c r="C378" s="5"/>
      <c r="D378" s="5"/>
      <c r="E378" s="303"/>
      <c r="F378" s="303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4"/>
    </row>
    <row r="379" customFormat="false" ht="15.75" hidden="false" customHeight="true" outlineLevel="0" collapsed="false">
      <c r="A379" s="5"/>
      <c r="B379" s="5"/>
      <c r="C379" s="5"/>
      <c r="D379" s="5"/>
      <c r="E379" s="303"/>
      <c r="F379" s="303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4"/>
    </row>
    <row r="380" customFormat="false" ht="15.75" hidden="false" customHeight="true" outlineLevel="0" collapsed="false">
      <c r="A380" s="5"/>
      <c r="B380" s="5"/>
      <c r="C380" s="5"/>
      <c r="D380" s="5"/>
      <c r="E380" s="303"/>
      <c r="F380" s="303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4"/>
    </row>
    <row r="381" customFormat="false" ht="15.75" hidden="false" customHeight="true" outlineLevel="0" collapsed="false">
      <c r="A381" s="5"/>
      <c r="B381" s="5"/>
      <c r="C381" s="5"/>
      <c r="D381" s="5"/>
      <c r="E381" s="303"/>
      <c r="F381" s="303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4"/>
    </row>
    <row r="382" customFormat="false" ht="15.75" hidden="false" customHeight="true" outlineLevel="0" collapsed="false">
      <c r="A382" s="5"/>
      <c r="B382" s="5"/>
      <c r="C382" s="5"/>
      <c r="D382" s="5"/>
      <c r="E382" s="303"/>
      <c r="F382" s="303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4"/>
    </row>
    <row r="383" customFormat="false" ht="15.75" hidden="false" customHeight="true" outlineLevel="0" collapsed="false">
      <c r="A383" s="5"/>
      <c r="B383" s="5"/>
      <c r="C383" s="5"/>
      <c r="D383" s="5"/>
      <c r="E383" s="303"/>
      <c r="F383" s="303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4"/>
    </row>
    <row r="384" customFormat="false" ht="15.75" hidden="false" customHeight="true" outlineLevel="0" collapsed="false">
      <c r="A384" s="5"/>
      <c r="B384" s="5"/>
      <c r="C384" s="5"/>
      <c r="D384" s="5"/>
      <c r="E384" s="303"/>
      <c r="F384" s="303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4"/>
    </row>
    <row r="385" customFormat="false" ht="15.75" hidden="false" customHeight="true" outlineLevel="0" collapsed="false">
      <c r="A385" s="5"/>
      <c r="B385" s="5"/>
      <c r="C385" s="5"/>
      <c r="D385" s="5"/>
      <c r="E385" s="303"/>
      <c r="F385" s="303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4"/>
    </row>
    <row r="386" customFormat="false" ht="15.75" hidden="false" customHeight="true" outlineLevel="0" collapsed="false">
      <c r="A386" s="5"/>
      <c r="B386" s="5"/>
      <c r="C386" s="5"/>
      <c r="D386" s="5"/>
      <c r="E386" s="303"/>
      <c r="F386" s="303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4"/>
    </row>
    <row r="387" customFormat="false" ht="15.75" hidden="false" customHeight="true" outlineLevel="0" collapsed="false">
      <c r="A387" s="5"/>
      <c r="B387" s="5"/>
      <c r="C387" s="5"/>
      <c r="D387" s="5"/>
      <c r="E387" s="303"/>
      <c r="F387" s="303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4"/>
    </row>
    <row r="388" customFormat="false" ht="15.75" hidden="false" customHeight="true" outlineLevel="0" collapsed="false">
      <c r="A388" s="5"/>
      <c r="B388" s="5"/>
      <c r="C388" s="5"/>
      <c r="D388" s="5"/>
      <c r="E388" s="303"/>
      <c r="F388" s="303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4"/>
    </row>
    <row r="389" customFormat="false" ht="15.75" hidden="false" customHeight="true" outlineLevel="0" collapsed="false">
      <c r="A389" s="5"/>
      <c r="B389" s="5"/>
      <c r="C389" s="5"/>
      <c r="D389" s="5"/>
      <c r="E389" s="303"/>
      <c r="F389" s="303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4"/>
    </row>
    <row r="390" customFormat="false" ht="15.75" hidden="false" customHeight="true" outlineLevel="0" collapsed="false">
      <c r="A390" s="5"/>
      <c r="B390" s="5"/>
      <c r="C390" s="5"/>
      <c r="D390" s="5"/>
      <c r="E390" s="303"/>
      <c r="F390" s="303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4"/>
    </row>
    <row r="391" customFormat="false" ht="15.75" hidden="false" customHeight="true" outlineLevel="0" collapsed="false">
      <c r="A391" s="5"/>
      <c r="B391" s="5"/>
      <c r="C391" s="5"/>
      <c r="D391" s="5"/>
      <c r="E391" s="303"/>
      <c r="F391" s="303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4"/>
    </row>
    <row r="392" customFormat="false" ht="15.75" hidden="false" customHeight="true" outlineLevel="0" collapsed="false">
      <c r="A392" s="5"/>
      <c r="B392" s="5"/>
      <c r="C392" s="5"/>
      <c r="D392" s="5"/>
      <c r="E392" s="303"/>
      <c r="F392" s="303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4"/>
    </row>
    <row r="393" customFormat="false" ht="15.75" hidden="false" customHeight="true" outlineLevel="0" collapsed="false">
      <c r="A393" s="5"/>
      <c r="B393" s="5"/>
      <c r="C393" s="5"/>
      <c r="D393" s="5"/>
      <c r="E393" s="303"/>
      <c r="F393" s="303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4"/>
    </row>
    <row r="394" customFormat="false" ht="15.75" hidden="false" customHeight="true" outlineLevel="0" collapsed="false">
      <c r="A394" s="5"/>
      <c r="B394" s="5"/>
      <c r="C394" s="5"/>
      <c r="D394" s="5"/>
      <c r="E394" s="303"/>
      <c r="F394" s="303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4"/>
    </row>
    <row r="395" customFormat="false" ht="15.75" hidden="false" customHeight="true" outlineLevel="0" collapsed="false">
      <c r="A395" s="5"/>
      <c r="B395" s="5"/>
      <c r="C395" s="5"/>
      <c r="D395" s="5"/>
      <c r="E395" s="303"/>
      <c r="F395" s="303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4"/>
    </row>
    <row r="396" customFormat="false" ht="15.75" hidden="false" customHeight="true" outlineLevel="0" collapsed="false">
      <c r="A396" s="5"/>
      <c r="B396" s="5"/>
      <c r="C396" s="5"/>
      <c r="D396" s="5"/>
      <c r="E396" s="303"/>
      <c r="F396" s="303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4"/>
    </row>
    <row r="397" customFormat="false" ht="15.75" hidden="false" customHeight="true" outlineLevel="0" collapsed="false">
      <c r="A397" s="5"/>
      <c r="B397" s="5"/>
      <c r="C397" s="5"/>
      <c r="D397" s="5"/>
      <c r="E397" s="303"/>
      <c r="F397" s="303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4"/>
    </row>
    <row r="398" customFormat="false" ht="15.75" hidden="false" customHeight="true" outlineLevel="0" collapsed="false">
      <c r="A398" s="5"/>
      <c r="B398" s="5"/>
      <c r="C398" s="5"/>
      <c r="D398" s="5"/>
      <c r="E398" s="303"/>
      <c r="F398" s="303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4"/>
    </row>
    <row r="399" customFormat="false" ht="15.75" hidden="false" customHeight="true" outlineLevel="0" collapsed="false">
      <c r="A399" s="5"/>
      <c r="B399" s="5"/>
      <c r="C399" s="5"/>
      <c r="D399" s="5"/>
      <c r="E399" s="303"/>
      <c r="F399" s="303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4"/>
    </row>
    <row r="400" customFormat="false" ht="15.75" hidden="false" customHeight="true" outlineLevel="0" collapsed="false">
      <c r="A400" s="5"/>
      <c r="B400" s="5"/>
      <c r="C400" s="5"/>
      <c r="D400" s="5"/>
      <c r="E400" s="303"/>
      <c r="F400" s="303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4"/>
    </row>
    <row r="401" customFormat="false" ht="15.75" hidden="false" customHeight="true" outlineLevel="0" collapsed="false">
      <c r="A401" s="5"/>
      <c r="B401" s="5"/>
      <c r="C401" s="5"/>
      <c r="D401" s="5"/>
      <c r="E401" s="303"/>
      <c r="F401" s="303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4"/>
    </row>
    <row r="402" customFormat="false" ht="15.75" hidden="false" customHeight="true" outlineLevel="0" collapsed="false">
      <c r="A402" s="5"/>
      <c r="B402" s="5"/>
      <c r="C402" s="5"/>
      <c r="D402" s="5"/>
      <c r="E402" s="303"/>
      <c r="F402" s="303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4"/>
    </row>
    <row r="403" customFormat="false" ht="15.75" hidden="false" customHeight="true" outlineLevel="0" collapsed="false">
      <c r="A403" s="5"/>
      <c r="B403" s="5"/>
      <c r="C403" s="5"/>
      <c r="D403" s="5"/>
      <c r="E403" s="303"/>
      <c r="F403" s="303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4"/>
    </row>
    <row r="404" customFormat="false" ht="15.75" hidden="false" customHeight="true" outlineLevel="0" collapsed="false">
      <c r="A404" s="5"/>
      <c r="B404" s="5"/>
      <c r="C404" s="5"/>
      <c r="D404" s="5"/>
      <c r="E404" s="303"/>
      <c r="F404" s="303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4"/>
    </row>
    <row r="405" customFormat="false" ht="15.75" hidden="false" customHeight="true" outlineLevel="0" collapsed="false">
      <c r="A405" s="5"/>
      <c r="B405" s="5"/>
      <c r="C405" s="5"/>
      <c r="D405" s="5"/>
      <c r="E405" s="303"/>
      <c r="F405" s="303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4"/>
    </row>
    <row r="406" customFormat="false" ht="15.75" hidden="false" customHeight="true" outlineLevel="0" collapsed="false">
      <c r="A406" s="5"/>
      <c r="B406" s="5"/>
      <c r="C406" s="5"/>
      <c r="D406" s="5"/>
      <c r="E406" s="303"/>
      <c r="F406" s="303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4"/>
    </row>
    <row r="407" customFormat="false" ht="15.75" hidden="false" customHeight="true" outlineLevel="0" collapsed="false">
      <c r="A407" s="5"/>
      <c r="B407" s="5"/>
      <c r="C407" s="5"/>
      <c r="D407" s="5"/>
      <c r="E407" s="303"/>
      <c r="F407" s="303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4"/>
    </row>
    <row r="408" customFormat="false" ht="15.75" hidden="false" customHeight="true" outlineLevel="0" collapsed="false">
      <c r="A408" s="5"/>
      <c r="B408" s="5"/>
      <c r="C408" s="5"/>
      <c r="D408" s="5"/>
      <c r="E408" s="303"/>
      <c r="F408" s="303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4"/>
    </row>
    <row r="409" customFormat="false" ht="15.75" hidden="false" customHeight="true" outlineLevel="0" collapsed="false">
      <c r="A409" s="5"/>
      <c r="B409" s="5"/>
      <c r="C409" s="5"/>
      <c r="D409" s="5"/>
      <c r="E409" s="303"/>
      <c r="F409" s="303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4"/>
    </row>
    <row r="410" customFormat="false" ht="15.75" hidden="false" customHeight="true" outlineLevel="0" collapsed="false">
      <c r="A410" s="5"/>
      <c r="B410" s="5"/>
      <c r="C410" s="5"/>
      <c r="D410" s="5"/>
      <c r="E410" s="303"/>
      <c r="F410" s="303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4"/>
    </row>
    <row r="411" customFormat="false" ht="15.75" hidden="false" customHeight="true" outlineLevel="0" collapsed="false">
      <c r="A411" s="5"/>
      <c r="B411" s="5"/>
      <c r="C411" s="5"/>
      <c r="D411" s="5"/>
      <c r="E411" s="303"/>
      <c r="F411" s="303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4"/>
    </row>
    <row r="412" customFormat="false" ht="15.75" hidden="false" customHeight="true" outlineLevel="0" collapsed="false">
      <c r="A412" s="5"/>
      <c r="B412" s="5"/>
      <c r="C412" s="5"/>
      <c r="D412" s="5"/>
      <c r="E412" s="303"/>
      <c r="F412" s="303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4"/>
    </row>
    <row r="413" customFormat="false" ht="15.75" hidden="false" customHeight="true" outlineLevel="0" collapsed="false">
      <c r="A413" s="5"/>
      <c r="B413" s="5"/>
      <c r="C413" s="5"/>
      <c r="D413" s="5"/>
      <c r="E413" s="303"/>
      <c r="F413" s="303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4"/>
    </row>
    <row r="414" customFormat="false" ht="15.75" hidden="false" customHeight="true" outlineLevel="0" collapsed="false">
      <c r="A414" s="5"/>
      <c r="B414" s="5"/>
      <c r="C414" s="5"/>
      <c r="D414" s="5"/>
      <c r="E414" s="303"/>
      <c r="F414" s="303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4"/>
    </row>
    <row r="415" customFormat="false" ht="15.75" hidden="false" customHeight="true" outlineLevel="0" collapsed="false">
      <c r="A415" s="5"/>
      <c r="B415" s="5"/>
      <c r="C415" s="5"/>
      <c r="D415" s="5"/>
      <c r="E415" s="303"/>
      <c r="F415" s="303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4"/>
    </row>
    <row r="416" customFormat="false" ht="15.75" hidden="false" customHeight="true" outlineLevel="0" collapsed="false">
      <c r="A416" s="5"/>
      <c r="B416" s="5"/>
      <c r="C416" s="5"/>
      <c r="D416" s="5"/>
      <c r="E416" s="303"/>
      <c r="F416" s="303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4"/>
    </row>
    <row r="417" customFormat="false" ht="15.75" hidden="false" customHeight="true" outlineLevel="0" collapsed="false">
      <c r="A417" s="5"/>
      <c r="B417" s="5"/>
      <c r="C417" s="5"/>
      <c r="D417" s="5"/>
      <c r="E417" s="303"/>
      <c r="F417" s="303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4"/>
    </row>
    <row r="418" customFormat="false" ht="15.75" hidden="false" customHeight="true" outlineLevel="0" collapsed="false">
      <c r="A418" s="5"/>
      <c r="B418" s="5"/>
      <c r="C418" s="5"/>
      <c r="D418" s="5"/>
      <c r="E418" s="303"/>
      <c r="F418" s="303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4"/>
    </row>
    <row r="419" customFormat="false" ht="15.75" hidden="false" customHeight="true" outlineLevel="0" collapsed="false">
      <c r="A419" s="5"/>
      <c r="B419" s="5"/>
      <c r="C419" s="5"/>
      <c r="D419" s="5"/>
      <c r="E419" s="303"/>
      <c r="F419" s="303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4"/>
    </row>
    <row r="420" customFormat="false" ht="15.75" hidden="false" customHeight="true" outlineLevel="0" collapsed="false">
      <c r="A420" s="5"/>
      <c r="B420" s="5"/>
      <c r="C420" s="5"/>
      <c r="D420" s="5"/>
      <c r="E420" s="303"/>
      <c r="F420" s="303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4"/>
    </row>
    <row r="421" customFormat="false" ht="15.75" hidden="false" customHeight="true" outlineLevel="0" collapsed="false">
      <c r="A421" s="5"/>
      <c r="B421" s="5"/>
      <c r="C421" s="5"/>
      <c r="D421" s="5"/>
      <c r="E421" s="303"/>
      <c r="F421" s="303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4"/>
    </row>
    <row r="422" customFormat="false" ht="15.75" hidden="false" customHeight="true" outlineLevel="0" collapsed="false">
      <c r="A422" s="5"/>
      <c r="B422" s="5"/>
      <c r="C422" s="5"/>
      <c r="D422" s="5"/>
      <c r="E422" s="303"/>
      <c r="F422" s="303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4"/>
    </row>
    <row r="423" customFormat="false" ht="15.75" hidden="false" customHeight="true" outlineLevel="0" collapsed="false">
      <c r="A423" s="5"/>
      <c r="B423" s="5"/>
      <c r="C423" s="5"/>
      <c r="D423" s="5"/>
      <c r="E423" s="303"/>
      <c r="F423" s="303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4"/>
    </row>
    <row r="424" customFormat="false" ht="15.75" hidden="false" customHeight="true" outlineLevel="0" collapsed="false">
      <c r="A424" s="5"/>
      <c r="B424" s="5"/>
      <c r="C424" s="5"/>
      <c r="D424" s="5"/>
      <c r="E424" s="303"/>
      <c r="F424" s="303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4"/>
    </row>
    <row r="425" customFormat="false" ht="15.75" hidden="false" customHeight="true" outlineLevel="0" collapsed="false">
      <c r="A425" s="5"/>
      <c r="B425" s="5"/>
      <c r="C425" s="5"/>
      <c r="D425" s="5"/>
      <c r="E425" s="303"/>
      <c r="F425" s="303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4"/>
    </row>
    <row r="426" customFormat="false" ht="15.75" hidden="false" customHeight="true" outlineLevel="0" collapsed="false">
      <c r="A426" s="5"/>
      <c r="B426" s="5"/>
      <c r="C426" s="5"/>
      <c r="D426" s="5"/>
      <c r="E426" s="303"/>
      <c r="F426" s="303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4"/>
    </row>
    <row r="427" customFormat="false" ht="15.75" hidden="false" customHeight="true" outlineLevel="0" collapsed="false">
      <c r="A427" s="5"/>
      <c r="B427" s="5"/>
      <c r="C427" s="5"/>
      <c r="D427" s="5"/>
      <c r="E427" s="303"/>
      <c r="F427" s="303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4"/>
    </row>
    <row r="428" customFormat="false" ht="15.75" hidden="false" customHeight="true" outlineLevel="0" collapsed="false">
      <c r="A428" s="5"/>
      <c r="B428" s="5"/>
      <c r="C428" s="5"/>
      <c r="D428" s="5"/>
      <c r="E428" s="303"/>
      <c r="F428" s="303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4"/>
    </row>
    <row r="429" customFormat="false" ht="15.75" hidden="false" customHeight="true" outlineLevel="0" collapsed="false">
      <c r="A429" s="5"/>
      <c r="B429" s="5"/>
      <c r="C429" s="5"/>
      <c r="D429" s="5"/>
      <c r="E429" s="303"/>
      <c r="F429" s="303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4"/>
    </row>
    <row r="430" customFormat="false" ht="15.75" hidden="false" customHeight="true" outlineLevel="0" collapsed="false">
      <c r="A430" s="5"/>
      <c r="B430" s="5"/>
      <c r="C430" s="5"/>
      <c r="D430" s="5"/>
      <c r="E430" s="303"/>
      <c r="F430" s="303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4"/>
    </row>
    <row r="431" customFormat="false" ht="15.75" hidden="false" customHeight="true" outlineLevel="0" collapsed="false">
      <c r="A431" s="5"/>
      <c r="B431" s="5"/>
      <c r="C431" s="5"/>
      <c r="D431" s="5"/>
      <c r="E431" s="303"/>
      <c r="F431" s="303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4"/>
    </row>
    <row r="432" customFormat="false" ht="15.75" hidden="false" customHeight="true" outlineLevel="0" collapsed="false">
      <c r="A432" s="5"/>
      <c r="B432" s="5"/>
      <c r="C432" s="5"/>
      <c r="D432" s="5"/>
      <c r="E432" s="303"/>
      <c r="F432" s="303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4"/>
    </row>
    <row r="433" customFormat="false" ht="15.75" hidden="false" customHeight="true" outlineLevel="0" collapsed="false">
      <c r="A433" s="5"/>
      <c r="B433" s="5"/>
      <c r="C433" s="5"/>
      <c r="D433" s="5"/>
      <c r="E433" s="303"/>
      <c r="F433" s="303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4"/>
    </row>
    <row r="434" customFormat="false" ht="15.75" hidden="false" customHeight="true" outlineLevel="0" collapsed="false">
      <c r="A434" s="5"/>
      <c r="B434" s="5"/>
      <c r="C434" s="5"/>
      <c r="D434" s="5"/>
      <c r="E434" s="303"/>
      <c r="F434" s="303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4"/>
    </row>
    <row r="435" customFormat="false" ht="15.75" hidden="false" customHeight="true" outlineLevel="0" collapsed="false">
      <c r="A435" s="5"/>
      <c r="B435" s="5"/>
      <c r="C435" s="5"/>
      <c r="D435" s="5"/>
      <c r="E435" s="303"/>
      <c r="F435" s="303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4"/>
    </row>
    <row r="436" customFormat="false" ht="15.75" hidden="false" customHeight="true" outlineLevel="0" collapsed="false">
      <c r="A436" s="5"/>
      <c r="B436" s="5"/>
      <c r="C436" s="5"/>
      <c r="D436" s="5"/>
      <c r="E436" s="303"/>
      <c r="F436" s="303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4"/>
    </row>
    <row r="437" customFormat="false" ht="15.75" hidden="false" customHeight="true" outlineLevel="0" collapsed="false">
      <c r="A437" s="5"/>
      <c r="B437" s="5"/>
      <c r="C437" s="5"/>
      <c r="D437" s="5"/>
      <c r="E437" s="303"/>
      <c r="F437" s="303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4"/>
    </row>
    <row r="438" customFormat="false" ht="15.75" hidden="false" customHeight="true" outlineLevel="0" collapsed="false">
      <c r="A438" s="5"/>
      <c r="B438" s="5"/>
      <c r="C438" s="5"/>
      <c r="D438" s="5"/>
      <c r="E438" s="303"/>
      <c r="F438" s="303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4"/>
    </row>
    <row r="439" customFormat="false" ht="15.75" hidden="false" customHeight="true" outlineLevel="0" collapsed="false">
      <c r="A439" s="5"/>
      <c r="B439" s="5"/>
      <c r="C439" s="5"/>
      <c r="D439" s="5"/>
      <c r="E439" s="303"/>
      <c r="F439" s="303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4"/>
    </row>
    <row r="440" customFormat="false" ht="15.75" hidden="false" customHeight="true" outlineLevel="0" collapsed="false">
      <c r="A440" s="5"/>
      <c r="B440" s="5"/>
      <c r="C440" s="5"/>
      <c r="D440" s="5"/>
      <c r="E440" s="303"/>
      <c r="F440" s="303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4"/>
    </row>
    <row r="441" customFormat="false" ht="15.75" hidden="false" customHeight="true" outlineLevel="0" collapsed="false">
      <c r="A441" s="5"/>
      <c r="B441" s="5"/>
      <c r="C441" s="5"/>
      <c r="D441" s="5"/>
      <c r="E441" s="303"/>
      <c r="F441" s="303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4"/>
    </row>
    <row r="442" customFormat="false" ht="15.75" hidden="false" customHeight="true" outlineLevel="0" collapsed="false">
      <c r="A442" s="5"/>
      <c r="B442" s="5"/>
      <c r="C442" s="5"/>
      <c r="D442" s="5"/>
      <c r="E442" s="303"/>
      <c r="F442" s="303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4"/>
    </row>
    <row r="443" customFormat="false" ht="15.75" hidden="false" customHeight="true" outlineLevel="0" collapsed="false">
      <c r="A443" s="5"/>
      <c r="B443" s="5"/>
      <c r="C443" s="5"/>
      <c r="D443" s="5"/>
      <c r="E443" s="303"/>
      <c r="F443" s="303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4"/>
    </row>
    <row r="444" customFormat="false" ht="15.75" hidden="false" customHeight="true" outlineLevel="0" collapsed="false">
      <c r="A444" s="5"/>
      <c r="B444" s="5"/>
      <c r="C444" s="5"/>
      <c r="D444" s="5"/>
      <c r="E444" s="303"/>
      <c r="F444" s="303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4"/>
    </row>
    <row r="445" customFormat="false" ht="15.75" hidden="false" customHeight="true" outlineLevel="0" collapsed="false">
      <c r="A445" s="5"/>
      <c r="B445" s="5"/>
      <c r="C445" s="5"/>
      <c r="D445" s="5"/>
      <c r="E445" s="303"/>
      <c r="F445" s="303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4"/>
    </row>
    <row r="446" customFormat="false" ht="15.75" hidden="false" customHeight="true" outlineLevel="0" collapsed="false">
      <c r="A446" s="5"/>
      <c r="B446" s="5"/>
      <c r="C446" s="5"/>
      <c r="D446" s="5"/>
      <c r="E446" s="303"/>
      <c r="F446" s="303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4"/>
    </row>
    <row r="447" customFormat="false" ht="15.75" hidden="false" customHeight="true" outlineLevel="0" collapsed="false">
      <c r="A447" s="5"/>
      <c r="B447" s="5"/>
      <c r="C447" s="5"/>
      <c r="D447" s="5"/>
      <c r="E447" s="303"/>
      <c r="F447" s="303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4"/>
    </row>
    <row r="448" customFormat="false" ht="15.75" hidden="false" customHeight="true" outlineLevel="0" collapsed="false">
      <c r="A448" s="5"/>
      <c r="B448" s="5"/>
      <c r="C448" s="5"/>
      <c r="D448" s="5"/>
      <c r="E448" s="303"/>
      <c r="F448" s="303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4"/>
    </row>
    <row r="449" customFormat="false" ht="15.75" hidden="false" customHeight="true" outlineLevel="0" collapsed="false">
      <c r="A449" s="5"/>
      <c r="B449" s="5"/>
      <c r="C449" s="5"/>
      <c r="D449" s="5"/>
      <c r="E449" s="303"/>
      <c r="F449" s="303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4"/>
    </row>
    <row r="450" customFormat="false" ht="15.75" hidden="false" customHeight="true" outlineLevel="0" collapsed="false">
      <c r="A450" s="5"/>
      <c r="B450" s="5"/>
      <c r="C450" s="5"/>
      <c r="D450" s="5"/>
      <c r="E450" s="303"/>
      <c r="F450" s="303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4"/>
    </row>
    <row r="451" customFormat="false" ht="15.75" hidden="false" customHeight="true" outlineLevel="0" collapsed="false">
      <c r="A451" s="5"/>
      <c r="B451" s="5"/>
      <c r="C451" s="5"/>
      <c r="D451" s="5"/>
      <c r="E451" s="303"/>
      <c r="F451" s="303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4"/>
    </row>
    <row r="452" customFormat="false" ht="15.75" hidden="false" customHeight="true" outlineLevel="0" collapsed="false">
      <c r="A452" s="5"/>
      <c r="B452" s="5"/>
      <c r="C452" s="5"/>
      <c r="D452" s="5"/>
      <c r="E452" s="303"/>
      <c r="F452" s="303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4"/>
    </row>
    <row r="453" customFormat="false" ht="15.75" hidden="false" customHeight="true" outlineLevel="0" collapsed="false">
      <c r="A453" s="5"/>
      <c r="B453" s="5"/>
      <c r="C453" s="5"/>
      <c r="D453" s="5"/>
      <c r="E453" s="303"/>
      <c r="F453" s="303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4"/>
    </row>
    <row r="454" customFormat="false" ht="15.75" hidden="false" customHeight="true" outlineLevel="0" collapsed="false">
      <c r="A454" s="5"/>
      <c r="B454" s="5"/>
      <c r="C454" s="5"/>
      <c r="D454" s="5"/>
      <c r="E454" s="303"/>
      <c r="F454" s="303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4"/>
    </row>
    <row r="455" customFormat="false" ht="15.75" hidden="false" customHeight="true" outlineLevel="0" collapsed="false">
      <c r="A455" s="5"/>
      <c r="B455" s="5"/>
      <c r="C455" s="5"/>
      <c r="D455" s="5"/>
      <c r="E455" s="303"/>
      <c r="F455" s="303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4"/>
    </row>
    <row r="456" customFormat="false" ht="15.75" hidden="false" customHeight="true" outlineLevel="0" collapsed="false">
      <c r="A456" s="5"/>
      <c r="B456" s="5"/>
      <c r="C456" s="5"/>
      <c r="D456" s="5"/>
      <c r="E456" s="303"/>
      <c r="F456" s="303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4"/>
    </row>
    <row r="457" customFormat="false" ht="15.75" hidden="false" customHeight="true" outlineLevel="0" collapsed="false">
      <c r="A457" s="5"/>
      <c r="B457" s="5"/>
      <c r="C457" s="5"/>
      <c r="D457" s="5"/>
      <c r="E457" s="303"/>
      <c r="F457" s="303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4"/>
    </row>
    <row r="458" customFormat="false" ht="15.75" hidden="false" customHeight="true" outlineLevel="0" collapsed="false">
      <c r="A458" s="5"/>
      <c r="B458" s="5"/>
      <c r="C458" s="5"/>
      <c r="D458" s="5"/>
      <c r="E458" s="303"/>
      <c r="F458" s="303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4"/>
    </row>
    <row r="459" customFormat="false" ht="15.75" hidden="false" customHeight="true" outlineLevel="0" collapsed="false">
      <c r="A459" s="5"/>
      <c r="B459" s="5"/>
      <c r="C459" s="5"/>
      <c r="D459" s="5"/>
      <c r="E459" s="303"/>
      <c r="F459" s="303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4"/>
    </row>
    <row r="460" customFormat="false" ht="15.75" hidden="false" customHeight="true" outlineLevel="0" collapsed="false">
      <c r="A460" s="5"/>
      <c r="B460" s="5"/>
      <c r="C460" s="5"/>
      <c r="D460" s="5"/>
      <c r="E460" s="303"/>
      <c r="F460" s="303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4"/>
    </row>
    <row r="461" customFormat="false" ht="15.75" hidden="false" customHeight="true" outlineLevel="0" collapsed="false">
      <c r="A461" s="5"/>
      <c r="B461" s="5"/>
      <c r="C461" s="5"/>
      <c r="D461" s="5"/>
      <c r="E461" s="303"/>
      <c r="F461" s="303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4"/>
    </row>
    <row r="462" customFormat="false" ht="15.75" hidden="false" customHeight="true" outlineLevel="0" collapsed="false">
      <c r="A462" s="5"/>
      <c r="B462" s="5"/>
      <c r="C462" s="5"/>
      <c r="D462" s="5"/>
      <c r="E462" s="303"/>
      <c r="F462" s="303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4"/>
    </row>
    <row r="463" customFormat="false" ht="15.75" hidden="false" customHeight="true" outlineLevel="0" collapsed="false">
      <c r="A463" s="5"/>
      <c r="B463" s="5"/>
      <c r="C463" s="5"/>
      <c r="D463" s="5"/>
      <c r="E463" s="303"/>
      <c r="F463" s="303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4"/>
    </row>
    <row r="464" customFormat="false" ht="15.75" hidden="false" customHeight="true" outlineLevel="0" collapsed="false">
      <c r="A464" s="5"/>
      <c r="B464" s="5"/>
      <c r="C464" s="5"/>
      <c r="D464" s="5"/>
      <c r="E464" s="303"/>
      <c r="F464" s="303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4"/>
    </row>
    <row r="465" customFormat="false" ht="15.75" hidden="false" customHeight="true" outlineLevel="0" collapsed="false">
      <c r="A465" s="5"/>
      <c r="B465" s="5"/>
      <c r="C465" s="5"/>
      <c r="D465" s="5"/>
      <c r="E465" s="303"/>
      <c r="F465" s="303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4"/>
    </row>
    <row r="466" customFormat="false" ht="15.75" hidden="false" customHeight="true" outlineLevel="0" collapsed="false">
      <c r="A466" s="5"/>
      <c r="B466" s="5"/>
      <c r="C466" s="5"/>
      <c r="D466" s="5"/>
      <c r="E466" s="303"/>
      <c r="F466" s="303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4"/>
    </row>
    <row r="467" customFormat="false" ht="15.75" hidden="false" customHeight="true" outlineLevel="0" collapsed="false">
      <c r="A467" s="5"/>
      <c r="B467" s="5"/>
      <c r="C467" s="5"/>
      <c r="D467" s="5"/>
      <c r="E467" s="303"/>
      <c r="F467" s="303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4"/>
    </row>
    <row r="468" customFormat="false" ht="15.75" hidden="false" customHeight="true" outlineLevel="0" collapsed="false">
      <c r="A468" s="5"/>
      <c r="B468" s="5"/>
      <c r="C468" s="5"/>
      <c r="D468" s="5"/>
      <c r="E468" s="303"/>
      <c r="F468" s="303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4"/>
    </row>
    <row r="469" customFormat="false" ht="15.75" hidden="false" customHeight="true" outlineLevel="0" collapsed="false">
      <c r="A469" s="5"/>
      <c r="B469" s="5"/>
      <c r="C469" s="5"/>
      <c r="D469" s="5"/>
      <c r="E469" s="303"/>
      <c r="F469" s="303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4"/>
    </row>
    <row r="470" customFormat="false" ht="15.75" hidden="false" customHeight="true" outlineLevel="0" collapsed="false">
      <c r="A470" s="5"/>
      <c r="B470" s="5"/>
      <c r="C470" s="5"/>
      <c r="D470" s="5"/>
      <c r="E470" s="303"/>
      <c r="F470" s="303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4"/>
    </row>
    <row r="471" customFormat="false" ht="15.75" hidden="false" customHeight="true" outlineLevel="0" collapsed="false">
      <c r="A471" s="5"/>
      <c r="B471" s="5"/>
      <c r="C471" s="5"/>
      <c r="D471" s="5"/>
      <c r="E471" s="303"/>
      <c r="F471" s="303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4"/>
    </row>
    <row r="472" customFormat="false" ht="15.75" hidden="false" customHeight="true" outlineLevel="0" collapsed="false">
      <c r="A472" s="5"/>
      <c r="B472" s="5"/>
      <c r="C472" s="5"/>
      <c r="D472" s="5"/>
      <c r="E472" s="303"/>
      <c r="F472" s="303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4"/>
    </row>
    <row r="473" customFormat="false" ht="15.75" hidden="false" customHeight="true" outlineLevel="0" collapsed="false">
      <c r="A473" s="5"/>
      <c r="B473" s="5"/>
      <c r="C473" s="5"/>
      <c r="D473" s="5"/>
      <c r="E473" s="303"/>
      <c r="F473" s="303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4"/>
    </row>
    <row r="474" customFormat="false" ht="15.75" hidden="false" customHeight="true" outlineLevel="0" collapsed="false">
      <c r="A474" s="5"/>
      <c r="B474" s="5"/>
      <c r="C474" s="5"/>
      <c r="D474" s="5"/>
      <c r="E474" s="303"/>
      <c r="F474" s="303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4"/>
    </row>
    <row r="475" customFormat="false" ht="15.75" hidden="false" customHeight="true" outlineLevel="0" collapsed="false">
      <c r="A475" s="5"/>
      <c r="B475" s="5"/>
      <c r="C475" s="5"/>
      <c r="D475" s="5"/>
      <c r="E475" s="303"/>
      <c r="F475" s="303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4"/>
    </row>
    <row r="476" customFormat="false" ht="15.75" hidden="false" customHeight="true" outlineLevel="0" collapsed="false">
      <c r="A476" s="5"/>
      <c r="B476" s="5"/>
      <c r="C476" s="5"/>
      <c r="D476" s="5"/>
      <c r="E476" s="303"/>
      <c r="F476" s="303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4"/>
    </row>
    <row r="477" customFormat="false" ht="15.75" hidden="false" customHeight="true" outlineLevel="0" collapsed="false">
      <c r="A477" s="5"/>
      <c r="B477" s="5"/>
      <c r="C477" s="5"/>
      <c r="D477" s="5"/>
      <c r="E477" s="303"/>
      <c r="F477" s="303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4"/>
    </row>
    <row r="478" customFormat="false" ht="15.75" hidden="false" customHeight="true" outlineLevel="0" collapsed="false">
      <c r="A478" s="5"/>
      <c r="B478" s="5"/>
      <c r="C478" s="5"/>
      <c r="D478" s="5"/>
      <c r="E478" s="303"/>
      <c r="F478" s="303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4"/>
    </row>
    <row r="479" customFormat="false" ht="15.75" hidden="false" customHeight="true" outlineLevel="0" collapsed="false">
      <c r="A479" s="5"/>
      <c r="B479" s="5"/>
      <c r="C479" s="5"/>
      <c r="D479" s="5"/>
      <c r="E479" s="303"/>
      <c r="F479" s="303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4"/>
    </row>
    <row r="480" customFormat="false" ht="15.75" hidden="false" customHeight="true" outlineLevel="0" collapsed="false">
      <c r="A480" s="5"/>
      <c r="B480" s="5"/>
      <c r="C480" s="5"/>
      <c r="D480" s="5"/>
      <c r="E480" s="303"/>
      <c r="F480" s="303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4"/>
    </row>
    <row r="481" customFormat="false" ht="15.75" hidden="false" customHeight="true" outlineLevel="0" collapsed="false">
      <c r="A481" s="5"/>
      <c r="B481" s="5"/>
      <c r="C481" s="5"/>
      <c r="D481" s="5"/>
      <c r="E481" s="303"/>
      <c r="F481" s="303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4"/>
    </row>
    <row r="482" customFormat="false" ht="15.75" hidden="false" customHeight="true" outlineLevel="0" collapsed="false">
      <c r="A482" s="5"/>
      <c r="B482" s="5"/>
      <c r="C482" s="5"/>
      <c r="D482" s="5"/>
      <c r="E482" s="303"/>
      <c r="F482" s="303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4"/>
    </row>
    <row r="483" customFormat="false" ht="15.75" hidden="false" customHeight="true" outlineLevel="0" collapsed="false">
      <c r="A483" s="5"/>
      <c r="B483" s="5"/>
      <c r="C483" s="5"/>
      <c r="D483" s="5"/>
      <c r="E483" s="303"/>
      <c r="F483" s="303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4"/>
    </row>
    <row r="484" customFormat="false" ht="15.75" hidden="false" customHeight="true" outlineLevel="0" collapsed="false">
      <c r="A484" s="5"/>
      <c r="B484" s="5"/>
      <c r="C484" s="5"/>
      <c r="D484" s="5"/>
      <c r="E484" s="303"/>
      <c r="F484" s="303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4"/>
    </row>
    <row r="485" customFormat="false" ht="15.75" hidden="false" customHeight="true" outlineLevel="0" collapsed="false">
      <c r="A485" s="5"/>
      <c r="B485" s="5"/>
      <c r="C485" s="5"/>
      <c r="D485" s="5"/>
      <c r="E485" s="303"/>
      <c r="F485" s="303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4"/>
    </row>
    <row r="486" customFormat="false" ht="15.75" hidden="false" customHeight="true" outlineLevel="0" collapsed="false">
      <c r="A486" s="5"/>
      <c r="B486" s="5"/>
      <c r="C486" s="5"/>
      <c r="D486" s="5"/>
      <c r="E486" s="303"/>
      <c r="F486" s="303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4"/>
    </row>
    <row r="487" customFormat="false" ht="15.75" hidden="false" customHeight="true" outlineLevel="0" collapsed="false">
      <c r="A487" s="5"/>
      <c r="B487" s="5"/>
      <c r="C487" s="5"/>
      <c r="D487" s="5"/>
      <c r="E487" s="303"/>
      <c r="F487" s="303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4"/>
    </row>
    <row r="488" customFormat="false" ht="15.75" hidden="false" customHeight="true" outlineLevel="0" collapsed="false">
      <c r="A488" s="5"/>
      <c r="B488" s="5"/>
      <c r="C488" s="5"/>
      <c r="D488" s="5"/>
      <c r="E488" s="303"/>
      <c r="F488" s="303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4"/>
    </row>
    <row r="489" customFormat="false" ht="15.75" hidden="false" customHeight="true" outlineLevel="0" collapsed="false">
      <c r="A489" s="5"/>
      <c r="B489" s="5"/>
      <c r="C489" s="5"/>
      <c r="D489" s="5"/>
      <c r="E489" s="303"/>
      <c r="F489" s="303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4"/>
    </row>
    <row r="490" customFormat="false" ht="15.75" hidden="false" customHeight="true" outlineLevel="0" collapsed="false">
      <c r="A490" s="5"/>
      <c r="B490" s="5"/>
      <c r="C490" s="5"/>
      <c r="D490" s="5"/>
      <c r="E490" s="303"/>
      <c r="F490" s="303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4"/>
    </row>
    <row r="491" customFormat="false" ht="15.75" hidden="false" customHeight="true" outlineLevel="0" collapsed="false">
      <c r="A491" s="5"/>
      <c r="B491" s="5"/>
      <c r="C491" s="5"/>
      <c r="D491" s="5"/>
      <c r="E491" s="303"/>
      <c r="F491" s="303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4"/>
    </row>
    <row r="492" customFormat="false" ht="15.75" hidden="false" customHeight="true" outlineLevel="0" collapsed="false">
      <c r="A492" s="5"/>
      <c r="B492" s="5"/>
      <c r="C492" s="5"/>
      <c r="D492" s="5"/>
      <c r="E492" s="303"/>
      <c r="F492" s="303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4"/>
    </row>
    <row r="493" customFormat="false" ht="15.75" hidden="false" customHeight="true" outlineLevel="0" collapsed="false">
      <c r="A493" s="5"/>
      <c r="B493" s="5"/>
      <c r="C493" s="5"/>
      <c r="D493" s="5"/>
      <c r="E493" s="303"/>
      <c r="F493" s="303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4"/>
    </row>
    <row r="494" customFormat="false" ht="15.75" hidden="false" customHeight="true" outlineLevel="0" collapsed="false">
      <c r="A494" s="5"/>
      <c r="B494" s="5"/>
      <c r="C494" s="5"/>
      <c r="D494" s="5"/>
      <c r="E494" s="303"/>
      <c r="F494" s="303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4"/>
    </row>
    <row r="495" customFormat="false" ht="15.75" hidden="false" customHeight="true" outlineLevel="0" collapsed="false">
      <c r="A495" s="5"/>
      <c r="B495" s="5"/>
      <c r="C495" s="5"/>
      <c r="D495" s="5"/>
      <c r="E495" s="303"/>
      <c r="F495" s="303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4"/>
    </row>
    <row r="496" customFormat="false" ht="15.75" hidden="false" customHeight="true" outlineLevel="0" collapsed="false">
      <c r="A496" s="5"/>
      <c r="B496" s="5"/>
      <c r="C496" s="5"/>
      <c r="D496" s="5"/>
      <c r="E496" s="303"/>
      <c r="F496" s="303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4"/>
    </row>
    <row r="497" customFormat="false" ht="15.75" hidden="false" customHeight="true" outlineLevel="0" collapsed="false">
      <c r="A497" s="5"/>
      <c r="B497" s="5"/>
      <c r="C497" s="5"/>
      <c r="D497" s="5"/>
      <c r="E497" s="303"/>
      <c r="F497" s="303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4"/>
    </row>
    <row r="498" customFormat="false" ht="15.75" hidden="false" customHeight="true" outlineLevel="0" collapsed="false">
      <c r="A498" s="5"/>
      <c r="B498" s="5"/>
      <c r="C498" s="5"/>
      <c r="D498" s="5"/>
      <c r="E498" s="303"/>
      <c r="F498" s="303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4"/>
    </row>
    <row r="499" customFormat="false" ht="15.75" hidden="false" customHeight="true" outlineLevel="0" collapsed="false">
      <c r="A499" s="5"/>
      <c r="B499" s="5"/>
      <c r="C499" s="5"/>
      <c r="D499" s="5"/>
      <c r="E499" s="303"/>
      <c r="F499" s="303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4"/>
    </row>
    <row r="500" customFormat="false" ht="15.75" hidden="false" customHeight="true" outlineLevel="0" collapsed="false">
      <c r="A500" s="5"/>
      <c r="B500" s="5"/>
      <c r="C500" s="5"/>
      <c r="D500" s="5"/>
      <c r="E500" s="303"/>
      <c r="F500" s="303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4"/>
    </row>
    <row r="501" customFormat="false" ht="15.75" hidden="false" customHeight="true" outlineLevel="0" collapsed="false">
      <c r="A501" s="5"/>
      <c r="B501" s="5"/>
      <c r="C501" s="5"/>
      <c r="D501" s="5"/>
      <c r="E501" s="303"/>
      <c r="F501" s="303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4"/>
    </row>
    <row r="502" customFormat="false" ht="15.75" hidden="false" customHeight="true" outlineLevel="0" collapsed="false">
      <c r="A502" s="5"/>
      <c r="B502" s="5"/>
      <c r="C502" s="5"/>
      <c r="D502" s="5"/>
      <c r="E502" s="303"/>
      <c r="F502" s="303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4"/>
    </row>
    <row r="503" customFormat="false" ht="15.75" hidden="false" customHeight="true" outlineLevel="0" collapsed="false">
      <c r="A503" s="5"/>
      <c r="B503" s="5"/>
      <c r="C503" s="5"/>
      <c r="D503" s="5"/>
      <c r="E503" s="303"/>
      <c r="F503" s="303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4"/>
    </row>
    <row r="504" customFormat="false" ht="15.75" hidden="false" customHeight="true" outlineLevel="0" collapsed="false">
      <c r="A504" s="5"/>
      <c r="B504" s="5"/>
      <c r="C504" s="5"/>
      <c r="D504" s="5"/>
      <c r="E504" s="303"/>
      <c r="F504" s="303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4"/>
    </row>
    <row r="505" customFormat="false" ht="15.75" hidden="false" customHeight="true" outlineLevel="0" collapsed="false">
      <c r="A505" s="5"/>
      <c r="B505" s="5"/>
      <c r="C505" s="5"/>
      <c r="D505" s="5"/>
      <c r="E505" s="303"/>
      <c r="F505" s="303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4"/>
    </row>
    <row r="506" customFormat="false" ht="15.75" hidden="false" customHeight="true" outlineLevel="0" collapsed="false">
      <c r="A506" s="5"/>
      <c r="B506" s="5"/>
      <c r="C506" s="5"/>
      <c r="D506" s="5"/>
      <c r="E506" s="303"/>
      <c r="F506" s="303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4"/>
    </row>
    <row r="507" customFormat="false" ht="15.75" hidden="false" customHeight="true" outlineLevel="0" collapsed="false">
      <c r="A507" s="5"/>
      <c r="B507" s="5"/>
      <c r="C507" s="5"/>
      <c r="D507" s="5"/>
      <c r="E507" s="303"/>
      <c r="F507" s="303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4"/>
    </row>
    <row r="508" customFormat="false" ht="15.75" hidden="false" customHeight="true" outlineLevel="0" collapsed="false">
      <c r="A508" s="5"/>
      <c r="B508" s="5"/>
      <c r="C508" s="5"/>
      <c r="D508" s="5"/>
      <c r="E508" s="303"/>
      <c r="F508" s="303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4"/>
    </row>
    <row r="509" customFormat="false" ht="15.75" hidden="false" customHeight="true" outlineLevel="0" collapsed="false">
      <c r="A509" s="5"/>
      <c r="B509" s="5"/>
      <c r="C509" s="5"/>
      <c r="D509" s="5"/>
      <c r="E509" s="303"/>
      <c r="F509" s="303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4"/>
    </row>
    <row r="510" customFormat="false" ht="15.75" hidden="false" customHeight="true" outlineLevel="0" collapsed="false">
      <c r="A510" s="5"/>
      <c r="B510" s="5"/>
      <c r="C510" s="5"/>
      <c r="D510" s="5"/>
      <c r="E510" s="303"/>
      <c r="F510" s="303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4"/>
    </row>
    <row r="511" customFormat="false" ht="15.75" hidden="false" customHeight="true" outlineLevel="0" collapsed="false">
      <c r="A511" s="5"/>
      <c r="B511" s="5"/>
      <c r="C511" s="5"/>
      <c r="D511" s="5"/>
      <c r="E511" s="303"/>
      <c r="F511" s="303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4"/>
    </row>
    <row r="512" customFormat="false" ht="15.75" hidden="false" customHeight="true" outlineLevel="0" collapsed="false">
      <c r="A512" s="5"/>
      <c r="B512" s="5"/>
      <c r="C512" s="5"/>
      <c r="D512" s="5"/>
      <c r="E512" s="303"/>
      <c r="F512" s="303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4"/>
    </row>
    <row r="513" customFormat="false" ht="15.75" hidden="false" customHeight="true" outlineLevel="0" collapsed="false">
      <c r="A513" s="5"/>
      <c r="B513" s="5"/>
      <c r="C513" s="5"/>
      <c r="D513" s="5"/>
      <c r="E513" s="303"/>
      <c r="F513" s="303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4"/>
    </row>
    <row r="514" customFormat="false" ht="15.75" hidden="false" customHeight="true" outlineLevel="0" collapsed="false">
      <c r="A514" s="5"/>
      <c r="B514" s="5"/>
      <c r="C514" s="5"/>
      <c r="D514" s="5"/>
      <c r="E514" s="303"/>
      <c r="F514" s="303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4"/>
    </row>
    <row r="515" customFormat="false" ht="15.75" hidden="false" customHeight="true" outlineLevel="0" collapsed="false">
      <c r="A515" s="5"/>
      <c r="B515" s="5"/>
      <c r="C515" s="5"/>
      <c r="D515" s="5"/>
      <c r="E515" s="303"/>
      <c r="F515" s="303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4"/>
    </row>
    <row r="516" customFormat="false" ht="15.75" hidden="false" customHeight="true" outlineLevel="0" collapsed="false">
      <c r="A516" s="5"/>
      <c r="B516" s="5"/>
      <c r="C516" s="5"/>
      <c r="D516" s="5"/>
      <c r="E516" s="303"/>
      <c r="F516" s="303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4"/>
    </row>
    <row r="517" customFormat="false" ht="15.75" hidden="false" customHeight="true" outlineLevel="0" collapsed="false">
      <c r="A517" s="5"/>
      <c r="B517" s="5"/>
      <c r="C517" s="5"/>
      <c r="D517" s="5"/>
      <c r="E517" s="303"/>
      <c r="F517" s="303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4"/>
    </row>
    <row r="518" customFormat="false" ht="15.75" hidden="false" customHeight="true" outlineLevel="0" collapsed="false">
      <c r="A518" s="5"/>
      <c r="B518" s="5"/>
      <c r="C518" s="5"/>
      <c r="D518" s="5"/>
      <c r="E518" s="303"/>
      <c r="F518" s="303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4"/>
    </row>
    <row r="519" customFormat="false" ht="15.75" hidden="false" customHeight="true" outlineLevel="0" collapsed="false">
      <c r="A519" s="5"/>
      <c r="B519" s="5"/>
      <c r="C519" s="5"/>
      <c r="D519" s="5"/>
      <c r="E519" s="303"/>
      <c r="F519" s="303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4"/>
    </row>
    <row r="520" customFormat="false" ht="15.75" hidden="false" customHeight="true" outlineLevel="0" collapsed="false">
      <c r="A520" s="5"/>
      <c r="B520" s="5"/>
      <c r="C520" s="5"/>
      <c r="D520" s="5"/>
      <c r="E520" s="303"/>
      <c r="F520" s="303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4"/>
    </row>
    <row r="521" customFormat="false" ht="15.75" hidden="false" customHeight="true" outlineLevel="0" collapsed="false">
      <c r="A521" s="5"/>
      <c r="B521" s="5"/>
      <c r="C521" s="5"/>
      <c r="D521" s="5"/>
      <c r="E521" s="303"/>
      <c r="F521" s="303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4"/>
    </row>
    <row r="522" customFormat="false" ht="15.75" hidden="false" customHeight="true" outlineLevel="0" collapsed="false">
      <c r="A522" s="5"/>
      <c r="B522" s="5"/>
      <c r="C522" s="5"/>
      <c r="D522" s="5"/>
      <c r="E522" s="303"/>
      <c r="F522" s="303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4"/>
    </row>
    <row r="523" customFormat="false" ht="15.75" hidden="false" customHeight="true" outlineLevel="0" collapsed="false">
      <c r="A523" s="5"/>
      <c r="B523" s="5"/>
      <c r="C523" s="5"/>
      <c r="D523" s="5"/>
      <c r="E523" s="303"/>
      <c r="F523" s="303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4"/>
    </row>
    <row r="524" customFormat="false" ht="15.75" hidden="false" customHeight="true" outlineLevel="0" collapsed="false">
      <c r="A524" s="5"/>
      <c r="B524" s="5"/>
      <c r="C524" s="5"/>
      <c r="D524" s="5"/>
      <c r="E524" s="303"/>
      <c r="F524" s="303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4"/>
    </row>
    <row r="525" customFormat="false" ht="15.75" hidden="false" customHeight="true" outlineLevel="0" collapsed="false">
      <c r="A525" s="5"/>
      <c r="B525" s="5"/>
      <c r="C525" s="5"/>
      <c r="D525" s="5"/>
      <c r="E525" s="303"/>
      <c r="F525" s="303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4"/>
    </row>
    <row r="526" customFormat="false" ht="15.75" hidden="false" customHeight="true" outlineLevel="0" collapsed="false">
      <c r="A526" s="5"/>
      <c r="B526" s="5"/>
      <c r="C526" s="5"/>
      <c r="D526" s="5"/>
      <c r="E526" s="303"/>
      <c r="F526" s="303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4"/>
    </row>
    <row r="527" customFormat="false" ht="15.75" hidden="false" customHeight="true" outlineLevel="0" collapsed="false">
      <c r="A527" s="5"/>
      <c r="B527" s="5"/>
      <c r="C527" s="5"/>
      <c r="D527" s="5"/>
      <c r="E527" s="303"/>
      <c r="F527" s="303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4"/>
    </row>
    <row r="528" customFormat="false" ht="15.75" hidden="false" customHeight="true" outlineLevel="0" collapsed="false">
      <c r="A528" s="5"/>
      <c r="B528" s="5"/>
      <c r="C528" s="5"/>
      <c r="D528" s="5"/>
      <c r="E528" s="303"/>
      <c r="F528" s="303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4"/>
    </row>
    <row r="529" customFormat="false" ht="15.75" hidden="false" customHeight="true" outlineLevel="0" collapsed="false">
      <c r="A529" s="5"/>
      <c r="B529" s="5"/>
      <c r="C529" s="5"/>
      <c r="D529" s="5"/>
      <c r="E529" s="303"/>
      <c r="F529" s="303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4"/>
    </row>
    <row r="530" customFormat="false" ht="15.75" hidden="false" customHeight="true" outlineLevel="0" collapsed="false">
      <c r="A530" s="5"/>
      <c r="B530" s="5"/>
      <c r="C530" s="5"/>
      <c r="D530" s="5"/>
      <c r="E530" s="303"/>
      <c r="F530" s="303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4"/>
    </row>
    <row r="531" customFormat="false" ht="15.75" hidden="false" customHeight="true" outlineLevel="0" collapsed="false">
      <c r="A531" s="5"/>
      <c r="B531" s="5"/>
      <c r="C531" s="5"/>
      <c r="D531" s="5"/>
      <c r="E531" s="303"/>
      <c r="F531" s="303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4"/>
    </row>
    <row r="532" customFormat="false" ht="15.75" hidden="false" customHeight="true" outlineLevel="0" collapsed="false">
      <c r="A532" s="5"/>
      <c r="B532" s="5"/>
      <c r="C532" s="5"/>
      <c r="D532" s="5"/>
      <c r="E532" s="303"/>
      <c r="F532" s="303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4"/>
    </row>
    <row r="533" customFormat="false" ht="15.75" hidden="false" customHeight="true" outlineLevel="0" collapsed="false">
      <c r="A533" s="5"/>
      <c r="B533" s="5"/>
      <c r="C533" s="5"/>
      <c r="D533" s="5"/>
      <c r="E533" s="303"/>
      <c r="F533" s="303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4"/>
    </row>
    <row r="534" customFormat="false" ht="15.75" hidden="false" customHeight="true" outlineLevel="0" collapsed="false">
      <c r="A534" s="5"/>
      <c r="B534" s="5"/>
      <c r="C534" s="5"/>
      <c r="D534" s="5"/>
      <c r="E534" s="303"/>
      <c r="F534" s="303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4"/>
    </row>
    <row r="535" customFormat="false" ht="15.75" hidden="false" customHeight="true" outlineLevel="0" collapsed="false">
      <c r="A535" s="5"/>
      <c r="B535" s="5"/>
      <c r="C535" s="5"/>
      <c r="D535" s="5"/>
      <c r="E535" s="303"/>
      <c r="F535" s="303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4"/>
    </row>
    <row r="536" customFormat="false" ht="15.75" hidden="false" customHeight="true" outlineLevel="0" collapsed="false">
      <c r="A536" s="5"/>
      <c r="B536" s="5"/>
      <c r="C536" s="5"/>
      <c r="D536" s="5"/>
      <c r="E536" s="303"/>
      <c r="F536" s="303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4"/>
    </row>
    <row r="537" customFormat="false" ht="15.75" hidden="false" customHeight="true" outlineLevel="0" collapsed="false">
      <c r="A537" s="5"/>
      <c r="B537" s="5"/>
      <c r="C537" s="5"/>
      <c r="D537" s="5"/>
      <c r="E537" s="303"/>
      <c r="F537" s="303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4"/>
    </row>
    <row r="538" customFormat="false" ht="15.75" hidden="false" customHeight="true" outlineLevel="0" collapsed="false">
      <c r="A538" s="5"/>
      <c r="B538" s="5"/>
      <c r="C538" s="5"/>
      <c r="D538" s="5"/>
      <c r="E538" s="303"/>
      <c r="F538" s="303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4"/>
    </row>
    <row r="539" customFormat="false" ht="15.75" hidden="false" customHeight="true" outlineLevel="0" collapsed="false">
      <c r="A539" s="5"/>
      <c r="B539" s="5"/>
      <c r="C539" s="5"/>
      <c r="D539" s="5"/>
      <c r="E539" s="303"/>
      <c r="F539" s="303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4"/>
    </row>
    <row r="540" customFormat="false" ht="15.75" hidden="false" customHeight="true" outlineLevel="0" collapsed="false">
      <c r="A540" s="5"/>
      <c r="B540" s="5"/>
      <c r="C540" s="5"/>
      <c r="D540" s="5"/>
      <c r="E540" s="303"/>
      <c r="F540" s="303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4"/>
    </row>
    <row r="541" customFormat="false" ht="15.75" hidden="false" customHeight="true" outlineLevel="0" collapsed="false">
      <c r="A541" s="5"/>
      <c r="B541" s="5"/>
      <c r="C541" s="5"/>
      <c r="D541" s="5"/>
      <c r="E541" s="303"/>
      <c r="F541" s="303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4"/>
    </row>
    <row r="542" customFormat="false" ht="15.75" hidden="false" customHeight="true" outlineLevel="0" collapsed="false">
      <c r="A542" s="5"/>
      <c r="B542" s="5"/>
      <c r="C542" s="5"/>
      <c r="D542" s="5"/>
      <c r="E542" s="303"/>
      <c r="F542" s="303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4"/>
    </row>
    <row r="543" customFormat="false" ht="15.75" hidden="false" customHeight="true" outlineLevel="0" collapsed="false">
      <c r="A543" s="5"/>
      <c r="B543" s="5"/>
      <c r="C543" s="5"/>
      <c r="D543" s="5"/>
      <c r="E543" s="303"/>
      <c r="F543" s="303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4"/>
    </row>
    <row r="544" customFormat="false" ht="15.75" hidden="false" customHeight="true" outlineLevel="0" collapsed="false">
      <c r="A544" s="5"/>
      <c r="B544" s="5"/>
      <c r="C544" s="5"/>
      <c r="D544" s="5"/>
      <c r="E544" s="303"/>
      <c r="F544" s="303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4"/>
    </row>
    <row r="545" customFormat="false" ht="15.75" hidden="false" customHeight="true" outlineLevel="0" collapsed="false">
      <c r="A545" s="5"/>
      <c r="B545" s="5"/>
      <c r="C545" s="5"/>
      <c r="D545" s="5"/>
      <c r="E545" s="303"/>
      <c r="F545" s="303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4"/>
    </row>
    <row r="546" customFormat="false" ht="15.75" hidden="false" customHeight="true" outlineLevel="0" collapsed="false">
      <c r="A546" s="5"/>
      <c r="B546" s="5"/>
      <c r="C546" s="5"/>
      <c r="D546" s="5"/>
      <c r="E546" s="303"/>
      <c r="F546" s="303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4"/>
    </row>
    <row r="547" customFormat="false" ht="15.75" hidden="false" customHeight="true" outlineLevel="0" collapsed="false">
      <c r="A547" s="5"/>
      <c r="B547" s="5"/>
      <c r="C547" s="5"/>
      <c r="D547" s="5"/>
      <c r="E547" s="303"/>
      <c r="F547" s="303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4"/>
    </row>
    <row r="548" customFormat="false" ht="15.75" hidden="false" customHeight="true" outlineLevel="0" collapsed="false">
      <c r="A548" s="5"/>
      <c r="B548" s="5"/>
      <c r="C548" s="5"/>
      <c r="D548" s="5"/>
      <c r="E548" s="303"/>
      <c r="F548" s="303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4"/>
    </row>
    <row r="549" customFormat="false" ht="15.75" hidden="false" customHeight="true" outlineLevel="0" collapsed="false">
      <c r="A549" s="5"/>
      <c r="B549" s="5"/>
      <c r="C549" s="5"/>
      <c r="D549" s="5"/>
      <c r="E549" s="303"/>
      <c r="F549" s="303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4"/>
    </row>
    <row r="550" customFormat="false" ht="15.75" hidden="false" customHeight="true" outlineLevel="0" collapsed="false">
      <c r="A550" s="5"/>
      <c r="B550" s="5"/>
      <c r="C550" s="5"/>
      <c r="D550" s="5"/>
      <c r="E550" s="303"/>
      <c r="F550" s="303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4"/>
    </row>
    <row r="551" customFormat="false" ht="15.75" hidden="false" customHeight="true" outlineLevel="0" collapsed="false">
      <c r="A551" s="5"/>
      <c r="B551" s="5"/>
      <c r="C551" s="5"/>
      <c r="D551" s="5"/>
      <c r="E551" s="303"/>
      <c r="F551" s="303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4"/>
    </row>
    <row r="552" customFormat="false" ht="15.75" hidden="false" customHeight="true" outlineLevel="0" collapsed="false">
      <c r="A552" s="5"/>
      <c r="B552" s="5"/>
      <c r="C552" s="5"/>
      <c r="D552" s="5"/>
      <c r="E552" s="303"/>
      <c r="F552" s="303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4"/>
    </row>
    <row r="553" customFormat="false" ht="15.75" hidden="false" customHeight="true" outlineLevel="0" collapsed="false">
      <c r="A553" s="5"/>
      <c r="B553" s="5"/>
      <c r="C553" s="5"/>
      <c r="D553" s="5"/>
      <c r="E553" s="303"/>
      <c r="F553" s="303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4"/>
    </row>
    <row r="554" customFormat="false" ht="15.75" hidden="false" customHeight="true" outlineLevel="0" collapsed="false">
      <c r="A554" s="5"/>
      <c r="B554" s="5"/>
      <c r="C554" s="5"/>
      <c r="D554" s="5"/>
      <c r="E554" s="303"/>
      <c r="F554" s="303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4"/>
    </row>
    <row r="555" customFormat="false" ht="15.75" hidden="false" customHeight="true" outlineLevel="0" collapsed="false">
      <c r="A555" s="5"/>
      <c r="B555" s="5"/>
      <c r="C555" s="5"/>
      <c r="D555" s="5"/>
      <c r="E555" s="303"/>
      <c r="F555" s="303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4"/>
    </row>
    <row r="556" customFormat="false" ht="15.75" hidden="false" customHeight="true" outlineLevel="0" collapsed="false">
      <c r="A556" s="5"/>
      <c r="B556" s="5"/>
      <c r="C556" s="5"/>
      <c r="D556" s="5"/>
      <c r="E556" s="303"/>
      <c r="F556" s="303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4"/>
    </row>
    <row r="557" customFormat="false" ht="15.75" hidden="false" customHeight="true" outlineLevel="0" collapsed="false">
      <c r="A557" s="5"/>
      <c r="B557" s="5"/>
      <c r="C557" s="5"/>
      <c r="D557" s="5"/>
      <c r="E557" s="303"/>
      <c r="F557" s="303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4"/>
    </row>
    <row r="558" customFormat="false" ht="15.75" hidden="false" customHeight="true" outlineLevel="0" collapsed="false">
      <c r="A558" s="5"/>
      <c r="B558" s="5"/>
      <c r="C558" s="5"/>
      <c r="D558" s="5"/>
      <c r="E558" s="303"/>
      <c r="F558" s="303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4"/>
    </row>
    <row r="559" customFormat="false" ht="15.75" hidden="false" customHeight="true" outlineLevel="0" collapsed="false">
      <c r="A559" s="5"/>
      <c r="B559" s="5"/>
      <c r="C559" s="5"/>
      <c r="D559" s="5"/>
      <c r="E559" s="303"/>
      <c r="F559" s="303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4"/>
    </row>
    <row r="560" customFormat="false" ht="15.75" hidden="false" customHeight="true" outlineLevel="0" collapsed="false">
      <c r="A560" s="5"/>
      <c r="B560" s="5"/>
      <c r="C560" s="5"/>
      <c r="D560" s="5"/>
      <c r="E560" s="303"/>
      <c r="F560" s="303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4"/>
    </row>
    <row r="561" customFormat="false" ht="15.75" hidden="false" customHeight="true" outlineLevel="0" collapsed="false">
      <c r="A561" s="5"/>
      <c r="B561" s="5"/>
      <c r="C561" s="5"/>
      <c r="D561" s="5"/>
      <c r="E561" s="303"/>
      <c r="F561" s="303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4"/>
    </row>
    <row r="562" customFormat="false" ht="15.75" hidden="false" customHeight="true" outlineLevel="0" collapsed="false">
      <c r="A562" s="5"/>
      <c r="B562" s="5"/>
      <c r="C562" s="5"/>
      <c r="D562" s="5"/>
      <c r="E562" s="303"/>
      <c r="F562" s="303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4"/>
    </row>
    <row r="563" customFormat="false" ht="15.75" hidden="false" customHeight="true" outlineLevel="0" collapsed="false">
      <c r="A563" s="5"/>
      <c r="B563" s="5"/>
      <c r="C563" s="5"/>
      <c r="D563" s="5"/>
      <c r="E563" s="303"/>
      <c r="F563" s="303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4"/>
    </row>
    <row r="564" customFormat="false" ht="15.75" hidden="false" customHeight="true" outlineLevel="0" collapsed="false">
      <c r="A564" s="5"/>
      <c r="B564" s="5"/>
      <c r="C564" s="5"/>
      <c r="D564" s="5"/>
      <c r="E564" s="303"/>
      <c r="F564" s="303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4"/>
    </row>
    <row r="565" customFormat="false" ht="15.75" hidden="false" customHeight="true" outlineLevel="0" collapsed="false">
      <c r="A565" s="5"/>
      <c r="B565" s="5"/>
      <c r="C565" s="5"/>
      <c r="D565" s="5"/>
      <c r="E565" s="303"/>
      <c r="F565" s="303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4"/>
    </row>
    <row r="566" customFormat="false" ht="15.75" hidden="false" customHeight="true" outlineLevel="0" collapsed="false">
      <c r="A566" s="5"/>
      <c r="B566" s="5"/>
      <c r="C566" s="5"/>
      <c r="D566" s="5"/>
      <c r="E566" s="303"/>
      <c r="F566" s="303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4"/>
    </row>
    <row r="567" customFormat="false" ht="15.75" hidden="false" customHeight="true" outlineLevel="0" collapsed="false">
      <c r="A567" s="5"/>
      <c r="B567" s="5"/>
      <c r="C567" s="5"/>
      <c r="D567" s="5"/>
      <c r="E567" s="303"/>
      <c r="F567" s="303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4"/>
    </row>
    <row r="568" customFormat="false" ht="15.75" hidden="false" customHeight="true" outlineLevel="0" collapsed="false">
      <c r="A568" s="5"/>
      <c r="B568" s="5"/>
      <c r="C568" s="5"/>
      <c r="D568" s="5"/>
      <c r="E568" s="303"/>
      <c r="F568" s="303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4"/>
    </row>
    <row r="569" customFormat="false" ht="15.75" hidden="false" customHeight="true" outlineLevel="0" collapsed="false">
      <c r="A569" s="5"/>
      <c r="B569" s="5"/>
      <c r="C569" s="5"/>
      <c r="D569" s="5"/>
      <c r="E569" s="303"/>
      <c r="F569" s="303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4"/>
    </row>
    <row r="570" customFormat="false" ht="15.75" hidden="false" customHeight="true" outlineLevel="0" collapsed="false">
      <c r="A570" s="5"/>
      <c r="B570" s="5"/>
      <c r="C570" s="5"/>
      <c r="D570" s="5"/>
      <c r="E570" s="303"/>
      <c r="F570" s="303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4"/>
    </row>
    <row r="571" customFormat="false" ht="15.75" hidden="false" customHeight="true" outlineLevel="0" collapsed="false">
      <c r="A571" s="5"/>
      <c r="B571" s="5"/>
      <c r="C571" s="5"/>
      <c r="D571" s="5"/>
      <c r="E571" s="303"/>
      <c r="F571" s="303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4"/>
    </row>
    <row r="572" customFormat="false" ht="15.75" hidden="false" customHeight="true" outlineLevel="0" collapsed="false">
      <c r="A572" s="5"/>
      <c r="B572" s="5"/>
      <c r="C572" s="5"/>
      <c r="D572" s="5"/>
      <c r="E572" s="303"/>
      <c r="F572" s="303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4"/>
    </row>
    <row r="573" customFormat="false" ht="15.75" hidden="false" customHeight="true" outlineLevel="0" collapsed="false">
      <c r="A573" s="5"/>
      <c r="B573" s="5"/>
      <c r="C573" s="5"/>
      <c r="D573" s="5"/>
      <c r="E573" s="303"/>
      <c r="F573" s="303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4"/>
    </row>
    <row r="574" customFormat="false" ht="15.75" hidden="false" customHeight="true" outlineLevel="0" collapsed="false">
      <c r="A574" s="5"/>
      <c r="B574" s="5"/>
      <c r="C574" s="5"/>
      <c r="D574" s="5"/>
      <c r="E574" s="303"/>
      <c r="F574" s="303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4"/>
    </row>
    <row r="575" customFormat="false" ht="15.75" hidden="false" customHeight="true" outlineLevel="0" collapsed="false">
      <c r="A575" s="5"/>
      <c r="B575" s="5"/>
      <c r="C575" s="5"/>
      <c r="D575" s="5"/>
      <c r="E575" s="303"/>
      <c r="F575" s="303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4"/>
    </row>
    <row r="576" customFormat="false" ht="15.75" hidden="false" customHeight="true" outlineLevel="0" collapsed="false">
      <c r="A576" s="5"/>
      <c r="B576" s="5"/>
      <c r="C576" s="5"/>
      <c r="D576" s="5"/>
      <c r="E576" s="303"/>
      <c r="F576" s="303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4"/>
    </row>
    <row r="577" customFormat="false" ht="15.75" hidden="false" customHeight="true" outlineLevel="0" collapsed="false">
      <c r="A577" s="5"/>
      <c r="B577" s="5"/>
      <c r="C577" s="5"/>
      <c r="D577" s="5"/>
      <c r="E577" s="303"/>
      <c r="F577" s="303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4"/>
    </row>
    <row r="578" customFormat="false" ht="15.75" hidden="false" customHeight="true" outlineLevel="0" collapsed="false">
      <c r="A578" s="5"/>
      <c r="B578" s="5"/>
      <c r="C578" s="5"/>
      <c r="D578" s="5"/>
      <c r="E578" s="303"/>
      <c r="F578" s="303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4"/>
    </row>
    <row r="579" customFormat="false" ht="15.75" hidden="false" customHeight="true" outlineLevel="0" collapsed="false">
      <c r="A579" s="5"/>
      <c r="B579" s="5"/>
      <c r="C579" s="5"/>
      <c r="D579" s="5"/>
      <c r="E579" s="303"/>
      <c r="F579" s="303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4"/>
    </row>
    <row r="580" customFormat="false" ht="15.75" hidden="false" customHeight="true" outlineLevel="0" collapsed="false">
      <c r="A580" s="5"/>
      <c r="B580" s="5"/>
      <c r="C580" s="5"/>
      <c r="D580" s="5"/>
      <c r="E580" s="303"/>
      <c r="F580" s="303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4"/>
    </row>
    <row r="581" customFormat="false" ht="15.75" hidden="false" customHeight="true" outlineLevel="0" collapsed="false">
      <c r="A581" s="5"/>
      <c r="B581" s="5"/>
      <c r="C581" s="5"/>
      <c r="D581" s="5"/>
      <c r="E581" s="303"/>
      <c r="F581" s="303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4"/>
    </row>
    <row r="582" customFormat="false" ht="15.75" hidden="false" customHeight="true" outlineLevel="0" collapsed="false">
      <c r="A582" s="5"/>
      <c r="B582" s="5"/>
      <c r="C582" s="5"/>
      <c r="D582" s="5"/>
      <c r="E582" s="303"/>
      <c r="F582" s="303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4"/>
    </row>
    <row r="583" customFormat="false" ht="15.75" hidden="false" customHeight="true" outlineLevel="0" collapsed="false">
      <c r="A583" s="5"/>
      <c r="B583" s="5"/>
      <c r="C583" s="5"/>
      <c r="D583" s="5"/>
      <c r="E583" s="303"/>
      <c r="F583" s="303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4"/>
    </row>
    <row r="584" customFormat="false" ht="15.75" hidden="false" customHeight="true" outlineLevel="0" collapsed="false">
      <c r="A584" s="5"/>
      <c r="B584" s="5"/>
      <c r="C584" s="5"/>
      <c r="D584" s="5"/>
      <c r="E584" s="303"/>
      <c r="F584" s="303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4"/>
    </row>
    <row r="585" customFormat="false" ht="15.75" hidden="false" customHeight="true" outlineLevel="0" collapsed="false">
      <c r="A585" s="5"/>
      <c r="B585" s="5"/>
      <c r="C585" s="5"/>
      <c r="D585" s="5"/>
      <c r="E585" s="303"/>
      <c r="F585" s="303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4"/>
    </row>
    <row r="586" customFormat="false" ht="15.75" hidden="false" customHeight="true" outlineLevel="0" collapsed="false">
      <c r="A586" s="5"/>
      <c r="B586" s="5"/>
      <c r="C586" s="5"/>
      <c r="D586" s="5"/>
      <c r="E586" s="303"/>
      <c r="F586" s="303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4"/>
    </row>
    <row r="587" customFormat="false" ht="15.75" hidden="false" customHeight="true" outlineLevel="0" collapsed="false">
      <c r="A587" s="5"/>
      <c r="B587" s="5"/>
      <c r="C587" s="5"/>
      <c r="D587" s="5"/>
      <c r="E587" s="303"/>
      <c r="F587" s="303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4"/>
    </row>
    <row r="588" customFormat="false" ht="15.75" hidden="false" customHeight="true" outlineLevel="0" collapsed="false">
      <c r="A588" s="5"/>
      <c r="B588" s="5"/>
      <c r="C588" s="5"/>
      <c r="D588" s="5"/>
      <c r="E588" s="303"/>
      <c r="F588" s="303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4"/>
    </row>
    <row r="589" customFormat="false" ht="15.75" hidden="false" customHeight="true" outlineLevel="0" collapsed="false">
      <c r="A589" s="5"/>
      <c r="B589" s="5"/>
      <c r="C589" s="5"/>
      <c r="D589" s="5"/>
      <c r="E589" s="303"/>
      <c r="F589" s="303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4"/>
    </row>
    <row r="590" customFormat="false" ht="15.75" hidden="false" customHeight="true" outlineLevel="0" collapsed="false">
      <c r="A590" s="5"/>
      <c r="B590" s="5"/>
      <c r="C590" s="5"/>
      <c r="D590" s="5"/>
      <c r="E590" s="303"/>
      <c r="F590" s="303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4"/>
    </row>
    <row r="591" customFormat="false" ht="15.75" hidden="false" customHeight="true" outlineLevel="0" collapsed="false">
      <c r="A591" s="5"/>
      <c r="B591" s="5"/>
      <c r="C591" s="5"/>
      <c r="D591" s="5"/>
      <c r="E591" s="303"/>
      <c r="F591" s="303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4"/>
    </row>
    <row r="592" customFormat="false" ht="15.75" hidden="false" customHeight="true" outlineLevel="0" collapsed="false">
      <c r="A592" s="5"/>
      <c r="B592" s="5"/>
      <c r="C592" s="5"/>
      <c r="D592" s="5"/>
      <c r="E592" s="303"/>
      <c r="F592" s="303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4"/>
    </row>
    <row r="593" customFormat="false" ht="15.75" hidden="false" customHeight="true" outlineLevel="0" collapsed="false">
      <c r="A593" s="5"/>
      <c r="B593" s="5"/>
      <c r="C593" s="5"/>
      <c r="D593" s="5"/>
      <c r="E593" s="303"/>
      <c r="F593" s="303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4"/>
    </row>
    <row r="594" customFormat="false" ht="15.75" hidden="false" customHeight="true" outlineLevel="0" collapsed="false">
      <c r="A594" s="5"/>
      <c r="B594" s="5"/>
      <c r="C594" s="5"/>
      <c r="D594" s="5"/>
      <c r="E594" s="303"/>
      <c r="F594" s="303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4"/>
    </row>
    <row r="595" customFormat="false" ht="15.75" hidden="false" customHeight="true" outlineLevel="0" collapsed="false">
      <c r="A595" s="5"/>
      <c r="B595" s="5"/>
      <c r="C595" s="5"/>
      <c r="D595" s="5"/>
      <c r="E595" s="303"/>
      <c r="F595" s="303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4"/>
    </row>
    <row r="596" customFormat="false" ht="15.75" hidden="false" customHeight="true" outlineLevel="0" collapsed="false">
      <c r="A596" s="5"/>
      <c r="B596" s="5"/>
      <c r="C596" s="5"/>
      <c r="D596" s="5"/>
      <c r="E596" s="303"/>
      <c r="F596" s="303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4"/>
    </row>
    <row r="597" customFormat="false" ht="15.75" hidden="false" customHeight="true" outlineLevel="0" collapsed="false">
      <c r="A597" s="5"/>
      <c r="B597" s="5"/>
      <c r="C597" s="5"/>
      <c r="D597" s="5"/>
      <c r="E597" s="303"/>
      <c r="F597" s="303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4"/>
    </row>
    <row r="598" customFormat="false" ht="15.75" hidden="false" customHeight="true" outlineLevel="0" collapsed="false">
      <c r="A598" s="5"/>
      <c r="B598" s="5"/>
      <c r="C598" s="5"/>
      <c r="D598" s="5"/>
      <c r="E598" s="303"/>
      <c r="F598" s="303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4"/>
    </row>
    <row r="599" customFormat="false" ht="15.75" hidden="false" customHeight="true" outlineLevel="0" collapsed="false">
      <c r="A599" s="5"/>
      <c r="B599" s="5"/>
      <c r="C599" s="5"/>
      <c r="D599" s="5"/>
      <c r="E599" s="303"/>
      <c r="F599" s="303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4"/>
    </row>
    <row r="600" customFormat="false" ht="15.75" hidden="false" customHeight="true" outlineLevel="0" collapsed="false">
      <c r="A600" s="5"/>
      <c r="B600" s="5"/>
      <c r="C600" s="5"/>
      <c r="D600" s="5"/>
      <c r="E600" s="303"/>
      <c r="F600" s="303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4"/>
    </row>
    <row r="601" customFormat="false" ht="15.75" hidden="false" customHeight="true" outlineLevel="0" collapsed="false">
      <c r="A601" s="5"/>
      <c r="B601" s="5"/>
      <c r="C601" s="5"/>
      <c r="D601" s="5"/>
      <c r="E601" s="303"/>
      <c r="F601" s="303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4"/>
    </row>
    <row r="602" customFormat="false" ht="15.75" hidden="false" customHeight="true" outlineLevel="0" collapsed="false">
      <c r="A602" s="5"/>
      <c r="B602" s="5"/>
      <c r="C602" s="5"/>
      <c r="D602" s="5"/>
      <c r="E602" s="303"/>
      <c r="F602" s="303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4"/>
    </row>
    <row r="603" customFormat="false" ht="15.75" hidden="false" customHeight="true" outlineLevel="0" collapsed="false">
      <c r="A603" s="5"/>
      <c r="B603" s="5"/>
      <c r="C603" s="5"/>
      <c r="D603" s="5"/>
      <c r="E603" s="303"/>
      <c r="F603" s="303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4"/>
    </row>
    <row r="604" customFormat="false" ht="15.75" hidden="false" customHeight="true" outlineLevel="0" collapsed="false">
      <c r="A604" s="5"/>
      <c r="B604" s="5"/>
      <c r="C604" s="5"/>
      <c r="D604" s="5"/>
      <c r="E604" s="303"/>
      <c r="F604" s="303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4"/>
    </row>
    <row r="605" customFormat="false" ht="15.75" hidden="false" customHeight="true" outlineLevel="0" collapsed="false">
      <c r="A605" s="5"/>
      <c r="B605" s="5"/>
      <c r="C605" s="5"/>
      <c r="D605" s="5"/>
      <c r="E605" s="303"/>
      <c r="F605" s="303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4"/>
    </row>
    <row r="606" customFormat="false" ht="15.75" hidden="false" customHeight="true" outlineLevel="0" collapsed="false">
      <c r="A606" s="5"/>
      <c r="B606" s="5"/>
      <c r="C606" s="5"/>
      <c r="D606" s="5"/>
      <c r="E606" s="303"/>
      <c r="F606" s="303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4"/>
    </row>
    <row r="607" customFormat="false" ht="15.75" hidden="false" customHeight="true" outlineLevel="0" collapsed="false">
      <c r="A607" s="5"/>
      <c r="B607" s="5"/>
      <c r="C607" s="5"/>
      <c r="D607" s="5"/>
      <c r="E607" s="303"/>
      <c r="F607" s="303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4"/>
    </row>
    <row r="608" customFormat="false" ht="15.75" hidden="false" customHeight="true" outlineLevel="0" collapsed="false">
      <c r="A608" s="5"/>
      <c r="B608" s="5"/>
      <c r="C608" s="5"/>
      <c r="D608" s="5"/>
      <c r="E608" s="303"/>
      <c r="F608" s="303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4"/>
    </row>
    <row r="609" customFormat="false" ht="15.75" hidden="false" customHeight="true" outlineLevel="0" collapsed="false">
      <c r="A609" s="5"/>
      <c r="B609" s="5"/>
      <c r="C609" s="5"/>
      <c r="D609" s="5"/>
      <c r="E609" s="303"/>
      <c r="F609" s="303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4"/>
    </row>
    <row r="610" customFormat="false" ht="15.75" hidden="false" customHeight="true" outlineLevel="0" collapsed="false">
      <c r="A610" s="5"/>
      <c r="B610" s="5"/>
      <c r="C610" s="5"/>
      <c r="D610" s="5"/>
      <c r="E610" s="303"/>
      <c r="F610" s="303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4"/>
    </row>
    <row r="611" customFormat="false" ht="15.75" hidden="false" customHeight="true" outlineLevel="0" collapsed="false">
      <c r="A611" s="5"/>
      <c r="B611" s="5"/>
      <c r="C611" s="5"/>
      <c r="D611" s="5"/>
      <c r="E611" s="303"/>
      <c r="F611" s="303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4"/>
    </row>
    <row r="612" customFormat="false" ht="15.75" hidden="false" customHeight="true" outlineLevel="0" collapsed="false">
      <c r="A612" s="5"/>
      <c r="B612" s="5"/>
      <c r="C612" s="5"/>
      <c r="D612" s="5"/>
      <c r="E612" s="303"/>
      <c r="F612" s="303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4"/>
    </row>
    <row r="613" customFormat="false" ht="15.75" hidden="false" customHeight="true" outlineLevel="0" collapsed="false">
      <c r="A613" s="5"/>
      <c r="B613" s="5"/>
      <c r="C613" s="5"/>
      <c r="D613" s="5"/>
      <c r="E613" s="303"/>
      <c r="F613" s="303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4"/>
    </row>
    <row r="614" customFormat="false" ht="15.75" hidden="false" customHeight="true" outlineLevel="0" collapsed="false">
      <c r="A614" s="5"/>
      <c r="B614" s="5"/>
      <c r="C614" s="5"/>
      <c r="D614" s="5"/>
      <c r="E614" s="303"/>
      <c r="F614" s="303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4"/>
    </row>
    <row r="615" customFormat="false" ht="15.75" hidden="false" customHeight="true" outlineLevel="0" collapsed="false">
      <c r="A615" s="5"/>
      <c r="B615" s="5"/>
      <c r="C615" s="5"/>
      <c r="D615" s="5"/>
      <c r="E615" s="303"/>
      <c r="F615" s="303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4"/>
    </row>
    <row r="616" customFormat="false" ht="15.75" hidden="false" customHeight="true" outlineLevel="0" collapsed="false">
      <c r="A616" s="5"/>
      <c r="B616" s="5"/>
      <c r="C616" s="5"/>
      <c r="D616" s="5"/>
      <c r="E616" s="303"/>
      <c r="F616" s="303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4"/>
    </row>
    <row r="617" customFormat="false" ht="15.75" hidden="false" customHeight="true" outlineLevel="0" collapsed="false">
      <c r="A617" s="5"/>
      <c r="B617" s="5"/>
      <c r="C617" s="5"/>
      <c r="D617" s="5"/>
      <c r="E617" s="303"/>
      <c r="F617" s="303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4"/>
    </row>
    <row r="618" customFormat="false" ht="15.75" hidden="false" customHeight="true" outlineLevel="0" collapsed="false">
      <c r="A618" s="5"/>
      <c r="B618" s="5"/>
      <c r="C618" s="5"/>
      <c r="D618" s="5"/>
      <c r="E618" s="303"/>
      <c r="F618" s="303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4"/>
    </row>
    <row r="619" customFormat="false" ht="15.75" hidden="false" customHeight="true" outlineLevel="0" collapsed="false">
      <c r="A619" s="5"/>
      <c r="B619" s="5"/>
      <c r="C619" s="5"/>
      <c r="D619" s="5"/>
      <c r="E619" s="303"/>
      <c r="F619" s="303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4"/>
    </row>
    <row r="620" customFormat="false" ht="15.75" hidden="false" customHeight="true" outlineLevel="0" collapsed="false">
      <c r="A620" s="5"/>
      <c r="B620" s="5"/>
      <c r="C620" s="5"/>
      <c r="D620" s="5"/>
      <c r="E620" s="303"/>
      <c r="F620" s="303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4"/>
    </row>
    <row r="621" customFormat="false" ht="15.75" hidden="false" customHeight="true" outlineLevel="0" collapsed="false">
      <c r="A621" s="5"/>
      <c r="B621" s="5"/>
      <c r="C621" s="5"/>
      <c r="D621" s="5"/>
      <c r="E621" s="303"/>
      <c r="F621" s="303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4"/>
    </row>
    <row r="622" customFormat="false" ht="15.75" hidden="false" customHeight="true" outlineLevel="0" collapsed="false">
      <c r="A622" s="5"/>
      <c r="B622" s="5"/>
      <c r="C622" s="5"/>
      <c r="D622" s="5"/>
      <c r="E622" s="303"/>
      <c r="F622" s="303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4"/>
    </row>
    <row r="623" customFormat="false" ht="15.75" hidden="false" customHeight="true" outlineLevel="0" collapsed="false">
      <c r="A623" s="5"/>
      <c r="B623" s="5"/>
      <c r="C623" s="5"/>
      <c r="D623" s="5"/>
      <c r="E623" s="303"/>
      <c r="F623" s="303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4"/>
    </row>
    <row r="624" customFormat="false" ht="15.75" hidden="false" customHeight="true" outlineLevel="0" collapsed="false">
      <c r="A624" s="5"/>
      <c r="B624" s="5"/>
      <c r="C624" s="5"/>
      <c r="D624" s="5"/>
      <c r="E624" s="303"/>
      <c r="F624" s="303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4"/>
    </row>
    <row r="625" customFormat="false" ht="15.75" hidden="false" customHeight="true" outlineLevel="0" collapsed="false">
      <c r="A625" s="5"/>
      <c r="B625" s="5"/>
      <c r="C625" s="5"/>
      <c r="D625" s="5"/>
      <c r="E625" s="303"/>
      <c r="F625" s="303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4"/>
    </row>
    <row r="626" customFormat="false" ht="15.75" hidden="false" customHeight="true" outlineLevel="0" collapsed="false">
      <c r="A626" s="5"/>
      <c r="B626" s="5"/>
      <c r="C626" s="5"/>
      <c r="D626" s="5"/>
      <c r="E626" s="303"/>
      <c r="F626" s="303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4"/>
    </row>
    <row r="627" customFormat="false" ht="15.75" hidden="false" customHeight="true" outlineLevel="0" collapsed="false">
      <c r="A627" s="5"/>
      <c r="B627" s="5"/>
      <c r="C627" s="5"/>
      <c r="D627" s="5"/>
      <c r="E627" s="303"/>
      <c r="F627" s="303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4"/>
    </row>
    <row r="628" customFormat="false" ht="15.75" hidden="false" customHeight="true" outlineLevel="0" collapsed="false">
      <c r="A628" s="5"/>
      <c r="B628" s="5"/>
      <c r="C628" s="5"/>
      <c r="D628" s="5"/>
      <c r="E628" s="303"/>
      <c r="F628" s="303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4"/>
    </row>
    <row r="629" customFormat="false" ht="15.75" hidden="false" customHeight="true" outlineLevel="0" collapsed="false">
      <c r="A629" s="5"/>
      <c r="B629" s="5"/>
      <c r="C629" s="5"/>
      <c r="D629" s="5"/>
      <c r="E629" s="303"/>
      <c r="F629" s="303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4"/>
    </row>
    <row r="630" customFormat="false" ht="15.75" hidden="false" customHeight="true" outlineLevel="0" collapsed="false">
      <c r="A630" s="5"/>
      <c r="B630" s="5"/>
      <c r="C630" s="5"/>
      <c r="D630" s="5"/>
      <c r="E630" s="303"/>
      <c r="F630" s="303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4"/>
    </row>
    <row r="631" customFormat="false" ht="15.75" hidden="false" customHeight="true" outlineLevel="0" collapsed="false">
      <c r="A631" s="5"/>
      <c r="B631" s="5"/>
      <c r="C631" s="5"/>
      <c r="D631" s="5"/>
      <c r="E631" s="303"/>
      <c r="F631" s="303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4"/>
    </row>
    <row r="632" customFormat="false" ht="15.75" hidden="false" customHeight="true" outlineLevel="0" collapsed="false">
      <c r="A632" s="5"/>
      <c r="B632" s="5"/>
      <c r="C632" s="5"/>
      <c r="D632" s="5"/>
      <c r="E632" s="303"/>
      <c r="F632" s="303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4"/>
    </row>
    <row r="633" customFormat="false" ht="15.75" hidden="false" customHeight="true" outlineLevel="0" collapsed="false">
      <c r="A633" s="5"/>
      <c r="B633" s="5"/>
      <c r="C633" s="5"/>
      <c r="D633" s="5"/>
      <c r="E633" s="303"/>
      <c r="F633" s="303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4"/>
    </row>
    <row r="634" customFormat="false" ht="15.75" hidden="false" customHeight="true" outlineLevel="0" collapsed="false">
      <c r="A634" s="5"/>
      <c r="B634" s="5"/>
      <c r="C634" s="5"/>
      <c r="D634" s="5"/>
      <c r="E634" s="303"/>
      <c r="F634" s="303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4"/>
    </row>
    <row r="635" customFormat="false" ht="15.75" hidden="false" customHeight="true" outlineLevel="0" collapsed="false">
      <c r="A635" s="5"/>
      <c r="B635" s="5"/>
      <c r="C635" s="5"/>
      <c r="D635" s="5"/>
      <c r="E635" s="303"/>
      <c r="F635" s="303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4"/>
    </row>
    <row r="636" customFormat="false" ht="15.75" hidden="false" customHeight="true" outlineLevel="0" collapsed="false">
      <c r="A636" s="5"/>
      <c r="B636" s="5"/>
      <c r="C636" s="5"/>
      <c r="D636" s="5"/>
      <c r="E636" s="303"/>
      <c r="F636" s="303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4"/>
    </row>
    <row r="637" customFormat="false" ht="15.75" hidden="false" customHeight="true" outlineLevel="0" collapsed="false">
      <c r="A637" s="5"/>
      <c r="B637" s="5"/>
      <c r="C637" s="5"/>
      <c r="D637" s="5"/>
      <c r="E637" s="303"/>
      <c r="F637" s="303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4"/>
    </row>
    <row r="638" customFormat="false" ht="15.75" hidden="false" customHeight="true" outlineLevel="0" collapsed="false">
      <c r="A638" s="5"/>
      <c r="B638" s="5"/>
      <c r="C638" s="5"/>
      <c r="D638" s="5"/>
      <c r="E638" s="303"/>
      <c r="F638" s="303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4"/>
    </row>
    <row r="639" customFormat="false" ht="15.75" hidden="false" customHeight="true" outlineLevel="0" collapsed="false">
      <c r="A639" s="5"/>
      <c r="B639" s="5"/>
      <c r="C639" s="5"/>
      <c r="D639" s="5"/>
      <c r="E639" s="303"/>
      <c r="F639" s="303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4"/>
    </row>
    <row r="640" customFormat="false" ht="15.75" hidden="false" customHeight="true" outlineLevel="0" collapsed="false">
      <c r="A640" s="5"/>
      <c r="B640" s="5"/>
      <c r="C640" s="5"/>
      <c r="D640" s="5"/>
      <c r="E640" s="303"/>
      <c r="F640" s="303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4"/>
    </row>
    <row r="641" customFormat="false" ht="15.75" hidden="false" customHeight="true" outlineLevel="0" collapsed="false">
      <c r="A641" s="5"/>
      <c r="B641" s="5"/>
      <c r="C641" s="5"/>
      <c r="D641" s="5"/>
      <c r="E641" s="303"/>
      <c r="F641" s="303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4"/>
    </row>
    <row r="642" customFormat="false" ht="15.75" hidden="false" customHeight="true" outlineLevel="0" collapsed="false">
      <c r="A642" s="5"/>
      <c r="B642" s="5"/>
      <c r="C642" s="5"/>
      <c r="D642" s="5"/>
      <c r="E642" s="303"/>
      <c r="F642" s="303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4"/>
    </row>
    <row r="643" customFormat="false" ht="15.75" hidden="false" customHeight="true" outlineLevel="0" collapsed="false">
      <c r="A643" s="5"/>
      <c r="B643" s="5"/>
      <c r="C643" s="5"/>
      <c r="D643" s="5"/>
      <c r="E643" s="303"/>
      <c r="F643" s="303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4"/>
    </row>
    <row r="644" customFormat="false" ht="15.75" hidden="false" customHeight="true" outlineLevel="0" collapsed="false">
      <c r="A644" s="5"/>
      <c r="B644" s="5"/>
      <c r="C644" s="5"/>
      <c r="D644" s="5"/>
      <c r="E644" s="303"/>
      <c r="F644" s="303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4"/>
    </row>
    <row r="645" customFormat="false" ht="15.75" hidden="false" customHeight="true" outlineLevel="0" collapsed="false">
      <c r="A645" s="5"/>
      <c r="B645" s="5"/>
      <c r="C645" s="5"/>
      <c r="D645" s="5"/>
      <c r="E645" s="303"/>
      <c r="F645" s="303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4"/>
    </row>
    <row r="646" customFormat="false" ht="15.75" hidden="false" customHeight="true" outlineLevel="0" collapsed="false">
      <c r="A646" s="5"/>
      <c r="B646" s="5"/>
      <c r="C646" s="5"/>
      <c r="D646" s="5"/>
      <c r="E646" s="303"/>
      <c r="F646" s="303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4"/>
    </row>
    <row r="647" customFormat="false" ht="15.75" hidden="false" customHeight="true" outlineLevel="0" collapsed="false">
      <c r="A647" s="5"/>
      <c r="B647" s="5"/>
      <c r="C647" s="5"/>
      <c r="D647" s="5"/>
      <c r="E647" s="303"/>
      <c r="F647" s="303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4"/>
    </row>
    <row r="648" customFormat="false" ht="15.75" hidden="false" customHeight="true" outlineLevel="0" collapsed="false">
      <c r="A648" s="5"/>
      <c r="B648" s="5"/>
      <c r="C648" s="5"/>
      <c r="D648" s="5"/>
      <c r="E648" s="303"/>
      <c r="F648" s="303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4"/>
    </row>
    <row r="649" customFormat="false" ht="15.75" hidden="false" customHeight="true" outlineLevel="0" collapsed="false">
      <c r="A649" s="5"/>
      <c r="B649" s="5"/>
      <c r="C649" s="5"/>
      <c r="D649" s="5"/>
      <c r="E649" s="303"/>
      <c r="F649" s="303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4"/>
    </row>
    <row r="650" customFormat="false" ht="15.75" hidden="false" customHeight="true" outlineLevel="0" collapsed="false">
      <c r="A650" s="5"/>
      <c r="B650" s="5"/>
      <c r="C650" s="5"/>
      <c r="D650" s="5"/>
      <c r="E650" s="303"/>
      <c r="F650" s="303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4"/>
    </row>
    <row r="651" customFormat="false" ht="15.75" hidden="false" customHeight="true" outlineLevel="0" collapsed="false">
      <c r="A651" s="5"/>
      <c r="B651" s="5"/>
      <c r="C651" s="5"/>
      <c r="D651" s="5"/>
      <c r="E651" s="303"/>
      <c r="F651" s="303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4"/>
    </row>
    <row r="652" customFormat="false" ht="15.75" hidden="false" customHeight="true" outlineLevel="0" collapsed="false">
      <c r="A652" s="5"/>
      <c r="B652" s="5"/>
      <c r="C652" s="5"/>
      <c r="D652" s="5"/>
      <c r="E652" s="303"/>
      <c r="F652" s="303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4"/>
    </row>
    <row r="653" customFormat="false" ht="15.75" hidden="false" customHeight="true" outlineLevel="0" collapsed="false">
      <c r="A653" s="5"/>
      <c r="B653" s="5"/>
      <c r="C653" s="5"/>
      <c r="D653" s="5"/>
      <c r="E653" s="303"/>
      <c r="F653" s="303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4"/>
    </row>
    <row r="654" customFormat="false" ht="15.75" hidden="false" customHeight="true" outlineLevel="0" collapsed="false">
      <c r="A654" s="5"/>
      <c r="B654" s="5"/>
      <c r="C654" s="5"/>
      <c r="D654" s="5"/>
      <c r="E654" s="303"/>
      <c r="F654" s="303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4"/>
    </row>
    <row r="655" customFormat="false" ht="15.75" hidden="false" customHeight="true" outlineLevel="0" collapsed="false">
      <c r="A655" s="5"/>
      <c r="B655" s="5"/>
      <c r="C655" s="5"/>
      <c r="D655" s="5"/>
      <c r="E655" s="303"/>
      <c r="F655" s="303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4"/>
    </row>
    <row r="656" customFormat="false" ht="15.75" hidden="false" customHeight="true" outlineLevel="0" collapsed="false">
      <c r="A656" s="5"/>
      <c r="B656" s="5"/>
      <c r="C656" s="5"/>
      <c r="D656" s="5"/>
      <c r="E656" s="303"/>
      <c r="F656" s="303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4"/>
    </row>
    <row r="657" customFormat="false" ht="15.75" hidden="false" customHeight="true" outlineLevel="0" collapsed="false">
      <c r="A657" s="5"/>
      <c r="B657" s="5"/>
      <c r="C657" s="5"/>
      <c r="D657" s="5"/>
      <c r="E657" s="303"/>
      <c r="F657" s="303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4"/>
    </row>
    <row r="658" customFormat="false" ht="15.75" hidden="false" customHeight="true" outlineLevel="0" collapsed="false">
      <c r="A658" s="5"/>
      <c r="B658" s="5"/>
      <c r="C658" s="5"/>
      <c r="D658" s="5"/>
      <c r="E658" s="303"/>
      <c r="F658" s="303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4"/>
    </row>
    <row r="659" customFormat="false" ht="15.75" hidden="false" customHeight="true" outlineLevel="0" collapsed="false">
      <c r="A659" s="5"/>
      <c r="B659" s="5"/>
      <c r="C659" s="5"/>
      <c r="D659" s="5"/>
      <c r="E659" s="303"/>
      <c r="F659" s="303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4"/>
    </row>
    <row r="660" customFormat="false" ht="15.75" hidden="false" customHeight="true" outlineLevel="0" collapsed="false">
      <c r="A660" s="5"/>
      <c r="B660" s="5"/>
      <c r="C660" s="5"/>
      <c r="D660" s="5"/>
      <c r="E660" s="303"/>
      <c r="F660" s="303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4"/>
    </row>
    <row r="661" customFormat="false" ht="15.75" hidden="false" customHeight="true" outlineLevel="0" collapsed="false">
      <c r="A661" s="5"/>
      <c r="B661" s="5"/>
      <c r="C661" s="5"/>
      <c r="D661" s="5"/>
      <c r="E661" s="303"/>
      <c r="F661" s="303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4"/>
    </row>
    <row r="662" customFormat="false" ht="15.75" hidden="false" customHeight="true" outlineLevel="0" collapsed="false">
      <c r="A662" s="5"/>
      <c r="B662" s="5"/>
      <c r="C662" s="5"/>
      <c r="D662" s="5"/>
      <c r="E662" s="303"/>
      <c r="F662" s="303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4"/>
    </row>
    <row r="663" customFormat="false" ht="15.75" hidden="false" customHeight="true" outlineLevel="0" collapsed="false">
      <c r="A663" s="5"/>
      <c r="B663" s="5"/>
      <c r="C663" s="5"/>
      <c r="D663" s="5"/>
      <c r="E663" s="303"/>
      <c r="F663" s="303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4"/>
    </row>
    <row r="664" customFormat="false" ht="15.75" hidden="false" customHeight="true" outlineLevel="0" collapsed="false">
      <c r="A664" s="5"/>
      <c r="B664" s="5"/>
      <c r="C664" s="5"/>
      <c r="D664" s="5"/>
      <c r="E664" s="303"/>
      <c r="F664" s="303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4"/>
    </row>
    <row r="665" customFormat="false" ht="15.75" hidden="false" customHeight="true" outlineLevel="0" collapsed="false">
      <c r="A665" s="5"/>
      <c r="B665" s="5"/>
      <c r="C665" s="5"/>
      <c r="D665" s="5"/>
      <c r="E665" s="303"/>
      <c r="F665" s="303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4"/>
    </row>
    <row r="666" customFormat="false" ht="15.75" hidden="false" customHeight="true" outlineLevel="0" collapsed="false">
      <c r="A666" s="5"/>
      <c r="B666" s="5"/>
      <c r="C666" s="5"/>
      <c r="D666" s="5"/>
      <c r="E666" s="303"/>
      <c r="F666" s="303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4"/>
    </row>
    <row r="667" customFormat="false" ht="15.75" hidden="false" customHeight="true" outlineLevel="0" collapsed="false">
      <c r="A667" s="5"/>
      <c r="B667" s="5"/>
      <c r="C667" s="5"/>
      <c r="D667" s="5"/>
      <c r="E667" s="303"/>
      <c r="F667" s="303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4"/>
    </row>
    <row r="668" customFormat="false" ht="15.75" hidden="false" customHeight="true" outlineLevel="0" collapsed="false">
      <c r="A668" s="5"/>
      <c r="B668" s="5"/>
      <c r="C668" s="5"/>
      <c r="D668" s="5"/>
      <c r="E668" s="303"/>
      <c r="F668" s="303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4"/>
    </row>
    <row r="669" customFormat="false" ht="15.75" hidden="false" customHeight="true" outlineLevel="0" collapsed="false">
      <c r="A669" s="5"/>
      <c r="B669" s="5"/>
      <c r="C669" s="5"/>
      <c r="D669" s="5"/>
      <c r="E669" s="303"/>
      <c r="F669" s="303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4"/>
    </row>
    <row r="670" customFormat="false" ht="15.75" hidden="false" customHeight="true" outlineLevel="0" collapsed="false">
      <c r="A670" s="5"/>
      <c r="B670" s="5"/>
      <c r="C670" s="5"/>
      <c r="D670" s="5"/>
      <c r="E670" s="303"/>
      <c r="F670" s="303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4"/>
    </row>
    <row r="671" customFormat="false" ht="15.75" hidden="false" customHeight="true" outlineLevel="0" collapsed="false">
      <c r="A671" s="5"/>
      <c r="B671" s="5"/>
      <c r="C671" s="5"/>
      <c r="D671" s="5"/>
      <c r="E671" s="303"/>
      <c r="F671" s="303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4"/>
    </row>
    <row r="672" customFormat="false" ht="15.75" hidden="false" customHeight="true" outlineLevel="0" collapsed="false">
      <c r="A672" s="5"/>
      <c r="B672" s="5"/>
      <c r="C672" s="5"/>
      <c r="D672" s="5"/>
      <c r="E672" s="303"/>
      <c r="F672" s="303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4"/>
    </row>
    <row r="673" customFormat="false" ht="15.75" hidden="false" customHeight="true" outlineLevel="0" collapsed="false">
      <c r="A673" s="5"/>
      <c r="B673" s="5"/>
      <c r="C673" s="5"/>
      <c r="D673" s="5"/>
      <c r="E673" s="303"/>
      <c r="F673" s="303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4"/>
    </row>
    <row r="674" customFormat="false" ht="15.75" hidden="false" customHeight="true" outlineLevel="0" collapsed="false">
      <c r="A674" s="5"/>
      <c r="B674" s="5"/>
      <c r="C674" s="5"/>
      <c r="D674" s="5"/>
      <c r="E674" s="303"/>
      <c r="F674" s="303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4"/>
    </row>
    <row r="675" customFormat="false" ht="15.75" hidden="false" customHeight="true" outlineLevel="0" collapsed="false">
      <c r="A675" s="5"/>
      <c r="B675" s="5"/>
      <c r="C675" s="5"/>
      <c r="D675" s="5"/>
      <c r="E675" s="303"/>
      <c r="F675" s="303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4"/>
    </row>
    <row r="676" customFormat="false" ht="15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4"/>
    </row>
    <row r="677" customFormat="false" ht="15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4"/>
    </row>
    <row r="678" customFormat="false" ht="15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4"/>
    </row>
    <row r="679" customFormat="false" ht="15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4"/>
    </row>
    <row r="680" customFormat="false" ht="15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4"/>
    </row>
    <row r="681" customFormat="false" ht="15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4"/>
    </row>
    <row r="682" customFormat="false" ht="15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4"/>
    </row>
    <row r="683" customFormat="false" ht="15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4"/>
    </row>
    <row r="684" customFormat="false" ht="15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4"/>
    </row>
    <row r="685" customFormat="false" ht="15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4"/>
    </row>
    <row r="686" customFormat="false" ht="15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4"/>
    </row>
    <row r="687" customFormat="false" ht="15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4"/>
    </row>
    <row r="688" customFormat="false" ht="15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4"/>
    </row>
    <row r="689" customFormat="false" ht="15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4"/>
    </row>
    <row r="690" customFormat="false" ht="15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4"/>
    </row>
    <row r="691" customFormat="false" ht="15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4"/>
    </row>
    <row r="692" customFormat="false" ht="15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4"/>
    </row>
    <row r="693" customFormat="false" ht="15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4"/>
    </row>
    <row r="694" customFormat="false" ht="15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4"/>
    </row>
    <row r="695" customFormat="false" ht="15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4"/>
    </row>
    <row r="696" customFormat="false" ht="15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4"/>
    </row>
    <row r="697" customFormat="false" ht="15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4"/>
    </row>
    <row r="698" customFormat="false" ht="15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4"/>
    </row>
    <row r="699" customFormat="false" ht="15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4"/>
    </row>
    <row r="700" customFormat="false" ht="15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4"/>
    </row>
    <row r="701" customFormat="false" ht="15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4"/>
    </row>
    <row r="702" customFormat="false" ht="15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4"/>
    </row>
    <row r="703" customFormat="false" ht="15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4"/>
    </row>
    <row r="704" customFormat="false" ht="15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4"/>
    </row>
    <row r="705" customFormat="false" ht="15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4"/>
    </row>
    <row r="706" customFormat="false" ht="15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4"/>
    </row>
    <row r="707" customFormat="false" ht="15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4"/>
    </row>
    <row r="708" customFormat="false" ht="15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4"/>
    </row>
    <row r="709" customFormat="false" ht="15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4"/>
    </row>
    <row r="710" customFormat="false" ht="15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4"/>
    </row>
    <row r="711" customFormat="false" ht="15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4"/>
    </row>
    <row r="712" customFormat="false" ht="15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4"/>
    </row>
    <row r="713" customFormat="false" ht="15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4"/>
    </row>
    <row r="714" customFormat="false" ht="15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4"/>
    </row>
    <row r="715" customFormat="false" ht="15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4"/>
    </row>
    <row r="716" customFormat="false" ht="15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4"/>
    </row>
    <row r="717" customFormat="false" ht="15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4"/>
    </row>
    <row r="718" customFormat="false" ht="15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4"/>
    </row>
    <row r="719" customFormat="false" ht="15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4"/>
    </row>
    <row r="720" customFormat="false" ht="15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4"/>
    </row>
    <row r="721" customFormat="false" ht="15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4"/>
    </row>
    <row r="722" customFormat="false" ht="15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4"/>
    </row>
    <row r="723" customFormat="false" ht="15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4"/>
    </row>
    <row r="724" customFormat="false" ht="15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4"/>
    </row>
    <row r="725" customFormat="false" ht="15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4"/>
    </row>
    <row r="726" customFormat="false" ht="15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4"/>
    </row>
    <row r="727" customFormat="false" ht="15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4"/>
    </row>
    <row r="728" customFormat="false" ht="15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4"/>
    </row>
    <row r="729" customFormat="false" ht="15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4"/>
    </row>
    <row r="730" customFormat="false" ht="15.75" hidden="false" customHeight="true" outlineLevel="0" collapsed="false">
      <c r="A730" s="5"/>
      <c r="B730" s="5"/>
      <c r="C730" s="5"/>
      <c r="D730" s="5"/>
      <c r="E730" s="303"/>
      <c r="F730" s="303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4"/>
    </row>
    <row r="731" customFormat="false" ht="15.75" hidden="false" customHeight="true" outlineLevel="0" collapsed="false">
      <c r="A731" s="5"/>
      <c r="B731" s="5"/>
      <c r="C731" s="5"/>
      <c r="D731" s="5"/>
      <c r="E731" s="303"/>
      <c r="F731" s="303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4"/>
    </row>
    <row r="732" customFormat="false" ht="15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4"/>
    </row>
    <row r="733" customFormat="false" ht="15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4"/>
    </row>
    <row r="734" customFormat="false" ht="15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4"/>
    </row>
    <row r="735" customFormat="false" ht="15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4"/>
    </row>
    <row r="736" customFormat="false" ht="15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4"/>
    </row>
    <row r="737" customFormat="false" ht="15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4"/>
    </row>
    <row r="738" customFormat="false" ht="15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4"/>
    </row>
    <row r="739" customFormat="false" ht="15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4"/>
    </row>
    <row r="740" customFormat="false" ht="15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4"/>
    </row>
    <row r="741" customFormat="false" ht="15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4"/>
    </row>
    <row r="742" customFormat="false" ht="15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4"/>
    </row>
    <row r="743" customFormat="false" ht="15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4"/>
    </row>
    <row r="744" customFormat="false" ht="15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4"/>
    </row>
    <row r="745" customFormat="false" ht="15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4"/>
    </row>
    <row r="746" customFormat="false" ht="15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4"/>
    </row>
    <row r="747" customFormat="false" ht="15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4"/>
    </row>
    <row r="748" customFormat="false" ht="15.75" hidden="false" customHeight="true" outlineLevel="0" collapsed="false">
      <c r="A748" s="5"/>
      <c r="B748" s="5"/>
      <c r="C748" s="5"/>
      <c r="D748" s="5"/>
      <c r="E748" s="303"/>
      <c r="F748" s="303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4"/>
    </row>
    <row r="749" customFormat="false" ht="15.75" hidden="false" customHeight="true" outlineLevel="0" collapsed="false">
      <c r="A749" s="5"/>
      <c r="B749" s="5"/>
      <c r="C749" s="5"/>
      <c r="D749" s="5"/>
      <c r="E749" s="303"/>
      <c r="F749" s="303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4"/>
    </row>
    <row r="750" customFormat="false" ht="15.75" hidden="false" customHeight="true" outlineLevel="0" collapsed="false">
      <c r="A750" s="5"/>
      <c r="B750" s="5"/>
      <c r="C750" s="5"/>
      <c r="D750" s="5"/>
      <c r="E750" s="303"/>
      <c r="F750" s="303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4"/>
    </row>
    <row r="751" customFormat="false" ht="15.75" hidden="false" customHeight="true" outlineLevel="0" collapsed="false">
      <c r="A751" s="5"/>
      <c r="B751" s="5"/>
      <c r="C751" s="5"/>
      <c r="D751" s="5"/>
      <c r="E751" s="303"/>
      <c r="F751" s="303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4"/>
    </row>
    <row r="752" customFormat="false" ht="15.75" hidden="false" customHeight="true" outlineLevel="0" collapsed="false">
      <c r="A752" s="5"/>
      <c r="B752" s="5"/>
      <c r="C752" s="5"/>
      <c r="D752" s="5"/>
      <c r="E752" s="303"/>
      <c r="F752" s="303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4"/>
    </row>
    <row r="753" customFormat="false" ht="15.75" hidden="false" customHeight="true" outlineLevel="0" collapsed="false">
      <c r="A753" s="5"/>
      <c r="B753" s="5"/>
      <c r="C753" s="5"/>
      <c r="D753" s="5"/>
      <c r="E753" s="303"/>
      <c r="F753" s="303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4"/>
    </row>
    <row r="754" customFormat="false" ht="15.75" hidden="false" customHeight="true" outlineLevel="0" collapsed="false">
      <c r="A754" s="5"/>
      <c r="B754" s="5"/>
      <c r="C754" s="5"/>
      <c r="D754" s="5"/>
      <c r="E754" s="303"/>
      <c r="F754" s="303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4"/>
    </row>
    <row r="755" customFormat="false" ht="15.75" hidden="false" customHeight="true" outlineLevel="0" collapsed="false">
      <c r="A755" s="5"/>
      <c r="B755" s="5"/>
      <c r="C755" s="5"/>
      <c r="D755" s="5"/>
      <c r="E755" s="303"/>
      <c r="F755" s="303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4"/>
    </row>
    <row r="756" customFormat="false" ht="15.75" hidden="false" customHeight="true" outlineLevel="0" collapsed="false">
      <c r="A756" s="5"/>
      <c r="B756" s="5"/>
      <c r="C756" s="5"/>
      <c r="D756" s="5"/>
      <c r="E756" s="303"/>
      <c r="F756" s="303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4"/>
    </row>
    <row r="757" customFormat="false" ht="15.75" hidden="false" customHeight="true" outlineLevel="0" collapsed="false">
      <c r="A757" s="5"/>
      <c r="B757" s="5"/>
      <c r="C757" s="5"/>
      <c r="D757" s="5"/>
      <c r="E757" s="303"/>
      <c r="F757" s="303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4"/>
    </row>
    <row r="758" customFormat="false" ht="15.75" hidden="false" customHeight="true" outlineLevel="0" collapsed="false">
      <c r="A758" s="5"/>
      <c r="B758" s="5"/>
      <c r="C758" s="5"/>
      <c r="D758" s="5"/>
      <c r="E758" s="303"/>
      <c r="F758" s="303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4"/>
    </row>
    <row r="759" customFormat="false" ht="15.75" hidden="false" customHeight="true" outlineLevel="0" collapsed="false">
      <c r="A759" s="5"/>
      <c r="B759" s="5"/>
      <c r="C759" s="5"/>
      <c r="D759" s="5"/>
      <c r="E759" s="303"/>
      <c r="F759" s="303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4"/>
    </row>
    <row r="760" customFormat="false" ht="15.75" hidden="false" customHeight="true" outlineLevel="0" collapsed="false">
      <c r="A760" s="5"/>
      <c r="B760" s="5"/>
      <c r="C760" s="5"/>
      <c r="D760" s="5"/>
      <c r="E760" s="303"/>
      <c r="F760" s="303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4"/>
    </row>
    <row r="761" customFormat="false" ht="15.75" hidden="false" customHeight="true" outlineLevel="0" collapsed="false">
      <c r="A761" s="5"/>
      <c r="B761" s="5"/>
      <c r="C761" s="5"/>
      <c r="D761" s="5"/>
      <c r="E761" s="303"/>
      <c r="F761" s="303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4"/>
    </row>
    <row r="762" customFormat="false" ht="15.75" hidden="false" customHeight="true" outlineLevel="0" collapsed="false">
      <c r="A762" s="5"/>
      <c r="B762" s="5"/>
      <c r="C762" s="5"/>
      <c r="D762" s="5"/>
      <c r="E762" s="303"/>
      <c r="F762" s="303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4"/>
    </row>
    <row r="763" customFormat="false" ht="15.75" hidden="false" customHeight="true" outlineLevel="0" collapsed="false">
      <c r="A763" s="5"/>
      <c r="B763" s="5"/>
      <c r="C763" s="5"/>
      <c r="D763" s="5"/>
      <c r="E763" s="303"/>
      <c r="F763" s="303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4"/>
    </row>
    <row r="764" customFormat="false" ht="15.75" hidden="false" customHeight="true" outlineLevel="0" collapsed="false">
      <c r="A764" s="5"/>
      <c r="B764" s="5"/>
      <c r="C764" s="5"/>
      <c r="D764" s="5"/>
      <c r="E764" s="303"/>
      <c r="F764" s="303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4"/>
    </row>
    <row r="765" customFormat="false" ht="15.75" hidden="false" customHeight="true" outlineLevel="0" collapsed="false">
      <c r="A765" s="5"/>
      <c r="B765" s="5"/>
      <c r="C765" s="5"/>
      <c r="D765" s="5"/>
      <c r="E765" s="303"/>
      <c r="F765" s="303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4"/>
    </row>
    <row r="766" customFormat="false" ht="15.75" hidden="false" customHeight="true" outlineLevel="0" collapsed="false">
      <c r="A766" s="5"/>
      <c r="B766" s="5"/>
      <c r="C766" s="5"/>
      <c r="D766" s="5"/>
      <c r="E766" s="303"/>
      <c r="F766" s="303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4"/>
    </row>
    <row r="767" customFormat="false" ht="15.75" hidden="false" customHeight="true" outlineLevel="0" collapsed="false">
      <c r="A767" s="5"/>
      <c r="B767" s="5"/>
      <c r="C767" s="5"/>
      <c r="D767" s="5"/>
      <c r="E767" s="303"/>
      <c r="F767" s="303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4"/>
    </row>
    <row r="768" customFormat="false" ht="15.75" hidden="false" customHeight="true" outlineLevel="0" collapsed="false">
      <c r="A768" s="5"/>
      <c r="B768" s="5"/>
      <c r="C768" s="5"/>
      <c r="D768" s="5"/>
      <c r="E768" s="303"/>
      <c r="F768" s="303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4"/>
    </row>
    <row r="769" customFormat="false" ht="15.75" hidden="false" customHeight="true" outlineLevel="0" collapsed="false">
      <c r="A769" s="5"/>
      <c r="B769" s="5"/>
      <c r="C769" s="5"/>
      <c r="D769" s="5"/>
      <c r="E769" s="303"/>
      <c r="F769" s="303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4"/>
    </row>
    <row r="770" customFormat="false" ht="15.75" hidden="false" customHeight="true" outlineLevel="0" collapsed="false">
      <c r="A770" s="5"/>
      <c r="B770" s="5"/>
      <c r="C770" s="5"/>
      <c r="D770" s="5"/>
      <c r="E770" s="303"/>
      <c r="F770" s="303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4"/>
    </row>
    <row r="771" customFormat="false" ht="15.75" hidden="false" customHeight="true" outlineLevel="0" collapsed="false">
      <c r="A771" s="5"/>
      <c r="B771" s="5"/>
      <c r="C771" s="5"/>
      <c r="D771" s="5"/>
      <c r="E771" s="303"/>
      <c r="F771" s="303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4"/>
    </row>
    <row r="772" customFormat="false" ht="15.75" hidden="false" customHeight="true" outlineLevel="0" collapsed="false">
      <c r="A772" s="5"/>
      <c r="B772" s="5"/>
      <c r="C772" s="5"/>
      <c r="D772" s="5"/>
      <c r="E772" s="303"/>
      <c r="F772" s="303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4"/>
    </row>
    <row r="773" customFormat="false" ht="15.75" hidden="false" customHeight="true" outlineLevel="0" collapsed="false">
      <c r="A773" s="5"/>
      <c r="B773" s="5"/>
      <c r="C773" s="5"/>
      <c r="D773" s="5"/>
      <c r="E773" s="303"/>
      <c r="F773" s="303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4"/>
    </row>
    <row r="774" customFormat="false" ht="15.75" hidden="false" customHeight="true" outlineLevel="0" collapsed="false">
      <c r="A774" s="5"/>
      <c r="B774" s="5"/>
      <c r="C774" s="5"/>
      <c r="D774" s="5"/>
      <c r="E774" s="303"/>
      <c r="F774" s="303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4"/>
    </row>
    <row r="775" customFormat="false" ht="15.75" hidden="false" customHeight="true" outlineLevel="0" collapsed="false">
      <c r="A775" s="5"/>
      <c r="B775" s="5"/>
      <c r="C775" s="5"/>
      <c r="D775" s="5"/>
      <c r="E775" s="303"/>
      <c r="F775" s="303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4"/>
    </row>
    <row r="776" customFormat="false" ht="15.75" hidden="false" customHeight="true" outlineLevel="0" collapsed="false">
      <c r="A776" s="5"/>
      <c r="B776" s="5"/>
      <c r="C776" s="5"/>
      <c r="D776" s="5"/>
      <c r="E776" s="303"/>
      <c r="F776" s="303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4"/>
    </row>
    <row r="777" customFormat="false" ht="15.75" hidden="false" customHeight="true" outlineLevel="0" collapsed="false">
      <c r="A777" s="5"/>
      <c r="B777" s="5"/>
      <c r="C777" s="5"/>
      <c r="D777" s="5"/>
      <c r="E777" s="303"/>
      <c r="F777" s="303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4"/>
    </row>
    <row r="778" customFormat="false" ht="15.75" hidden="false" customHeight="true" outlineLevel="0" collapsed="false">
      <c r="A778" s="5"/>
      <c r="B778" s="5"/>
      <c r="C778" s="5"/>
      <c r="D778" s="5"/>
      <c r="E778" s="303"/>
      <c r="F778" s="303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4"/>
    </row>
    <row r="779" customFormat="false" ht="15.75" hidden="false" customHeight="true" outlineLevel="0" collapsed="false">
      <c r="A779" s="5"/>
      <c r="B779" s="5"/>
      <c r="C779" s="5"/>
      <c r="D779" s="5"/>
      <c r="E779" s="303"/>
      <c r="F779" s="303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4"/>
    </row>
    <row r="780" customFormat="false" ht="15.75" hidden="false" customHeight="true" outlineLevel="0" collapsed="false">
      <c r="A780" s="5"/>
      <c r="B780" s="5"/>
      <c r="C780" s="5"/>
      <c r="D780" s="5"/>
      <c r="E780" s="303"/>
      <c r="F780" s="303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4"/>
    </row>
    <row r="781" customFormat="false" ht="15.75" hidden="false" customHeight="true" outlineLevel="0" collapsed="false">
      <c r="A781" s="5"/>
      <c r="B781" s="5"/>
      <c r="C781" s="5"/>
      <c r="D781" s="5"/>
      <c r="E781" s="303"/>
      <c r="F781" s="303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4"/>
    </row>
    <row r="782" customFormat="false" ht="15.75" hidden="false" customHeight="true" outlineLevel="0" collapsed="false">
      <c r="A782" s="5"/>
      <c r="B782" s="5"/>
      <c r="C782" s="5"/>
      <c r="D782" s="5"/>
      <c r="E782" s="303"/>
      <c r="F782" s="303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4"/>
    </row>
    <row r="783" customFormat="false" ht="15.75" hidden="false" customHeight="true" outlineLevel="0" collapsed="false">
      <c r="A783" s="5"/>
      <c r="B783" s="5"/>
      <c r="C783" s="5"/>
      <c r="D783" s="5"/>
      <c r="E783" s="303"/>
      <c r="F783" s="303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4"/>
    </row>
    <row r="784" customFormat="false" ht="15.75" hidden="false" customHeight="true" outlineLevel="0" collapsed="false">
      <c r="A784" s="5"/>
      <c r="B784" s="5"/>
      <c r="C784" s="5"/>
      <c r="D784" s="5"/>
      <c r="E784" s="303"/>
      <c r="F784" s="303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4"/>
    </row>
    <row r="785" customFormat="false" ht="15.75" hidden="false" customHeight="true" outlineLevel="0" collapsed="false">
      <c r="A785" s="5"/>
      <c r="B785" s="5"/>
      <c r="C785" s="5"/>
      <c r="D785" s="5"/>
      <c r="E785" s="303"/>
      <c r="F785" s="303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4"/>
    </row>
    <row r="786" customFormat="false" ht="15.75" hidden="false" customHeight="true" outlineLevel="0" collapsed="false">
      <c r="A786" s="5"/>
      <c r="B786" s="5"/>
      <c r="C786" s="5"/>
      <c r="D786" s="5"/>
      <c r="E786" s="303"/>
      <c r="F786" s="303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4"/>
    </row>
    <row r="787" customFormat="false" ht="15.75" hidden="false" customHeight="true" outlineLevel="0" collapsed="false">
      <c r="A787" s="5"/>
      <c r="B787" s="5"/>
      <c r="C787" s="5"/>
      <c r="D787" s="5"/>
      <c r="E787" s="303"/>
      <c r="F787" s="303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4"/>
    </row>
    <row r="788" customFormat="false" ht="15.75" hidden="false" customHeight="true" outlineLevel="0" collapsed="false">
      <c r="A788" s="5"/>
      <c r="B788" s="5"/>
      <c r="C788" s="5"/>
      <c r="D788" s="5"/>
      <c r="E788" s="303"/>
      <c r="F788" s="303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4"/>
    </row>
    <row r="789" customFormat="false" ht="15.75" hidden="false" customHeight="true" outlineLevel="0" collapsed="false">
      <c r="A789" s="5"/>
      <c r="B789" s="5"/>
      <c r="C789" s="5"/>
      <c r="D789" s="5"/>
      <c r="E789" s="303"/>
      <c r="F789" s="303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4"/>
    </row>
    <row r="790" customFormat="false" ht="15.75" hidden="false" customHeight="true" outlineLevel="0" collapsed="false">
      <c r="A790" s="5"/>
      <c r="B790" s="5"/>
      <c r="C790" s="5"/>
      <c r="D790" s="5"/>
      <c r="E790" s="303"/>
      <c r="F790" s="303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4"/>
    </row>
    <row r="791" customFormat="false" ht="15.75" hidden="false" customHeight="true" outlineLevel="0" collapsed="false">
      <c r="A791" s="5"/>
      <c r="B791" s="5"/>
      <c r="C791" s="5"/>
      <c r="D791" s="5"/>
      <c r="E791" s="303"/>
      <c r="F791" s="303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4"/>
    </row>
    <row r="792" customFormat="false" ht="15.75" hidden="false" customHeight="true" outlineLevel="0" collapsed="false">
      <c r="A792" s="5"/>
      <c r="B792" s="5"/>
      <c r="C792" s="5"/>
      <c r="D792" s="5"/>
      <c r="E792" s="303"/>
      <c r="F792" s="303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4"/>
    </row>
    <row r="793" customFormat="false" ht="15.75" hidden="false" customHeight="true" outlineLevel="0" collapsed="false">
      <c r="A793" s="5"/>
      <c r="B793" s="5"/>
      <c r="C793" s="5"/>
      <c r="D793" s="5"/>
      <c r="E793" s="303"/>
      <c r="F793" s="303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4"/>
    </row>
    <row r="794" customFormat="false" ht="15.75" hidden="false" customHeight="true" outlineLevel="0" collapsed="false">
      <c r="A794" s="5"/>
      <c r="B794" s="5"/>
      <c r="C794" s="5"/>
      <c r="D794" s="5"/>
      <c r="E794" s="303"/>
      <c r="F794" s="303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4"/>
    </row>
    <row r="795" customFormat="false" ht="15.75" hidden="false" customHeight="true" outlineLevel="0" collapsed="false">
      <c r="A795" s="5"/>
      <c r="B795" s="5"/>
      <c r="C795" s="5"/>
      <c r="D795" s="5"/>
      <c r="E795" s="303"/>
      <c r="F795" s="303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4"/>
    </row>
    <row r="796" customFormat="false" ht="15.75" hidden="false" customHeight="true" outlineLevel="0" collapsed="false">
      <c r="A796" s="5"/>
      <c r="B796" s="5"/>
      <c r="C796" s="5"/>
      <c r="D796" s="5"/>
      <c r="E796" s="303"/>
      <c r="F796" s="303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4"/>
    </row>
    <row r="797" customFormat="false" ht="15.75" hidden="false" customHeight="true" outlineLevel="0" collapsed="false">
      <c r="A797" s="5"/>
      <c r="B797" s="5"/>
      <c r="C797" s="5"/>
      <c r="D797" s="5"/>
      <c r="E797" s="303"/>
      <c r="F797" s="303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4"/>
    </row>
    <row r="798" customFormat="false" ht="15.75" hidden="false" customHeight="true" outlineLevel="0" collapsed="false">
      <c r="A798" s="5"/>
      <c r="B798" s="5"/>
      <c r="C798" s="5"/>
      <c r="D798" s="5"/>
      <c r="E798" s="303"/>
      <c r="F798" s="303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4"/>
    </row>
    <row r="799" customFormat="false" ht="15.75" hidden="false" customHeight="true" outlineLevel="0" collapsed="false">
      <c r="A799" s="5"/>
      <c r="B799" s="5"/>
      <c r="C799" s="5"/>
      <c r="D799" s="5"/>
      <c r="E799" s="303"/>
      <c r="F799" s="303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4"/>
    </row>
    <row r="800" customFormat="false" ht="15.75" hidden="false" customHeight="true" outlineLevel="0" collapsed="false">
      <c r="A800" s="5"/>
      <c r="B800" s="5"/>
      <c r="C800" s="5"/>
      <c r="D800" s="5"/>
      <c r="E800" s="303"/>
      <c r="F800" s="303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4"/>
    </row>
    <row r="801" customFormat="false" ht="15.75" hidden="false" customHeight="true" outlineLevel="0" collapsed="false">
      <c r="A801" s="5"/>
      <c r="B801" s="5"/>
      <c r="C801" s="5"/>
      <c r="D801" s="5"/>
      <c r="E801" s="303"/>
      <c r="F801" s="303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4"/>
    </row>
    <row r="802" customFormat="false" ht="15.75" hidden="false" customHeight="true" outlineLevel="0" collapsed="false">
      <c r="A802" s="5"/>
      <c r="B802" s="5"/>
      <c r="C802" s="5"/>
      <c r="D802" s="5"/>
      <c r="E802" s="303"/>
      <c r="F802" s="303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4"/>
    </row>
    <row r="803" customFormat="false" ht="15.75" hidden="false" customHeight="true" outlineLevel="0" collapsed="false">
      <c r="A803" s="5"/>
      <c r="B803" s="5"/>
      <c r="C803" s="5"/>
      <c r="D803" s="5"/>
      <c r="E803" s="303"/>
      <c r="F803" s="303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4"/>
    </row>
    <row r="804" customFormat="false" ht="15.75" hidden="false" customHeight="true" outlineLevel="0" collapsed="false">
      <c r="A804" s="5"/>
      <c r="B804" s="5"/>
      <c r="C804" s="5"/>
      <c r="D804" s="5"/>
      <c r="E804" s="303"/>
      <c r="F804" s="303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4"/>
    </row>
    <row r="805" customFormat="false" ht="15.75" hidden="false" customHeight="true" outlineLevel="0" collapsed="false">
      <c r="A805" s="5"/>
      <c r="B805" s="5"/>
      <c r="C805" s="5"/>
      <c r="D805" s="5"/>
      <c r="E805" s="303"/>
      <c r="F805" s="303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4"/>
    </row>
    <row r="806" customFormat="false" ht="15.75" hidden="false" customHeight="true" outlineLevel="0" collapsed="false">
      <c r="A806" s="5"/>
      <c r="B806" s="5"/>
      <c r="C806" s="5"/>
      <c r="D806" s="5"/>
      <c r="E806" s="303"/>
      <c r="F806" s="303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4"/>
    </row>
    <row r="807" customFormat="false" ht="15.75" hidden="false" customHeight="true" outlineLevel="0" collapsed="false">
      <c r="A807" s="5"/>
      <c r="B807" s="5"/>
      <c r="C807" s="5"/>
      <c r="D807" s="5"/>
      <c r="E807" s="303"/>
      <c r="F807" s="303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4"/>
    </row>
    <row r="808" customFormat="false" ht="15.75" hidden="false" customHeight="true" outlineLevel="0" collapsed="false">
      <c r="A808" s="5"/>
      <c r="B808" s="5"/>
      <c r="C808" s="5"/>
      <c r="D808" s="5"/>
      <c r="E808" s="303"/>
      <c r="F808" s="303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4"/>
    </row>
    <row r="809" customFormat="false" ht="15.75" hidden="false" customHeight="true" outlineLevel="0" collapsed="false">
      <c r="A809" s="5"/>
      <c r="B809" s="5"/>
      <c r="C809" s="5"/>
      <c r="D809" s="5"/>
      <c r="E809" s="303"/>
      <c r="F809" s="303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4"/>
    </row>
    <row r="810" customFormat="false" ht="15.75" hidden="false" customHeight="true" outlineLevel="0" collapsed="false">
      <c r="A810" s="5"/>
      <c r="B810" s="5"/>
      <c r="C810" s="5"/>
      <c r="D810" s="5"/>
      <c r="E810" s="303"/>
      <c r="F810" s="303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4"/>
    </row>
    <row r="811" customFormat="false" ht="15.75" hidden="false" customHeight="true" outlineLevel="0" collapsed="false">
      <c r="A811" s="5"/>
      <c r="B811" s="5"/>
      <c r="C811" s="5"/>
      <c r="D811" s="5"/>
      <c r="E811" s="303"/>
      <c r="F811" s="303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4"/>
    </row>
    <row r="812" customFormat="false" ht="15.75" hidden="false" customHeight="true" outlineLevel="0" collapsed="false">
      <c r="A812" s="5"/>
      <c r="B812" s="5"/>
      <c r="C812" s="5"/>
      <c r="D812" s="5"/>
      <c r="E812" s="303"/>
      <c r="F812" s="303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4"/>
    </row>
    <row r="813" customFormat="false" ht="15.75" hidden="false" customHeight="true" outlineLevel="0" collapsed="false">
      <c r="A813" s="5"/>
      <c r="B813" s="5"/>
      <c r="C813" s="5"/>
      <c r="D813" s="5"/>
      <c r="E813" s="303"/>
      <c r="F813" s="303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4"/>
    </row>
    <row r="814" customFormat="false" ht="15.75" hidden="false" customHeight="true" outlineLevel="0" collapsed="false">
      <c r="A814" s="5"/>
      <c r="B814" s="5"/>
      <c r="C814" s="5"/>
      <c r="D814" s="5"/>
      <c r="E814" s="303"/>
      <c r="F814" s="303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4"/>
    </row>
    <row r="815" customFormat="false" ht="15.75" hidden="false" customHeight="true" outlineLevel="0" collapsed="false">
      <c r="A815" s="5"/>
      <c r="B815" s="5"/>
      <c r="C815" s="5"/>
      <c r="D815" s="5"/>
      <c r="E815" s="303"/>
      <c r="F815" s="303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4"/>
    </row>
    <row r="816" customFormat="false" ht="15.75" hidden="false" customHeight="true" outlineLevel="0" collapsed="false">
      <c r="A816" s="5"/>
      <c r="B816" s="5"/>
      <c r="C816" s="5"/>
      <c r="D816" s="5"/>
      <c r="E816" s="303"/>
      <c r="F816" s="303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4"/>
    </row>
    <row r="817" customFormat="false" ht="15.75" hidden="false" customHeight="true" outlineLevel="0" collapsed="false">
      <c r="A817" s="5"/>
      <c r="B817" s="5"/>
      <c r="C817" s="5"/>
      <c r="D817" s="5"/>
      <c r="E817" s="303"/>
      <c r="F817" s="303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4"/>
    </row>
    <row r="818" customFormat="false" ht="15.75" hidden="false" customHeight="true" outlineLevel="0" collapsed="false">
      <c r="A818" s="5"/>
      <c r="B818" s="5"/>
      <c r="C818" s="5"/>
      <c r="D818" s="5"/>
      <c r="E818" s="303"/>
      <c r="F818" s="303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4"/>
    </row>
    <row r="819" customFormat="false" ht="15.75" hidden="false" customHeight="true" outlineLevel="0" collapsed="false">
      <c r="A819" s="5"/>
      <c r="B819" s="5"/>
      <c r="C819" s="5"/>
      <c r="D819" s="5"/>
      <c r="E819" s="303"/>
      <c r="F819" s="303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4"/>
    </row>
    <row r="820" customFormat="false" ht="15.75" hidden="false" customHeight="true" outlineLevel="0" collapsed="false">
      <c r="A820" s="5"/>
      <c r="B820" s="5"/>
      <c r="C820" s="5"/>
      <c r="D820" s="5"/>
      <c r="E820" s="303"/>
      <c r="F820" s="303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4"/>
    </row>
    <row r="821" customFormat="false" ht="15.75" hidden="false" customHeight="true" outlineLevel="0" collapsed="false">
      <c r="A821" s="5"/>
      <c r="B821" s="5"/>
      <c r="C821" s="5"/>
      <c r="D821" s="5"/>
      <c r="E821" s="303"/>
      <c r="F821" s="303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4"/>
    </row>
    <row r="822" customFormat="false" ht="15.75" hidden="false" customHeight="true" outlineLevel="0" collapsed="false">
      <c r="A822" s="5"/>
      <c r="B822" s="5"/>
      <c r="C822" s="5"/>
      <c r="D822" s="5"/>
      <c r="E822" s="303"/>
      <c r="F822" s="303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4"/>
    </row>
    <row r="823" customFormat="false" ht="15.75" hidden="false" customHeight="true" outlineLevel="0" collapsed="false">
      <c r="A823" s="5"/>
      <c r="B823" s="5"/>
      <c r="C823" s="5"/>
      <c r="D823" s="5"/>
      <c r="E823" s="303"/>
      <c r="F823" s="303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4"/>
    </row>
    <row r="824" customFormat="false" ht="15.75" hidden="false" customHeight="true" outlineLevel="0" collapsed="false">
      <c r="A824" s="5"/>
      <c r="B824" s="5"/>
      <c r="C824" s="5"/>
      <c r="D824" s="5"/>
      <c r="E824" s="303"/>
      <c r="F824" s="303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4"/>
    </row>
    <row r="825" customFormat="false" ht="15.75" hidden="false" customHeight="true" outlineLevel="0" collapsed="false">
      <c r="A825" s="5"/>
      <c r="B825" s="5"/>
      <c r="C825" s="5"/>
      <c r="D825" s="5"/>
      <c r="E825" s="303"/>
      <c r="F825" s="303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4"/>
    </row>
    <row r="826" customFormat="false" ht="15.75" hidden="false" customHeight="true" outlineLevel="0" collapsed="false">
      <c r="A826" s="5"/>
      <c r="B826" s="5"/>
      <c r="C826" s="5"/>
      <c r="D826" s="5"/>
      <c r="E826" s="303"/>
      <c r="F826" s="303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4"/>
    </row>
    <row r="827" customFormat="false" ht="15.75" hidden="false" customHeight="true" outlineLevel="0" collapsed="false">
      <c r="A827" s="5"/>
      <c r="B827" s="5"/>
      <c r="C827" s="5"/>
      <c r="D827" s="5"/>
      <c r="E827" s="303"/>
      <c r="F827" s="303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4"/>
    </row>
    <row r="828" customFormat="false" ht="15.75" hidden="false" customHeight="true" outlineLevel="0" collapsed="false">
      <c r="A828" s="5"/>
      <c r="B828" s="5"/>
      <c r="C828" s="5"/>
      <c r="D828" s="5"/>
      <c r="E828" s="303"/>
      <c r="F828" s="303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4"/>
    </row>
    <row r="829" customFormat="false" ht="15.75" hidden="false" customHeight="true" outlineLevel="0" collapsed="false">
      <c r="A829" s="5"/>
      <c r="B829" s="5"/>
      <c r="C829" s="5"/>
      <c r="D829" s="5"/>
      <c r="E829" s="303"/>
      <c r="F829" s="303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4"/>
    </row>
    <row r="830" customFormat="false" ht="15.75" hidden="false" customHeight="true" outlineLevel="0" collapsed="false">
      <c r="A830" s="5"/>
      <c r="B830" s="5"/>
      <c r="C830" s="5"/>
      <c r="D830" s="5"/>
      <c r="E830" s="303"/>
      <c r="F830" s="303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4"/>
    </row>
    <row r="831" customFormat="false" ht="15.75" hidden="false" customHeight="true" outlineLevel="0" collapsed="false">
      <c r="A831" s="5"/>
      <c r="B831" s="5"/>
      <c r="C831" s="5"/>
      <c r="D831" s="5"/>
      <c r="E831" s="303"/>
      <c r="F831" s="303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4"/>
    </row>
    <row r="832" customFormat="false" ht="15.75" hidden="false" customHeight="true" outlineLevel="0" collapsed="false">
      <c r="A832" s="5"/>
      <c r="B832" s="5"/>
      <c r="C832" s="5"/>
      <c r="D832" s="5"/>
      <c r="E832" s="303"/>
      <c r="F832" s="303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4"/>
    </row>
    <row r="833" customFormat="false" ht="15.75" hidden="false" customHeight="true" outlineLevel="0" collapsed="false">
      <c r="A833" s="5"/>
      <c r="B833" s="5"/>
      <c r="C833" s="5"/>
      <c r="D833" s="5"/>
      <c r="E833" s="303"/>
      <c r="F833" s="303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4"/>
    </row>
    <row r="834" customFormat="false" ht="15.75" hidden="false" customHeight="true" outlineLevel="0" collapsed="false">
      <c r="A834" s="5"/>
      <c r="B834" s="5"/>
      <c r="C834" s="5"/>
      <c r="D834" s="5"/>
      <c r="E834" s="303"/>
      <c r="F834" s="303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4"/>
    </row>
    <row r="835" customFormat="false" ht="15.75" hidden="false" customHeight="true" outlineLevel="0" collapsed="false">
      <c r="A835" s="4"/>
      <c r="B835" s="4"/>
      <c r="C835" s="4"/>
      <c r="D835" s="4"/>
      <c r="E835" s="4"/>
      <c r="F835" s="4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4"/>
    </row>
    <row r="836" customFormat="false" ht="15.75" hidden="false" customHeight="true" outlineLevel="0" collapsed="false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true" outlineLevel="0" collapsed="false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true" outlineLevel="0" collapsed="false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true" outlineLevel="0" collapsed="false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true" outlineLevel="0" collapsed="false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true" outlineLevel="0" collapsed="false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true" outlineLevel="0" collapsed="false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true" outlineLevel="0" collapsed="false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true" outlineLevel="0" collapsed="false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true" outlineLevel="0" collapsed="false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true" outlineLevel="0" collapsed="false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true" outlineLevel="0" collapsed="false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true" outlineLevel="0" collapsed="false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true" outlineLevel="0" collapsed="false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true" outlineLevel="0" collapsed="false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true" outlineLevel="0" collapsed="false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true" outlineLevel="0" collapsed="false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true" outlineLevel="0" collapsed="false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true" outlineLevel="0" collapsed="false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true" outlineLevel="0" collapsed="false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true" outlineLevel="0" collapsed="false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true" outlineLevel="0" collapsed="false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true" outlineLevel="0" collapsed="false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true" outlineLevel="0" collapsed="false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true" outlineLevel="0" collapsed="false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true" outlineLevel="0" collapsed="false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true" outlineLevel="0" collapsed="false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true" outlineLevel="0" collapsed="false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true" outlineLevel="0" collapsed="false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true" outlineLevel="0" collapsed="false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true" outlineLevel="0" collapsed="false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true" outlineLevel="0" collapsed="false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true" outlineLevel="0" collapsed="false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true" outlineLevel="0" collapsed="false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true" outlineLevel="0" collapsed="false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true" outlineLevel="0" collapsed="false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true" outlineLevel="0" collapsed="false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true" outlineLevel="0" collapsed="false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true" outlineLevel="0" collapsed="false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true" outlineLevel="0" collapsed="false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true" outlineLevel="0" collapsed="false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true" outlineLevel="0" collapsed="false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true" outlineLevel="0" collapsed="false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true" outlineLevel="0" collapsed="false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true" outlineLevel="0" collapsed="false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true" outlineLevel="0" collapsed="false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true" outlineLevel="0" collapsed="false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true" outlineLevel="0" collapsed="false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true" outlineLevel="0" collapsed="false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true" outlineLevel="0" collapsed="false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tru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tru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tru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tru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tru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tru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tru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tru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tru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tru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tru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tru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tru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tru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tru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tru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tru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tru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tru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tru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tru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tru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tru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tru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tru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tru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tru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tru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tru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tru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tru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tru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tru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tru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tru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tru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tru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tru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tru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tru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tru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tru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tru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tru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tru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tru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tru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tru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tru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tru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tru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tru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tru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tru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tru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tru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tru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tru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tru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tru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tru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tru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tru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tru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tru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tru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tru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tru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tru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tru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tru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tru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tru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tru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tru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tru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tru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tru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tru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tru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tru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tru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tru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tru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tru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tru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tru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tru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tru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tru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tru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tru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tru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tru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tru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tru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tru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tru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tru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tru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tru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tru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tru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tru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customFormat="false" ht="15.75" hidden="false" customHeight="true" outlineLevel="0" collapsed="false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customFormat="false" ht="15.75" hidden="false" customHeight="true" outlineLevel="0" collapsed="false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customFormat="false" ht="15.75" hidden="false" customHeight="true" outlineLevel="0" collapsed="false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customFormat="false" ht="15.75" hidden="false" customHeight="true" outlineLevel="0" collapsed="false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customFormat="false" ht="15.75" hidden="false" customHeight="true" outlineLevel="0" collapsed="false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customFormat="false" ht="15.75" hidden="false" customHeight="true" outlineLevel="0" collapsed="false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customFormat="false" ht="15.75" hidden="false" customHeight="true" outlineLevel="0" collapsed="false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customFormat="false" ht="15.75" hidden="false" customHeight="true" outlineLevel="0" collapsed="false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customFormat="false" ht="15.75" hidden="false" customHeight="true" outlineLevel="0" collapsed="false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customFormat="false" ht="15.75" hidden="false" customHeight="true" outlineLevel="0" collapsed="false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customFormat="false" ht="15.75" hidden="false" customHeight="true" outlineLevel="0" collapsed="false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customFormat="false" ht="15.75" hidden="false" customHeight="true" outlineLevel="0" collapsed="false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customFormat="false" ht="15.75" hidden="false" customHeight="true" outlineLevel="0" collapsed="false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customFormat="false" ht="15.75" hidden="false" customHeight="true" outlineLevel="0" collapsed="false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customFormat="false" ht="15.75" hidden="false" customHeight="true" outlineLevel="0" collapsed="false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customFormat="false" ht="15.75" hidden="false" customHeight="true" outlineLevel="0" collapsed="false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customFormat="false" ht="15.75" hidden="false" customHeight="true" outlineLevel="0" collapsed="false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customFormat="false" ht="15.75" hidden="false" customHeight="true" outlineLevel="0" collapsed="false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</sheetData>
  <mergeCells count="6">
    <mergeCell ref="A1:F1"/>
    <mergeCell ref="A5:A6"/>
    <mergeCell ref="B5:B6"/>
    <mergeCell ref="C5:C6"/>
    <mergeCell ref="D5:D6"/>
    <mergeCell ref="E5:F5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2025-12-17T12:29:58Z</dcterms:created>
  <dc:creator/>
  <dc:description/>
  <dc:language>pt-BR</dc:language>
  <cp:lastModifiedBy>amanda.silveira</cp:lastModifiedBy>
  <dcterms:modified xsi:type="dcterms:W3CDTF">2025-12-17T12:30:27Z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FEF37CE07FE3423392833DF1AD08E885_12</vt:lpwstr>
  </property>
  <property fmtid="{D5CDD505-2E9C-101B-9397-08002B2CF9AE}" pid="3" name="KSOProductBuildVer">
    <vt:lpwstr>1046-12.2.0.23155</vt:lpwstr>
  </property>
</Properties>
</file>