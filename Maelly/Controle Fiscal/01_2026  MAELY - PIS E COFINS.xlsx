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1.2026" sheetId="1" r:id="rId4"/>
    <sheet state="visible" name="ENTRADAS" sheetId="2" r:id="rId5"/>
    <sheet state="visible" name="TOMADOS" sheetId="3" r:id="rId6"/>
  </sheets>
  <definedNames>
    <definedName hidden="1" localSheetId="2" name="Z_D3337389_FA75_47F9_AB96_BA17CA38AC0C_.wvu.FilterData">TOMADOS!$A$1:$H$39</definedName>
    <definedName hidden="1" localSheetId="2" name="Z_D571B522_E9C1_46A5_A342_38C0A14F74C3_.wvu.FilterData">TOMADOS!$A$1:$H$39</definedName>
  </definedNames>
  <calcPr/>
  <customWorkbookViews>
    <customWorkbookView activeSheetId="0" maximized="1" windowHeight="0" windowWidth="0" guid="{D571B522-E9C1-46A5-A342-38C0A14F74C3}" name="Filtro 1"/>
    <customWorkbookView activeSheetId="0" maximized="1" windowHeight="0" windowWidth="0" guid="{D3337389-FA75-47F9-AB96-BA17CA38AC0C}" name="Filtro 2"/>
  </customWorkbookViews>
  <extLst>
    <ext uri="GoogleSheetsCustomDataVersion2">
      <go:sheetsCustomData xmlns:go="http://customooxmlschemas.google.com/" r:id="rId7" roundtripDataChecksum="2kOFE5POC0kyCFJTJdfnLiKFag9FvVdH7BLATxsc6bo="/>
    </ext>
  </extLst>
</workbook>
</file>

<file path=xl/sharedStrings.xml><?xml version="1.0" encoding="utf-8"?>
<sst xmlns="http://schemas.openxmlformats.org/spreadsheetml/2006/main" count="239" uniqueCount="141">
  <si>
    <t>MAELY ARTE  - 27.419.126/0001-51</t>
  </si>
  <si>
    <t xml:space="preserve">UNICA INFORMAÇÃO NECESSARIA NAS ENTRADAS É COLOCAR MANUALMENTE OS VALORES DE FRETES </t>
  </si>
  <si>
    <t>PIS</t>
  </si>
  <si>
    <t>COFINS</t>
  </si>
  <si>
    <t>Base de Cálculo Débito</t>
  </si>
  <si>
    <t xml:space="preserve">Receita Prestados </t>
  </si>
  <si>
    <t>Serviços</t>
  </si>
  <si>
    <t>ISS</t>
  </si>
  <si>
    <t>OBS: PEGAR O VALOR DE ISS CALCULADO.</t>
  </si>
  <si>
    <t>Demais Débitos</t>
  </si>
  <si>
    <t>1910 - 2910</t>
  </si>
  <si>
    <t>Entrada bonificação</t>
  </si>
  <si>
    <t>Base de Cálculo Crédito</t>
  </si>
  <si>
    <t>BASE</t>
  </si>
  <si>
    <t>Serviços Tomados</t>
  </si>
  <si>
    <t>diminuir da nota 3210 da uniar</t>
  </si>
  <si>
    <t>- Comissões</t>
  </si>
  <si>
    <t>- Impressões</t>
  </si>
  <si>
    <t>- Instalações painéis</t>
  </si>
  <si>
    <t>- Dados (internet/comunicação)</t>
  </si>
  <si>
    <t>- Informática</t>
  </si>
  <si>
    <t>- Marketing</t>
  </si>
  <si>
    <t>- Reparos/Manutenção</t>
  </si>
  <si>
    <t>REF 571,64 NF DA UNIAR</t>
  </si>
  <si>
    <t>- Movimentação e Transporte</t>
  </si>
  <si>
    <t>- Veiculação terceirizada</t>
  </si>
  <si>
    <t>- Serviços terceiros</t>
  </si>
  <si>
    <t>- Instalação Terceirizada</t>
  </si>
  <si>
    <t>- Locação Shopping Vitória</t>
  </si>
  <si>
    <t>- Despesas com Veículos</t>
  </si>
  <si>
    <t>- Projeto Outdoor</t>
  </si>
  <si>
    <t xml:space="preserve">Entradas </t>
  </si>
  <si>
    <t>1128 - 2128</t>
  </si>
  <si>
    <t>- Material p/ prestação de serviços</t>
  </si>
  <si>
    <t>- EDP</t>
  </si>
  <si>
    <t>1303 - 2303</t>
  </si>
  <si>
    <t>- Telefonia</t>
  </si>
  <si>
    <t>icms</t>
  </si>
  <si>
    <t>1353 - 2353</t>
  </si>
  <si>
    <t>- Frete Mat. Inst. Painéis</t>
  </si>
  <si>
    <t xml:space="preserve">  1551-2551</t>
  </si>
  <si>
    <t>- Imobilizado</t>
  </si>
  <si>
    <t>Demais Documentos</t>
  </si>
  <si>
    <t xml:space="preserve">- Aluguéis pg à PJ </t>
  </si>
  <si>
    <t>- Locação Espaço - Concessão Rodosol</t>
  </si>
  <si>
    <t>- Locação Espaço (Shopping e Aeroportos)</t>
  </si>
  <si>
    <t>- Locação de Máquinas e Equipamentos - N. débito</t>
  </si>
  <si>
    <t>- Locação Veículos</t>
  </si>
  <si>
    <t>- Depreciação</t>
  </si>
  <si>
    <t>OBS: O VALOR DA RECEITA FINANCEIRA A CONTABILIDADE QUEM MANDA</t>
  </si>
  <si>
    <t>Receita Financeira</t>
  </si>
  <si>
    <t>- Descontos Obidos</t>
  </si>
  <si>
    <t>- Juros Ativos</t>
  </si>
  <si>
    <t>- Juros Selic</t>
  </si>
  <si>
    <t>- Rendimento de Aplicação</t>
  </si>
  <si>
    <t>CRÉDITO PERÍODO ANTERIOR - PIS</t>
  </si>
  <si>
    <t>CRÉDITO PERÍODO ANTERIOR - COFINS</t>
  </si>
  <si>
    <t xml:space="preserve">VLR PIS </t>
  </si>
  <si>
    <t>VLR COFINS</t>
  </si>
  <si>
    <t>PIS RETIDO NF</t>
  </si>
  <si>
    <t>COFINS RETIDO NF</t>
  </si>
  <si>
    <t>12_2025 MAELY - PIS E COFINS</t>
  </si>
  <si>
    <t>NRO NOTA</t>
  </si>
  <si>
    <t>RAZÃO SOCIAL</t>
  </si>
  <si>
    <t>DT ENT.</t>
  </si>
  <si>
    <t>CFOP</t>
  </si>
  <si>
    <t>TOTAL NF</t>
  </si>
  <si>
    <t>ICMS</t>
  </si>
  <si>
    <t>BASE.PIS E COFINS</t>
  </si>
  <si>
    <t>VLR. PIS</t>
  </si>
  <si>
    <t>VLR.COFINS</t>
  </si>
  <si>
    <t>VLR</t>
  </si>
  <si>
    <t>TOTAL</t>
  </si>
  <si>
    <t>AQUARELA SILK &amp; SIGN COMERCIO E IMPORTACAO LTDA</t>
  </si>
  <si>
    <t>---</t>
  </si>
  <si>
    <t>P.SERV</t>
  </si>
  <si>
    <t>CASA DOS PARAFUSOS ESTEVES LTDA</t>
  </si>
  <si>
    <t>ENERG</t>
  </si>
  <si>
    <t>TINBOL TINTAS LTDA - 709</t>
  </si>
  <si>
    <t>COMUN</t>
  </si>
  <si>
    <t>TRANSP</t>
  </si>
  <si>
    <t>KLIMAX COMERCIAL LTDA</t>
  </si>
  <si>
    <t>BONIF</t>
  </si>
  <si>
    <t>PORTO NAUTICO LTDA</t>
  </si>
  <si>
    <t>IMOBILI</t>
  </si>
  <si>
    <t>ELETRO LIFE COMERCIAL LTDA - EPP</t>
  </si>
  <si>
    <t>JUCUTUQUARA GAS COMERCIO LTDA</t>
  </si>
  <si>
    <t>MARAVILHA DE COZINHA LTDA</t>
  </si>
  <si>
    <t>EDP ESPIRITO SANTO DISTRIBUICAO DE ENERGIA S.A.</t>
  </si>
  <si>
    <t>TELEFONICA BRASIL S.A</t>
  </si>
  <si>
    <t>CLARO S.A.</t>
  </si>
  <si>
    <t>A&amp;C COMERCIO EM INFORMATICA LTDA</t>
  </si>
  <si>
    <t>CLASSIFICAÇÕES</t>
  </si>
  <si>
    <t>DATA ENT/SAIDA</t>
  </si>
  <si>
    <t>LOCAÇÃO DE MAQUINAS E EQUIPAMENTOS - NF DEB.</t>
  </si>
  <si>
    <t>ROCHA LOCACOES DE MAQUINAS E EQUIPAMENTOS LTDA</t>
  </si>
  <si>
    <t>COMISSÃO DE AGÊNCIA</t>
  </si>
  <si>
    <t>SERVIÇOS DE REPARO / MANUTENÇÃO</t>
  </si>
  <si>
    <t>MENANDRO BOTELHO COELHO 73193380768</t>
  </si>
  <si>
    <t>SERVIÇOS DE INSTALAÇÕES DE PAINÉIS</t>
  </si>
  <si>
    <t>SAFETY SYSTEM COM E SERV DE MONITORACAO ELETRONICA EIRELI</t>
  </si>
  <si>
    <t>SERVIÇO DE MOVIMENTAÇÃO E TRANSPORTE</t>
  </si>
  <si>
    <t>INSTALAÇÃO TERCEIRIZADA</t>
  </si>
  <si>
    <t>MCV VITORIA CONSTRUCOES E REFORMAS LTDA</t>
  </si>
  <si>
    <t>SERVIÇOS DE INFORMÁTICA</t>
  </si>
  <si>
    <t>WR MANUTENCAO E REFORMA LTDA</t>
  </si>
  <si>
    <t>DADOS (INTERNET/COMUNICAÇÃO)</t>
  </si>
  <si>
    <t>BERGER EVENTOS EMPRESARIAIS LTDA.</t>
  </si>
  <si>
    <t>SERVIÇOS DE MARKETING</t>
  </si>
  <si>
    <t>A. L. CASARAO COMUNICACAO PROPAGANDA E PUBLICIDADE LTDA</t>
  </si>
  <si>
    <t>ACT.77 MARKETING LTDA</t>
  </si>
  <si>
    <t>LOCAÇÃO ESPAÇO - NF (SHOPPING VITORIA)</t>
  </si>
  <si>
    <t>SERVIÇOS DE IMPRESSÃO</t>
  </si>
  <si>
    <t>KLAMSS SERVICOS DE PROCESSAMENTO DE DADOS LTDA</t>
  </si>
  <si>
    <t>LOCAÇÃO DE ESPAÇO - N. DÉB.</t>
  </si>
  <si>
    <t>52.357.568 FERNANDO FRANCISCO DE SOUZA</t>
  </si>
  <si>
    <t>RODOSOL</t>
  </si>
  <si>
    <t>ALUGUEL PJ</t>
  </si>
  <si>
    <t>LK COMUNICACAO E MARKETING LTDA</t>
  </si>
  <si>
    <t>LOCAÇÃO VEÍCULOS</t>
  </si>
  <si>
    <t>PAULO VITOR POPPE MANHAES SERVICO E COMERCIO</t>
  </si>
  <si>
    <t>SERVIÇOS DE TERCEIROS</t>
  </si>
  <si>
    <t>VEICULAÇÃO TERCEIRIZADA</t>
  </si>
  <si>
    <t>TV MIDIA COMUNICACAO DIGITAL LTDA</t>
  </si>
  <si>
    <t>PROJETO OUTDOOR</t>
  </si>
  <si>
    <t>ITAMARA CAMARGO WALERIO 14505098788</t>
  </si>
  <si>
    <t>DESPESAS COM VEÍCULOS</t>
  </si>
  <si>
    <t>HF ELETROINDUSTRIAL SERVICO LTDA</t>
  </si>
  <si>
    <t>PERSONALI PROPAGANDA E MARKETING LTDA</t>
  </si>
  <si>
    <t>CONCIERGE BLINDADO SERV AUTOM. E CORRETORA DE SEGUROS LTDA</t>
  </si>
  <si>
    <t>RGRILO ASSESSORIA E SERVICOS EM TECNOLOGIA LTDA</t>
  </si>
  <si>
    <t>IMPRESS PRODUCOES LTDA</t>
  </si>
  <si>
    <t>NIROOH PUBLICIDADE LTDA</t>
  </si>
  <si>
    <t>LOCALIZA FLEET S.A.</t>
  </si>
  <si>
    <t>INVIRON TECHNOLOGIES S/A</t>
  </si>
  <si>
    <t>PRISMA PROPAGANDA LTDA</t>
  </si>
  <si>
    <t>M P COMUNICACAO VISUAL LTDA</t>
  </si>
  <si>
    <t>BORDER COLLIE COMUNICACAO LTDA</t>
  </si>
  <si>
    <t>PROSPCTAR COMUNICACAO LTDA</t>
  </si>
  <si>
    <t>ALTERMARK COMUNICAÇÃO LTDA</t>
  </si>
  <si>
    <t>MARCIA REGINA FERREIRA SOLUCOES LOGISTICAS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</si>
</sst>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.yyyy"/>
    <numFmt numFmtId="165" formatCode="[$R$ -416]#,##0.00"/>
    <numFmt numFmtId="166" formatCode="_($* #,##0.00_);_($* (#,##0.00);_($* &quot;-&quot;_);_(@_)"/>
    <numFmt numFmtId="167" formatCode="dd/mm/yyyy"/>
  </numFmts>
  <fonts count="18">
    <font>
      <sz val="10.0"/>
      <color rgb="FF000000"/>
      <name val="Arial"/>
      <scheme val="minor"/>
    </font>
    <font>
      <sz val="8.0"/>
      <color theme="1"/>
      <name val="Arial"/>
    </font>
    <font>
      <sz val="9.0"/>
      <color theme="1"/>
      <name val="Arial"/>
    </font>
    <font>
      <b/>
      <sz val="10.0"/>
      <color theme="1"/>
      <name val="Arial"/>
    </font>
    <font>
      <b/>
      <sz val="9.0"/>
      <color rgb="FFFF0000"/>
      <name val="Arial"/>
    </font>
    <font>
      <b/>
      <color theme="1"/>
      <name val="Arial"/>
    </font>
    <font/>
    <font>
      <b/>
      <sz val="9.0"/>
      <color theme="1"/>
      <name val="Arial"/>
    </font>
    <font>
      <sz val="9.0"/>
      <color rgb="FF000000"/>
      <name val="Arial"/>
    </font>
    <font>
      <color theme="1"/>
      <name val="Arial"/>
    </font>
    <font>
      <color rgb="FFFF0000"/>
      <name val="Arial"/>
    </font>
    <font>
      <b/>
      <sz val="10.0"/>
      <color rgb="FFFF0000"/>
      <name val="Arial"/>
    </font>
    <font>
      <b/>
      <sz val="9.0"/>
      <color rgb="FF0000FF"/>
      <name val="Arial"/>
    </font>
    <font>
      <b/>
      <color rgb="FFFF0000"/>
      <name val="Arial"/>
    </font>
    <font>
      <color rgb="FF000000"/>
      <name val="Arial"/>
    </font>
    <font>
      <color theme="1"/>
      <name val="Arial"/>
      <scheme val="minor"/>
    </font>
    <font>
      <b/>
      <sz val="9.0"/>
      <color rgb="FF1F1F1F"/>
      <name val="Arial"/>
    </font>
    <font>
      <sz val="9.0"/>
      <color rgb="FF1F1F1F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3" numFmtId="0" xfId="0" applyAlignment="1" applyBorder="1" applyFont="1">
      <alignment horizontal="center" vertical="center"/>
    </xf>
    <xf borderId="1" fillId="0" fontId="3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/>
    </xf>
    <xf borderId="0" fillId="2" fontId="5" numFmtId="0" xfId="0" applyAlignment="1" applyFill="1" applyFont="1">
      <alignment shrinkToFit="0" wrapText="1"/>
    </xf>
    <xf borderId="2" fillId="0" fontId="6" numFmtId="0" xfId="0" applyBorder="1" applyFont="1"/>
    <xf borderId="3" fillId="3" fontId="3" numFmtId="0" xfId="0" applyBorder="1" applyFill="1" applyFont="1"/>
    <xf borderId="3" fillId="3" fontId="3" numFmtId="165" xfId="0" applyBorder="1" applyFont="1" applyNumberFormat="1"/>
    <xf borderId="4" fillId="4" fontId="7" numFmtId="165" xfId="0" applyBorder="1" applyFill="1" applyFont="1" applyNumberFormat="1"/>
    <xf borderId="3" fillId="5" fontId="2" numFmtId="0" xfId="0" applyBorder="1" applyFill="1" applyFont="1"/>
    <xf borderId="3" fillId="5" fontId="2" numFmtId="165" xfId="0" applyAlignment="1" applyBorder="1" applyFont="1" applyNumberFormat="1">
      <alignment readingOrder="0"/>
    </xf>
    <xf borderId="0" fillId="6" fontId="1" numFmtId="0" xfId="0" applyFill="1" applyFont="1"/>
    <xf borderId="3" fillId="6" fontId="2" numFmtId="0" xfId="0" applyBorder="1" applyFont="1"/>
    <xf borderId="3" fillId="6" fontId="8" numFmtId="165" xfId="0" applyBorder="1" applyFont="1" applyNumberFormat="1"/>
    <xf borderId="0" fillId="6" fontId="9" numFmtId="0" xfId="0" applyFont="1"/>
    <xf borderId="3" fillId="5" fontId="9" numFmtId="165" xfId="0" applyBorder="1" applyFont="1" applyNumberFormat="1"/>
    <xf borderId="3" fillId="0" fontId="2" numFmtId="0" xfId="0" applyBorder="1" applyFont="1"/>
    <xf borderId="3" fillId="6" fontId="2" numFmtId="165" xfId="0" applyBorder="1" applyFont="1" applyNumberFormat="1"/>
    <xf borderId="0" fillId="0" fontId="9" numFmtId="0" xfId="0" applyFont="1"/>
    <xf borderId="4" fillId="0" fontId="7" numFmtId="165" xfId="0" applyBorder="1" applyFont="1" applyNumberFormat="1"/>
    <xf borderId="0" fillId="7" fontId="9" numFmtId="0" xfId="0" applyAlignment="1" applyFill="1" applyFont="1">
      <alignment horizontal="center"/>
    </xf>
    <xf borderId="0" fillId="7" fontId="9" numFmtId="0" xfId="0" applyFont="1"/>
    <xf borderId="3" fillId="8" fontId="2" numFmtId="0" xfId="0" applyBorder="1" applyFill="1" applyFont="1"/>
    <xf borderId="3" fillId="4" fontId="2" numFmtId="165" xfId="0" applyBorder="1" applyFont="1" applyNumberFormat="1"/>
    <xf borderId="4" fillId="0" fontId="2" numFmtId="165" xfId="0" applyBorder="1" applyFont="1" applyNumberFormat="1"/>
    <xf borderId="0" fillId="4" fontId="5" numFmtId="165" xfId="0" applyFont="1" applyNumberFormat="1"/>
    <xf borderId="3" fillId="9" fontId="2" numFmtId="165" xfId="0" applyBorder="1" applyFill="1" applyFont="1" applyNumberFormat="1"/>
    <xf borderId="0" fillId="7" fontId="3" numFmtId="0" xfId="0" applyAlignment="1" applyFont="1">
      <alignment horizontal="center" vertical="center"/>
    </xf>
    <xf borderId="0" fillId="6" fontId="3" numFmtId="0" xfId="0" applyAlignment="1" applyFont="1">
      <alignment horizontal="center" vertical="center"/>
    </xf>
    <xf borderId="0" fillId="6" fontId="9" numFmtId="0" xfId="0" applyAlignment="1" applyFont="1">
      <alignment readingOrder="0"/>
    </xf>
    <xf borderId="0" fillId="6" fontId="7" numFmtId="4" xfId="0" applyAlignment="1" applyFont="1" applyNumberFormat="1">
      <alignment horizontal="center"/>
    </xf>
    <xf borderId="0" fillId="6" fontId="7" numFmtId="4" xfId="0" applyAlignment="1" applyFont="1" applyNumberFormat="1">
      <alignment horizontal="left"/>
    </xf>
    <xf borderId="4" fillId="6" fontId="2" numFmtId="165" xfId="0" applyBorder="1" applyFont="1" applyNumberFormat="1"/>
    <xf borderId="3" fillId="10" fontId="2" numFmtId="165" xfId="0" applyBorder="1" applyFill="1" applyFont="1" applyNumberFormat="1"/>
    <xf borderId="0" fillId="6" fontId="10" numFmtId="0" xfId="0" applyFont="1"/>
    <xf borderId="0" fillId="6" fontId="3" numFmtId="4" xfId="0" applyAlignment="1" applyFont="1" applyNumberFormat="1">
      <alignment horizontal="left"/>
    </xf>
    <xf borderId="0" fillId="6" fontId="11" numFmtId="4" xfId="0" applyAlignment="1" applyFont="1" applyNumberFormat="1">
      <alignment horizontal="center"/>
    </xf>
    <xf borderId="0" fillId="6" fontId="3" numFmtId="0" xfId="0" applyFont="1"/>
    <xf borderId="0" fillId="6" fontId="9" numFmtId="165" xfId="0" applyFont="1" applyNumberFormat="1"/>
    <xf borderId="3" fillId="6" fontId="2" numFmtId="165" xfId="0" applyAlignment="1" applyBorder="1" applyFont="1" applyNumberFormat="1">
      <alignment readingOrder="0"/>
    </xf>
    <xf borderId="4" fillId="4" fontId="2" numFmtId="165" xfId="0" applyBorder="1" applyFont="1" applyNumberFormat="1"/>
    <xf borderId="5" fillId="6" fontId="9" numFmtId="0" xfId="0" applyAlignment="1" applyBorder="1" applyFont="1">
      <alignment vertical="bottom"/>
    </xf>
    <xf borderId="3" fillId="8" fontId="2" numFmtId="165" xfId="0" applyBorder="1" applyFont="1" applyNumberFormat="1"/>
    <xf borderId="0" fillId="6" fontId="9" numFmtId="0" xfId="0" applyAlignment="1" applyFont="1">
      <alignment vertical="bottom"/>
    </xf>
    <xf borderId="3" fillId="6" fontId="2" numFmtId="0" xfId="0" applyAlignment="1" applyBorder="1" applyFont="1">
      <alignment vertical="bottom"/>
    </xf>
    <xf borderId="6" fillId="6" fontId="2" numFmtId="165" xfId="0" applyAlignment="1" applyBorder="1" applyFont="1" applyNumberFormat="1">
      <alignment horizontal="right" readingOrder="0" vertical="bottom"/>
    </xf>
    <xf borderId="0" fillId="6" fontId="9" numFmtId="0" xfId="0" applyAlignment="1" applyFont="1">
      <alignment horizontal="left"/>
    </xf>
    <xf borderId="0" fillId="6" fontId="9" numFmtId="0" xfId="0" applyAlignment="1" applyFont="1">
      <alignment horizontal="center"/>
    </xf>
    <xf borderId="0" fillId="6" fontId="2" numFmtId="4" xfId="0" applyAlignment="1" applyFont="1" applyNumberFormat="1">
      <alignment horizontal="center"/>
    </xf>
    <xf borderId="4" fillId="4" fontId="7" numFmtId="165" xfId="0" applyAlignment="1" applyBorder="1" applyFont="1" applyNumberFormat="1">
      <alignment horizontal="center"/>
    </xf>
    <xf borderId="0" fillId="0" fontId="9" numFmtId="0" xfId="0" applyAlignment="1" applyFont="1">
      <alignment horizontal="center"/>
    </xf>
    <xf borderId="3" fillId="0" fontId="2" numFmtId="165" xfId="0" applyBorder="1" applyFont="1" applyNumberFormat="1"/>
    <xf borderId="3" fillId="4" fontId="2" numFmtId="165" xfId="0" applyAlignment="1" applyBorder="1" applyFont="1" applyNumberFormat="1">
      <alignment readingOrder="0"/>
    </xf>
    <xf borderId="3" fillId="3" fontId="2" numFmtId="0" xfId="0" applyBorder="1" applyFont="1"/>
    <xf borderId="3" fillId="3" fontId="2" numFmtId="165" xfId="0" applyAlignment="1" applyBorder="1" applyFont="1" applyNumberFormat="1">
      <alignment horizontal="center"/>
    </xf>
    <xf borderId="3" fillId="3" fontId="2" numFmtId="165" xfId="0" applyBorder="1" applyFont="1" applyNumberFormat="1"/>
    <xf borderId="3" fillId="0" fontId="3" numFmtId="0" xfId="0" applyBorder="1" applyFont="1"/>
    <xf borderId="3" fillId="0" fontId="3" numFmtId="166" xfId="0" applyBorder="1" applyFont="1" applyNumberFormat="1"/>
    <xf borderId="0" fillId="0" fontId="9" numFmtId="4" xfId="0" applyFont="1" applyNumberFormat="1"/>
    <xf borderId="3" fillId="0" fontId="12" numFmtId="0" xfId="0" applyBorder="1" applyFont="1"/>
    <xf borderId="3" fillId="0" fontId="13" numFmtId="165" xfId="0" applyBorder="1" applyFont="1" applyNumberFormat="1"/>
    <xf borderId="0" fillId="0" fontId="9" numFmtId="10" xfId="0" applyFont="1" applyNumberFormat="1"/>
    <xf borderId="0" fillId="6" fontId="5" numFmtId="0" xfId="0" applyAlignment="1" applyFont="1">
      <alignment horizontal="center" shrinkToFit="0" vertical="center" wrapText="1"/>
    </xf>
    <xf borderId="0" fillId="6" fontId="5" numFmtId="0" xfId="0" applyAlignment="1" applyFont="1">
      <alignment horizontal="left" shrinkToFit="0" vertical="center" wrapText="1"/>
    </xf>
    <xf borderId="0" fillId="6" fontId="5" numFmtId="165" xfId="0" applyAlignment="1" applyFont="1" applyNumberFormat="1">
      <alignment horizontal="center" shrinkToFit="0" vertical="center" wrapText="1"/>
    </xf>
    <xf borderId="0" fillId="6" fontId="9" numFmtId="0" xfId="0" applyAlignment="1" applyFont="1">
      <alignment shrinkToFit="0" vertical="center" wrapText="1"/>
    </xf>
    <xf borderId="3" fillId="6" fontId="5" numFmtId="0" xfId="0" applyAlignment="1" applyBorder="1" applyFont="1">
      <alignment horizontal="center" shrinkToFit="0" vertical="center" wrapText="1"/>
    </xf>
    <xf borderId="3" fillId="6" fontId="5" numFmtId="165" xfId="0" applyAlignment="1" applyBorder="1" applyFont="1" applyNumberFormat="1">
      <alignment horizontal="center" shrinkToFit="0" vertical="center" wrapText="1"/>
    </xf>
    <xf borderId="0" fillId="6" fontId="14" numFmtId="0" xfId="0" applyAlignment="1" applyFont="1">
      <alignment horizontal="center" shrinkToFit="0" vertical="center" wrapText="1"/>
    </xf>
    <xf borderId="3" fillId="9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horizontal="center" shrinkToFit="0" wrapText="1"/>
    </xf>
    <xf borderId="3" fillId="0" fontId="9" numFmtId="167" xfId="0" applyAlignment="1" applyBorder="1" applyFont="1" applyNumberFormat="1">
      <alignment horizontal="center" shrinkToFit="0" wrapText="1"/>
    </xf>
    <xf borderId="3" fillId="0" fontId="9" numFmtId="165" xfId="0" applyAlignment="1" applyBorder="1" applyFont="1" applyNumberFormat="1">
      <alignment horizontal="center" shrinkToFit="0" wrapText="1"/>
    </xf>
    <xf borderId="3" fillId="6" fontId="14" numFmtId="165" xfId="0" applyAlignment="1" applyBorder="1" applyFont="1" applyNumberFormat="1">
      <alignment horizontal="center" readingOrder="0" shrinkToFit="0" vertical="center" wrapText="1"/>
    </xf>
    <xf borderId="3" fillId="0" fontId="9" numFmtId="165" xfId="0" applyAlignment="1" applyBorder="1" applyFont="1" applyNumberFormat="1">
      <alignment horizontal="center" shrinkToFit="0" vertical="center" wrapText="1"/>
    </xf>
    <xf borderId="3" fillId="0" fontId="14" numFmtId="165" xfId="0" applyAlignment="1" applyBorder="1" applyFont="1" applyNumberFormat="1">
      <alignment horizontal="center" shrinkToFit="0" vertical="center" wrapText="1"/>
    </xf>
    <xf borderId="0" fillId="6" fontId="5" numFmtId="0" xfId="0" applyAlignment="1" applyFont="1">
      <alignment shrinkToFit="0" vertical="center" wrapText="1"/>
    </xf>
    <xf borderId="3" fillId="6" fontId="9" numFmtId="0" xfId="0" applyAlignment="1" applyBorder="1" applyFont="1">
      <alignment horizontal="center" shrinkToFit="0" vertical="center" wrapText="1"/>
    </xf>
    <xf borderId="3" fillId="6" fontId="9" numFmtId="165" xfId="0" applyAlignment="1" applyBorder="1" applyFont="1" applyNumberFormat="1">
      <alignment horizontal="center" shrinkToFit="0" vertical="center" wrapText="1"/>
    </xf>
    <xf borderId="0" fillId="6" fontId="5" numFmtId="4" xfId="0" applyAlignment="1" applyFont="1" applyNumberFormat="1">
      <alignment shrinkToFit="0" vertical="center" wrapText="1"/>
    </xf>
    <xf borderId="3" fillId="0" fontId="14" numFmtId="0" xfId="0" applyAlignment="1" applyBorder="1" applyFont="1">
      <alignment horizontal="center" shrinkToFit="0" vertical="center" wrapText="1"/>
    </xf>
    <xf borderId="3" fillId="0" fontId="14" numFmtId="167" xfId="0" applyAlignment="1" applyBorder="1" applyFont="1" applyNumberFormat="1">
      <alignment horizontal="center" shrinkToFit="0" vertical="center" wrapText="1"/>
    </xf>
    <xf borderId="3" fillId="6" fontId="14" numFmtId="165" xfId="0" applyAlignment="1" applyBorder="1" applyFont="1" applyNumberFormat="1">
      <alignment horizontal="center" shrinkToFit="0" vertical="center" wrapText="1"/>
    </xf>
    <xf borderId="0" fillId="6" fontId="9" numFmtId="0" xfId="0" applyAlignment="1" applyFont="1">
      <alignment horizontal="center" shrinkToFit="0" vertical="center" wrapText="1"/>
    </xf>
    <xf borderId="0" fillId="6" fontId="9" numFmtId="165" xfId="0" applyAlignment="1" applyFont="1" applyNumberFormat="1">
      <alignment horizontal="center" shrinkToFit="0" vertical="center" wrapText="1"/>
    </xf>
    <xf borderId="0" fillId="6" fontId="9" numFmtId="165" xfId="0" applyAlignment="1" applyFont="1" applyNumberFormat="1">
      <alignment shrinkToFit="0" vertical="center" wrapText="1"/>
    </xf>
    <xf borderId="0" fillId="6" fontId="13" numFmtId="0" xfId="0" applyAlignment="1" applyFont="1">
      <alignment shrinkToFit="0" vertical="center" wrapText="1"/>
    </xf>
    <xf borderId="0" fillId="6" fontId="9" numFmtId="0" xfId="0" applyAlignment="1" applyFont="1">
      <alignment horizontal="center" vertical="center"/>
    </xf>
    <xf borderId="0" fillId="0" fontId="15" numFmtId="0" xfId="0" applyAlignment="1" applyFont="1">
      <alignment horizontal="center" vertical="center"/>
    </xf>
    <xf borderId="3" fillId="6" fontId="16" numFmtId="0" xfId="0" applyAlignment="1" applyBorder="1" applyFont="1">
      <alignment horizontal="center" shrinkToFit="0" vertical="center" wrapText="1"/>
    </xf>
    <xf borderId="3" fillId="6" fontId="9" numFmtId="0" xfId="0" applyAlignment="1" applyBorder="1" applyFont="1">
      <alignment horizontal="center" shrinkToFit="0" wrapText="1"/>
    </xf>
    <xf borderId="3" fillId="6" fontId="17" numFmtId="0" xfId="0" applyAlignment="1" applyBorder="1" applyFont="1">
      <alignment horizontal="center" shrinkToFit="0" vertical="center" wrapText="1"/>
    </xf>
    <xf borderId="3" fillId="6" fontId="2" numFmtId="0" xfId="0" applyAlignment="1" applyBorder="1" applyFont="1">
      <alignment horizontal="center" shrinkToFit="0" vertical="center" wrapText="1"/>
    </xf>
    <xf borderId="3" fillId="6" fontId="17" numFmtId="0" xfId="0" applyAlignment="1" applyBorder="1" applyFont="1">
      <alignment horizontal="center" shrinkToFit="0" wrapText="1"/>
    </xf>
    <xf borderId="3" fillId="0" fontId="9" numFmtId="165" xfId="0" applyAlignment="1" applyBorder="1" applyFont="1" applyNumberFormat="1">
      <alignment horizontal="center" readingOrder="0" shrinkToFit="0" wrapText="1"/>
    </xf>
    <xf borderId="0" fillId="6" fontId="2" numFmtId="0" xfId="0" applyAlignment="1" applyFont="1">
      <alignment horizontal="center" shrinkToFit="0" vertical="center" wrapText="1"/>
    </xf>
    <xf borderId="0" fillId="6" fontId="15" numFmtId="0" xfId="0" applyFont="1"/>
  </cellXfs>
  <cellStyles count="1">
    <cellStyle xfId="0" name="Normal" builtinId="0"/>
  </cellStyles>
  <dxfs count="3">
    <dxf>
      <font>
        <color rgb="FFFF0000"/>
      </font>
      <fill>
        <patternFill patternType="solid">
          <fgColor rgb="FFB7E1CD"/>
          <bgColor rgb="FFB7E1CD"/>
        </patternFill>
      </fill>
      <border/>
    </dxf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color rgb="FFFF0000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8.13"/>
    <col customWidth="1" min="2" max="2" width="35.75"/>
    <col customWidth="1" min="3" max="3" width="14.0"/>
    <col customWidth="1" min="7" max="7" width="23.5"/>
    <col customWidth="1" min="11" max="11" width="15.13"/>
  </cols>
  <sheetData>
    <row r="1" ht="12.0" customHeight="1">
      <c r="A1" s="1">
        <v>7.0</v>
      </c>
      <c r="B1" s="2"/>
    </row>
    <row r="2" ht="25.5" customHeight="1">
      <c r="A2" s="1"/>
      <c r="B2" s="3" t="s">
        <v>0</v>
      </c>
      <c r="C2" s="4">
        <v>45992.0</v>
      </c>
      <c r="D2" s="5"/>
      <c r="E2" s="5"/>
      <c r="H2" s="6" t="s">
        <v>1</v>
      </c>
    </row>
    <row r="3" ht="15.75" customHeight="1">
      <c r="A3" s="1"/>
      <c r="B3" s="7"/>
      <c r="C3" s="7"/>
      <c r="D3" s="5" t="s">
        <v>2</v>
      </c>
      <c r="E3" s="5" t="s">
        <v>3</v>
      </c>
    </row>
    <row r="4" ht="15.75" customHeight="1">
      <c r="A4" s="1"/>
      <c r="B4" s="8" t="s">
        <v>4</v>
      </c>
      <c r="C4" s="9">
        <f>C5+C8</f>
        <v>1570959.27</v>
      </c>
      <c r="D4" s="10">
        <f>C5*1.65%</f>
        <v>25920.82796</v>
      </c>
      <c r="E4" s="10">
        <f>C5*7.6%</f>
        <v>119392.9045</v>
      </c>
    </row>
    <row r="5" ht="15.75" customHeight="1">
      <c r="A5" s="1"/>
      <c r="B5" s="11" t="s">
        <v>5</v>
      </c>
      <c r="C5" s="12">
        <v>1570959.27</v>
      </c>
    </row>
    <row r="6" ht="15.75" customHeight="1">
      <c r="A6" s="13"/>
      <c r="B6" s="14" t="s">
        <v>6</v>
      </c>
      <c r="C6" s="15">
        <v>0.0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ht="15.75" customHeight="1">
      <c r="A7" s="13"/>
      <c r="B7" s="14" t="s">
        <v>7</v>
      </c>
      <c r="C7" s="15">
        <v>0.0</v>
      </c>
      <c r="D7" s="16" t="s">
        <v>8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ht="15.75" customHeight="1">
      <c r="A8" s="1"/>
      <c r="B8" s="11" t="s">
        <v>9</v>
      </c>
      <c r="C8" s="17">
        <f>C9</f>
        <v>0</v>
      </c>
    </row>
    <row r="9" ht="15.75" customHeight="1">
      <c r="A9" s="1" t="s">
        <v>10</v>
      </c>
      <c r="B9" s="18" t="s">
        <v>11</v>
      </c>
      <c r="C9" s="19">
        <v>0.0</v>
      </c>
      <c r="D9" s="20"/>
    </row>
    <row r="10" ht="15.75" customHeight="1">
      <c r="A10" s="1"/>
      <c r="B10" s="8" t="s">
        <v>12</v>
      </c>
      <c r="C10" s="9">
        <f>C11+C26+C32</f>
        <v>312127.43</v>
      </c>
      <c r="D10" s="21">
        <f t="shared" ref="D10:D11" si="1">C10*1.65%</f>
        <v>5150.102595</v>
      </c>
      <c r="E10" s="21">
        <f t="shared" ref="E10:E11" si="2">C10*7.6%</f>
        <v>23721.68468</v>
      </c>
      <c r="F10" s="22" t="s">
        <v>13</v>
      </c>
      <c r="G10" s="23"/>
      <c r="H10" s="23" t="s">
        <v>2</v>
      </c>
      <c r="I10" s="23" t="s">
        <v>3</v>
      </c>
    </row>
    <row r="11" ht="15.75" customHeight="1">
      <c r="A11" s="1"/>
      <c r="B11" s="24" t="s">
        <v>14</v>
      </c>
      <c r="C11" s="25">
        <f>SUM(C12:C25)</f>
        <v>192955.64</v>
      </c>
      <c r="D11" s="26">
        <f t="shared" si="1"/>
        <v>3183.76806</v>
      </c>
      <c r="E11" s="26">
        <f t="shared" si="2"/>
        <v>14664.62864</v>
      </c>
      <c r="F11" s="27">
        <f>192955.64</f>
        <v>192955.64</v>
      </c>
      <c r="G11" s="23" t="s">
        <v>15</v>
      </c>
      <c r="H11" s="27">
        <f>F11*1.65%</f>
        <v>3183.76806</v>
      </c>
      <c r="I11" s="27">
        <f>F11*7.6%</f>
        <v>14664.62864</v>
      </c>
    </row>
    <row r="12" ht="15.75" customHeight="1">
      <c r="A12" s="13"/>
      <c r="B12" s="14" t="s">
        <v>16</v>
      </c>
      <c r="C12" s="28">
        <f>TOMADOS!K2</f>
        <v>94002.46</v>
      </c>
      <c r="D12" s="16"/>
      <c r="E12" s="16"/>
      <c r="F12" s="23"/>
      <c r="G12" s="29"/>
      <c r="H12" s="29"/>
      <c r="I12" s="23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15.75" customHeight="1">
      <c r="A13" s="13"/>
      <c r="B13" s="14" t="s">
        <v>17</v>
      </c>
      <c r="C13" s="28">
        <f>TOMADOS!K20</f>
        <v>14760</v>
      </c>
      <c r="D13" s="16"/>
      <c r="E13" s="16"/>
      <c r="F13" s="16"/>
      <c r="G13" s="30"/>
      <c r="H13" s="30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5.75" customHeight="1">
      <c r="A14" s="13"/>
      <c r="B14" s="14" t="s">
        <v>18</v>
      </c>
      <c r="C14" s="19">
        <f>TOMADOS!K3</f>
        <v>0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ht="15.75" customHeight="1">
      <c r="A15" s="13"/>
      <c r="B15" s="14" t="s">
        <v>19</v>
      </c>
      <c r="C15" s="19">
        <f>TOMADOS!K6</f>
        <v>0</v>
      </c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ht="15.75" customHeight="1">
      <c r="A16" s="13"/>
      <c r="B16" s="14" t="s">
        <v>20</v>
      </c>
      <c r="C16" s="28">
        <f>TOMADOS!K5</f>
        <v>6333.48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ht="15.75" customHeight="1">
      <c r="A17" s="13"/>
      <c r="B17" s="14" t="s">
        <v>21</v>
      </c>
      <c r="C17" s="19">
        <f>TOMADOS!K7</f>
        <v>0</v>
      </c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ht="15.75" customHeight="1">
      <c r="A18" s="13"/>
      <c r="B18" s="14" t="s">
        <v>22</v>
      </c>
      <c r="C18" s="28">
        <f>TOMADOS!K8</f>
        <v>16022.15</v>
      </c>
      <c r="D18" s="31" t="s">
        <v>23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ht="15.75" customHeight="1">
      <c r="A19" s="13"/>
      <c r="B19" s="14" t="s">
        <v>24</v>
      </c>
      <c r="C19" s="28">
        <f>TOMADOS!K4</f>
        <v>750</v>
      </c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ht="15.75" customHeight="1">
      <c r="A20" s="13"/>
      <c r="B20" s="14" t="s">
        <v>25</v>
      </c>
      <c r="C20" s="28">
        <f>TOMADOS!K19</f>
        <v>16260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ht="15.75" customHeight="1">
      <c r="A21" s="13"/>
      <c r="B21" s="14" t="s">
        <v>26</v>
      </c>
      <c r="C21" s="19">
        <f>TOMADOS!K14</f>
        <v>0</v>
      </c>
      <c r="D21" s="32"/>
      <c r="E21" s="32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15.75" customHeight="1">
      <c r="A22" s="13"/>
      <c r="B22" s="14" t="s">
        <v>27</v>
      </c>
      <c r="C22" s="28">
        <f>TOMADOS!K16</f>
        <v>44203.45</v>
      </c>
      <c r="D22" s="32"/>
      <c r="E22" s="32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ht="15.75" customHeight="1">
      <c r="A23" s="13"/>
      <c r="B23" s="14" t="s">
        <v>28</v>
      </c>
      <c r="C23" s="19">
        <f>TOMADOS!K9</f>
        <v>0</v>
      </c>
      <c r="D23" s="33"/>
      <c r="E23" s="32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15.75" customHeight="1">
      <c r="A24" s="13"/>
      <c r="B24" s="14" t="s">
        <v>29</v>
      </c>
      <c r="C24" s="28">
        <f>TOMADOS!K17</f>
        <v>624.1</v>
      </c>
      <c r="D24" s="33"/>
      <c r="E24" s="32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ht="15.75" customHeight="1">
      <c r="A25" s="13"/>
      <c r="B25" s="14" t="s">
        <v>30</v>
      </c>
      <c r="C25" s="19">
        <f>TOMADOS!K15</f>
        <v>0</v>
      </c>
      <c r="D25" s="34">
        <f>200510.27*1.65%</f>
        <v>3308.419455</v>
      </c>
      <c r="E25" s="34">
        <f>200510.27*7.6%</f>
        <v>15238.78052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ht="15.75" customHeight="1">
      <c r="B26" s="24" t="s">
        <v>31</v>
      </c>
      <c r="C26" s="35">
        <f>SUM(C27:C31)</f>
        <v>24559.44</v>
      </c>
      <c r="D26" s="3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ht="15.75" customHeight="1">
      <c r="A27" s="13" t="s">
        <v>32</v>
      </c>
      <c r="B27" s="14" t="s">
        <v>33</v>
      </c>
      <c r="C27" s="19">
        <f>ENTRADAS!P3</f>
        <v>9902.11</v>
      </c>
      <c r="D27" s="37"/>
      <c r="E27" s="38"/>
      <c r="F27" s="39"/>
      <c r="G27" s="39"/>
      <c r="H27" s="39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15.75" customHeight="1">
      <c r="A28" s="13">
        <v>1253.0</v>
      </c>
      <c r="B28" s="14" t="s">
        <v>34</v>
      </c>
      <c r="C28" s="28">
        <f>ENTRADAS!P4</f>
        <v>7154</v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ht="15.75" customHeight="1">
      <c r="A29" s="13" t="s">
        <v>35</v>
      </c>
      <c r="B29" s="14" t="s">
        <v>36</v>
      </c>
      <c r="C29" s="28">
        <f>ENTRADAS!P5</f>
        <v>7503.33</v>
      </c>
      <c r="D29" s="40">
        <f>C29-1192.72</f>
        <v>6310.61</v>
      </c>
      <c r="E29" s="16" t="s">
        <v>37</v>
      </c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15.75" customHeight="1">
      <c r="A30" s="13" t="s">
        <v>38</v>
      </c>
      <c r="B30" s="14" t="s">
        <v>39</v>
      </c>
      <c r="C30" s="41">
        <v>0.0</v>
      </c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ht="15.75" customHeight="1">
      <c r="A31" s="13" t="s">
        <v>40</v>
      </c>
      <c r="B31" s="14" t="s">
        <v>41</v>
      </c>
      <c r="C31" s="19">
        <f>ENTRADAS!P8</f>
        <v>0</v>
      </c>
      <c r="D31" s="42">
        <f>C32*1.65%</f>
        <v>1561.103775</v>
      </c>
      <c r="E31" s="42">
        <f>C32*7.6%</f>
        <v>7190.5386</v>
      </c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15.75" customHeight="1">
      <c r="A32" s="43"/>
      <c r="B32" s="24" t="s">
        <v>42</v>
      </c>
      <c r="C32" s="44">
        <f>SUM(C33:C38)</f>
        <v>94612.35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ht="15.75" customHeight="1">
      <c r="A33" s="13"/>
      <c r="B33" s="46" t="s">
        <v>43</v>
      </c>
      <c r="C33" s="47">
        <v>82615.9</v>
      </c>
      <c r="D33" s="48"/>
      <c r="E33" s="49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15.75" customHeight="1">
      <c r="A34" s="13"/>
      <c r="B34" s="14" t="s">
        <v>44</v>
      </c>
      <c r="C34" s="19">
        <f>TOMADOS!K11</f>
        <v>0</v>
      </c>
      <c r="D34" s="48"/>
      <c r="E34" s="49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ht="15.75" customHeight="1">
      <c r="A35" s="13"/>
      <c r="B35" s="14" t="s">
        <v>45</v>
      </c>
      <c r="C35" s="19">
        <f>TOMADOS!K10</f>
        <v>0</v>
      </c>
      <c r="D35" s="48"/>
      <c r="E35" s="49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ht="15.75" customHeight="1">
      <c r="A36" s="13"/>
      <c r="B36" s="14" t="s">
        <v>46</v>
      </c>
      <c r="C36" s="41">
        <v>2354.45</v>
      </c>
      <c r="D36" s="48"/>
      <c r="E36" s="49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ht="15.75" customHeight="1">
      <c r="A37" s="13"/>
      <c r="B37" s="14" t="s">
        <v>47</v>
      </c>
      <c r="C37" s="41">
        <v>9642.0</v>
      </c>
      <c r="D37" s="50"/>
      <c r="E37" s="50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ht="15.75" customHeight="1">
      <c r="A38" s="13"/>
      <c r="B38" s="14" t="s">
        <v>48</v>
      </c>
      <c r="C38" s="19"/>
      <c r="D38" s="51">
        <v>0.0</v>
      </c>
      <c r="E38" s="51">
        <v>0.0</v>
      </c>
      <c r="F38" s="16" t="s">
        <v>49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ht="15.75" customHeight="1">
      <c r="A39" s="1"/>
      <c r="B39" s="8" t="s">
        <v>50</v>
      </c>
      <c r="C39" s="9">
        <f>SUM(C40:C43)</f>
        <v>17304</v>
      </c>
      <c r="D39" s="52"/>
      <c r="E39" s="52"/>
    </row>
    <row r="40" ht="15.75" customHeight="1">
      <c r="A40" s="1"/>
      <c r="B40" s="18" t="s">
        <v>51</v>
      </c>
      <c r="C40" s="53"/>
      <c r="D40" s="52"/>
      <c r="E40" s="52"/>
    </row>
    <row r="41" ht="15.75" customHeight="1">
      <c r="A41" s="1"/>
      <c r="B41" s="18" t="s">
        <v>52</v>
      </c>
      <c r="C41" s="53"/>
      <c r="D41" s="52"/>
      <c r="E41" s="52"/>
    </row>
    <row r="42" ht="15.75" customHeight="1">
      <c r="A42" s="1"/>
      <c r="B42" s="18" t="s">
        <v>53</v>
      </c>
      <c r="C42" s="53"/>
      <c r="D42" s="52"/>
      <c r="E42" s="52"/>
    </row>
    <row r="43" ht="15.75" customHeight="1">
      <c r="A43" s="1"/>
      <c r="B43" s="18" t="s">
        <v>54</v>
      </c>
      <c r="C43" s="54">
        <v>17304.0</v>
      </c>
      <c r="D43" s="52"/>
      <c r="E43" s="52"/>
    </row>
    <row r="44" ht="15.75" customHeight="1">
      <c r="A44" s="1"/>
      <c r="B44" s="55" t="s">
        <v>55</v>
      </c>
      <c r="C44" s="56"/>
    </row>
    <row r="45" ht="15.75" customHeight="1">
      <c r="A45" s="1"/>
      <c r="B45" s="55" t="s">
        <v>56</v>
      </c>
      <c r="C45" s="57"/>
      <c r="D45" s="20"/>
    </row>
    <row r="46" ht="15.75" customHeight="1">
      <c r="A46" s="1"/>
      <c r="B46" s="58" t="s">
        <v>57</v>
      </c>
      <c r="C46" s="59">
        <f>(D10+C44+C48)-(D4+D38)</f>
        <v>-20770.72536</v>
      </c>
    </row>
    <row r="47" ht="15.75" customHeight="1">
      <c r="A47" s="1"/>
      <c r="B47" s="58" t="s">
        <v>58</v>
      </c>
      <c r="C47" s="59">
        <f>(E10+C45+C49)-(E4+E38)</f>
        <v>-95671.21984</v>
      </c>
      <c r="D47" s="60">
        <f>C46+C47</f>
        <v>-116441.9452</v>
      </c>
      <c r="E47" s="60">
        <f>C6*9.25%</f>
        <v>0</v>
      </c>
      <c r="F47" s="60">
        <f>E47+D47</f>
        <v>-116441.9452</v>
      </c>
    </row>
    <row r="48" ht="15.75" customHeight="1">
      <c r="A48" s="1"/>
      <c r="B48" s="61" t="s">
        <v>59</v>
      </c>
      <c r="C48" s="62"/>
      <c r="D48" s="63" t="str">
        <f>D47/C6*-1</f>
        <v>#DIV/0!</v>
      </c>
      <c r="E48" s="63">
        <v>0.0925</v>
      </c>
      <c r="F48" s="63" t="str">
        <f>E48-D48</f>
        <v>#DIV/0!</v>
      </c>
    </row>
    <row r="49" ht="15.75" customHeight="1">
      <c r="A49" s="1"/>
      <c r="B49" s="61" t="s">
        <v>60</v>
      </c>
      <c r="C49" s="62"/>
    </row>
    <row r="50" ht="15.75" customHeight="1">
      <c r="A50" s="1"/>
    </row>
    <row r="51" ht="15.75" customHeight="1">
      <c r="A51" s="1"/>
    </row>
    <row r="52" ht="15.75" customHeight="1">
      <c r="A52" s="1"/>
      <c r="B52" s="2"/>
    </row>
    <row r="53" ht="15.75" customHeight="1">
      <c r="A53" s="1"/>
      <c r="B53" s="2"/>
    </row>
    <row r="54" ht="15.75" customHeight="1">
      <c r="A54" s="1"/>
      <c r="B54" s="2"/>
    </row>
    <row r="55" ht="15.75" customHeight="1">
      <c r="A55" s="1"/>
      <c r="B55" s="2"/>
    </row>
    <row r="56" ht="15.75" customHeight="1">
      <c r="A56" s="1"/>
      <c r="B56" s="2"/>
    </row>
    <row r="57" ht="15.75" customHeight="1">
      <c r="A57" s="1"/>
      <c r="B57" s="2"/>
    </row>
    <row r="58" ht="15.75" customHeight="1">
      <c r="A58" s="1"/>
      <c r="B58" s="2"/>
    </row>
    <row r="59" ht="15.75" customHeight="1">
      <c r="A59" s="1"/>
      <c r="B59" s="2"/>
    </row>
    <row r="60" ht="15.75" customHeight="1">
      <c r="A60" s="1"/>
      <c r="B60" s="2"/>
    </row>
    <row r="61" ht="15.75" customHeight="1">
      <c r="A61" s="1"/>
      <c r="B61" s="2"/>
    </row>
    <row r="62" ht="15.75" customHeight="1">
      <c r="A62" s="1"/>
      <c r="B62" s="2"/>
    </row>
    <row r="63" ht="15.75" customHeight="1">
      <c r="A63" s="1"/>
      <c r="B63" s="2"/>
    </row>
    <row r="64" ht="15.75" customHeight="1">
      <c r="A64" s="1"/>
      <c r="B64" s="2"/>
    </row>
    <row r="65" ht="15.75" customHeight="1">
      <c r="A65" s="1"/>
      <c r="B65" s="2"/>
    </row>
    <row r="66" ht="15.75" customHeight="1">
      <c r="A66" s="1"/>
      <c r="B66" s="2"/>
    </row>
    <row r="67" ht="15.75" customHeight="1">
      <c r="A67" s="1"/>
      <c r="B67" s="2"/>
    </row>
    <row r="68" ht="15.75" customHeight="1">
      <c r="A68" s="1"/>
      <c r="B68" s="2"/>
    </row>
    <row r="69" ht="15.75" customHeight="1">
      <c r="A69" s="1"/>
      <c r="B69" s="2"/>
    </row>
    <row r="70" ht="15.75" customHeight="1">
      <c r="A70" s="1"/>
      <c r="B70" s="2"/>
    </row>
    <row r="71" ht="15.75" customHeight="1">
      <c r="A71" s="1"/>
      <c r="B71" s="2"/>
    </row>
    <row r="72" ht="15.75" customHeight="1">
      <c r="A72" s="1"/>
      <c r="B72" s="2"/>
    </row>
    <row r="73" ht="15.75" customHeight="1">
      <c r="A73" s="1"/>
      <c r="B73" s="2"/>
    </row>
    <row r="74" ht="15.75" customHeight="1">
      <c r="A74" s="1"/>
      <c r="B74" s="2"/>
    </row>
    <row r="75" ht="15.75" customHeight="1">
      <c r="A75" s="1"/>
      <c r="B75" s="2"/>
    </row>
    <row r="76" ht="15.75" customHeight="1">
      <c r="A76" s="1"/>
      <c r="B76" s="2"/>
    </row>
    <row r="77" ht="15.75" customHeight="1">
      <c r="A77" s="1"/>
      <c r="B77" s="2"/>
    </row>
    <row r="78" ht="15.75" customHeight="1">
      <c r="A78" s="1"/>
      <c r="B78" s="2"/>
    </row>
    <row r="79" ht="15.75" customHeight="1">
      <c r="A79" s="1"/>
      <c r="B79" s="2"/>
    </row>
    <row r="80" ht="15.75" customHeight="1">
      <c r="A80" s="1"/>
      <c r="B80" s="2"/>
    </row>
    <row r="81" ht="15.75" customHeight="1">
      <c r="A81" s="1"/>
      <c r="B81" s="2"/>
    </row>
    <row r="82" ht="15.75" customHeight="1">
      <c r="A82" s="1"/>
      <c r="B82" s="2"/>
    </row>
    <row r="83" ht="15.75" customHeight="1">
      <c r="A83" s="1"/>
      <c r="B83" s="2"/>
    </row>
    <row r="84" ht="15.75" customHeight="1">
      <c r="A84" s="1"/>
      <c r="B84" s="2"/>
    </row>
    <row r="85" ht="15.75" customHeight="1">
      <c r="A85" s="1"/>
      <c r="B85" s="2"/>
    </row>
    <row r="86" ht="15.75" customHeight="1">
      <c r="A86" s="1"/>
      <c r="B86" s="2"/>
    </row>
    <row r="87" ht="15.75" customHeight="1">
      <c r="A87" s="1"/>
      <c r="B87" s="2"/>
    </row>
    <row r="88" ht="15.75" customHeight="1">
      <c r="A88" s="1"/>
      <c r="B88" s="2"/>
    </row>
    <row r="89" ht="15.75" customHeight="1">
      <c r="A89" s="1"/>
      <c r="B89" s="2"/>
    </row>
    <row r="90" ht="15.75" customHeight="1">
      <c r="A90" s="1"/>
      <c r="B90" s="2"/>
    </row>
    <row r="91" ht="15.75" customHeight="1">
      <c r="A91" s="1"/>
      <c r="B91" s="2"/>
    </row>
    <row r="92" ht="15.75" customHeight="1">
      <c r="A92" s="1"/>
      <c r="B92" s="2"/>
    </row>
    <row r="93" ht="15.75" customHeight="1">
      <c r="A93" s="1"/>
      <c r="B93" s="2"/>
    </row>
    <row r="94" ht="15.75" customHeight="1">
      <c r="A94" s="1"/>
      <c r="B94" s="2"/>
    </row>
    <row r="95" ht="15.75" customHeight="1">
      <c r="A95" s="1"/>
      <c r="B95" s="2"/>
    </row>
    <row r="96" ht="15.75" customHeight="1">
      <c r="A96" s="1"/>
      <c r="B96" s="2"/>
    </row>
    <row r="97" ht="15.75" customHeight="1">
      <c r="A97" s="1"/>
      <c r="B97" s="2"/>
    </row>
    <row r="98" ht="15.75" customHeight="1">
      <c r="A98" s="1"/>
      <c r="B98" s="2"/>
    </row>
    <row r="99" ht="15.75" customHeight="1">
      <c r="A99" s="1"/>
      <c r="B99" s="2"/>
    </row>
    <row r="100" ht="15.75" customHeight="1">
      <c r="A100" s="1"/>
      <c r="B100" s="2"/>
    </row>
    <row r="101" ht="15.75" customHeight="1">
      <c r="A101" s="1"/>
      <c r="B101" s="2"/>
    </row>
    <row r="102" ht="15.75" customHeight="1">
      <c r="A102" s="1"/>
      <c r="B102" s="2"/>
    </row>
    <row r="103" ht="15.75" customHeight="1">
      <c r="A103" s="1"/>
      <c r="B103" s="2"/>
    </row>
    <row r="104" ht="15.75" customHeight="1">
      <c r="A104" s="1"/>
      <c r="B104" s="2"/>
    </row>
    <row r="105" ht="15.75" customHeight="1">
      <c r="A105" s="1"/>
      <c r="B105" s="2"/>
    </row>
    <row r="106" ht="15.75" customHeight="1">
      <c r="A106" s="1"/>
      <c r="B106" s="2"/>
    </row>
    <row r="107" ht="15.75" customHeight="1">
      <c r="A107" s="1"/>
      <c r="B107" s="2"/>
    </row>
    <row r="108" ht="15.75" customHeight="1">
      <c r="A108" s="1"/>
      <c r="B108" s="2"/>
    </row>
    <row r="109" ht="15.75" customHeight="1">
      <c r="A109" s="1"/>
      <c r="B109" s="2"/>
    </row>
    <row r="110" ht="15.75" customHeight="1">
      <c r="A110" s="1"/>
      <c r="B110" s="2"/>
    </row>
    <row r="111" ht="15.75" customHeight="1">
      <c r="A111" s="1"/>
      <c r="B111" s="2"/>
    </row>
    <row r="112" ht="15.75" customHeight="1">
      <c r="A112" s="1"/>
      <c r="B112" s="2"/>
    </row>
    <row r="113" ht="15.75" customHeight="1">
      <c r="A113" s="1"/>
      <c r="B113" s="2"/>
    </row>
    <row r="114" ht="15.75" customHeight="1">
      <c r="A114" s="1"/>
      <c r="B114" s="2"/>
    </row>
    <row r="115" ht="15.75" customHeight="1">
      <c r="A115" s="1"/>
      <c r="B115" s="2"/>
    </row>
    <row r="116" ht="15.75" customHeight="1">
      <c r="A116" s="1"/>
      <c r="B116" s="2"/>
    </row>
    <row r="117" ht="15.75" customHeight="1">
      <c r="A117" s="1"/>
      <c r="B117" s="2"/>
    </row>
    <row r="118" ht="15.75" customHeight="1">
      <c r="A118" s="1"/>
      <c r="B118" s="2"/>
    </row>
    <row r="119" ht="15.75" customHeight="1">
      <c r="A119" s="1"/>
      <c r="B119" s="2"/>
    </row>
    <row r="120" ht="15.75" customHeight="1">
      <c r="A120" s="1"/>
      <c r="B120" s="2"/>
    </row>
    <row r="121" ht="15.75" customHeight="1">
      <c r="A121" s="1"/>
      <c r="B121" s="2"/>
    </row>
    <row r="122" ht="15.75" customHeight="1">
      <c r="A122" s="1"/>
      <c r="B122" s="2"/>
    </row>
    <row r="123" ht="15.75" customHeight="1">
      <c r="A123" s="1"/>
      <c r="B123" s="2"/>
    </row>
    <row r="124" ht="15.75" customHeight="1">
      <c r="A124" s="1"/>
      <c r="B124" s="2"/>
    </row>
    <row r="125" ht="15.75" customHeight="1">
      <c r="A125" s="1"/>
      <c r="B125" s="2"/>
    </row>
    <row r="126" ht="15.75" customHeight="1">
      <c r="A126" s="1"/>
      <c r="B126" s="2"/>
    </row>
    <row r="127" ht="15.75" customHeight="1">
      <c r="A127" s="1"/>
      <c r="B127" s="2"/>
    </row>
    <row r="128" ht="15.75" customHeight="1">
      <c r="A128" s="1"/>
      <c r="B128" s="2"/>
    </row>
    <row r="129" ht="15.75" customHeight="1">
      <c r="A129" s="1"/>
      <c r="B129" s="2"/>
    </row>
    <row r="130" ht="15.75" customHeight="1">
      <c r="A130" s="1"/>
      <c r="B130" s="2"/>
    </row>
    <row r="131" ht="15.75" customHeight="1">
      <c r="A131" s="1"/>
      <c r="B131" s="2"/>
    </row>
    <row r="132" ht="15.75" customHeight="1">
      <c r="A132" s="1"/>
      <c r="B132" s="2"/>
    </row>
    <row r="133" ht="15.75" customHeight="1">
      <c r="A133" s="1"/>
      <c r="B133" s="2"/>
    </row>
    <row r="134" ht="15.75" customHeight="1">
      <c r="A134" s="1"/>
      <c r="B134" s="2"/>
    </row>
    <row r="135" ht="15.75" customHeight="1">
      <c r="A135" s="1"/>
      <c r="B135" s="2"/>
    </row>
    <row r="136" ht="15.75" customHeight="1">
      <c r="A136" s="1"/>
      <c r="B136" s="2"/>
    </row>
    <row r="137" ht="15.75" customHeight="1">
      <c r="A137" s="1"/>
      <c r="B137" s="2"/>
    </row>
    <row r="138" ht="15.75" customHeight="1">
      <c r="A138" s="1"/>
      <c r="B138" s="2"/>
    </row>
    <row r="139" ht="15.75" customHeight="1">
      <c r="A139" s="1"/>
      <c r="B139" s="2"/>
    </row>
    <row r="140" ht="15.75" customHeight="1">
      <c r="A140" s="1"/>
      <c r="B140" s="2"/>
    </row>
    <row r="141" ht="15.75" customHeight="1">
      <c r="A141" s="1"/>
      <c r="B141" s="2"/>
    </row>
    <row r="142" ht="15.75" customHeight="1">
      <c r="A142" s="1"/>
      <c r="B142" s="2"/>
    </row>
    <row r="143" ht="15.75" customHeight="1">
      <c r="A143" s="1"/>
      <c r="B143" s="2"/>
    </row>
    <row r="144" ht="15.75" customHeight="1">
      <c r="A144" s="1"/>
      <c r="B144" s="2"/>
    </row>
    <row r="145" ht="15.75" customHeight="1">
      <c r="A145" s="1"/>
      <c r="B145" s="2"/>
    </row>
    <row r="146" ht="15.75" customHeight="1">
      <c r="A146" s="1"/>
      <c r="B146" s="2"/>
    </row>
    <row r="147" ht="15.75" customHeight="1">
      <c r="A147" s="1"/>
      <c r="B147" s="2"/>
    </row>
    <row r="148" ht="15.75" customHeight="1">
      <c r="A148" s="1"/>
      <c r="B148" s="2"/>
    </row>
    <row r="149" ht="15.75" customHeight="1">
      <c r="A149" s="1"/>
      <c r="B149" s="2"/>
    </row>
    <row r="150" ht="15.75" customHeight="1">
      <c r="A150" s="1"/>
      <c r="B150" s="2"/>
    </row>
    <row r="151" ht="15.75" customHeight="1">
      <c r="A151" s="1"/>
      <c r="B151" s="2"/>
    </row>
    <row r="152" ht="15.75" customHeight="1">
      <c r="A152" s="1"/>
      <c r="B152" s="2"/>
    </row>
    <row r="153" ht="15.75" customHeight="1">
      <c r="A153" s="1"/>
      <c r="B153" s="2"/>
    </row>
    <row r="154" ht="15.75" customHeight="1">
      <c r="A154" s="1"/>
      <c r="B154" s="2"/>
    </row>
    <row r="155" ht="15.75" customHeight="1">
      <c r="A155" s="1"/>
      <c r="B155" s="2"/>
    </row>
    <row r="156" ht="15.75" customHeight="1">
      <c r="A156" s="1"/>
      <c r="B156" s="2"/>
    </row>
    <row r="157" ht="15.75" customHeight="1">
      <c r="A157" s="1"/>
      <c r="B157" s="2"/>
    </row>
    <row r="158" ht="15.75" customHeight="1">
      <c r="A158" s="1"/>
      <c r="B158" s="2"/>
    </row>
    <row r="159" ht="15.75" customHeight="1">
      <c r="A159" s="1"/>
      <c r="B159" s="2"/>
    </row>
    <row r="160" ht="15.75" customHeight="1">
      <c r="A160" s="1"/>
      <c r="B160" s="2"/>
    </row>
    <row r="161" ht="15.75" customHeight="1">
      <c r="A161" s="1"/>
      <c r="B161" s="2"/>
    </row>
    <row r="162" ht="15.75" customHeight="1">
      <c r="A162" s="1"/>
      <c r="B162" s="2"/>
    </row>
    <row r="163" ht="15.75" customHeight="1">
      <c r="A163" s="1"/>
      <c r="B163" s="2"/>
    </row>
    <row r="164" ht="15.75" customHeight="1">
      <c r="A164" s="1"/>
      <c r="B164" s="2"/>
    </row>
    <row r="165" ht="15.75" customHeight="1">
      <c r="A165" s="1"/>
      <c r="B165" s="2"/>
    </row>
    <row r="166" ht="15.75" customHeight="1">
      <c r="A166" s="1"/>
      <c r="B166" s="2"/>
    </row>
    <row r="167" ht="15.75" customHeight="1">
      <c r="A167" s="1"/>
      <c r="B167" s="2"/>
    </row>
    <row r="168" ht="15.75" customHeight="1">
      <c r="A168" s="1"/>
      <c r="B168" s="2"/>
    </row>
    <row r="169" ht="15.75" customHeight="1">
      <c r="A169" s="1"/>
      <c r="B169" s="2"/>
    </row>
    <row r="170" ht="15.75" customHeight="1">
      <c r="A170" s="1"/>
      <c r="B170" s="2"/>
    </row>
    <row r="171" ht="15.75" customHeight="1">
      <c r="A171" s="1"/>
      <c r="B171" s="2"/>
    </row>
    <row r="172" ht="15.75" customHeight="1">
      <c r="A172" s="1"/>
      <c r="B172" s="2"/>
    </row>
    <row r="173" ht="15.75" customHeight="1">
      <c r="A173" s="1"/>
      <c r="B173" s="2"/>
    </row>
    <row r="174" ht="15.75" customHeight="1">
      <c r="A174" s="1"/>
      <c r="B174" s="2"/>
    </row>
    <row r="175" ht="15.75" customHeight="1">
      <c r="A175" s="1"/>
      <c r="B175" s="2"/>
    </row>
    <row r="176" ht="15.75" customHeight="1">
      <c r="A176" s="1"/>
      <c r="B176" s="2"/>
    </row>
    <row r="177" ht="15.75" customHeight="1">
      <c r="A177" s="1"/>
      <c r="B177" s="2"/>
    </row>
    <row r="178" ht="15.75" customHeight="1">
      <c r="A178" s="1"/>
      <c r="B178" s="2"/>
    </row>
    <row r="179" ht="15.75" customHeight="1">
      <c r="A179" s="1"/>
      <c r="B179" s="2"/>
    </row>
    <row r="180" ht="15.75" customHeight="1">
      <c r="A180" s="1"/>
      <c r="B180" s="2"/>
    </row>
    <row r="181" ht="15.75" customHeight="1">
      <c r="A181" s="1"/>
      <c r="B181" s="2"/>
    </row>
    <row r="182" ht="15.75" customHeight="1">
      <c r="A182" s="1"/>
      <c r="B182" s="2"/>
    </row>
    <row r="183" ht="15.75" customHeight="1">
      <c r="A183" s="1"/>
      <c r="B183" s="2"/>
    </row>
    <row r="184" ht="15.75" customHeight="1">
      <c r="A184" s="1"/>
      <c r="B184" s="2"/>
    </row>
    <row r="185" ht="15.75" customHeight="1">
      <c r="A185" s="1"/>
      <c r="B185" s="2"/>
    </row>
    <row r="186" ht="15.75" customHeight="1">
      <c r="A186" s="1"/>
      <c r="B186" s="2"/>
    </row>
    <row r="187" ht="15.75" customHeight="1">
      <c r="A187" s="1"/>
      <c r="B187" s="2"/>
    </row>
    <row r="188" ht="15.75" customHeight="1">
      <c r="A188" s="1"/>
      <c r="B188" s="2"/>
    </row>
    <row r="189" ht="15.75" customHeight="1">
      <c r="A189" s="1"/>
      <c r="B189" s="2"/>
    </row>
    <row r="190" ht="15.75" customHeight="1">
      <c r="A190" s="1"/>
      <c r="B190" s="2"/>
    </row>
    <row r="191" ht="15.75" customHeight="1">
      <c r="A191" s="1"/>
      <c r="B191" s="2"/>
    </row>
    <row r="192" ht="15.75" customHeight="1">
      <c r="A192" s="1"/>
      <c r="B192" s="2"/>
    </row>
    <row r="193" ht="15.75" customHeight="1">
      <c r="A193" s="1"/>
      <c r="B193" s="2"/>
    </row>
    <row r="194" ht="15.75" customHeight="1">
      <c r="A194" s="1"/>
      <c r="B194" s="2"/>
    </row>
    <row r="195" ht="15.75" customHeight="1">
      <c r="A195" s="1"/>
      <c r="B195" s="2"/>
    </row>
    <row r="196" ht="15.75" customHeight="1">
      <c r="A196" s="1"/>
      <c r="B196" s="2"/>
    </row>
    <row r="197" ht="15.75" customHeight="1">
      <c r="A197" s="1"/>
      <c r="B197" s="2"/>
    </row>
    <row r="198" ht="15.75" customHeight="1">
      <c r="A198" s="1"/>
      <c r="B198" s="2"/>
    </row>
    <row r="199" ht="15.75" customHeight="1">
      <c r="A199" s="1"/>
      <c r="B199" s="2"/>
    </row>
    <row r="200" ht="15.75" customHeight="1">
      <c r="A200" s="1"/>
      <c r="B200" s="2"/>
    </row>
    <row r="201" ht="15.75" customHeight="1">
      <c r="A201" s="1"/>
      <c r="B201" s="2"/>
    </row>
    <row r="202" ht="15.75" customHeight="1">
      <c r="A202" s="1"/>
      <c r="B202" s="2"/>
    </row>
    <row r="203" ht="15.75" customHeight="1">
      <c r="A203" s="1"/>
      <c r="B203" s="2"/>
    </row>
    <row r="204" ht="15.75" customHeight="1">
      <c r="A204" s="1"/>
      <c r="B204" s="2"/>
    </row>
    <row r="205" ht="15.75" customHeight="1">
      <c r="A205" s="1"/>
      <c r="B205" s="2"/>
    </row>
    <row r="206" ht="15.75" customHeight="1">
      <c r="A206" s="1"/>
      <c r="B206" s="2"/>
    </row>
    <row r="207" ht="15.75" customHeight="1">
      <c r="A207" s="1"/>
      <c r="B207" s="2"/>
    </row>
    <row r="208" ht="15.75" customHeight="1">
      <c r="A208" s="1"/>
      <c r="B208" s="2"/>
    </row>
    <row r="209" ht="15.75" customHeight="1">
      <c r="A209" s="1"/>
      <c r="B209" s="2"/>
    </row>
    <row r="210" ht="15.75" customHeight="1">
      <c r="A210" s="1"/>
      <c r="B210" s="2"/>
    </row>
    <row r="211" ht="15.75" customHeight="1">
      <c r="A211" s="1"/>
      <c r="B211" s="2"/>
    </row>
    <row r="212" ht="15.75" customHeight="1">
      <c r="A212" s="1"/>
      <c r="B212" s="2"/>
    </row>
    <row r="213" ht="15.75" customHeight="1">
      <c r="A213" s="1"/>
      <c r="B213" s="2"/>
    </row>
    <row r="214" ht="15.75" customHeight="1">
      <c r="A214" s="1"/>
      <c r="B214" s="2"/>
    </row>
    <row r="215" ht="15.75" customHeight="1">
      <c r="A215" s="1"/>
      <c r="B215" s="2"/>
    </row>
    <row r="216" ht="15.75" customHeight="1">
      <c r="A216" s="1"/>
      <c r="B216" s="2"/>
    </row>
    <row r="217" ht="15.75" customHeight="1">
      <c r="A217" s="1"/>
      <c r="B217" s="2"/>
    </row>
    <row r="218" ht="15.75" customHeight="1">
      <c r="A218" s="1"/>
      <c r="B218" s="2"/>
    </row>
    <row r="219" ht="15.75" customHeight="1">
      <c r="A219" s="1"/>
      <c r="B219" s="2"/>
    </row>
    <row r="220" ht="15.75" customHeight="1">
      <c r="A220" s="1"/>
      <c r="B220" s="2"/>
    </row>
    <row r="221" ht="15.75" customHeight="1">
      <c r="A221" s="1"/>
      <c r="B221" s="2"/>
    </row>
    <row r="222" ht="15.75" customHeight="1">
      <c r="A222" s="1"/>
      <c r="B222" s="2"/>
    </row>
    <row r="223" ht="15.75" customHeight="1">
      <c r="A223" s="1"/>
      <c r="B223" s="2"/>
    </row>
    <row r="224" ht="15.75" customHeight="1">
      <c r="A224" s="1"/>
      <c r="B224" s="2"/>
    </row>
    <row r="225" ht="15.75" customHeight="1">
      <c r="A225" s="1"/>
      <c r="B225" s="2"/>
    </row>
    <row r="226" ht="15.75" customHeight="1">
      <c r="A226" s="1"/>
      <c r="B226" s="2"/>
    </row>
    <row r="227" ht="15.75" customHeight="1">
      <c r="A227" s="1"/>
      <c r="B227" s="2"/>
    </row>
    <row r="228" ht="15.75" customHeight="1">
      <c r="A228" s="1"/>
      <c r="B228" s="2"/>
    </row>
    <row r="229" ht="15.75" customHeight="1">
      <c r="A229" s="1"/>
      <c r="B229" s="2"/>
    </row>
    <row r="230" ht="15.75" customHeight="1">
      <c r="A230" s="1"/>
      <c r="B230" s="2"/>
    </row>
    <row r="231" ht="15.75" customHeight="1">
      <c r="A231" s="1"/>
      <c r="B231" s="2"/>
    </row>
    <row r="232" ht="15.75" customHeight="1">
      <c r="A232" s="1"/>
      <c r="B232" s="2"/>
    </row>
    <row r="233" ht="15.75" customHeight="1">
      <c r="A233" s="1"/>
      <c r="B233" s="2"/>
    </row>
    <row r="234" ht="15.75" customHeight="1">
      <c r="A234" s="1"/>
      <c r="B234" s="2"/>
    </row>
    <row r="235" ht="15.75" customHeight="1">
      <c r="A235" s="1"/>
      <c r="B235" s="2"/>
    </row>
    <row r="236" ht="15.75" customHeight="1">
      <c r="A236" s="1"/>
      <c r="B236" s="2"/>
    </row>
    <row r="237" ht="15.75" customHeight="1">
      <c r="A237" s="1"/>
      <c r="B237" s="2"/>
    </row>
    <row r="238" ht="15.75" customHeight="1">
      <c r="A238" s="1"/>
      <c r="B238" s="2"/>
    </row>
    <row r="239" ht="15.75" customHeight="1">
      <c r="A239" s="1"/>
      <c r="B239" s="2"/>
    </row>
    <row r="240" ht="15.75" customHeight="1">
      <c r="A240" s="1"/>
      <c r="B240" s="2"/>
    </row>
    <row r="241" ht="15.75" customHeight="1">
      <c r="A241" s="1"/>
      <c r="B241" s="2"/>
    </row>
    <row r="242" ht="15.75" customHeight="1">
      <c r="A242" s="1"/>
      <c r="B242" s="2"/>
    </row>
    <row r="243" ht="15.75" customHeight="1">
      <c r="A243" s="1"/>
      <c r="B243" s="2"/>
    </row>
    <row r="244" ht="15.75" customHeight="1">
      <c r="A244" s="1"/>
      <c r="B244" s="2"/>
    </row>
    <row r="245" ht="15.75" customHeight="1">
      <c r="A245" s="1"/>
      <c r="B245" s="2"/>
    </row>
    <row r="246" ht="15.75" customHeight="1">
      <c r="A246" s="1"/>
      <c r="B246" s="2"/>
    </row>
    <row r="247" ht="15.75" customHeight="1">
      <c r="A247" s="1"/>
      <c r="B247" s="2"/>
    </row>
    <row r="248" ht="15.75" customHeight="1">
      <c r="A248" s="1"/>
      <c r="B248" s="2"/>
    </row>
    <row r="249" ht="15.75" customHeight="1">
      <c r="A249" s="1"/>
      <c r="B249" s="2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B3"/>
    <mergeCell ref="C2:C3"/>
    <mergeCell ref="H2:K2"/>
    <mergeCell ref="D45:I45"/>
  </mergeCells>
  <conditionalFormatting sqref="C47">
    <cfRule type="expression" dxfId="0" priority="1">
      <formula>"()&gt;();vermelho"</formula>
    </cfRule>
  </conditionalFormatting>
  <conditionalFormatting sqref="C45:C47">
    <cfRule type="cellIs" dxfId="1" priority="2" operator="greaterThan">
      <formula>"()&gt;()"</formula>
    </cfRule>
  </conditionalFormatting>
  <conditionalFormatting sqref="C45:C47">
    <cfRule type="cellIs" dxfId="2" priority="3" operator="greaterThan">
      <formula>"()&gt;()"</formula>
    </cfRule>
  </conditionalFormatting>
  <conditionalFormatting sqref="C45:C47">
    <cfRule type="cellIs" dxfId="2" priority="4" operator="greaterThan">
      <formula>"()&gt;()"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2.5"/>
    <col customWidth="1" min="2" max="2" width="12.5"/>
    <col customWidth="1" min="3" max="3" width="29.0"/>
    <col customWidth="1" min="4" max="4" width="12.0"/>
    <col customWidth="1" min="5" max="5" width="9.38"/>
    <col customWidth="1" min="7" max="7" width="11.88"/>
    <col customWidth="1" min="8" max="8" width="15.25"/>
    <col customWidth="1" min="9" max="9" width="10.88"/>
    <col customWidth="1" min="10" max="10" width="14.13"/>
    <col customWidth="1" min="11" max="11" width="8.0"/>
    <col customWidth="1" min="12" max="12" width="7.25"/>
    <col customWidth="1" min="14" max="14" width="7.63"/>
    <col customWidth="1" min="15" max="16" width="13.38"/>
  </cols>
  <sheetData>
    <row r="1" ht="24.75" customHeight="1">
      <c r="A1" s="64"/>
      <c r="B1" s="65" t="s">
        <v>61</v>
      </c>
      <c r="D1" s="64"/>
      <c r="E1" s="64"/>
      <c r="G1" s="66"/>
      <c r="H1" s="66"/>
      <c r="I1" s="66"/>
      <c r="J1" s="66"/>
      <c r="K1" s="67"/>
      <c r="L1" s="64"/>
      <c r="M1" s="64"/>
      <c r="N1" s="64"/>
      <c r="O1" s="64"/>
      <c r="P1" s="64"/>
      <c r="Q1" s="67"/>
      <c r="R1" s="67"/>
      <c r="S1" s="67"/>
      <c r="T1" s="67"/>
      <c r="U1" s="67"/>
      <c r="V1" s="67"/>
      <c r="W1" s="67"/>
      <c r="X1" s="67"/>
    </row>
    <row r="2" ht="29.25" customHeight="1">
      <c r="A2" s="64"/>
      <c r="B2" s="68" t="s">
        <v>62</v>
      </c>
      <c r="C2" s="68" t="s">
        <v>63</v>
      </c>
      <c r="D2" s="68" t="s">
        <v>64</v>
      </c>
      <c r="E2" s="68" t="s">
        <v>65</v>
      </c>
      <c r="F2" s="68" t="s">
        <v>66</v>
      </c>
      <c r="G2" s="69" t="s">
        <v>67</v>
      </c>
      <c r="H2" s="69" t="s">
        <v>68</v>
      </c>
      <c r="I2" s="69" t="s">
        <v>69</v>
      </c>
      <c r="J2" s="69" t="s">
        <v>70</v>
      </c>
      <c r="K2" s="67"/>
      <c r="L2" s="68" t="s">
        <v>65</v>
      </c>
      <c r="M2" s="68" t="s">
        <v>71</v>
      </c>
      <c r="N2" s="68" t="s">
        <v>65</v>
      </c>
      <c r="O2" s="68" t="s">
        <v>71</v>
      </c>
      <c r="P2" s="68" t="s">
        <v>72</v>
      </c>
      <c r="Q2" s="67"/>
      <c r="R2" s="67"/>
      <c r="S2" s="67"/>
      <c r="T2" s="67"/>
      <c r="U2" s="67"/>
      <c r="V2" s="67"/>
      <c r="W2" s="67"/>
      <c r="X2" s="67"/>
    </row>
    <row r="3" ht="42.75" customHeight="1">
      <c r="A3" s="70"/>
      <c r="B3" s="71">
        <v>57101.0</v>
      </c>
      <c r="C3" s="72" t="s">
        <v>73</v>
      </c>
      <c r="D3" s="73">
        <v>46027.0</v>
      </c>
      <c r="E3" s="72">
        <v>1128.0</v>
      </c>
      <c r="F3" s="74">
        <v>780.0</v>
      </c>
      <c r="G3" s="75" t="s">
        <v>74</v>
      </c>
      <c r="H3" s="76">
        <v>780.0</v>
      </c>
      <c r="I3" s="77">
        <f t="shared" ref="I3:I30" si="1">H3*1.65%</f>
        <v>12.87</v>
      </c>
      <c r="J3" s="77">
        <f t="shared" ref="J3:J30" si="2">H3*7.6%</f>
        <v>59.28</v>
      </c>
      <c r="K3" s="78" t="s">
        <v>75</v>
      </c>
      <c r="L3" s="79">
        <v>1128.0</v>
      </c>
      <c r="M3" s="80">
        <f>SUMIF(E3:H32,L3,H3:H32)</f>
        <v>9902.11</v>
      </c>
      <c r="N3" s="79">
        <v>2128.0</v>
      </c>
      <c r="O3" s="80">
        <f t="shared" ref="O3:O4" si="3">SUMIF(E3:H32,N3,H3:H32)</f>
        <v>0</v>
      </c>
      <c r="P3" s="80">
        <f t="shared" ref="P3:P8" si="4">M3+O3</f>
        <v>9902.11</v>
      </c>
      <c r="Q3" s="67"/>
      <c r="R3" s="67"/>
      <c r="S3" s="67"/>
      <c r="T3" s="67"/>
      <c r="U3" s="67"/>
      <c r="V3" s="67"/>
      <c r="W3" s="67"/>
      <c r="X3" s="67"/>
    </row>
    <row r="4" ht="48.0" customHeight="1">
      <c r="A4" s="70"/>
      <c r="B4" s="71">
        <v>29911.0</v>
      </c>
      <c r="C4" s="72" t="s">
        <v>76</v>
      </c>
      <c r="D4" s="73">
        <v>46029.0</v>
      </c>
      <c r="E4" s="72">
        <v>1128.0</v>
      </c>
      <c r="F4" s="74">
        <v>905.0</v>
      </c>
      <c r="G4" s="75" t="s">
        <v>74</v>
      </c>
      <c r="H4" s="76">
        <v>905.0</v>
      </c>
      <c r="I4" s="77">
        <f t="shared" si="1"/>
        <v>14.9325</v>
      </c>
      <c r="J4" s="77">
        <f t="shared" si="2"/>
        <v>68.78</v>
      </c>
      <c r="K4" s="78" t="s">
        <v>77</v>
      </c>
      <c r="L4" s="79">
        <v>1253.0</v>
      </c>
      <c r="M4" s="80">
        <f>SUMIF(E3:H32,L4,H3:H34)</f>
        <v>7154</v>
      </c>
      <c r="N4" s="79"/>
      <c r="O4" s="80">
        <f t="shared" si="3"/>
        <v>0</v>
      </c>
      <c r="P4" s="80">
        <f t="shared" si="4"/>
        <v>7154</v>
      </c>
      <c r="Q4" s="67"/>
      <c r="R4" s="67"/>
      <c r="S4" s="67"/>
      <c r="T4" s="67"/>
      <c r="U4" s="67"/>
      <c r="V4" s="67"/>
      <c r="W4" s="67"/>
      <c r="X4" s="67"/>
    </row>
    <row r="5" ht="48.75" customHeight="1">
      <c r="A5" s="70"/>
      <c r="B5" s="71">
        <v>33581.0</v>
      </c>
      <c r="C5" s="72" t="s">
        <v>78</v>
      </c>
      <c r="D5" s="73">
        <v>46031.0</v>
      </c>
      <c r="E5" s="72">
        <v>1128.0</v>
      </c>
      <c r="F5" s="74">
        <v>4049.1</v>
      </c>
      <c r="G5" s="75">
        <v>85.49</v>
      </c>
      <c r="H5" s="76">
        <f>4049.1-G5</f>
        <v>3963.61</v>
      </c>
      <c r="I5" s="77">
        <f t="shared" si="1"/>
        <v>65.399565</v>
      </c>
      <c r="J5" s="77">
        <f t="shared" si="2"/>
        <v>301.23436</v>
      </c>
      <c r="K5" s="78" t="s">
        <v>79</v>
      </c>
      <c r="L5" s="79">
        <v>1303.0</v>
      </c>
      <c r="M5" s="80">
        <f>SUMIF(E3:E34,L5,H3:H34)</f>
        <v>7503.33</v>
      </c>
      <c r="N5" s="79">
        <v>2303.0</v>
      </c>
      <c r="O5" s="80">
        <f>SUMIF(B3:J332,N5,H3:H332)</f>
        <v>0</v>
      </c>
      <c r="P5" s="80">
        <f t="shared" si="4"/>
        <v>7503.33</v>
      </c>
      <c r="Q5" s="67"/>
      <c r="R5" s="67"/>
      <c r="S5" s="67"/>
      <c r="T5" s="67"/>
      <c r="U5" s="67"/>
      <c r="V5" s="67"/>
      <c r="W5" s="67"/>
      <c r="X5" s="67"/>
    </row>
    <row r="6" ht="54.0" customHeight="1">
      <c r="A6" s="70"/>
      <c r="B6" s="71">
        <v>57149.0</v>
      </c>
      <c r="C6" s="72" t="s">
        <v>73</v>
      </c>
      <c r="D6" s="73">
        <v>46034.0</v>
      </c>
      <c r="E6" s="72">
        <v>1128.0</v>
      </c>
      <c r="F6" s="74">
        <v>670.2</v>
      </c>
      <c r="G6" s="75" t="s">
        <v>74</v>
      </c>
      <c r="H6" s="76">
        <v>670.2</v>
      </c>
      <c r="I6" s="77">
        <f t="shared" si="1"/>
        <v>11.0583</v>
      </c>
      <c r="J6" s="77">
        <f t="shared" si="2"/>
        <v>50.9352</v>
      </c>
      <c r="K6" s="78" t="s">
        <v>80</v>
      </c>
      <c r="L6" s="79">
        <v>1353.0</v>
      </c>
      <c r="M6" s="80">
        <f>SUMIF(E3:E34,L6,H3:H34)</f>
        <v>0</v>
      </c>
      <c r="N6" s="79">
        <v>2353.0</v>
      </c>
      <c r="O6" s="80">
        <f>SUMIF(B3:J32,N6,H3:H32)</f>
        <v>0</v>
      </c>
      <c r="P6" s="80">
        <f t="shared" si="4"/>
        <v>0</v>
      </c>
      <c r="Q6" s="67"/>
      <c r="R6" s="67"/>
      <c r="S6" s="67"/>
      <c r="T6" s="67"/>
      <c r="U6" s="67"/>
      <c r="V6" s="67"/>
      <c r="W6" s="67"/>
      <c r="X6" s="67"/>
    </row>
    <row r="7" ht="24.75" customHeight="1">
      <c r="A7" s="70"/>
      <c r="B7" s="71">
        <v>19297.0</v>
      </c>
      <c r="C7" s="72" t="s">
        <v>81</v>
      </c>
      <c r="D7" s="73">
        <v>46035.0</v>
      </c>
      <c r="E7" s="72">
        <v>1128.0</v>
      </c>
      <c r="F7" s="74">
        <v>633.5</v>
      </c>
      <c r="G7" s="75" t="s">
        <v>74</v>
      </c>
      <c r="H7" s="76">
        <v>633.5</v>
      </c>
      <c r="I7" s="77">
        <f t="shared" si="1"/>
        <v>10.45275</v>
      </c>
      <c r="J7" s="77">
        <f t="shared" si="2"/>
        <v>48.146</v>
      </c>
      <c r="K7" s="78" t="s">
        <v>82</v>
      </c>
      <c r="L7" s="79">
        <v>1910.0</v>
      </c>
      <c r="M7" s="80">
        <f>SUMIF(E3:E34,L7,H3:H34)</f>
        <v>0</v>
      </c>
      <c r="N7" s="79">
        <v>2910.0</v>
      </c>
      <c r="O7" s="80">
        <f>SUMIF(B3:J64,N7,H3:H64)</f>
        <v>0</v>
      </c>
      <c r="P7" s="80">
        <f t="shared" si="4"/>
        <v>0</v>
      </c>
      <c r="Q7" s="67"/>
      <c r="R7" s="67"/>
      <c r="S7" s="67"/>
      <c r="T7" s="67"/>
      <c r="U7" s="67"/>
      <c r="V7" s="67"/>
      <c r="W7" s="67"/>
      <c r="X7" s="67"/>
    </row>
    <row r="8" ht="18.75" customHeight="1">
      <c r="A8" s="70"/>
      <c r="B8" s="71">
        <v>103520.0</v>
      </c>
      <c r="C8" s="72" t="s">
        <v>83</v>
      </c>
      <c r="D8" s="73">
        <v>46036.0</v>
      </c>
      <c r="E8" s="72">
        <v>1128.0</v>
      </c>
      <c r="F8" s="74">
        <v>1471.5</v>
      </c>
      <c r="G8" s="75">
        <v>317.3</v>
      </c>
      <c r="H8" s="76">
        <f>1471.5-G8</f>
        <v>1154.2</v>
      </c>
      <c r="I8" s="77">
        <f t="shared" si="1"/>
        <v>19.0443</v>
      </c>
      <c r="J8" s="77">
        <f t="shared" si="2"/>
        <v>87.7192</v>
      </c>
      <c r="K8" s="78" t="s">
        <v>84</v>
      </c>
      <c r="L8" s="79">
        <v>1551.0</v>
      </c>
      <c r="M8" s="80">
        <f>SUMIF(E3:H32,L8,H3:H32)</f>
        <v>0</v>
      </c>
      <c r="N8" s="79">
        <v>2551.0</v>
      </c>
      <c r="O8" s="80">
        <f>SUMIF(E3:H32,N8,H3:H32)</f>
        <v>0</v>
      </c>
      <c r="P8" s="80">
        <f t="shared" si="4"/>
        <v>0</v>
      </c>
      <c r="Q8" s="67"/>
      <c r="R8" s="67"/>
      <c r="S8" s="67"/>
      <c r="T8" s="67"/>
      <c r="U8" s="67"/>
      <c r="V8" s="67"/>
      <c r="W8" s="67"/>
      <c r="X8" s="67"/>
    </row>
    <row r="9">
      <c r="A9" s="70"/>
      <c r="B9" s="71">
        <v>28034.0</v>
      </c>
      <c r="C9" s="72" t="s">
        <v>85</v>
      </c>
      <c r="D9" s="73">
        <v>46042.0</v>
      </c>
      <c r="E9" s="72">
        <v>1128.0</v>
      </c>
      <c r="F9" s="74">
        <v>189.5</v>
      </c>
      <c r="G9" s="75" t="s">
        <v>74</v>
      </c>
      <c r="H9" s="76">
        <v>189.5</v>
      </c>
      <c r="I9" s="77">
        <f t="shared" si="1"/>
        <v>3.12675</v>
      </c>
      <c r="J9" s="77">
        <f t="shared" si="2"/>
        <v>14.402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</row>
    <row r="10" ht="30.75" customHeight="1">
      <c r="A10" s="70"/>
      <c r="B10" s="71">
        <v>8077.0</v>
      </c>
      <c r="C10" s="72" t="s">
        <v>86</v>
      </c>
      <c r="D10" s="73">
        <v>46049.0</v>
      </c>
      <c r="E10" s="72">
        <v>1128.0</v>
      </c>
      <c r="F10" s="74">
        <v>500.0</v>
      </c>
      <c r="G10" s="75" t="s">
        <v>74</v>
      </c>
      <c r="H10" s="76">
        <v>500.0</v>
      </c>
      <c r="I10" s="77">
        <f t="shared" si="1"/>
        <v>8.25</v>
      </c>
      <c r="J10" s="77">
        <f t="shared" si="2"/>
        <v>38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</row>
    <row r="11" ht="22.5" customHeight="1">
      <c r="A11" s="70"/>
      <c r="B11" s="71">
        <v>1051.0</v>
      </c>
      <c r="C11" s="72" t="s">
        <v>87</v>
      </c>
      <c r="D11" s="73">
        <v>46052.0</v>
      </c>
      <c r="E11" s="72">
        <v>1128.0</v>
      </c>
      <c r="F11" s="74">
        <v>1106.1</v>
      </c>
      <c r="G11" s="75" t="s">
        <v>74</v>
      </c>
      <c r="H11" s="76">
        <v>1106.1</v>
      </c>
      <c r="I11" s="77">
        <f t="shared" si="1"/>
        <v>18.25065</v>
      </c>
      <c r="J11" s="77">
        <f t="shared" si="2"/>
        <v>84.0636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</row>
    <row r="12">
      <c r="A12" s="70"/>
      <c r="B12" s="71">
        <v>4.6666074E7</v>
      </c>
      <c r="C12" s="72" t="s">
        <v>88</v>
      </c>
      <c r="D12" s="73">
        <v>46028.0</v>
      </c>
      <c r="E12" s="72">
        <v>1253.0</v>
      </c>
      <c r="F12" s="74">
        <v>0.0</v>
      </c>
      <c r="G12" s="75" t="s">
        <v>74</v>
      </c>
      <c r="H12" s="76">
        <v>0.0</v>
      </c>
      <c r="I12" s="77">
        <f t="shared" si="1"/>
        <v>0</v>
      </c>
      <c r="J12" s="77">
        <f t="shared" si="2"/>
        <v>0</v>
      </c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</row>
    <row r="13">
      <c r="A13" s="70"/>
      <c r="B13" s="71">
        <v>4.6836717E7</v>
      </c>
      <c r="C13" s="72" t="s">
        <v>88</v>
      </c>
      <c r="D13" s="73">
        <v>46029.0</v>
      </c>
      <c r="E13" s="72">
        <v>1253.0</v>
      </c>
      <c r="F13" s="74">
        <v>1101.97</v>
      </c>
      <c r="G13" s="75" t="s">
        <v>74</v>
      </c>
      <c r="H13" s="76">
        <v>1101.97</v>
      </c>
      <c r="I13" s="77">
        <f t="shared" si="1"/>
        <v>18.182505</v>
      </c>
      <c r="J13" s="77">
        <f t="shared" si="2"/>
        <v>83.74972</v>
      </c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</row>
    <row r="14">
      <c r="A14" s="70"/>
      <c r="B14" s="71">
        <v>4.6836718E7</v>
      </c>
      <c r="C14" s="72" t="s">
        <v>88</v>
      </c>
      <c r="D14" s="73">
        <v>46029.0</v>
      </c>
      <c r="E14" s="72">
        <v>1253.0</v>
      </c>
      <c r="F14" s="74">
        <v>815.24</v>
      </c>
      <c r="G14" s="75" t="s">
        <v>74</v>
      </c>
      <c r="H14" s="76">
        <v>815.24</v>
      </c>
      <c r="I14" s="77">
        <f t="shared" si="1"/>
        <v>13.45146</v>
      </c>
      <c r="J14" s="77">
        <f t="shared" si="2"/>
        <v>61.95824</v>
      </c>
      <c r="K14" s="67"/>
      <c r="L14" s="67"/>
      <c r="M14" s="81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</row>
    <row r="15">
      <c r="A15" s="70"/>
      <c r="B15" s="71">
        <v>4.8109937E7</v>
      </c>
      <c r="C15" s="72" t="s">
        <v>88</v>
      </c>
      <c r="D15" s="73">
        <v>46045.0</v>
      </c>
      <c r="E15" s="72">
        <v>1253.0</v>
      </c>
      <c r="F15" s="74">
        <v>212.8</v>
      </c>
      <c r="G15" s="75" t="s">
        <v>74</v>
      </c>
      <c r="H15" s="76">
        <v>212.8</v>
      </c>
      <c r="I15" s="77">
        <f t="shared" si="1"/>
        <v>3.5112</v>
      </c>
      <c r="J15" s="77">
        <f t="shared" si="2"/>
        <v>16.1728</v>
      </c>
      <c r="K15" s="67"/>
      <c r="L15" s="67"/>
      <c r="M15" s="81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</row>
    <row r="16">
      <c r="A16" s="70"/>
      <c r="B16" s="71">
        <v>4.8138645E7</v>
      </c>
      <c r="C16" s="72" t="s">
        <v>88</v>
      </c>
      <c r="D16" s="73">
        <v>46048.0</v>
      </c>
      <c r="E16" s="72">
        <v>1253.0</v>
      </c>
      <c r="F16" s="74">
        <v>128.93</v>
      </c>
      <c r="G16" s="75" t="s">
        <v>74</v>
      </c>
      <c r="H16" s="76">
        <v>128.93</v>
      </c>
      <c r="I16" s="77">
        <f t="shared" si="1"/>
        <v>2.127345</v>
      </c>
      <c r="J16" s="77">
        <f t="shared" si="2"/>
        <v>9.79868</v>
      </c>
      <c r="K16" s="67"/>
      <c r="L16" s="67"/>
      <c r="M16" s="81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</row>
    <row r="17">
      <c r="A17" s="70"/>
      <c r="B17" s="71">
        <v>4.8222025E7</v>
      </c>
      <c r="C17" s="72" t="s">
        <v>88</v>
      </c>
      <c r="D17" s="73">
        <v>46049.0</v>
      </c>
      <c r="E17" s="72">
        <v>1253.0</v>
      </c>
      <c r="F17" s="74">
        <v>194.02</v>
      </c>
      <c r="G17" s="75" t="s">
        <v>74</v>
      </c>
      <c r="H17" s="76">
        <v>194.02</v>
      </c>
      <c r="I17" s="77">
        <f t="shared" si="1"/>
        <v>3.20133</v>
      </c>
      <c r="J17" s="77">
        <f t="shared" si="2"/>
        <v>14.74552</v>
      </c>
      <c r="K17" s="67"/>
      <c r="L17" s="67"/>
      <c r="M17" s="81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</row>
    <row r="18">
      <c r="A18" s="70"/>
      <c r="B18" s="71">
        <v>4.8222026E7</v>
      </c>
      <c r="C18" s="72" t="s">
        <v>88</v>
      </c>
      <c r="D18" s="73">
        <v>46049.0</v>
      </c>
      <c r="E18" s="72">
        <v>1253.0</v>
      </c>
      <c r="F18" s="74">
        <v>577.04</v>
      </c>
      <c r="G18" s="75" t="s">
        <v>74</v>
      </c>
      <c r="H18" s="76">
        <v>577.04</v>
      </c>
      <c r="I18" s="77">
        <f t="shared" si="1"/>
        <v>9.52116</v>
      </c>
      <c r="J18" s="77">
        <f t="shared" si="2"/>
        <v>43.85504</v>
      </c>
      <c r="K18" s="67"/>
      <c r="L18" s="67"/>
      <c r="M18" s="81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</row>
    <row r="19">
      <c r="A19" s="70"/>
      <c r="B19" s="71">
        <v>4.8222027E7</v>
      </c>
      <c r="C19" s="72" t="s">
        <v>88</v>
      </c>
      <c r="D19" s="73">
        <v>46049.0</v>
      </c>
      <c r="E19" s="72">
        <v>1253.0</v>
      </c>
      <c r="F19" s="74">
        <v>1141.54</v>
      </c>
      <c r="G19" s="75" t="s">
        <v>74</v>
      </c>
      <c r="H19" s="76">
        <v>1141.54</v>
      </c>
      <c r="I19" s="77">
        <f t="shared" si="1"/>
        <v>18.83541</v>
      </c>
      <c r="J19" s="77">
        <f t="shared" si="2"/>
        <v>86.75704</v>
      </c>
      <c r="K19" s="67"/>
      <c r="L19" s="67"/>
      <c r="M19" s="81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</row>
    <row r="20">
      <c r="A20" s="70"/>
      <c r="B20" s="71">
        <v>4.8084406E7</v>
      </c>
      <c r="C20" s="72" t="s">
        <v>88</v>
      </c>
      <c r="D20" s="73">
        <v>46050.0</v>
      </c>
      <c r="E20" s="72">
        <v>1253.0</v>
      </c>
      <c r="F20" s="74">
        <v>2202.4</v>
      </c>
      <c r="G20" s="75" t="s">
        <v>74</v>
      </c>
      <c r="H20" s="76">
        <v>2202.4</v>
      </c>
      <c r="I20" s="77">
        <f t="shared" si="1"/>
        <v>36.3396</v>
      </c>
      <c r="J20" s="77">
        <f t="shared" si="2"/>
        <v>167.3824</v>
      </c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</row>
    <row r="21">
      <c r="A21" s="70"/>
      <c r="B21" s="71">
        <v>4.8248895E7</v>
      </c>
      <c r="C21" s="72" t="s">
        <v>88</v>
      </c>
      <c r="D21" s="73">
        <v>46050.0</v>
      </c>
      <c r="E21" s="72">
        <v>1253.0</v>
      </c>
      <c r="F21" s="74">
        <v>780.06</v>
      </c>
      <c r="G21" s="75" t="s">
        <v>74</v>
      </c>
      <c r="H21" s="76">
        <v>780.06</v>
      </c>
      <c r="I21" s="77">
        <f t="shared" si="1"/>
        <v>12.87099</v>
      </c>
      <c r="J21" s="77">
        <f t="shared" si="2"/>
        <v>59.28456</v>
      </c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</row>
    <row r="22">
      <c r="A22" s="70"/>
      <c r="B22" s="71">
        <v>119577.0</v>
      </c>
      <c r="C22" s="72" t="s">
        <v>89</v>
      </c>
      <c r="D22" s="73">
        <v>46028.0</v>
      </c>
      <c r="E22" s="72">
        <v>1303.0</v>
      </c>
      <c r="F22" s="74">
        <v>136.07</v>
      </c>
      <c r="G22" s="75" t="s">
        <v>74</v>
      </c>
      <c r="H22" s="76">
        <v>136.07</v>
      </c>
      <c r="I22" s="77">
        <f t="shared" si="1"/>
        <v>2.245155</v>
      </c>
      <c r="J22" s="77">
        <f t="shared" si="2"/>
        <v>10.34132</v>
      </c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</row>
    <row r="23">
      <c r="A23" s="70"/>
      <c r="B23" s="71">
        <v>726314.0</v>
      </c>
      <c r="C23" s="72" t="s">
        <v>90</v>
      </c>
      <c r="D23" s="73">
        <v>46035.0</v>
      </c>
      <c r="E23" s="72">
        <v>1303.0</v>
      </c>
      <c r="F23" s="74">
        <v>1075.1</v>
      </c>
      <c r="G23" s="75" t="s">
        <v>74</v>
      </c>
      <c r="H23" s="76">
        <v>1075.1</v>
      </c>
      <c r="I23" s="77">
        <f t="shared" si="1"/>
        <v>17.73915</v>
      </c>
      <c r="J23" s="77">
        <f t="shared" si="2"/>
        <v>81.7076</v>
      </c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</row>
    <row r="24">
      <c r="A24" s="70"/>
      <c r="B24" s="71">
        <v>726316.0</v>
      </c>
      <c r="C24" s="72" t="s">
        <v>90</v>
      </c>
      <c r="D24" s="73">
        <v>46035.0</v>
      </c>
      <c r="E24" s="72">
        <v>1303.0</v>
      </c>
      <c r="F24" s="74">
        <v>274.95</v>
      </c>
      <c r="G24" s="75" t="s">
        <v>74</v>
      </c>
      <c r="H24" s="76">
        <v>274.95</v>
      </c>
      <c r="I24" s="77">
        <f t="shared" si="1"/>
        <v>4.536675</v>
      </c>
      <c r="J24" s="77">
        <f t="shared" si="2"/>
        <v>20.8962</v>
      </c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</row>
    <row r="25">
      <c r="A25" s="70"/>
      <c r="B25" s="71">
        <v>131404.0</v>
      </c>
      <c r="C25" s="72" t="s">
        <v>89</v>
      </c>
      <c r="D25" s="73">
        <v>46036.0</v>
      </c>
      <c r="E25" s="72">
        <v>1303.0</v>
      </c>
      <c r="F25" s="74">
        <v>4439.86</v>
      </c>
      <c r="G25" s="75" t="s">
        <v>74</v>
      </c>
      <c r="H25" s="76">
        <v>4439.86</v>
      </c>
      <c r="I25" s="77">
        <f t="shared" si="1"/>
        <v>73.25769</v>
      </c>
      <c r="J25" s="77">
        <f t="shared" si="2"/>
        <v>337.42936</v>
      </c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>
      <c r="A26" s="70"/>
      <c r="B26" s="71">
        <v>136179.0</v>
      </c>
      <c r="C26" s="72" t="s">
        <v>89</v>
      </c>
      <c r="D26" s="73">
        <v>46051.0</v>
      </c>
      <c r="E26" s="72">
        <v>1303.0</v>
      </c>
      <c r="F26" s="74">
        <v>1475.58</v>
      </c>
      <c r="G26" s="75" t="s">
        <v>74</v>
      </c>
      <c r="H26" s="76">
        <v>1475.58</v>
      </c>
      <c r="I26" s="77">
        <f t="shared" si="1"/>
        <v>24.34707</v>
      </c>
      <c r="J26" s="77">
        <f t="shared" si="2"/>
        <v>112.14408</v>
      </c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>
      <c r="A27" s="70"/>
      <c r="B27" s="71">
        <v>140739.0</v>
      </c>
      <c r="C27" s="72" t="s">
        <v>89</v>
      </c>
      <c r="D27" s="73">
        <v>46051.0</v>
      </c>
      <c r="E27" s="72">
        <v>1303.0</v>
      </c>
      <c r="F27" s="74">
        <v>58.46</v>
      </c>
      <c r="G27" s="75" t="s">
        <v>74</v>
      </c>
      <c r="H27" s="76">
        <v>58.46</v>
      </c>
      <c r="I27" s="77">
        <f t="shared" si="1"/>
        <v>0.96459</v>
      </c>
      <c r="J27" s="77">
        <f t="shared" si="2"/>
        <v>4.44296</v>
      </c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  <row r="28">
      <c r="A28" s="70"/>
      <c r="B28" s="71">
        <v>142761.0</v>
      </c>
      <c r="C28" s="72" t="s">
        <v>89</v>
      </c>
      <c r="D28" s="73">
        <v>46051.0</v>
      </c>
      <c r="E28" s="72">
        <v>1303.0</v>
      </c>
      <c r="F28" s="74">
        <v>43.31</v>
      </c>
      <c r="G28" s="75" t="s">
        <v>74</v>
      </c>
      <c r="H28" s="76">
        <v>43.31</v>
      </c>
      <c r="I28" s="77">
        <f t="shared" si="1"/>
        <v>0.714615</v>
      </c>
      <c r="J28" s="77">
        <f t="shared" si="2"/>
        <v>3.29156</v>
      </c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</row>
    <row r="29" ht="33.75" customHeight="1">
      <c r="A29" s="70"/>
      <c r="B29" s="72">
        <v>26639.0</v>
      </c>
      <c r="C29" s="72" t="s">
        <v>91</v>
      </c>
      <c r="D29" s="73">
        <v>46031.0</v>
      </c>
      <c r="E29" s="72">
        <v>1556.0</v>
      </c>
      <c r="F29" s="74">
        <v>579.0</v>
      </c>
      <c r="G29" s="75">
        <v>69.48</v>
      </c>
      <c r="H29" s="76">
        <f>579-G29</f>
        <v>509.52</v>
      </c>
      <c r="I29" s="77">
        <f t="shared" si="1"/>
        <v>8.40708</v>
      </c>
      <c r="J29" s="77">
        <f t="shared" si="2"/>
        <v>38.72352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</row>
    <row r="30" ht="39.75" customHeight="1">
      <c r="A30" s="70"/>
      <c r="B30" s="72">
        <v>26666.0</v>
      </c>
      <c r="C30" s="72" t="s">
        <v>91</v>
      </c>
      <c r="D30" s="73">
        <v>46034.0</v>
      </c>
      <c r="E30" s="72">
        <v>1556.0</v>
      </c>
      <c r="F30" s="74">
        <v>1158.0</v>
      </c>
      <c r="G30" s="75">
        <v>138.96</v>
      </c>
      <c r="H30" s="76">
        <f>1158-G30</f>
        <v>1019.04</v>
      </c>
      <c r="I30" s="77">
        <f t="shared" si="1"/>
        <v>16.81416</v>
      </c>
      <c r="J30" s="77">
        <f t="shared" si="2"/>
        <v>77.44704</v>
      </c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</row>
    <row r="31" ht="18.75" customHeight="1">
      <c r="A31" s="67"/>
      <c r="B31" s="82"/>
      <c r="C31" s="82"/>
      <c r="D31" s="83"/>
      <c r="E31" s="82"/>
      <c r="F31" s="77"/>
      <c r="G31" s="84"/>
      <c r="H31" s="77"/>
      <c r="I31" s="77"/>
      <c r="J31" s="7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</row>
    <row r="32" ht="18.75" customHeight="1">
      <c r="A32" s="67"/>
      <c r="B32" s="82"/>
      <c r="C32" s="82"/>
      <c r="D32" s="83"/>
      <c r="E32" s="82"/>
      <c r="F32" s="77"/>
      <c r="G32" s="84"/>
      <c r="H32" s="77"/>
      <c r="I32" s="77"/>
      <c r="J32" s="7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</row>
    <row r="33" ht="18.75" customHeight="1">
      <c r="A33" s="67"/>
      <c r="B33" s="67"/>
      <c r="C33" s="67"/>
      <c r="D33" s="67"/>
      <c r="E33" s="85"/>
      <c r="F33" s="16"/>
      <c r="G33" s="86"/>
      <c r="H33" s="86"/>
      <c r="I33" s="87"/>
      <c r="J33" s="8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</row>
    <row r="34" ht="15.75" customHeight="1">
      <c r="A34" s="67"/>
      <c r="B34" s="67"/>
      <c r="C34" s="67"/>
      <c r="D34" s="67"/>
      <c r="E34" s="85"/>
      <c r="F34" s="16"/>
      <c r="G34" s="86"/>
      <c r="H34" s="86"/>
      <c r="I34" s="87"/>
      <c r="J34" s="8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</row>
    <row r="35" ht="21.75" customHeight="1">
      <c r="A35" s="67"/>
      <c r="B35" s="67"/>
      <c r="C35" s="67"/>
      <c r="D35" s="67"/>
      <c r="E35" s="85"/>
      <c r="F35" s="16"/>
      <c r="G35" s="86"/>
      <c r="H35" s="86"/>
      <c r="I35" s="87"/>
      <c r="J35" s="8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</row>
    <row r="36" ht="21.75" customHeight="1">
      <c r="A36" s="67"/>
      <c r="B36" s="67"/>
      <c r="C36" s="67"/>
      <c r="D36" s="67"/>
      <c r="E36" s="85"/>
      <c r="F36" s="16"/>
      <c r="G36" s="86"/>
      <c r="H36" s="86"/>
      <c r="I36" s="87"/>
      <c r="J36" s="8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</row>
    <row r="37" ht="23.25" customHeight="1">
      <c r="A37" s="67"/>
      <c r="B37" s="67"/>
      <c r="C37" s="67"/>
      <c r="D37" s="67"/>
      <c r="E37" s="85"/>
      <c r="F37" s="16"/>
      <c r="G37" s="86"/>
      <c r="H37" s="86"/>
      <c r="I37" s="87"/>
      <c r="J37" s="8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</row>
    <row r="38" ht="27.0" customHeight="1">
      <c r="A38" s="67"/>
      <c r="B38" s="67"/>
      <c r="C38" s="67"/>
      <c r="D38" s="67"/>
      <c r="E38" s="85"/>
      <c r="F38" s="16"/>
      <c r="G38" s="86"/>
      <c r="H38" s="86"/>
      <c r="I38" s="87"/>
      <c r="J38" s="8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</row>
    <row r="39" ht="24.0" customHeight="1">
      <c r="A39" s="67"/>
      <c r="B39" s="67"/>
      <c r="C39" s="67"/>
      <c r="D39" s="67"/>
      <c r="E39" s="85"/>
      <c r="F39" s="16"/>
      <c r="G39" s="86"/>
      <c r="H39" s="86"/>
      <c r="I39" s="87"/>
      <c r="J39" s="8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</row>
    <row r="40" ht="24.75" customHeight="1">
      <c r="A40" s="67"/>
      <c r="B40" s="67"/>
      <c r="C40" s="67"/>
      <c r="D40" s="67"/>
      <c r="E40" s="85"/>
      <c r="F40" s="16"/>
      <c r="G40" s="86"/>
      <c r="H40" s="86"/>
      <c r="I40" s="87"/>
      <c r="J40" s="87"/>
      <c r="K40" s="88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</row>
    <row r="41" ht="24.75" customHeight="1">
      <c r="A41" s="67"/>
      <c r="B41" s="67"/>
      <c r="C41" s="67"/>
      <c r="D41" s="67"/>
      <c r="E41" s="85"/>
      <c r="F41" s="16"/>
      <c r="G41" s="86"/>
      <c r="H41" s="86"/>
      <c r="I41" s="87"/>
      <c r="J41" s="8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</row>
    <row r="42" ht="22.5" customHeight="1">
      <c r="A42" s="67"/>
      <c r="B42" s="67"/>
      <c r="C42" s="67"/>
      <c r="D42" s="67"/>
      <c r="E42" s="85"/>
      <c r="F42" s="16"/>
      <c r="G42" s="86"/>
      <c r="H42" s="86"/>
      <c r="I42" s="87"/>
      <c r="J42" s="8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</row>
    <row r="43" ht="38.25" customHeight="1">
      <c r="A43" s="67"/>
      <c r="B43" s="67"/>
      <c r="C43" s="67"/>
      <c r="D43" s="67"/>
      <c r="E43" s="85"/>
      <c r="F43" s="16"/>
      <c r="G43" s="86"/>
      <c r="H43" s="86"/>
      <c r="I43" s="87"/>
      <c r="J43" s="8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</row>
    <row r="44" ht="27.0" customHeight="1">
      <c r="A44" s="67"/>
      <c r="B44" s="67"/>
      <c r="C44" s="67"/>
      <c r="D44" s="67"/>
      <c r="E44" s="85"/>
      <c r="F44" s="16"/>
      <c r="G44" s="86"/>
      <c r="H44" s="86"/>
      <c r="I44" s="87"/>
      <c r="J44" s="8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</row>
    <row r="45" ht="27.75" customHeight="1">
      <c r="A45" s="67"/>
      <c r="B45" s="67"/>
      <c r="C45" s="67"/>
      <c r="D45" s="67"/>
      <c r="E45" s="85"/>
      <c r="F45" s="16"/>
      <c r="G45" s="86"/>
      <c r="H45" s="86"/>
      <c r="I45" s="87"/>
      <c r="J45" s="8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</row>
    <row r="46" ht="32.25" customHeight="1">
      <c r="A46" s="67"/>
      <c r="B46" s="67"/>
      <c r="C46" s="67"/>
      <c r="D46" s="67"/>
      <c r="E46" s="85"/>
      <c r="F46" s="16"/>
      <c r="G46" s="86"/>
      <c r="H46" s="86"/>
      <c r="I46" s="87"/>
      <c r="J46" s="8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</row>
    <row r="47" ht="27.75" customHeight="1">
      <c r="A47" s="67"/>
      <c r="B47" s="67"/>
      <c r="C47" s="67"/>
      <c r="D47" s="67"/>
      <c r="E47" s="85"/>
      <c r="F47" s="16"/>
      <c r="G47" s="86"/>
      <c r="H47" s="86"/>
      <c r="I47" s="87"/>
      <c r="J47" s="8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</row>
    <row r="48" ht="28.5" customHeight="1">
      <c r="A48" s="67"/>
      <c r="B48" s="67"/>
      <c r="C48" s="67"/>
      <c r="D48" s="67"/>
      <c r="E48" s="85"/>
      <c r="G48" s="86"/>
      <c r="H48" s="86"/>
      <c r="I48" s="87"/>
      <c r="J48" s="8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</row>
    <row r="49" ht="15.75" customHeight="1">
      <c r="A49" s="67"/>
      <c r="B49" s="67"/>
      <c r="C49" s="67"/>
      <c r="D49" s="67"/>
      <c r="E49" s="85"/>
      <c r="G49" s="86"/>
      <c r="H49" s="86"/>
      <c r="I49" s="87"/>
      <c r="J49" s="8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</row>
    <row r="50" ht="15.75" customHeight="1">
      <c r="A50" s="67"/>
      <c r="B50" s="67"/>
      <c r="C50" s="67"/>
      <c r="D50" s="67"/>
      <c r="E50" s="85"/>
      <c r="G50" s="86"/>
      <c r="H50" s="86"/>
      <c r="I50" s="87"/>
      <c r="J50" s="8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</row>
    <row r="51" ht="15.75" customHeight="1">
      <c r="A51" s="67"/>
      <c r="B51" s="67"/>
      <c r="C51" s="67"/>
      <c r="D51" s="67"/>
      <c r="E51" s="85"/>
      <c r="G51" s="86"/>
      <c r="H51" s="86"/>
      <c r="I51" s="87"/>
      <c r="J51" s="8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</row>
    <row r="52" ht="15.75" customHeight="1">
      <c r="A52" s="67"/>
      <c r="B52" s="67"/>
      <c r="C52" s="67"/>
      <c r="D52" s="67"/>
      <c r="E52" s="85"/>
      <c r="G52" s="86"/>
      <c r="H52" s="86"/>
      <c r="I52" s="87"/>
      <c r="J52" s="8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</row>
    <row r="53" ht="15.75" customHeight="1">
      <c r="A53" s="67"/>
      <c r="B53" s="67"/>
      <c r="C53" s="67"/>
      <c r="D53" s="67"/>
      <c r="E53" s="85"/>
      <c r="G53" s="86"/>
      <c r="H53" s="86"/>
      <c r="I53" s="87"/>
      <c r="J53" s="8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</row>
    <row r="54" ht="15.75" customHeight="1">
      <c r="A54" s="67"/>
      <c r="B54" s="67"/>
      <c r="C54" s="67"/>
      <c r="D54" s="67"/>
      <c r="E54" s="85"/>
      <c r="G54" s="86"/>
      <c r="H54" s="86"/>
      <c r="I54" s="87"/>
      <c r="J54" s="8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</row>
    <row r="55" ht="15.75" customHeight="1">
      <c r="A55" s="67"/>
      <c r="B55" s="67"/>
      <c r="C55" s="67"/>
      <c r="D55" s="67"/>
      <c r="E55" s="85"/>
      <c r="G55" s="86"/>
      <c r="H55" s="86"/>
      <c r="I55" s="87"/>
      <c r="J55" s="8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</row>
    <row r="56" ht="15.75" customHeight="1">
      <c r="A56" s="67"/>
      <c r="B56" s="67"/>
      <c r="C56" s="67"/>
      <c r="D56" s="67"/>
      <c r="E56" s="85"/>
      <c r="G56" s="86"/>
      <c r="H56" s="86"/>
      <c r="I56" s="87"/>
      <c r="J56" s="8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</row>
    <row r="57" ht="15.75" customHeight="1">
      <c r="A57" s="67"/>
      <c r="B57" s="67"/>
      <c r="C57" s="67"/>
      <c r="D57" s="67"/>
      <c r="E57" s="85"/>
      <c r="G57" s="86"/>
      <c r="H57" s="86"/>
      <c r="I57" s="87"/>
      <c r="J57" s="8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</row>
    <row r="58" ht="15.75" customHeight="1">
      <c r="A58" s="67"/>
      <c r="B58" s="67"/>
      <c r="C58" s="67"/>
      <c r="D58" s="67"/>
      <c r="E58" s="85"/>
      <c r="G58" s="86"/>
      <c r="H58" s="86"/>
      <c r="I58" s="87"/>
      <c r="J58" s="8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</row>
    <row r="59" ht="15.75" customHeight="1">
      <c r="A59" s="67"/>
      <c r="B59" s="67"/>
      <c r="C59" s="67"/>
      <c r="D59" s="67"/>
      <c r="E59" s="85"/>
      <c r="G59" s="86"/>
      <c r="H59" s="86"/>
      <c r="I59" s="87"/>
      <c r="J59" s="8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</row>
    <row r="60" ht="15.75" customHeight="1">
      <c r="A60" s="67"/>
      <c r="B60" s="67"/>
      <c r="C60" s="67"/>
      <c r="D60" s="67"/>
      <c r="E60" s="85"/>
      <c r="G60" s="86"/>
      <c r="H60" s="86"/>
      <c r="I60" s="87"/>
      <c r="J60" s="8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</row>
    <row r="61" ht="15.75" customHeight="1">
      <c r="A61" s="67"/>
      <c r="B61" s="67"/>
      <c r="C61" s="67"/>
      <c r="D61" s="67"/>
      <c r="E61" s="85"/>
      <c r="G61" s="86"/>
      <c r="H61" s="86"/>
      <c r="I61" s="87"/>
      <c r="J61" s="8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</row>
    <row r="62" ht="15.75" customHeight="1">
      <c r="A62" s="67"/>
      <c r="B62" s="67"/>
      <c r="C62" s="67"/>
      <c r="D62" s="67"/>
      <c r="E62" s="85"/>
      <c r="G62" s="86"/>
      <c r="H62" s="86"/>
      <c r="I62" s="87"/>
      <c r="J62" s="8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</row>
    <row r="63" ht="15.75" customHeight="1">
      <c r="A63" s="67"/>
      <c r="B63" s="67"/>
      <c r="C63" s="67"/>
      <c r="D63" s="67"/>
      <c r="E63" s="85"/>
      <c r="G63" s="86"/>
      <c r="H63" s="86"/>
      <c r="I63" s="87"/>
      <c r="J63" s="8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</row>
    <row r="64" ht="15.75" customHeight="1">
      <c r="A64" s="67"/>
      <c r="B64" s="67"/>
      <c r="C64" s="67"/>
      <c r="D64" s="67"/>
      <c r="E64" s="85"/>
      <c r="G64" s="86"/>
      <c r="H64" s="86"/>
      <c r="I64" s="87"/>
      <c r="J64" s="8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</row>
    <row r="65" ht="15.75" customHeight="1">
      <c r="A65" s="67"/>
      <c r="B65" s="67"/>
      <c r="C65" s="67"/>
      <c r="D65" s="67"/>
      <c r="E65" s="85"/>
      <c r="G65" s="86"/>
      <c r="H65" s="86"/>
      <c r="I65" s="87"/>
      <c r="J65" s="8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</row>
    <row r="66" ht="15.75" customHeight="1">
      <c r="A66" s="67"/>
      <c r="B66" s="67"/>
      <c r="C66" s="67"/>
      <c r="D66" s="67"/>
      <c r="E66" s="85"/>
      <c r="G66" s="86"/>
      <c r="H66" s="86"/>
      <c r="I66" s="87"/>
      <c r="J66" s="8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</row>
    <row r="67" ht="15.75" customHeight="1">
      <c r="A67" s="67"/>
      <c r="B67" s="67"/>
      <c r="C67" s="67"/>
      <c r="D67" s="67"/>
      <c r="E67" s="85"/>
      <c r="G67" s="86"/>
      <c r="H67" s="86"/>
      <c r="I67" s="87"/>
      <c r="J67" s="8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</row>
    <row r="68" ht="15.75" customHeight="1">
      <c r="A68" s="67"/>
      <c r="B68" s="67"/>
      <c r="C68" s="67"/>
      <c r="D68" s="67"/>
      <c r="E68" s="85"/>
      <c r="G68" s="86"/>
      <c r="H68" s="86"/>
      <c r="I68" s="87"/>
      <c r="J68" s="8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</row>
    <row r="69" ht="15.75" customHeight="1">
      <c r="A69" s="67"/>
      <c r="B69" s="67"/>
      <c r="C69" s="67"/>
      <c r="D69" s="67"/>
      <c r="E69" s="85"/>
      <c r="G69" s="86"/>
      <c r="H69" s="86"/>
      <c r="I69" s="87"/>
      <c r="J69" s="8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</row>
    <row r="70" ht="15.75" customHeight="1">
      <c r="A70" s="67"/>
      <c r="B70" s="67"/>
      <c r="C70" s="67"/>
      <c r="D70" s="67"/>
      <c r="E70" s="85"/>
      <c r="G70" s="86"/>
      <c r="H70" s="86"/>
      <c r="I70" s="87"/>
      <c r="J70" s="8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</row>
    <row r="71" ht="15.75" customHeight="1">
      <c r="A71" s="67"/>
      <c r="B71" s="67"/>
      <c r="C71" s="67"/>
      <c r="D71" s="67"/>
      <c r="E71" s="85"/>
      <c r="G71" s="86"/>
      <c r="H71" s="86"/>
      <c r="I71" s="87"/>
      <c r="J71" s="8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</row>
    <row r="72" ht="15.75" customHeight="1">
      <c r="A72" s="67"/>
      <c r="B72" s="67"/>
      <c r="C72" s="67"/>
      <c r="D72" s="67"/>
      <c r="E72" s="85"/>
      <c r="G72" s="86"/>
      <c r="H72" s="86"/>
      <c r="I72" s="87"/>
      <c r="J72" s="8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</row>
    <row r="73" ht="15.75" customHeight="1">
      <c r="A73" s="67"/>
      <c r="B73" s="67"/>
      <c r="C73" s="67"/>
      <c r="D73" s="67"/>
      <c r="E73" s="85"/>
      <c r="G73" s="86"/>
      <c r="H73" s="86"/>
      <c r="I73" s="87"/>
      <c r="J73" s="8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</row>
    <row r="74" ht="15.75" customHeight="1">
      <c r="A74" s="67"/>
      <c r="B74" s="67"/>
      <c r="C74" s="67"/>
      <c r="D74" s="67"/>
      <c r="E74" s="85"/>
      <c r="G74" s="86"/>
      <c r="H74" s="86"/>
      <c r="I74" s="87"/>
      <c r="J74" s="8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</row>
    <row r="75" ht="15.75" customHeight="1">
      <c r="A75" s="67"/>
      <c r="B75" s="67"/>
      <c r="C75" s="67"/>
      <c r="D75" s="67"/>
      <c r="E75" s="85"/>
      <c r="G75" s="86"/>
      <c r="H75" s="86"/>
      <c r="I75" s="87"/>
      <c r="J75" s="8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</row>
    <row r="76" ht="15.75" customHeight="1">
      <c r="A76" s="67"/>
      <c r="B76" s="67"/>
      <c r="C76" s="67"/>
      <c r="D76" s="67"/>
      <c r="E76" s="85"/>
      <c r="G76" s="86"/>
      <c r="H76" s="86"/>
      <c r="I76" s="87"/>
      <c r="J76" s="8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</row>
    <row r="77" ht="15.75" customHeight="1">
      <c r="A77" s="67"/>
      <c r="B77" s="67"/>
      <c r="C77" s="67"/>
      <c r="D77" s="67"/>
      <c r="E77" s="85"/>
      <c r="G77" s="86"/>
      <c r="H77" s="86"/>
      <c r="I77" s="87"/>
      <c r="J77" s="8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</row>
    <row r="78" ht="15.75" customHeight="1">
      <c r="A78" s="67"/>
      <c r="B78" s="67"/>
      <c r="C78" s="67"/>
      <c r="D78" s="67"/>
      <c r="E78" s="85"/>
      <c r="G78" s="86"/>
      <c r="H78" s="86"/>
      <c r="I78" s="87"/>
      <c r="J78" s="8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</row>
    <row r="79" ht="15.75" customHeight="1">
      <c r="A79" s="67"/>
      <c r="B79" s="67"/>
      <c r="C79" s="67"/>
      <c r="D79" s="67"/>
      <c r="E79" s="85"/>
      <c r="G79" s="86"/>
      <c r="H79" s="86"/>
      <c r="I79" s="87"/>
      <c r="J79" s="8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</row>
    <row r="80" ht="15.75" customHeight="1">
      <c r="A80" s="67"/>
      <c r="B80" s="67"/>
      <c r="C80" s="67"/>
      <c r="D80" s="67"/>
      <c r="E80" s="85"/>
      <c r="G80" s="86"/>
      <c r="H80" s="86"/>
      <c r="I80" s="87"/>
      <c r="J80" s="8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</row>
    <row r="81" ht="15.75" customHeight="1">
      <c r="A81" s="67"/>
      <c r="B81" s="67"/>
      <c r="C81" s="67"/>
      <c r="D81" s="67"/>
      <c r="E81" s="85"/>
      <c r="G81" s="86"/>
      <c r="H81" s="86"/>
      <c r="I81" s="87"/>
      <c r="J81" s="8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</row>
    <row r="82" ht="15.75" customHeight="1">
      <c r="A82" s="67"/>
      <c r="B82" s="67"/>
      <c r="C82" s="67"/>
      <c r="D82" s="67"/>
      <c r="E82" s="85"/>
      <c r="G82" s="86"/>
      <c r="H82" s="86"/>
      <c r="I82" s="87"/>
      <c r="J82" s="8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</row>
    <row r="83" ht="15.75" customHeight="1">
      <c r="A83" s="67"/>
      <c r="B83" s="67"/>
      <c r="C83" s="67"/>
      <c r="D83" s="67"/>
      <c r="E83" s="85"/>
      <c r="G83" s="86"/>
      <c r="H83" s="86"/>
      <c r="I83" s="87"/>
      <c r="J83" s="8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</row>
    <row r="84" ht="15.75" customHeight="1">
      <c r="A84" s="67"/>
      <c r="B84" s="67"/>
      <c r="C84" s="67"/>
      <c r="D84" s="67"/>
      <c r="E84" s="85"/>
      <c r="G84" s="86"/>
      <c r="H84" s="86"/>
      <c r="I84" s="87"/>
      <c r="J84" s="8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</row>
    <row r="85" ht="15.75" customHeight="1">
      <c r="A85" s="67"/>
      <c r="B85" s="67"/>
      <c r="C85" s="67"/>
      <c r="D85" s="67"/>
      <c r="E85" s="85"/>
      <c r="G85" s="86"/>
      <c r="H85" s="86"/>
      <c r="I85" s="87"/>
      <c r="J85" s="8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</row>
    <row r="86" ht="15.75" customHeight="1">
      <c r="A86" s="67"/>
      <c r="B86" s="67"/>
      <c r="C86" s="67"/>
      <c r="D86" s="67"/>
      <c r="E86" s="85"/>
      <c r="G86" s="86"/>
      <c r="H86" s="86"/>
      <c r="I86" s="87"/>
      <c r="J86" s="8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</row>
    <row r="87" ht="15.75" customHeight="1">
      <c r="A87" s="67"/>
      <c r="B87" s="67"/>
      <c r="C87" s="67"/>
      <c r="D87" s="67"/>
      <c r="E87" s="85"/>
      <c r="G87" s="86"/>
      <c r="H87" s="86"/>
      <c r="I87" s="87"/>
      <c r="J87" s="8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</row>
    <row r="88" ht="15.75" customHeight="1">
      <c r="A88" s="67"/>
      <c r="B88" s="67"/>
      <c r="C88" s="67"/>
      <c r="D88" s="67"/>
      <c r="E88" s="85"/>
      <c r="G88" s="86"/>
      <c r="H88" s="86"/>
      <c r="I88" s="87"/>
      <c r="J88" s="8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</row>
    <row r="89" ht="15.75" customHeight="1">
      <c r="A89" s="67"/>
      <c r="B89" s="67"/>
      <c r="C89" s="67"/>
      <c r="D89" s="67"/>
      <c r="E89" s="85"/>
      <c r="G89" s="86"/>
      <c r="H89" s="86"/>
      <c r="I89" s="87"/>
      <c r="J89" s="8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</row>
    <row r="90" ht="15.75" customHeight="1">
      <c r="A90" s="67"/>
      <c r="B90" s="67"/>
      <c r="C90" s="67"/>
      <c r="D90" s="67"/>
      <c r="E90" s="85"/>
      <c r="G90" s="86"/>
      <c r="H90" s="86"/>
      <c r="I90" s="87"/>
      <c r="J90" s="8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</row>
    <row r="91" ht="15.75" customHeight="1">
      <c r="A91" s="67"/>
      <c r="B91" s="67"/>
      <c r="C91" s="67"/>
      <c r="D91" s="67"/>
      <c r="E91" s="85"/>
      <c r="G91" s="86"/>
      <c r="H91" s="86"/>
      <c r="I91" s="87"/>
      <c r="J91" s="8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</row>
    <row r="92" ht="15.75" customHeight="1">
      <c r="A92" s="67"/>
      <c r="B92" s="67"/>
      <c r="C92" s="67"/>
      <c r="D92" s="67"/>
      <c r="E92" s="85"/>
      <c r="G92" s="86"/>
      <c r="H92" s="86"/>
      <c r="I92" s="87"/>
      <c r="J92" s="8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</row>
    <row r="93" ht="15.75" customHeight="1">
      <c r="A93" s="67"/>
      <c r="B93" s="67"/>
      <c r="C93" s="67"/>
      <c r="D93" s="67"/>
      <c r="E93" s="85"/>
      <c r="G93" s="86"/>
      <c r="H93" s="86"/>
      <c r="I93" s="87"/>
      <c r="J93" s="8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</row>
    <row r="94" ht="15.75" customHeight="1">
      <c r="A94" s="67"/>
      <c r="B94" s="67"/>
      <c r="C94" s="67"/>
      <c r="D94" s="67"/>
      <c r="E94" s="85"/>
      <c r="G94" s="86"/>
      <c r="H94" s="86"/>
      <c r="I94" s="87"/>
      <c r="J94" s="8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</row>
    <row r="95" ht="15.75" customHeight="1">
      <c r="A95" s="67"/>
      <c r="B95" s="67"/>
      <c r="C95" s="67"/>
      <c r="D95" s="67"/>
      <c r="E95" s="85"/>
      <c r="G95" s="86"/>
      <c r="H95" s="86"/>
      <c r="I95" s="87"/>
      <c r="J95" s="8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</row>
    <row r="96" ht="15.75" customHeight="1">
      <c r="A96" s="67"/>
      <c r="B96" s="67"/>
      <c r="C96" s="67"/>
      <c r="D96" s="67"/>
      <c r="E96" s="85"/>
      <c r="G96" s="86"/>
      <c r="H96" s="86"/>
      <c r="I96" s="87"/>
      <c r="J96" s="8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</row>
    <row r="97" ht="15.75" customHeight="1">
      <c r="A97" s="67"/>
      <c r="B97" s="67"/>
      <c r="C97" s="67"/>
      <c r="D97" s="67"/>
      <c r="E97" s="85"/>
      <c r="G97" s="86"/>
      <c r="H97" s="86"/>
      <c r="I97" s="87"/>
      <c r="J97" s="8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</row>
    <row r="98" ht="15.75" customHeight="1">
      <c r="A98" s="67"/>
      <c r="B98" s="67"/>
      <c r="C98" s="67"/>
      <c r="D98" s="67"/>
      <c r="E98" s="85"/>
      <c r="G98" s="86"/>
      <c r="H98" s="86"/>
      <c r="I98" s="87"/>
      <c r="J98" s="8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</row>
    <row r="99" ht="15.75" customHeight="1">
      <c r="A99" s="67"/>
      <c r="B99" s="67"/>
      <c r="C99" s="67"/>
      <c r="D99" s="67"/>
      <c r="E99" s="85"/>
      <c r="G99" s="86"/>
      <c r="H99" s="86"/>
      <c r="I99" s="87"/>
      <c r="J99" s="8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</row>
    <row r="100" ht="15.75" customHeight="1">
      <c r="A100" s="67"/>
      <c r="B100" s="67"/>
      <c r="C100" s="67"/>
      <c r="D100" s="67"/>
      <c r="E100" s="85"/>
      <c r="G100" s="86"/>
      <c r="H100" s="86"/>
      <c r="I100" s="87"/>
      <c r="J100" s="8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</row>
    <row r="101" ht="15.75" customHeight="1">
      <c r="A101" s="67"/>
      <c r="B101" s="67"/>
      <c r="C101" s="67"/>
      <c r="D101" s="67"/>
      <c r="E101" s="85"/>
      <c r="G101" s="86"/>
      <c r="H101" s="86"/>
      <c r="I101" s="87"/>
      <c r="J101" s="8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</row>
    <row r="102" ht="15.75" customHeight="1">
      <c r="A102" s="67"/>
      <c r="B102" s="16"/>
      <c r="C102" s="16"/>
      <c r="D102" s="16"/>
      <c r="E102" s="49"/>
      <c r="G102" s="16"/>
      <c r="H102" s="89"/>
      <c r="I102" s="16"/>
      <c r="J102" s="16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</row>
    <row r="103" ht="15.75" customHeight="1">
      <c r="A103" s="67"/>
      <c r="B103" s="16"/>
      <c r="C103" s="16"/>
      <c r="D103" s="16"/>
      <c r="E103" s="49"/>
      <c r="G103" s="16"/>
      <c r="H103" s="89"/>
      <c r="I103" s="16"/>
      <c r="J103" s="16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</row>
    <row r="104" ht="15.75" customHeight="1">
      <c r="A104" s="67"/>
      <c r="B104" s="16"/>
      <c r="C104" s="16"/>
      <c r="D104" s="16"/>
      <c r="E104" s="49"/>
      <c r="G104" s="16"/>
      <c r="H104" s="89"/>
      <c r="I104" s="16"/>
      <c r="J104" s="16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</row>
    <row r="105" ht="15.75" customHeight="1">
      <c r="A105" s="67"/>
      <c r="B105" s="16"/>
      <c r="C105" s="16"/>
      <c r="D105" s="16"/>
      <c r="E105" s="49"/>
      <c r="G105" s="16"/>
      <c r="H105" s="89"/>
      <c r="I105" s="16"/>
      <c r="J105" s="16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</row>
    <row r="106" ht="15.75" customHeight="1">
      <c r="A106" s="67"/>
      <c r="B106" s="16"/>
      <c r="C106" s="16"/>
      <c r="D106" s="16"/>
      <c r="E106" s="49"/>
      <c r="G106" s="16"/>
      <c r="H106" s="89"/>
      <c r="I106" s="16"/>
      <c r="J106" s="16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</row>
    <row r="107" ht="15.75" customHeight="1">
      <c r="A107" s="67"/>
      <c r="B107" s="16"/>
      <c r="C107" s="16"/>
      <c r="D107" s="16"/>
      <c r="E107" s="49"/>
      <c r="G107" s="16"/>
      <c r="H107" s="89"/>
      <c r="I107" s="16"/>
      <c r="J107" s="16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</row>
    <row r="108" ht="15.75" customHeight="1">
      <c r="A108" s="67"/>
      <c r="B108" s="16"/>
      <c r="C108" s="16"/>
      <c r="D108" s="16"/>
      <c r="E108" s="49"/>
      <c r="G108" s="16"/>
      <c r="H108" s="89"/>
      <c r="I108" s="16"/>
      <c r="J108" s="16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</row>
    <row r="109" ht="15.75" customHeight="1">
      <c r="A109" s="67"/>
      <c r="B109" s="16"/>
      <c r="C109" s="16"/>
      <c r="D109" s="16"/>
      <c r="E109" s="49"/>
      <c r="G109" s="16"/>
      <c r="H109" s="89"/>
      <c r="I109" s="16"/>
      <c r="J109" s="16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</row>
    <row r="110" ht="15.75" customHeight="1">
      <c r="A110" s="67"/>
      <c r="B110" s="16"/>
      <c r="C110" s="16"/>
      <c r="D110" s="16"/>
      <c r="E110" s="49"/>
      <c r="G110" s="16"/>
      <c r="H110" s="89"/>
      <c r="I110" s="16"/>
      <c r="J110" s="16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</row>
    <row r="111" ht="15.75" customHeight="1">
      <c r="A111" s="67"/>
      <c r="B111" s="16"/>
      <c r="C111" s="16"/>
      <c r="D111" s="16"/>
      <c r="E111" s="49"/>
      <c r="G111" s="16"/>
      <c r="H111" s="89"/>
      <c r="I111" s="16"/>
      <c r="J111" s="16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</row>
    <row r="112" ht="15.75" customHeight="1">
      <c r="A112" s="67"/>
      <c r="B112" s="16"/>
      <c r="C112" s="16"/>
      <c r="D112" s="16"/>
      <c r="E112" s="49"/>
      <c r="G112" s="16"/>
      <c r="H112" s="89"/>
      <c r="I112" s="16"/>
      <c r="J112" s="16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</row>
    <row r="113" ht="15.75" customHeight="1">
      <c r="A113" s="67"/>
      <c r="B113" s="16"/>
      <c r="C113" s="16"/>
      <c r="D113" s="16"/>
      <c r="E113" s="49"/>
      <c r="G113" s="16"/>
      <c r="H113" s="89"/>
      <c r="I113" s="16"/>
      <c r="J113" s="16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</row>
    <row r="114" ht="15.75" customHeight="1">
      <c r="A114" s="67"/>
      <c r="B114" s="16"/>
      <c r="C114" s="16"/>
      <c r="D114" s="16"/>
      <c r="E114" s="49"/>
      <c r="G114" s="16"/>
      <c r="H114" s="89"/>
      <c r="I114" s="16"/>
      <c r="J114" s="16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</row>
    <row r="115" ht="15.75" customHeight="1">
      <c r="A115" s="67"/>
      <c r="B115" s="16"/>
      <c r="C115" s="16"/>
      <c r="D115" s="16"/>
      <c r="E115" s="49"/>
      <c r="G115" s="16"/>
      <c r="H115" s="89"/>
      <c r="I115" s="16"/>
      <c r="J115" s="16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</row>
    <row r="116" ht="15.75" customHeight="1">
      <c r="A116" s="67"/>
      <c r="B116" s="16"/>
      <c r="C116" s="16"/>
      <c r="D116" s="16"/>
      <c r="E116" s="49"/>
      <c r="G116" s="16"/>
      <c r="H116" s="89"/>
      <c r="I116" s="16"/>
      <c r="J116" s="16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</row>
    <row r="117" ht="15.75" customHeight="1">
      <c r="A117" s="67"/>
      <c r="B117" s="16"/>
      <c r="C117" s="16"/>
      <c r="D117" s="16"/>
      <c r="E117" s="49"/>
      <c r="G117" s="16"/>
      <c r="H117" s="89"/>
      <c r="I117" s="16"/>
      <c r="J117" s="16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</row>
    <row r="118" ht="15.75" customHeight="1">
      <c r="A118" s="67"/>
      <c r="B118" s="16"/>
      <c r="C118" s="16"/>
      <c r="D118" s="16"/>
      <c r="E118" s="49"/>
      <c r="G118" s="16"/>
      <c r="H118" s="89"/>
      <c r="I118" s="16"/>
      <c r="J118" s="16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</row>
    <row r="119" ht="15.75" customHeight="1">
      <c r="A119" s="16"/>
      <c r="B119" s="16"/>
      <c r="C119" s="16"/>
      <c r="D119" s="16"/>
      <c r="E119" s="49"/>
      <c r="G119" s="16"/>
      <c r="H119" s="89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</row>
    <row r="120" ht="15.75" customHeight="1">
      <c r="A120" s="16"/>
      <c r="B120" s="16"/>
      <c r="C120" s="16"/>
      <c r="D120" s="16"/>
      <c r="E120" s="49"/>
      <c r="G120" s="16"/>
      <c r="H120" s="89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</row>
    <row r="121" ht="15.75" customHeight="1">
      <c r="A121" s="16"/>
      <c r="B121" s="16"/>
      <c r="C121" s="16"/>
      <c r="D121" s="16"/>
      <c r="E121" s="49"/>
      <c r="G121" s="16"/>
      <c r="H121" s="89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</row>
    <row r="122" ht="15.75" customHeight="1">
      <c r="A122" s="16"/>
      <c r="B122" s="16"/>
      <c r="C122" s="16"/>
      <c r="D122" s="16"/>
      <c r="E122" s="49"/>
      <c r="G122" s="16"/>
      <c r="H122" s="89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</row>
    <row r="123" ht="15.75" customHeight="1">
      <c r="A123" s="16"/>
      <c r="B123" s="16"/>
      <c r="C123" s="16"/>
      <c r="D123" s="16"/>
      <c r="E123" s="49"/>
      <c r="G123" s="16"/>
      <c r="H123" s="89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</row>
    <row r="124" ht="15.75" customHeight="1">
      <c r="A124" s="16"/>
      <c r="B124" s="16"/>
      <c r="C124" s="16"/>
      <c r="D124" s="16"/>
      <c r="E124" s="49"/>
      <c r="G124" s="16"/>
      <c r="H124" s="89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</row>
    <row r="125" ht="15.75" customHeight="1">
      <c r="A125" s="16"/>
      <c r="B125" s="16"/>
      <c r="C125" s="16"/>
      <c r="D125" s="16"/>
      <c r="E125" s="49"/>
      <c r="G125" s="16"/>
      <c r="H125" s="89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</row>
    <row r="126" ht="15.75" customHeight="1">
      <c r="A126" s="16"/>
      <c r="B126" s="16"/>
      <c r="C126" s="16"/>
      <c r="D126" s="16"/>
      <c r="E126" s="49"/>
      <c r="G126" s="16"/>
      <c r="H126" s="89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</row>
    <row r="127" ht="15.75" customHeight="1">
      <c r="A127" s="16"/>
      <c r="B127" s="16"/>
      <c r="C127" s="16"/>
      <c r="D127" s="16"/>
      <c r="E127" s="49"/>
      <c r="G127" s="16"/>
      <c r="H127" s="89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</row>
    <row r="128" ht="15.75" customHeight="1">
      <c r="A128" s="16"/>
      <c r="B128" s="16"/>
      <c r="C128" s="16"/>
      <c r="D128" s="16"/>
      <c r="E128" s="49"/>
      <c r="G128" s="16"/>
      <c r="H128" s="89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</row>
    <row r="129" ht="15.75" customHeight="1">
      <c r="A129" s="16"/>
      <c r="B129" s="16"/>
      <c r="C129" s="16"/>
      <c r="D129" s="16"/>
      <c r="E129" s="49"/>
      <c r="G129" s="16"/>
      <c r="H129" s="89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</row>
    <row r="130" ht="15.75" customHeight="1">
      <c r="A130" s="16"/>
      <c r="B130" s="16"/>
      <c r="C130" s="16"/>
      <c r="D130" s="16"/>
      <c r="E130" s="49"/>
      <c r="G130" s="16"/>
      <c r="H130" s="89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</row>
    <row r="131" ht="15.75" customHeight="1">
      <c r="A131" s="16"/>
      <c r="B131" s="16"/>
      <c r="C131" s="16"/>
      <c r="D131" s="16"/>
      <c r="E131" s="49"/>
      <c r="G131" s="16"/>
      <c r="H131" s="89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</row>
    <row r="132" ht="15.75" customHeight="1">
      <c r="A132" s="16"/>
      <c r="B132" s="16"/>
      <c r="C132" s="16"/>
      <c r="D132" s="16"/>
      <c r="E132" s="49"/>
      <c r="G132" s="16"/>
      <c r="H132" s="89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</row>
    <row r="133" ht="15.75" customHeight="1">
      <c r="A133" s="16"/>
      <c r="B133" s="16"/>
      <c r="C133" s="16"/>
      <c r="D133" s="16"/>
      <c r="E133" s="49"/>
      <c r="G133" s="16"/>
      <c r="H133" s="89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</row>
    <row r="134" ht="15.75" customHeight="1">
      <c r="A134" s="16"/>
      <c r="B134" s="16"/>
      <c r="C134" s="16"/>
      <c r="D134" s="16"/>
      <c r="E134" s="49"/>
      <c r="G134" s="16"/>
      <c r="H134" s="89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</row>
    <row r="135" ht="15.75" customHeight="1">
      <c r="A135" s="16"/>
      <c r="B135" s="16"/>
      <c r="C135" s="16"/>
      <c r="D135" s="16"/>
      <c r="E135" s="49"/>
      <c r="G135" s="16"/>
      <c r="H135" s="89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</row>
    <row r="136" ht="15.75" customHeight="1">
      <c r="A136" s="16"/>
      <c r="B136" s="16"/>
      <c r="C136" s="16"/>
      <c r="D136" s="16"/>
      <c r="E136" s="49"/>
      <c r="G136" s="16"/>
      <c r="H136" s="89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</row>
    <row r="137" ht="15.75" customHeight="1">
      <c r="A137" s="16"/>
      <c r="B137" s="16"/>
      <c r="C137" s="16"/>
      <c r="D137" s="16"/>
      <c r="E137" s="49"/>
      <c r="G137" s="16"/>
      <c r="H137" s="89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</row>
    <row r="138" ht="15.75" customHeight="1">
      <c r="A138" s="16"/>
      <c r="B138" s="16"/>
      <c r="C138" s="16"/>
      <c r="D138" s="16"/>
      <c r="E138" s="49"/>
      <c r="G138" s="16"/>
      <c r="H138" s="89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</row>
    <row r="139" ht="15.75" customHeight="1">
      <c r="A139" s="16"/>
      <c r="B139" s="16"/>
      <c r="C139" s="16"/>
      <c r="D139" s="16"/>
      <c r="E139" s="49"/>
      <c r="G139" s="16"/>
      <c r="H139" s="89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</row>
    <row r="140" ht="15.75" customHeight="1">
      <c r="A140" s="16"/>
      <c r="B140" s="16"/>
      <c r="C140" s="16"/>
      <c r="D140" s="16"/>
      <c r="E140" s="49"/>
      <c r="G140" s="16"/>
      <c r="H140" s="89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</row>
    <row r="141" ht="15.75" customHeight="1">
      <c r="A141" s="16"/>
      <c r="B141" s="16"/>
      <c r="C141" s="16"/>
      <c r="D141" s="16"/>
      <c r="E141" s="49"/>
      <c r="G141" s="16"/>
      <c r="H141" s="89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</row>
    <row r="142" ht="15.75" customHeight="1">
      <c r="A142" s="16"/>
      <c r="B142" s="16"/>
      <c r="C142" s="16"/>
      <c r="D142" s="16"/>
      <c r="E142" s="49"/>
      <c r="G142" s="16"/>
      <c r="H142" s="89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</row>
    <row r="143" ht="15.75" customHeight="1">
      <c r="A143" s="16"/>
      <c r="B143" s="16"/>
      <c r="C143" s="16"/>
      <c r="D143" s="16"/>
      <c r="E143" s="49"/>
      <c r="G143" s="16"/>
      <c r="H143" s="89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</row>
    <row r="144" ht="15.75" customHeight="1">
      <c r="A144" s="16"/>
      <c r="B144" s="16"/>
      <c r="C144" s="16"/>
      <c r="D144" s="16"/>
      <c r="E144" s="49"/>
      <c r="G144" s="16"/>
      <c r="H144" s="89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</row>
    <row r="145" ht="15.75" customHeight="1">
      <c r="A145" s="16"/>
      <c r="B145" s="16"/>
      <c r="C145" s="16"/>
      <c r="D145" s="16"/>
      <c r="E145" s="49"/>
      <c r="G145" s="16"/>
      <c r="H145" s="89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</row>
    <row r="146" ht="15.75" customHeight="1">
      <c r="A146" s="16"/>
      <c r="B146" s="16"/>
      <c r="C146" s="16"/>
      <c r="D146" s="16"/>
      <c r="E146" s="49"/>
      <c r="G146" s="16"/>
      <c r="H146" s="89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</row>
    <row r="147" ht="15.75" customHeight="1">
      <c r="A147" s="16"/>
      <c r="B147" s="16"/>
      <c r="C147" s="16"/>
      <c r="D147" s="16"/>
      <c r="E147" s="49"/>
      <c r="G147" s="16"/>
      <c r="H147" s="89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</row>
    <row r="148" ht="15.75" customHeight="1">
      <c r="A148" s="16"/>
      <c r="B148" s="16"/>
      <c r="C148" s="16"/>
      <c r="D148" s="16"/>
      <c r="E148" s="49"/>
      <c r="G148" s="16"/>
      <c r="H148" s="89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</row>
    <row r="149" ht="15.75" customHeight="1">
      <c r="A149" s="16"/>
      <c r="B149" s="16"/>
      <c r="C149" s="16"/>
      <c r="D149" s="16"/>
      <c r="E149" s="49"/>
      <c r="G149" s="16"/>
      <c r="H149" s="89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</row>
    <row r="150" ht="15.75" customHeight="1">
      <c r="A150" s="16"/>
      <c r="B150" s="16"/>
      <c r="C150" s="16"/>
      <c r="D150" s="16"/>
      <c r="E150" s="49"/>
      <c r="G150" s="16"/>
      <c r="H150" s="89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</row>
    <row r="151" ht="15.75" customHeight="1">
      <c r="A151" s="16"/>
      <c r="B151" s="16"/>
      <c r="C151" s="16"/>
      <c r="D151" s="16"/>
      <c r="E151" s="49"/>
      <c r="G151" s="16"/>
      <c r="H151" s="89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</row>
    <row r="152" ht="15.75" customHeight="1">
      <c r="A152" s="16"/>
      <c r="B152" s="16"/>
      <c r="C152" s="16"/>
      <c r="D152" s="16"/>
      <c r="E152" s="49"/>
      <c r="G152" s="16"/>
      <c r="H152" s="89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</row>
    <row r="153" ht="15.75" customHeight="1">
      <c r="A153" s="16"/>
      <c r="B153" s="16"/>
      <c r="C153" s="16"/>
      <c r="D153" s="16"/>
      <c r="E153" s="49"/>
      <c r="G153" s="16"/>
      <c r="H153" s="89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</row>
    <row r="154" ht="15.75" customHeight="1">
      <c r="A154" s="16"/>
      <c r="B154" s="16"/>
      <c r="C154" s="16"/>
      <c r="D154" s="16"/>
      <c r="E154" s="49"/>
      <c r="G154" s="16"/>
      <c r="H154" s="89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</row>
    <row r="155" ht="15.75" customHeight="1">
      <c r="A155" s="16"/>
      <c r="B155" s="16"/>
      <c r="C155" s="16"/>
      <c r="D155" s="16"/>
      <c r="E155" s="49"/>
      <c r="G155" s="16"/>
      <c r="H155" s="89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</row>
    <row r="156" ht="15.75" customHeight="1">
      <c r="A156" s="16"/>
      <c r="B156" s="16"/>
      <c r="C156" s="16"/>
      <c r="D156" s="16"/>
      <c r="E156" s="49"/>
      <c r="G156" s="16"/>
      <c r="H156" s="89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</row>
    <row r="157" ht="15.75" customHeight="1">
      <c r="A157" s="16"/>
      <c r="B157" s="16"/>
      <c r="C157" s="16"/>
      <c r="D157" s="16"/>
      <c r="E157" s="49"/>
      <c r="G157" s="16"/>
      <c r="H157" s="89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</row>
    <row r="158" ht="15.75" customHeight="1">
      <c r="A158" s="16"/>
      <c r="B158" s="16"/>
      <c r="C158" s="16"/>
      <c r="D158" s="16"/>
      <c r="E158" s="49"/>
      <c r="G158" s="16"/>
      <c r="H158" s="89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</row>
    <row r="159" ht="15.75" customHeight="1">
      <c r="A159" s="16"/>
      <c r="B159" s="16"/>
      <c r="C159" s="16"/>
      <c r="D159" s="16"/>
      <c r="E159" s="49"/>
      <c r="G159" s="16"/>
      <c r="H159" s="89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</row>
    <row r="160" ht="15.75" customHeight="1">
      <c r="A160" s="16"/>
      <c r="B160" s="16"/>
      <c r="C160" s="16"/>
      <c r="D160" s="16"/>
      <c r="E160" s="49"/>
      <c r="G160" s="16"/>
      <c r="H160" s="89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</row>
    <row r="161" ht="15.75" customHeight="1">
      <c r="A161" s="16"/>
      <c r="B161" s="16"/>
      <c r="C161" s="16"/>
      <c r="D161" s="16"/>
      <c r="E161" s="49"/>
      <c r="G161" s="16"/>
      <c r="H161" s="89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</row>
    <row r="162" ht="15.75" customHeight="1">
      <c r="A162" s="16"/>
      <c r="B162" s="16"/>
      <c r="C162" s="16"/>
      <c r="D162" s="16"/>
      <c r="E162" s="49"/>
      <c r="G162" s="16"/>
      <c r="H162" s="89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</row>
    <row r="163" ht="15.75" customHeight="1">
      <c r="A163" s="16"/>
      <c r="B163" s="16"/>
      <c r="C163" s="16"/>
      <c r="D163" s="16"/>
      <c r="E163" s="49"/>
      <c r="G163" s="16"/>
      <c r="H163" s="89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</row>
    <row r="164" ht="15.75" customHeight="1">
      <c r="A164" s="16"/>
      <c r="B164" s="16"/>
      <c r="C164" s="16"/>
      <c r="D164" s="16"/>
      <c r="E164" s="49"/>
      <c r="G164" s="16"/>
      <c r="H164" s="89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</row>
    <row r="165" ht="15.75" customHeight="1">
      <c r="A165" s="16"/>
      <c r="B165" s="16"/>
      <c r="C165" s="16"/>
      <c r="D165" s="16"/>
      <c r="E165" s="49"/>
      <c r="G165" s="16"/>
      <c r="H165" s="89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</row>
    <row r="166" ht="15.75" customHeight="1">
      <c r="A166" s="16"/>
      <c r="B166" s="16"/>
      <c r="C166" s="16"/>
      <c r="D166" s="16"/>
      <c r="E166" s="49"/>
      <c r="G166" s="16"/>
      <c r="H166" s="89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</row>
    <row r="167" ht="15.75" customHeight="1">
      <c r="A167" s="16"/>
      <c r="B167" s="16"/>
      <c r="C167" s="16"/>
      <c r="D167" s="16"/>
      <c r="E167" s="49"/>
      <c r="G167" s="16"/>
      <c r="H167" s="89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</row>
    <row r="168" ht="15.75" customHeight="1">
      <c r="A168" s="16"/>
      <c r="B168" s="16"/>
      <c r="C168" s="16"/>
      <c r="D168" s="16"/>
      <c r="E168" s="49"/>
      <c r="G168" s="16"/>
      <c r="H168" s="89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</row>
    <row r="169" ht="15.75" customHeight="1">
      <c r="A169" s="16"/>
      <c r="B169" s="16"/>
      <c r="C169" s="16"/>
      <c r="D169" s="16"/>
      <c r="E169" s="49"/>
      <c r="G169" s="16"/>
      <c r="H169" s="89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</row>
    <row r="170" ht="15.75" customHeight="1">
      <c r="A170" s="16"/>
      <c r="B170" s="16"/>
      <c r="C170" s="16"/>
      <c r="D170" s="16"/>
      <c r="E170" s="49"/>
      <c r="G170" s="16"/>
      <c r="H170" s="89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</row>
    <row r="171" ht="15.75" customHeight="1">
      <c r="A171" s="16"/>
      <c r="B171" s="16"/>
      <c r="C171" s="16"/>
      <c r="D171" s="16"/>
      <c r="E171" s="49"/>
      <c r="G171" s="16"/>
      <c r="H171" s="89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</row>
    <row r="172" ht="15.75" customHeight="1">
      <c r="A172" s="16"/>
      <c r="B172" s="16"/>
      <c r="C172" s="16"/>
      <c r="D172" s="16"/>
      <c r="E172" s="49"/>
      <c r="G172" s="16"/>
      <c r="H172" s="89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</row>
    <row r="173" ht="15.75" customHeight="1">
      <c r="A173" s="16"/>
      <c r="B173" s="16"/>
      <c r="C173" s="16"/>
      <c r="D173" s="16"/>
      <c r="E173" s="49"/>
      <c r="G173" s="16"/>
      <c r="H173" s="89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</row>
    <row r="174" ht="15.75" customHeight="1">
      <c r="A174" s="16"/>
      <c r="B174" s="16"/>
      <c r="C174" s="16"/>
      <c r="D174" s="16"/>
      <c r="E174" s="49"/>
      <c r="G174" s="16"/>
      <c r="H174" s="89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</row>
    <row r="175" ht="15.75" customHeight="1">
      <c r="A175" s="16"/>
      <c r="B175" s="16"/>
      <c r="C175" s="16"/>
      <c r="D175" s="16"/>
      <c r="E175" s="49"/>
      <c r="G175" s="16"/>
      <c r="H175" s="89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</row>
    <row r="176" ht="15.75" customHeight="1">
      <c r="A176" s="16"/>
      <c r="B176" s="16"/>
      <c r="C176" s="16"/>
      <c r="D176" s="16"/>
      <c r="E176" s="49"/>
      <c r="G176" s="16"/>
      <c r="H176" s="89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</row>
    <row r="177" ht="15.75" customHeight="1">
      <c r="A177" s="16"/>
      <c r="B177" s="16"/>
      <c r="C177" s="16"/>
      <c r="D177" s="16"/>
      <c r="E177" s="49"/>
      <c r="G177" s="16"/>
      <c r="H177" s="89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</row>
    <row r="178" ht="15.75" customHeight="1">
      <c r="A178" s="16"/>
      <c r="B178" s="16"/>
      <c r="C178" s="16"/>
      <c r="D178" s="16"/>
      <c r="E178" s="49"/>
      <c r="G178" s="16"/>
      <c r="H178" s="89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</row>
    <row r="179" ht="15.75" customHeight="1">
      <c r="A179" s="16"/>
      <c r="B179" s="16"/>
      <c r="C179" s="16"/>
      <c r="D179" s="16"/>
      <c r="E179" s="49"/>
      <c r="G179" s="16"/>
      <c r="H179" s="89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</row>
    <row r="180" ht="15.75" customHeight="1">
      <c r="A180" s="16"/>
      <c r="B180" s="16"/>
      <c r="C180" s="16"/>
      <c r="D180" s="16"/>
      <c r="E180" s="49"/>
      <c r="G180" s="16"/>
      <c r="H180" s="89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</row>
    <row r="181" ht="15.75" customHeight="1">
      <c r="A181" s="16"/>
      <c r="B181" s="16"/>
      <c r="C181" s="16"/>
      <c r="D181" s="16"/>
      <c r="E181" s="49"/>
      <c r="G181" s="16"/>
      <c r="H181" s="89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</row>
    <row r="182" ht="15.75" customHeight="1">
      <c r="A182" s="16"/>
      <c r="B182" s="16"/>
      <c r="C182" s="16"/>
      <c r="D182" s="16"/>
      <c r="E182" s="49"/>
      <c r="G182" s="16"/>
      <c r="H182" s="89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</row>
    <row r="183" ht="15.75" customHeight="1">
      <c r="A183" s="16"/>
      <c r="B183" s="16"/>
      <c r="C183" s="16"/>
      <c r="D183" s="16"/>
      <c r="E183" s="49"/>
      <c r="G183" s="16"/>
      <c r="H183" s="89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</row>
    <row r="184" ht="15.75" customHeight="1">
      <c r="A184" s="16"/>
      <c r="B184" s="16"/>
      <c r="C184" s="16"/>
      <c r="D184" s="16"/>
      <c r="E184" s="49"/>
      <c r="G184" s="16"/>
      <c r="H184" s="89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</row>
    <row r="185" ht="15.75" customHeight="1">
      <c r="A185" s="16"/>
      <c r="B185" s="16"/>
      <c r="C185" s="16"/>
      <c r="D185" s="16"/>
      <c r="E185" s="49"/>
      <c r="G185" s="16"/>
      <c r="H185" s="89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</row>
    <row r="186" ht="15.75" customHeight="1">
      <c r="A186" s="16"/>
      <c r="B186" s="16"/>
      <c r="C186" s="16"/>
      <c r="D186" s="16"/>
      <c r="E186" s="49"/>
      <c r="G186" s="16"/>
      <c r="H186" s="89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</row>
    <row r="187" ht="15.75" customHeight="1">
      <c r="A187" s="16"/>
      <c r="B187" s="16"/>
      <c r="C187" s="16"/>
      <c r="D187" s="16"/>
      <c r="E187" s="49"/>
      <c r="G187" s="16"/>
      <c r="H187" s="89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</row>
    <row r="188" ht="15.75" customHeight="1">
      <c r="A188" s="16"/>
      <c r="B188" s="16"/>
      <c r="C188" s="16"/>
      <c r="D188" s="16"/>
      <c r="E188" s="49"/>
      <c r="G188" s="16"/>
      <c r="H188" s="89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</row>
    <row r="189" ht="15.75" customHeight="1">
      <c r="A189" s="16"/>
      <c r="B189" s="16"/>
      <c r="C189" s="16"/>
      <c r="D189" s="16"/>
      <c r="E189" s="49"/>
      <c r="G189" s="16"/>
      <c r="H189" s="89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</row>
    <row r="190" ht="15.75" customHeight="1">
      <c r="A190" s="16"/>
      <c r="B190" s="16"/>
      <c r="C190" s="16"/>
      <c r="D190" s="16"/>
      <c r="E190" s="49"/>
      <c r="G190" s="16"/>
      <c r="H190" s="89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</row>
    <row r="191" ht="15.75" customHeight="1">
      <c r="A191" s="16"/>
      <c r="B191" s="16"/>
      <c r="C191" s="16"/>
      <c r="D191" s="16"/>
      <c r="E191" s="49"/>
      <c r="G191" s="16"/>
      <c r="H191" s="89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</row>
    <row r="192" ht="15.75" customHeight="1">
      <c r="A192" s="16"/>
      <c r="B192" s="16"/>
      <c r="C192" s="16"/>
      <c r="D192" s="16"/>
      <c r="E192" s="49"/>
      <c r="G192" s="16"/>
      <c r="H192" s="89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</row>
    <row r="193" ht="15.75" customHeight="1">
      <c r="A193" s="16"/>
      <c r="B193" s="16"/>
      <c r="C193" s="16"/>
      <c r="D193" s="16"/>
      <c r="E193" s="49"/>
      <c r="G193" s="16"/>
      <c r="H193" s="89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</row>
    <row r="194" ht="15.75" customHeight="1">
      <c r="A194" s="16"/>
      <c r="B194" s="16"/>
      <c r="C194" s="16"/>
      <c r="D194" s="16"/>
      <c r="E194" s="49"/>
      <c r="G194" s="16"/>
      <c r="H194" s="89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</row>
    <row r="195" ht="15.75" customHeight="1">
      <c r="A195" s="16"/>
      <c r="B195" s="16"/>
      <c r="C195" s="16"/>
      <c r="D195" s="16"/>
      <c r="E195" s="49"/>
      <c r="G195" s="16"/>
      <c r="H195" s="89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</row>
    <row r="196" ht="15.75" customHeight="1">
      <c r="A196" s="16"/>
      <c r="B196" s="16"/>
      <c r="C196" s="16"/>
      <c r="D196" s="16"/>
      <c r="E196" s="49"/>
      <c r="G196" s="16"/>
      <c r="H196" s="89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</row>
    <row r="197" ht="15.75" customHeight="1">
      <c r="A197" s="16"/>
      <c r="B197" s="16"/>
      <c r="C197" s="16"/>
      <c r="D197" s="16"/>
      <c r="E197" s="49"/>
      <c r="G197" s="16"/>
      <c r="H197" s="89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</row>
    <row r="198" ht="15.75" customHeight="1">
      <c r="A198" s="16"/>
      <c r="B198" s="16"/>
      <c r="C198" s="16"/>
      <c r="D198" s="16"/>
      <c r="E198" s="49"/>
      <c r="G198" s="16"/>
      <c r="H198" s="89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</row>
    <row r="199" ht="15.75" customHeight="1">
      <c r="A199" s="16"/>
      <c r="B199" s="16"/>
      <c r="C199" s="16"/>
      <c r="D199" s="16"/>
      <c r="E199" s="49"/>
      <c r="G199" s="16"/>
      <c r="H199" s="89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</row>
    <row r="200" ht="15.75" customHeight="1">
      <c r="A200" s="16"/>
      <c r="B200" s="16"/>
      <c r="C200" s="16"/>
      <c r="D200" s="16"/>
      <c r="E200" s="49"/>
      <c r="G200" s="16"/>
      <c r="H200" s="89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</row>
    <row r="201" ht="15.75" customHeight="1">
      <c r="A201" s="16"/>
      <c r="B201" s="16"/>
      <c r="C201" s="16"/>
      <c r="D201" s="16"/>
      <c r="E201" s="49"/>
      <c r="G201" s="16"/>
      <c r="H201" s="89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</row>
    <row r="202" ht="15.75" customHeight="1">
      <c r="A202" s="16"/>
      <c r="B202" s="16"/>
      <c r="C202" s="16"/>
      <c r="D202" s="16"/>
      <c r="E202" s="49"/>
      <c r="G202" s="16"/>
      <c r="H202" s="89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</row>
    <row r="203" ht="15.75" customHeight="1">
      <c r="A203" s="16"/>
      <c r="B203" s="16"/>
      <c r="C203" s="16"/>
      <c r="D203" s="16"/>
      <c r="E203" s="49"/>
      <c r="G203" s="16"/>
      <c r="H203" s="89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</row>
    <row r="204" ht="15.75" customHeight="1">
      <c r="A204" s="16"/>
      <c r="B204" s="16"/>
      <c r="C204" s="16"/>
      <c r="D204" s="16"/>
      <c r="E204" s="49"/>
      <c r="G204" s="16"/>
      <c r="H204" s="89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</row>
    <row r="205" ht="15.75" customHeight="1">
      <c r="A205" s="16"/>
      <c r="B205" s="16"/>
      <c r="C205" s="16"/>
      <c r="D205" s="16"/>
      <c r="E205" s="49"/>
      <c r="G205" s="16"/>
      <c r="H205" s="89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</row>
    <row r="206" ht="15.75" customHeight="1">
      <c r="A206" s="16"/>
      <c r="B206" s="16"/>
      <c r="C206" s="16"/>
      <c r="D206" s="16"/>
      <c r="E206" s="49"/>
      <c r="G206" s="16"/>
      <c r="H206" s="89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</row>
    <row r="207" ht="15.75" customHeight="1">
      <c r="A207" s="16"/>
      <c r="B207" s="16"/>
      <c r="C207" s="16"/>
      <c r="D207" s="16"/>
      <c r="E207" s="49"/>
      <c r="G207" s="16"/>
      <c r="H207" s="89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</row>
    <row r="208" ht="15.75" customHeight="1">
      <c r="A208" s="16"/>
      <c r="B208" s="16"/>
      <c r="C208" s="16"/>
      <c r="D208" s="16"/>
      <c r="E208" s="49"/>
      <c r="G208" s="16"/>
      <c r="H208" s="89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</row>
    <row r="209" ht="15.75" customHeight="1">
      <c r="A209" s="16"/>
      <c r="B209" s="16"/>
      <c r="C209" s="16"/>
      <c r="D209" s="16"/>
      <c r="E209" s="49"/>
      <c r="G209" s="16"/>
      <c r="H209" s="89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</row>
    <row r="210" ht="15.75" customHeight="1">
      <c r="A210" s="16"/>
      <c r="B210" s="16"/>
      <c r="C210" s="16"/>
      <c r="D210" s="16"/>
      <c r="E210" s="49"/>
      <c r="G210" s="16"/>
      <c r="H210" s="89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</row>
    <row r="211" ht="15.75" customHeight="1">
      <c r="A211" s="16"/>
      <c r="B211" s="16"/>
      <c r="C211" s="16"/>
      <c r="D211" s="16"/>
      <c r="E211" s="49"/>
      <c r="G211" s="16"/>
      <c r="H211" s="89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</row>
    <row r="212" ht="15.75" customHeight="1">
      <c r="A212" s="16"/>
      <c r="B212" s="16"/>
      <c r="C212" s="16"/>
      <c r="D212" s="16"/>
      <c r="E212" s="49"/>
      <c r="G212" s="16"/>
      <c r="H212" s="89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</row>
    <row r="213" ht="15.75" customHeight="1">
      <c r="A213" s="16"/>
      <c r="B213" s="16"/>
      <c r="C213" s="16"/>
      <c r="D213" s="16"/>
      <c r="E213" s="49"/>
      <c r="G213" s="16"/>
      <c r="H213" s="89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</row>
    <row r="214" ht="15.75" customHeight="1">
      <c r="A214" s="16"/>
      <c r="B214" s="16"/>
      <c r="C214" s="16"/>
      <c r="D214" s="16"/>
      <c r="E214" s="49"/>
      <c r="G214" s="16"/>
      <c r="H214" s="89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</row>
    <row r="215" ht="15.75" customHeight="1">
      <c r="A215" s="16"/>
      <c r="B215" s="16"/>
      <c r="C215" s="16"/>
      <c r="D215" s="16"/>
      <c r="E215" s="49"/>
      <c r="G215" s="16"/>
      <c r="H215" s="89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</row>
    <row r="216" ht="15.75" customHeight="1">
      <c r="A216" s="16"/>
      <c r="B216" s="16"/>
      <c r="C216" s="16"/>
      <c r="D216" s="16"/>
      <c r="E216" s="49"/>
      <c r="G216" s="16"/>
      <c r="H216" s="89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</row>
    <row r="217" ht="15.75" customHeight="1">
      <c r="A217" s="16"/>
      <c r="B217" s="16"/>
      <c r="C217" s="16"/>
      <c r="D217" s="16"/>
      <c r="E217" s="49"/>
      <c r="G217" s="16"/>
      <c r="H217" s="89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</row>
    <row r="218" ht="15.75" customHeight="1">
      <c r="A218" s="16"/>
      <c r="B218" s="16"/>
      <c r="C218" s="16"/>
      <c r="D218" s="16"/>
      <c r="E218" s="49"/>
      <c r="G218" s="16"/>
      <c r="H218" s="89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</row>
    <row r="219" ht="15.75" customHeight="1">
      <c r="A219" s="16"/>
      <c r="B219" s="16"/>
      <c r="C219" s="16"/>
      <c r="D219" s="16"/>
      <c r="E219" s="49"/>
      <c r="G219" s="16"/>
      <c r="H219" s="89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</row>
    <row r="220" ht="15.75" customHeight="1">
      <c r="A220" s="16"/>
      <c r="B220" s="16"/>
      <c r="C220" s="16"/>
      <c r="D220" s="16"/>
      <c r="E220" s="49"/>
      <c r="G220" s="16"/>
      <c r="H220" s="89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</row>
    <row r="221" ht="15.75" customHeight="1">
      <c r="A221" s="16"/>
      <c r="B221" s="16"/>
      <c r="C221" s="16"/>
      <c r="D221" s="16"/>
      <c r="E221" s="49"/>
      <c r="G221" s="16"/>
      <c r="H221" s="89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</row>
    <row r="222" ht="15.75" customHeight="1">
      <c r="A222" s="16"/>
      <c r="B222" s="16"/>
      <c r="C222" s="16"/>
      <c r="D222" s="16"/>
      <c r="E222" s="49"/>
      <c r="G222" s="16"/>
      <c r="H222" s="89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</row>
    <row r="223" ht="15.75" customHeight="1">
      <c r="A223" s="16"/>
      <c r="B223" s="16"/>
      <c r="C223" s="16"/>
      <c r="D223" s="16"/>
      <c r="E223" s="49"/>
      <c r="G223" s="16"/>
      <c r="H223" s="89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</row>
    <row r="224" ht="15.75" customHeight="1">
      <c r="A224" s="16"/>
      <c r="B224" s="16"/>
      <c r="C224" s="16"/>
      <c r="D224" s="16"/>
      <c r="E224" s="49"/>
      <c r="G224" s="16"/>
      <c r="H224" s="89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</row>
    <row r="225" ht="15.75" customHeight="1">
      <c r="A225" s="16"/>
      <c r="B225" s="16"/>
      <c r="C225" s="16"/>
      <c r="D225" s="16"/>
      <c r="E225" s="49"/>
      <c r="G225" s="16"/>
      <c r="H225" s="89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</row>
    <row r="226" ht="15.75" customHeight="1">
      <c r="A226" s="16"/>
      <c r="B226" s="16"/>
      <c r="C226" s="16"/>
      <c r="D226" s="16"/>
      <c r="E226" s="49"/>
      <c r="G226" s="16"/>
      <c r="H226" s="89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</row>
    <row r="227" ht="15.75" customHeight="1">
      <c r="A227" s="16"/>
      <c r="B227" s="16"/>
      <c r="C227" s="16"/>
      <c r="D227" s="16"/>
      <c r="E227" s="49"/>
      <c r="G227" s="16"/>
      <c r="H227" s="89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</row>
    <row r="228" ht="15.75" customHeight="1">
      <c r="A228" s="16"/>
      <c r="B228" s="16"/>
      <c r="C228" s="16"/>
      <c r="D228" s="16"/>
      <c r="E228" s="49"/>
      <c r="G228" s="16"/>
      <c r="H228" s="89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</row>
    <row r="229" ht="15.75" customHeight="1">
      <c r="A229" s="16"/>
      <c r="B229" s="16"/>
      <c r="C229" s="16"/>
      <c r="D229" s="16"/>
      <c r="E229" s="49"/>
      <c r="G229" s="16"/>
      <c r="H229" s="89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</row>
    <row r="230" ht="15.75" customHeight="1">
      <c r="A230" s="16"/>
      <c r="B230" s="16"/>
      <c r="C230" s="16"/>
      <c r="D230" s="16"/>
      <c r="E230" s="49"/>
      <c r="G230" s="16"/>
      <c r="H230" s="89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</row>
    <row r="231" ht="15.75" customHeight="1">
      <c r="A231" s="16"/>
      <c r="B231" s="16"/>
      <c r="C231" s="16"/>
      <c r="D231" s="16"/>
      <c r="E231" s="49"/>
      <c r="G231" s="16"/>
      <c r="H231" s="89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</row>
    <row r="232" ht="15.75" customHeight="1">
      <c r="A232" s="16"/>
      <c r="B232" s="16"/>
      <c r="C232" s="16"/>
      <c r="D232" s="16"/>
      <c r="E232" s="49"/>
      <c r="G232" s="16"/>
      <c r="H232" s="89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</row>
    <row r="233" ht="15.75" customHeight="1">
      <c r="A233" s="16"/>
      <c r="B233" s="16"/>
      <c r="C233" s="16"/>
      <c r="D233" s="16"/>
      <c r="E233" s="49"/>
      <c r="G233" s="16"/>
      <c r="H233" s="89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</row>
    <row r="234" ht="15.75" customHeight="1">
      <c r="A234" s="16"/>
      <c r="B234" s="16"/>
      <c r="C234" s="16"/>
      <c r="D234" s="16"/>
      <c r="E234" s="49"/>
      <c r="G234" s="16"/>
      <c r="H234" s="89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</row>
    <row r="235" ht="15.75" customHeight="1">
      <c r="A235" s="16"/>
      <c r="B235" s="16"/>
      <c r="C235" s="16"/>
      <c r="D235" s="16"/>
      <c r="E235" s="49"/>
      <c r="G235" s="16"/>
      <c r="H235" s="89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</row>
    <row r="236" ht="15.75" customHeight="1">
      <c r="A236" s="16"/>
      <c r="B236" s="16"/>
      <c r="C236" s="16"/>
      <c r="D236" s="16"/>
      <c r="E236" s="49"/>
      <c r="G236" s="16"/>
      <c r="H236" s="89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</row>
    <row r="237" ht="15.75" customHeight="1">
      <c r="A237" s="16"/>
      <c r="B237" s="16"/>
      <c r="C237" s="16"/>
      <c r="D237" s="16"/>
      <c r="E237" s="49"/>
      <c r="G237" s="16"/>
      <c r="H237" s="89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</row>
    <row r="238" ht="15.75" customHeight="1">
      <c r="A238" s="16"/>
      <c r="B238" s="16"/>
      <c r="C238" s="16"/>
      <c r="D238" s="16"/>
      <c r="E238" s="49"/>
      <c r="G238" s="16"/>
      <c r="H238" s="89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</row>
    <row r="239" ht="15.75" customHeight="1">
      <c r="A239" s="16"/>
      <c r="B239" s="16"/>
      <c r="C239" s="16"/>
      <c r="D239" s="16"/>
      <c r="E239" s="49"/>
      <c r="G239" s="16"/>
      <c r="H239" s="89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</row>
    <row r="240" ht="15.75" customHeight="1">
      <c r="A240" s="16"/>
      <c r="B240" s="16"/>
      <c r="C240" s="16"/>
      <c r="D240" s="16"/>
      <c r="E240" s="49"/>
      <c r="G240" s="16"/>
      <c r="H240" s="89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</row>
    <row r="241" ht="15.75" customHeight="1">
      <c r="A241" s="16"/>
      <c r="B241" s="16"/>
      <c r="C241" s="16"/>
      <c r="D241" s="16"/>
      <c r="E241" s="49"/>
      <c r="G241" s="16"/>
      <c r="H241" s="89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</row>
    <row r="242" ht="15.75" customHeight="1">
      <c r="A242" s="16"/>
      <c r="B242" s="16"/>
      <c r="C242" s="16"/>
      <c r="D242" s="16"/>
      <c r="E242" s="49"/>
      <c r="G242" s="16"/>
      <c r="H242" s="89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</row>
    <row r="243" ht="15.75" customHeight="1">
      <c r="A243" s="16"/>
      <c r="B243" s="16"/>
      <c r="C243" s="16"/>
      <c r="D243" s="16"/>
      <c r="E243" s="49"/>
      <c r="G243" s="16"/>
      <c r="H243" s="89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</row>
    <row r="244" ht="15.75" customHeight="1">
      <c r="A244" s="16"/>
      <c r="B244" s="16"/>
      <c r="C244" s="16"/>
      <c r="D244" s="16"/>
      <c r="E244" s="49"/>
      <c r="G244" s="16"/>
      <c r="H244" s="89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</row>
    <row r="245" ht="15.75" customHeight="1">
      <c r="A245" s="16"/>
      <c r="B245" s="16"/>
      <c r="C245" s="16"/>
      <c r="D245" s="16"/>
      <c r="E245" s="49"/>
      <c r="G245" s="16"/>
      <c r="H245" s="89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</row>
    <row r="246" ht="15.75" customHeight="1">
      <c r="A246" s="16"/>
      <c r="B246" s="16"/>
      <c r="C246" s="16"/>
      <c r="D246" s="16"/>
      <c r="E246" s="49"/>
      <c r="G246" s="16"/>
      <c r="H246" s="89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</row>
    <row r="247" ht="15.75" customHeight="1">
      <c r="A247" s="16"/>
      <c r="B247" s="16"/>
      <c r="C247" s="16"/>
      <c r="D247" s="16"/>
      <c r="E247" s="49"/>
      <c r="G247" s="16"/>
      <c r="H247" s="89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</row>
    <row r="248" ht="15.75" customHeight="1">
      <c r="A248" s="16"/>
      <c r="B248" s="16"/>
      <c r="C248" s="16"/>
      <c r="D248" s="16"/>
      <c r="E248" s="49"/>
      <c r="G248" s="16"/>
      <c r="H248" s="89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</row>
    <row r="249" ht="15.75" customHeight="1">
      <c r="A249" s="16"/>
      <c r="B249" s="16"/>
      <c r="C249" s="16"/>
      <c r="D249" s="16"/>
      <c r="E249" s="49"/>
      <c r="G249" s="16"/>
      <c r="H249" s="89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</row>
    <row r="250" ht="15.75" customHeight="1">
      <c r="A250" s="16"/>
      <c r="B250" s="16"/>
      <c r="C250" s="16"/>
      <c r="D250" s="16"/>
      <c r="E250" s="49"/>
      <c r="G250" s="16"/>
      <c r="H250" s="89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</row>
    <row r="251" ht="15.75" customHeight="1">
      <c r="A251" s="16"/>
      <c r="B251" s="16"/>
      <c r="C251" s="16"/>
      <c r="D251" s="16"/>
      <c r="E251" s="49"/>
      <c r="G251" s="16"/>
      <c r="H251" s="89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</row>
    <row r="252" ht="15.75" customHeight="1">
      <c r="A252" s="16"/>
      <c r="B252" s="16"/>
      <c r="C252" s="16"/>
      <c r="D252" s="16"/>
      <c r="E252" s="49"/>
      <c r="G252" s="16"/>
      <c r="H252" s="89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</row>
    <row r="253" ht="15.75" customHeight="1">
      <c r="A253" s="16"/>
      <c r="B253" s="16"/>
      <c r="C253" s="16"/>
      <c r="D253" s="16"/>
      <c r="E253" s="49"/>
      <c r="G253" s="16"/>
      <c r="H253" s="89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</row>
    <row r="254" ht="15.75" customHeight="1">
      <c r="A254" s="16"/>
      <c r="B254" s="16"/>
      <c r="C254" s="16"/>
      <c r="D254" s="16"/>
      <c r="E254" s="49"/>
      <c r="G254" s="16"/>
      <c r="H254" s="89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</row>
    <row r="255" ht="15.75" customHeight="1">
      <c r="A255" s="16"/>
      <c r="B255" s="16"/>
      <c r="C255" s="16"/>
      <c r="D255" s="16"/>
      <c r="E255" s="49"/>
      <c r="G255" s="16"/>
      <c r="H255" s="89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</row>
    <row r="256" ht="15.75" customHeight="1">
      <c r="A256" s="16"/>
      <c r="B256" s="16"/>
      <c r="C256" s="16"/>
      <c r="D256" s="16"/>
      <c r="E256" s="49"/>
      <c r="G256" s="16"/>
      <c r="H256" s="89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</row>
    <row r="257" ht="15.75" customHeight="1">
      <c r="A257" s="16"/>
      <c r="B257" s="16"/>
      <c r="C257" s="16"/>
      <c r="D257" s="16"/>
      <c r="E257" s="49"/>
      <c r="G257" s="16"/>
      <c r="H257" s="89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</row>
    <row r="258" ht="15.75" customHeight="1">
      <c r="A258" s="16"/>
      <c r="B258" s="16"/>
      <c r="C258" s="16"/>
      <c r="D258" s="16"/>
      <c r="E258" s="49"/>
      <c r="G258" s="16"/>
      <c r="H258" s="89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</row>
    <row r="259" ht="15.75" customHeight="1">
      <c r="A259" s="16"/>
      <c r="B259" s="16"/>
      <c r="C259" s="16"/>
      <c r="D259" s="16"/>
      <c r="E259" s="49"/>
      <c r="G259" s="16"/>
      <c r="H259" s="89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</row>
    <row r="260" ht="15.75" customHeight="1">
      <c r="A260" s="16"/>
      <c r="B260" s="16"/>
      <c r="C260" s="16"/>
      <c r="D260" s="16"/>
      <c r="E260" s="49"/>
      <c r="G260" s="16"/>
      <c r="H260" s="89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</row>
    <row r="261" ht="15.75" customHeight="1">
      <c r="A261" s="16"/>
      <c r="B261" s="16"/>
      <c r="C261" s="16"/>
      <c r="D261" s="16"/>
      <c r="E261" s="49"/>
      <c r="G261" s="16"/>
      <c r="H261" s="89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</row>
    <row r="262" ht="15.75" customHeight="1">
      <c r="A262" s="16"/>
      <c r="B262" s="16"/>
      <c r="C262" s="16"/>
      <c r="D262" s="16"/>
      <c r="E262" s="49"/>
      <c r="G262" s="16"/>
      <c r="H262" s="89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</row>
    <row r="263" ht="15.75" customHeight="1">
      <c r="A263" s="16"/>
      <c r="B263" s="16"/>
      <c r="C263" s="16"/>
      <c r="D263" s="16"/>
      <c r="E263" s="49"/>
      <c r="G263" s="16"/>
      <c r="H263" s="89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</row>
    <row r="264" ht="15.75" customHeight="1">
      <c r="A264" s="16"/>
      <c r="B264" s="16"/>
      <c r="C264" s="16"/>
      <c r="D264" s="16"/>
      <c r="E264" s="49"/>
      <c r="G264" s="16"/>
      <c r="H264" s="89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</row>
    <row r="265" ht="15.75" customHeight="1">
      <c r="A265" s="16"/>
      <c r="B265" s="16"/>
      <c r="C265" s="16"/>
      <c r="D265" s="16"/>
      <c r="E265" s="49"/>
      <c r="G265" s="16"/>
      <c r="H265" s="89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</row>
    <row r="266" ht="15.75" customHeight="1">
      <c r="A266" s="16"/>
      <c r="B266" s="16"/>
      <c r="C266" s="16"/>
      <c r="D266" s="16"/>
      <c r="E266" s="49"/>
      <c r="G266" s="16"/>
      <c r="H266" s="89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</row>
    <row r="267" ht="15.75" customHeight="1">
      <c r="A267" s="16"/>
      <c r="B267" s="16"/>
      <c r="C267" s="16"/>
      <c r="D267" s="16"/>
      <c r="E267" s="49"/>
      <c r="G267" s="16"/>
      <c r="H267" s="89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</row>
    <row r="268" ht="15.75" customHeight="1">
      <c r="A268" s="16"/>
      <c r="B268" s="16"/>
      <c r="C268" s="16"/>
      <c r="D268" s="16"/>
      <c r="E268" s="49"/>
      <c r="G268" s="16"/>
      <c r="H268" s="89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</row>
    <row r="269" ht="15.75" customHeight="1">
      <c r="A269" s="16"/>
      <c r="B269" s="16"/>
      <c r="C269" s="16"/>
      <c r="D269" s="16"/>
      <c r="E269" s="49"/>
      <c r="G269" s="16"/>
      <c r="H269" s="89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</row>
    <row r="270" ht="15.75" customHeight="1">
      <c r="A270" s="16"/>
      <c r="B270" s="16"/>
      <c r="C270" s="16"/>
      <c r="D270" s="16"/>
      <c r="E270" s="49"/>
      <c r="G270" s="16"/>
      <c r="H270" s="89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</row>
    <row r="271" ht="15.75" customHeight="1">
      <c r="A271" s="16"/>
      <c r="B271" s="16"/>
      <c r="C271" s="16"/>
      <c r="D271" s="16"/>
      <c r="E271" s="49"/>
      <c r="G271" s="16"/>
      <c r="H271" s="89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</row>
    <row r="272" ht="15.75" customHeight="1">
      <c r="A272" s="16"/>
      <c r="B272" s="16"/>
      <c r="C272" s="16"/>
      <c r="D272" s="16"/>
      <c r="E272" s="49"/>
      <c r="G272" s="16"/>
      <c r="H272" s="89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</row>
    <row r="273" ht="15.75" customHeight="1">
      <c r="A273" s="16"/>
      <c r="B273" s="16"/>
      <c r="C273" s="16"/>
      <c r="D273" s="16"/>
      <c r="E273" s="49"/>
      <c r="G273" s="16"/>
      <c r="H273" s="89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</row>
    <row r="274" ht="15.75" customHeight="1">
      <c r="A274" s="16"/>
      <c r="B274" s="16"/>
      <c r="C274" s="16"/>
      <c r="D274" s="16"/>
      <c r="E274" s="49"/>
      <c r="G274" s="16"/>
      <c r="H274" s="89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</row>
    <row r="275" ht="15.75" customHeight="1">
      <c r="A275" s="16"/>
      <c r="B275" s="16"/>
      <c r="C275" s="16"/>
      <c r="D275" s="16"/>
      <c r="E275" s="49"/>
      <c r="G275" s="16"/>
      <c r="H275" s="89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</row>
    <row r="276" ht="15.75" customHeight="1">
      <c r="A276" s="16"/>
      <c r="B276" s="16"/>
      <c r="C276" s="16"/>
      <c r="D276" s="16"/>
      <c r="E276" s="49"/>
      <c r="G276" s="16"/>
      <c r="H276" s="89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</row>
    <row r="277" ht="15.75" customHeight="1">
      <c r="A277" s="16"/>
      <c r="B277" s="16"/>
      <c r="C277" s="16"/>
      <c r="D277" s="16"/>
      <c r="E277" s="49"/>
      <c r="G277" s="16"/>
      <c r="H277" s="89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</row>
    <row r="278" ht="15.75" customHeight="1">
      <c r="A278" s="16"/>
      <c r="B278" s="16"/>
      <c r="C278" s="16"/>
      <c r="D278" s="16"/>
      <c r="E278" s="49"/>
      <c r="G278" s="16"/>
      <c r="H278" s="89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</row>
    <row r="279" ht="15.75" customHeight="1">
      <c r="A279" s="16"/>
      <c r="B279" s="16"/>
      <c r="C279" s="16"/>
      <c r="D279" s="16"/>
      <c r="E279" s="49"/>
      <c r="G279" s="16"/>
      <c r="H279" s="89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</row>
    <row r="280" ht="15.75" customHeight="1">
      <c r="A280" s="16"/>
      <c r="B280" s="16"/>
      <c r="C280" s="16"/>
      <c r="D280" s="16"/>
      <c r="E280" s="49"/>
      <c r="G280" s="16"/>
      <c r="H280" s="89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</row>
    <row r="281" ht="15.75" customHeight="1">
      <c r="A281" s="16"/>
      <c r="B281" s="16"/>
      <c r="C281" s="16"/>
      <c r="D281" s="16"/>
      <c r="E281" s="49"/>
      <c r="G281" s="16"/>
      <c r="H281" s="89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</row>
    <row r="282" ht="15.75" customHeight="1">
      <c r="A282" s="16"/>
      <c r="B282" s="16"/>
      <c r="C282" s="16"/>
      <c r="D282" s="16"/>
      <c r="E282" s="49"/>
      <c r="G282" s="16"/>
      <c r="H282" s="89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</row>
    <row r="283" ht="15.75" customHeight="1">
      <c r="A283" s="16"/>
      <c r="B283" s="16"/>
      <c r="C283" s="16"/>
      <c r="D283" s="16"/>
      <c r="E283" s="49"/>
      <c r="G283" s="16"/>
      <c r="H283" s="89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</row>
    <row r="284" ht="15.75" customHeight="1">
      <c r="A284" s="16"/>
      <c r="B284" s="16"/>
      <c r="C284" s="16"/>
      <c r="D284" s="16"/>
      <c r="E284" s="49"/>
      <c r="G284" s="16"/>
      <c r="H284" s="89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</row>
    <row r="285" ht="15.75" customHeight="1">
      <c r="A285" s="16"/>
      <c r="B285" s="16"/>
      <c r="C285" s="16"/>
      <c r="D285" s="16"/>
      <c r="E285" s="49"/>
      <c r="G285" s="16"/>
      <c r="H285" s="89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</row>
    <row r="286" ht="15.75" customHeight="1">
      <c r="A286" s="16"/>
      <c r="B286" s="16"/>
      <c r="C286" s="16"/>
      <c r="D286" s="16"/>
      <c r="E286" s="49"/>
      <c r="G286" s="16"/>
      <c r="H286" s="89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</row>
    <row r="287" ht="15.75" customHeight="1">
      <c r="A287" s="16"/>
      <c r="B287" s="16"/>
      <c r="C287" s="16"/>
      <c r="D287" s="16"/>
      <c r="E287" s="49"/>
      <c r="G287" s="16"/>
      <c r="H287" s="89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</row>
    <row r="288" ht="15.75" customHeight="1">
      <c r="A288" s="16"/>
      <c r="B288" s="16"/>
      <c r="C288" s="16"/>
      <c r="D288" s="16"/>
      <c r="E288" s="49"/>
      <c r="G288" s="16"/>
      <c r="H288" s="89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</row>
    <row r="289" ht="15.75" customHeight="1">
      <c r="A289" s="16"/>
      <c r="B289" s="16"/>
      <c r="C289" s="16"/>
      <c r="D289" s="16"/>
      <c r="E289" s="49"/>
      <c r="G289" s="16"/>
      <c r="H289" s="89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</row>
    <row r="290" ht="15.75" customHeight="1">
      <c r="A290" s="16"/>
      <c r="B290" s="16"/>
      <c r="C290" s="16"/>
      <c r="D290" s="16"/>
      <c r="E290" s="49"/>
      <c r="G290" s="16"/>
      <c r="H290" s="89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</row>
    <row r="291" ht="15.75" customHeight="1">
      <c r="A291" s="16"/>
      <c r="B291" s="16"/>
      <c r="C291" s="16"/>
      <c r="D291" s="16"/>
      <c r="E291" s="49"/>
      <c r="G291" s="16"/>
      <c r="H291" s="89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</row>
    <row r="292" ht="15.75" customHeight="1">
      <c r="A292" s="16"/>
      <c r="B292" s="16"/>
      <c r="C292" s="16"/>
      <c r="D292" s="16"/>
      <c r="E292" s="49"/>
      <c r="G292" s="16"/>
      <c r="H292" s="89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</row>
    <row r="293" ht="15.75" customHeight="1">
      <c r="A293" s="16"/>
      <c r="B293" s="16"/>
      <c r="C293" s="16"/>
      <c r="D293" s="16"/>
      <c r="E293" s="49"/>
      <c r="G293" s="16"/>
      <c r="H293" s="89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</row>
    <row r="294" ht="15.75" customHeight="1">
      <c r="A294" s="16"/>
      <c r="B294" s="16"/>
      <c r="C294" s="16"/>
      <c r="D294" s="16"/>
      <c r="E294" s="49"/>
      <c r="G294" s="16"/>
      <c r="H294" s="89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</row>
    <row r="295" ht="15.75" customHeight="1">
      <c r="A295" s="16"/>
      <c r="B295" s="16"/>
      <c r="C295" s="16"/>
      <c r="D295" s="16"/>
      <c r="E295" s="49"/>
      <c r="G295" s="16"/>
      <c r="H295" s="89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</row>
    <row r="296" ht="15.75" customHeight="1">
      <c r="A296" s="16"/>
      <c r="B296" s="16"/>
      <c r="C296" s="16"/>
      <c r="D296" s="16"/>
      <c r="E296" s="49"/>
      <c r="G296" s="16"/>
      <c r="H296" s="89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</row>
    <row r="297" ht="15.75" customHeight="1">
      <c r="A297" s="16"/>
      <c r="B297" s="16"/>
      <c r="C297" s="16"/>
      <c r="D297" s="16"/>
      <c r="E297" s="49"/>
      <c r="G297" s="16"/>
      <c r="H297" s="89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</row>
    <row r="298" ht="15.75" customHeight="1">
      <c r="A298" s="16"/>
      <c r="B298" s="16"/>
      <c r="C298" s="16"/>
      <c r="D298" s="16"/>
      <c r="E298" s="49"/>
      <c r="G298" s="16"/>
      <c r="H298" s="89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</row>
    <row r="299" ht="15.75" customHeight="1">
      <c r="A299" s="16"/>
      <c r="B299" s="16"/>
      <c r="C299" s="16"/>
      <c r="D299" s="16"/>
      <c r="E299" s="49"/>
      <c r="G299" s="16"/>
      <c r="H299" s="89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</row>
    <row r="300" ht="15.75" customHeight="1">
      <c r="A300" s="16"/>
      <c r="B300" s="16"/>
      <c r="C300" s="16"/>
      <c r="D300" s="16"/>
      <c r="E300" s="49"/>
      <c r="G300" s="16"/>
      <c r="H300" s="89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</row>
    <row r="301" ht="15.75" customHeight="1">
      <c r="A301" s="16"/>
      <c r="B301" s="16"/>
      <c r="C301" s="16"/>
      <c r="D301" s="16"/>
      <c r="E301" s="49"/>
      <c r="G301" s="16"/>
      <c r="H301" s="89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</row>
    <row r="302" ht="15.75" customHeight="1">
      <c r="A302" s="16"/>
      <c r="B302" s="16"/>
      <c r="C302" s="16"/>
      <c r="D302" s="16"/>
      <c r="E302" s="49"/>
      <c r="G302" s="16"/>
      <c r="H302" s="89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</row>
    <row r="303" ht="15.75" customHeight="1">
      <c r="A303" s="16"/>
      <c r="B303" s="16"/>
      <c r="C303" s="16"/>
      <c r="D303" s="16"/>
      <c r="E303" s="49"/>
      <c r="G303" s="16"/>
      <c r="H303" s="89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</row>
    <row r="304" ht="15.75" customHeight="1">
      <c r="A304" s="16"/>
      <c r="B304" s="16"/>
      <c r="C304" s="16"/>
      <c r="D304" s="16"/>
      <c r="E304" s="49"/>
      <c r="G304" s="16"/>
      <c r="H304" s="89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</row>
    <row r="305" ht="15.75" customHeight="1">
      <c r="A305" s="16"/>
      <c r="B305" s="16"/>
      <c r="C305" s="16"/>
      <c r="D305" s="16"/>
      <c r="E305" s="49"/>
      <c r="G305" s="16"/>
      <c r="H305" s="89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</row>
    <row r="306" ht="15.75" customHeight="1">
      <c r="A306" s="16"/>
      <c r="B306" s="16"/>
      <c r="C306" s="16"/>
      <c r="D306" s="16"/>
      <c r="E306" s="49"/>
      <c r="G306" s="16"/>
      <c r="H306" s="89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</row>
    <row r="307" ht="15.75" customHeight="1">
      <c r="A307" s="16"/>
      <c r="B307" s="16"/>
      <c r="C307" s="16"/>
      <c r="D307" s="16"/>
      <c r="E307" s="49"/>
      <c r="G307" s="16"/>
      <c r="H307" s="89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</row>
    <row r="308" ht="15.75" customHeight="1">
      <c r="A308" s="16"/>
      <c r="B308" s="16"/>
      <c r="C308" s="16"/>
      <c r="D308" s="16"/>
      <c r="E308" s="49"/>
      <c r="G308" s="16"/>
      <c r="H308" s="89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</row>
    <row r="309" ht="15.75" customHeight="1">
      <c r="A309" s="16"/>
      <c r="B309" s="16"/>
      <c r="C309" s="16"/>
      <c r="D309" s="16"/>
      <c r="E309" s="49"/>
      <c r="G309" s="16"/>
      <c r="H309" s="89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</row>
    <row r="310" ht="15.75" customHeight="1">
      <c r="A310" s="16"/>
      <c r="B310" s="16"/>
      <c r="C310" s="16"/>
      <c r="D310" s="16"/>
      <c r="E310" s="49"/>
      <c r="G310" s="16"/>
      <c r="H310" s="89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</row>
    <row r="311" ht="15.75" customHeight="1">
      <c r="A311" s="16"/>
      <c r="B311" s="16"/>
      <c r="C311" s="16"/>
      <c r="D311" s="16"/>
      <c r="E311" s="49"/>
      <c r="G311" s="16"/>
      <c r="H311" s="89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</row>
    <row r="312" ht="15.75" customHeight="1">
      <c r="A312" s="16"/>
      <c r="B312" s="16"/>
      <c r="C312" s="16"/>
      <c r="D312" s="16"/>
      <c r="E312" s="49"/>
      <c r="G312" s="16"/>
      <c r="H312" s="89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</row>
    <row r="313" ht="15.75" customHeight="1">
      <c r="A313" s="16"/>
      <c r="B313" s="16"/>
      <c r="C313" s="16"/>
      <c r="D313" s="16"/>
      <c r="E313" s="49"/>
      <c r="G313" s="16"/>
      <c r="H313" s="89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</row>
    <row r="314" ht="15.75" customHeight="1">
      <c r="A314" s="16"/>
      <c r="B314" s="16"/>
      <c r="C314" s="16"/>
      <c r="D314" s="16"/>
      <c r="E314" s="49"/>
      <c r="G314" s="16"/>
      <c r="H314" s="89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</row>
    <row r="315" ht="15.75" customHeight="1">
      <c r="A315" s="16"/>
      <c r="B315" s="16"/>
      <c r="C315" s="16"/>
      <c r="D315" s="16"/>
      <c r="E315" s="49"/>
      <c r="G315" s="16"/>
      <c r="H315" s="89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</row>
    <row r="316" ht="15.75" customHeight="1">
      <c r="A316" s="16"/>
      <c r="B316" s="16"/>
      <c r="C316" s="16"/>
      <c r="D316" s="16"/>
      <c r="E316" s="49"/>
      <c r="G316" s="16"/>
      <c r="H316" s="89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</row>
    <row r="317" ht="15.75" customHeight="1">
      <c r="A317" s="16"/>
      <c r="B317" s="16"/>
      <c r="C317" s="16"/>
      <c r="D317" s="16"/>
      <c r="E317" s="49"/>
      <c r="G317" s="16"/>
      <c r="H317" s="89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</row>
    <row r="318" ht="15.75" customHeight="1">
      <c r="A318" s="16"/>
      <c r="B318" s="16"/>
      <c r="C318" s="16"/>
      <c r="D318" s="16"/>
      <c r="E318" s="49"/>
      <c r="G318" s="16"/>
      <c r="H318" s="89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</row>
    <row r="319" ht="15.75" customHeight="1">
      <c r="A319" s="16"/>
      <c r="B319" s="16"/>
      <c r="C319" s="16"/>
      <c r="D319" s="16"/>
      <c r="E319" s="49"/>
      <c r="G319" s="16"/>
      <c r="H319" s="89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</row>
    <row r="320" ht="15.75" customHeight="1">
      <c r="A320" s="16"/>
      <c r="B320" s="16"/>
      <c r="C320" s="16"/>
      <c r="D320" s="16"/>
      <c r="E320" s="49"/>
      <c r="G320" s="16"/>
      <c r="H320" s="89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</row>
    <row r="321" ht="15.75" customHeight="1">
      <c r="A321" s="16"/>
      <c r="B321" s="16"/>
      <c r="C321" s="16"/>
      <c r="D321" s="16"/>
      <c r="E321" s="49"/>
      <c r="G321" s="16"/>
      <c r="H321" s="89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</row>
    <row r="322" ht="15.75" customHeight="1">
      <c r="A322" s="16"/>
      <c r="B322" s="16"/>
      <c r="C322" s="16"/>
      <c r="D322" s="16"/>
      <c r="E322" s="49"/>
      <c r="G322" s="16"/>
      <c r="H322" s="89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</row>
    <row r="323" ht="15.75" customHeight="1">
      <c r="A323" s="16"/>
      <c r="B323" s="16"/>
      <c r="C323" s="16"/>
      <c r="D323" s="16"/>
      <c r="E323" s="49"/>
      <c r="G323" s="16"/>
      <c r="H323" s="89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</row>
    <row r="324" ht="15.75" customHeight="1">
      <c r="A324" s="16"/>
      <c r="B324" s="16"/>
      <c r="C324" s="16"/>
      <c r="D324" s="16"/>
      <c r="E324" s="49"/>
      <c r="G324" s="16"/>
      <c r="H324" s="89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</row>
    <row r="325" ht="15.75" customHeight="1">
      <c r="A325" s="16"/>
      <c r="B325" s="16"/>
      <c r="C325" s="16"/>
      <c r="D325" s="16"/>
      <c r="E325" s="49"/>
      <c r="G325" s="16"/>
      <c r="H325" s="89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</row>
    <row r="326" ht="15.75" customHeight="1">
      <c r="A326" s="16"/>
      <c r="B326" s="16"/>
      <c r="C326" s="16"/>
      <c r="D326" s="16"/>
      <c r="E326" s="49"/>
      <c r="G326" s="16"/>
      <c r="H326" s="89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</row>
    <row r="327" ht="15.75" customHeight="1">
      <c r="A327" s="16"/>
      <c r="B327" s="16"/>
      <c r="C327" s="16"/>
      <c r="D327" s="16"/>
      <c r="E327" s="49"/>
      <c r="G327" s="16"/>
      <c r="H327" s="89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</row>
    <row r="328" ht="15.75" customHeight="1">
      <c r="A328" s="16"/>
      <c r="B328" s="16"/>
      <c r="C328" s="16"/>
      <c r="D328" s="16"/>
      <c r="E328" s="49"/>
      <c r="G328" s="16"/>
      <c r="H328" s="89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</row>
    <row r="329" ht="15.75" customHeight="1">
      <c r="A329" s="16"/>
      <c r="B329" s="16"/>
      <c r="C329" s="16"/>
      <c r="D329" s="16"/>
      <c r="E329" s="49"/>
      <c r="G329" s="16"/>
      <c r="H329" s="89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</row>
    <row r="330" ht="15.75" customHeight="1">
      <c r="A330" s="16"/>
      <c r="B330" s="16"/>
      <c r="C330" s="16"/>
      <c r="D330" s="16"/>
      <c r="E330" s="49"/>
      <c r="G330" s="16"/>
      <c r="H330" s="89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</row>
    <row r="331" ht="15.75" customHeight="1">
      <c r="A331" s="16"/>
      <c r="B331" s="16"/>
      <c r="C331" s="16"/>
      <c r="D331" s="16"/>
      <c r="E331" s="49"/>
      <c r="G331" s="16"/>
      <c r="H331" s="89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</row>
    <row r="332" ht="15.75" customHeight="1">
      <c r="A332" s="16"/>
      <c r="B332" s="16"/>
      <c r="C332" s="16"/>
      <c r="D332" s="16"/>
      <c r="E332" s="49"/>
      <c r="G332" s="16"/>
      <c r="H332" s="89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</row>
    <row r="333" ht="15.75" customHeight="1">
      <c r="A333" s="16"/>
      <c r="B333" s="16"/>
      <c r="C333" s="16"/>
      <c r="D333" s="16"/>
      <c r="E333" s="49"/>
      <c r="G333" s="16"/>
      <c r="H333" s="89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</row>
    <row r="334" ht="15.75" customHeight="1">
      <c r="A334" s="16"/>
      <c r="B334" s="16"/>
      <c r="C334" s="16"/>
      <c r="D334" s="16"/>
      <c r="E334" s="49"/>
      <c r="G334" s="16"/>
      <c r="H334" s="89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</row>
    <row r="335" ht="15.75" customHeight="1">
      <c r="A335" s="16"/>
      <c r="B335" s="16"/>
      <c r="C335" s="16"/>
      <c r="D335" s="16"/>
      <c r="E335" s="49"/>
      <c r="G335" s="16"/>
      <c r="H335" s="89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</row>
    <row r="336" ht="15.75" customHeight="1">
      <c r="A336" s="16"/>
      <c r="B336" s="16"/>
      <c r="C336" s="16"/>
      <c r="D336" s="16"/>
      <c r="E336" s="49"/>
      <c r="G336" s="16"/>
      <c r="H336" s="89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</row>
    <row r="337" ht="15.75" customHeight="1">
      <c r="A337" s="16"/>
      <c r="B337" s="16"/>
      <c r="C337" s="16"/>
      <c r="D337" s="16"/>
      <c r="E337" s="49"/>
      <c r="G337" s="16"/>
      <c r="H337" s="89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</row>
    <row r="338" ht="15.75" customHeight="1">
      <c r="A338" s="16"/>
      <c r="B338" s="16"/>
      <c r="C338" s="16"/>
      <c r="D338" s="16"/>
      <c r="E338" s="49"/>
      <c r="G338" s="16"/>
      <c r="H338" s="89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</row>
    <row r="339" ht="15.75" customHeight="1">
      <c r="A339" s="16"/>
      <c r="B339" s="16"/>
      <c r="C339" s="16"/>
      <c r="D339" s="16"/>
      <c r="E339" s="49"/>
      <c r="G339" s="16"/>
      <c r="H339" s="89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</row>
    <row r="340" ht="15.75" customHeight="1">
      <c r="A340" s="16"/>
      <c r="B340" s="16"/>
      <c r="C340" s="16"/>
      <c r="D340" s="16"/>
      <c r="E340" s="49"/>
      <c r="G340" s="16"/>
      <c r="H340" s="89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</row>
    <row r="341" ht="15.75" customHeight="1">
      <c r="A341" s="16"/>
      <c r="B341" s="16"/>
      <c r="C341" s="16"/>
      <c r="D341" s="16"/>
      <c r="E341" s="49"/>
      <c r="G341" s="16"/>
      <c r="H341" s="89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</row>
    <row r="342" ht="15.75" customHeight="1">
      <c r="A342" s="16"/>
      <c r="B342" s="16"/>
      <c r="C342" s="16"/>
      <c r="D342" s="16"/>
      <c r="E342" s="49"/>
      <c r="G342" s="16"/>
      <c r="H342" s="89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</row>
    <row r="343" ht="15.75" customHeight="1">
      <c r="A343" s="16"/>
      <c r="B343" s="16"/>
      <c r="C343" s="16"/>
      <c r="D343" s="16"/>
      <c r="E343" s="49"/>
      <c r="G343" s="16"/>
      <c r="H343" s="89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</row>
    <row r="344" ht="15.75" customHeight="1">
      <c r="A344" s="16"/>
      <c r="B344" s="16"/>
      <c r="C344" s="16"/>
      <c r="D344" s="16"/>
      <c r="E344" s="49"/>
      <c r="G344" s="16"/>
      <c r="H344" s="89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</row>
    <row r="345" ht="15.75" customHeight="1">
      <c r="A345" s="16"/>
      <c r="B345" s="16"/>
      <c r="C345" s="16"/>
      <c r="D345" s="16"/>
      <c r="E345" s="49"/>
      <c r="G345" s="16"/>
      <c r="H345" s="89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</row>
    <row r="346" ht="15.75" customHeight="1">
      <c r="A346" s="16"/>
      <c r="B346" s="16"/>
      <c r="C346" s="16"/>
      <c r="D346" s="16"/>
      <c r="E346" s="49"/>
      <c r="G346" s="16"/>
      <c r="H346" s="89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</row>
    <row r="347" ht="15.75" customHeight="1">
      <c r="A347" s="16"/>
      <c r="B347" s="16"/>
      <c r="C347" s="16"/>
      <c r="D347" s="16"/>
      <c r="E347" s="49"/>
      <c r="G347" s="16"/>
      <c r="H347" s="89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</row>
    <row r="348" ht="15.75" customHeight="1">
      <c r="A348" s="16"/>
      <c r="B348" s="16"/>
      <c r="C348" s="16"/>
      <c r="D348" s="16"/>
      <c r="E348" s="49"/>
      <c r="G348" s="16"/>
      <c r="H348" s="89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</row>
    <row r="349" ht="15.75" customHeight="1">
      <c r="A349" s="16"/>
      <c r="B349" s="16"/>
      <c r="C349" s="16"/>
      <c r="D349" s="16"/>
      <c r="E349" s="49"/>
      <c r="G349" s="16"/>
      <c r="H349" s="89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</row>
    <row r="350" ht="15.75" customHeight="1">
      <c r="A350" s="16"/>
      <c r="B350" s="16"/>
      <c r="C350" s="16"/>
      <c r="D350" s="16"/>
      <c r="E350" s="49"/>
      <c r="G350" s="16"/>
      <c r="H350" s="89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</row>
    <row r="351" ht="15.75" customHeight="1">
      <c r="A351" s="16"/>
      <c r="B351" s="16"/>
      <c r="C351" s="16"/>
      <c r="D351" s="16"/>
      <c r="E351" s="49"/>
      <c r="G351" s="16"/>
      <c r="H351" s="89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</row>
    <row r="352" ht="15.75" customHeight="1">
      <c r="A352" s="16"/>
      <c r="B352" s="16"/>
      <c r="C352" s="16"/>
      <c r="D352" s="16"/>
      <c r="E352" s="49"/>
      <c r="G352" s="16"/>
      <c r="H352" s="89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</row>
    <row r="353" ht="15.75" customHeight="1">
      <c r="A353" s="16"/>
      <c r="B353" s="16"/>
      <c r="C353" s="16"/>
      <c r="D353" s="16"/>
      <c r="E353" s="49"/>
      <c r="G353" s="16"/>
      <c r="H353" s="89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</row>
    <row r="354" ht="15.75" customHeight="1">
      <c r="A354" s="16"/>
      <c r="B354" s="16"/>
      <c r="C354" s="16"/>
      <c r="D354" s="16"/>
      <c r="E354" s="49"/>
      <c r="G354" s="16"/>
      <c r="H354" s="89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</row>
    <row r="355" ht="15.75" customHeight="1">
      <c r="A355" s="16"/>
      <c r="B355" s="16"/>
      <c r="C355" s="16"/>
      <c r="D355" s="16"/>
      <c r="E355" s="49"/>
      <c r="G355" s="16"/>
      <c r="H355" s="89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</row>
    <row r="356" ht="15.75" customHeight="1">
      <c r="A356" s="16"/>
      <c r="B356" s="16"/>
      <c r="C356" s="16"/>
      <c r="D356" s="16"/>
      <c r="E356" s="49"/>
      <c r="G356" s="16"/>
      <c r="H356" s="89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</row>
    <row r="357" ht="15.75" customHeight="1">
      <c r="A357" s="16"/>
      <c r="B357" s="16"/>
      <c r="C357" s="16"/>
      <c r="D357" s="16"/>
      <c r="E357" s="49"/>
      <c r="G357" s="16"/>
      <c r="H357" s="89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</row>
    <row r="358" ht="15.75" customHeight="1">
      <c r="A358" s="16"/>
      <c r="B358" s="16"/>
      <c r="C358" s="16"/>
      <c r="D358" s="16"/>
      <c r="E358" s="49"/>
      <c r="G358" s="16"/>
      <c r="H358" s="89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</row>
    <row r="359" ht="15.75" customHeight="1">
      <c r="A359" s="16"/>
      <c r="B359" s="16"/>
      <c r="C359" s="16"/>
      <c r="D359" s="16"/>
      <c r="E359" s="49"/>
      <c r="G359" s="16"/>
      <c r="H359" s="89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</row>
    <row r="360" ht="15.75" customHeight="1">
      <c r="A360" s="16"/>
      <c r="B360" s="16"/>
      <c r="C360" s="16"/>
      <c r="D360" s="16"/>
      <c r="E360" s="49"/>
      <c r="G360" s="16"/>
      <c r="H360" s="89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</row>
    <row r="361" ht="15.75" customHeight="1">
      <c r="A361" s="16"/>
      <c r="B361" s="16"/>
      <c r="C361" s="16"/>
      <c r="D361" s="16"/>
      <c r="E361" s="49"/>
      <c r="G361" s="16"/>
      <c r="H361" s="89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</row>
    <row r="362" ht="15.75" customHeight="1">
      <c r="A362" s="16"/>
      <c r="B362" s="16"/>
      <c r="C362" s="16"/>
      <c r="D362" s="16"/>
      <c r="E362" s="49"/>
      <c r="G362" s="16"/>
      <c r="H362" s="89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</row>
    <row r="363" ht="15.75" customHeight="1">
      <c r="A363" s="16"/>
      <c r="B363" s="16"/>
      <c r="C363" s="16"/>
      <c r="D363" s="16"/>
      <c r="E363" s="49"/>
      <c r="G363" s="16"/>
      <c r="H363" s="89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</row>
    <row r="364" ht="15.75" customHeight="1">
      <c r="A364" s="16"/>
      <c r="B364" s="16"/>
      <c r="C364" s="16"/>
      <c r="D364" s="16"/>
      <c r="E364" s="49"/>
      <c r="G364" s="16"/>
      <c r="H364" s="89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</row>
    <row r="365" ht="15.75" customHeight="1">
      <c r="A365" s="16"/>
      <c r="B365" s="16"/>
      <c r="C365" s="16"/>
      <c r="D365" s="16"/>
      <c r="E365" s="49"/>
      <c r="G365" s="16"/>
      <c r="H365" s="89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</row>
    <row r="366" ht="15.75" customHeight="1">
      <c r="A366" s="16"/>
      <c r="B366" s="16"/>
      <c r="C366" s="16"/>
      <c r="D366" s="16"/>
      <c r="E366" s="49"/>
      <c r="G366" s="16"/>
      <c r="H366" s="89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</row>
    <row r="367" ht="15.75" customHeight="1">
      <c r="A367" s="16"/>
      <c r="B367" s="16"/>
      <c r="C367" s="16"/>
      <c r="D367" s="16"/>
      <c r="E367" s="49"/>
      <c r="G367" s="16"/>
      <c r="H367" s="89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</row>
    <row r="368" ht="15.75" customHeight="1">
      <c r="A368" s="16"/>
      <c r="B368" s="16"/>
      <c r="C368" s="16"/>
      <c r="D368" s="16"/>
      <c r="E368" s="49"/>
      <c r="G368" s="16"/>
      <c r="H368" s="89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</row>
    <row r="369" ht="15.75" customHeight="1">
      <c r="A369" s="16"/>
      <c r="B369" s="16"/>
      <c r="C369" s="16"/>
      <c r="D369" s="16"/>
      <c r="E369" s="49"/>
      <c r="G369" s="16"/>
      <c r="H369" s="89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</row>
    <row r="370" ht="15.75" customHeight="1">
      <c r="A370" s="16"/>
      <c r="B370" s="16"/>
      <c r="C370" s="16"/>
      <c r="D370" s="16"/>
      <c r="E370" s="49"/>
      <c r="G370" s="16"/>
      <c r="H370" s="89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</row>
    <row r="371" ht="15.75" customHeight="1">
      <c r="A371" s="16"/>
      <c r="B371" s="16"/>
      <c r="C371" s="16"/>
      <c r="D371" s="16"/>
      <c r="E371" s="49"/>
      <c r="G371" s="16"/>
      <c r="H371" s="89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</row>
    <row r="372" ht="15.75" customHeight="1">
      <c r="A372" s="16"/>
      <c r="B372" s="16"/>
      <c r="C372" s="16"/>
      <c r="D372" s="16"/>
      <c r="E372" s="49"/>
      <c r="G372" s="16"/>
      <c r="H372" s="89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</row>
    <row r="373" ht="15.75" customHeight="1">
      <c r="A373" s="16"/>
      <c r="B373" s="16"/>
      <c r="C373" s="16"/>
      <c r="D373" s="16"/>
      <c r="E373" s="49"/>
      <c r="G373" s="16"/>
      <c r="H373" s="89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</row>
    <row r="374" ht="15.75" customHeight="1">
      <c r="A374" s="16"/>
      <c r="B374" s="16"/>
      <c r="C374" s="16"/>
      <c r="D374" s="16"/>
      <c r="E374" s="49"/>
      <c r="G374" s="16"/>
      <c r="H374" s="89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</row>
    <row r="375" ht="15.75" customHeight="1">
      <c r="A375" s="16"/>
      <c r="B375" s="16"/>
      <c r="C375" s="16"/>
      <c r="D375" s="16"/>
      <c r="E375" s="49"/>
      <c r="G375" s="16"/>
      <c r="H375" s="89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</row>
    <row r="376" ht="15.75" customHeight="1">
      <c r="A376" s="16"/>
      <c r="B376" s="16"/>
      <c r="C376" s="16"/>
      <c r="D376" s="16"/>
      <c r="E376" s="49"/>
      <c r="G376" s="16"/>
      <c r="H376" s="89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</row>
    <row r="377" ht="15.75" customHeight="1">
      <c r="A377" s="16"/>
      <c r="B377" s="16"/>
      <c r="C377" s="16"/>
      <c r="D377" s="16"/>
      <c r="E377" s="49"/>
      <c r="G377" s="16"/>
      <c r="H377" s="89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</row>
    <row r="378" ht="15.75" customHeight="1">
      <c r="A378" s="16"/>
      <c r="B378" s="16"/>
      <c r="C378" s="16"/>
      <c r="D378" s="16"/>
      <c r="E378" s="49"/>
      <c r="G378" s="16"/>
      <c r="H378" s="89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</row>
    <row r="379" ht="15.75" customHeight="1">
      <c r="A379" s="16"/>
      <c r="B379" s="16"/>
      <c r="C379" s="16"/>
      <c r="D379" s="16"/>
      <c r="E379" s="49"/>
      <c r="G379" s="16"/>
      <c r="H379" s="89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</row>
    <row r="380" ht="15.75" customHeight="1">
      <c r="A380" s="16"/>
      <c r="B380" s="16"/>
      <c r="C380" s="16"/>
      <c r="D380" s="16"/>
      <c r="E380" s="49"/>
      <c r="G380" s="16"/>
      <c r="H380" s="89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</row>
    <row r="381" ht="15.75" customHeight="1">
      <c r="A381" s="16"/>
      <c r="B381" s="16"/>
      <c r="C381" s="16"/>
      <c r="D381" s="16"/>
      <c r="E381" s="49"/>
      <c r="G381" s="16"/>
      <c r="H381" s="89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</row>
    <row r="382" ht="15.75" customHeight="1">
      <c r="A382" s="16"/>
      <c r="B382" s="16"/>
      <c r="C382" s="16"/>
      <c r="D382" s="16"/>
      <c r="E382" s="49"/>
      <c r="G382" s="16"/>
      <c r="H382" s="89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</row>
    <row r="383" ht="15.75" customHeight="1">
      <c r="A383" s="16"/>
      <c r="B383" s="16"/>
      <c r="C383" s="16"/>
      <c r="D383" s="16"/>
      <c r="E383" s="49"/>
      <c r="G383" s="16"/>
      <c r="H383" s="89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</row>
    <row r="384" ht="15.75" customHeight="1">
      <c r="A384" s="16"/>
      <c r="B384" s="16"/>
      <c r="C384" s="16"/>
      <c r="D384" s="16"/>
      <c r="E384" s="49"/>
      <c r="G384" s="16"/>
      <c r="H384" s="89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</row>
    <row r="385" ht="15.75" customHeight="1">
      <c r="A385" s="16"/>
      <c r="B385" s="16"/>
      <c r="C385" s="16"/>
      <c r="D385" s="16"/>
      <c r="E385" s="49"/>
      <c r="G385" s="16"/>
      <c r="H385" s="89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</row>
    <row r="386" ht="15.75" customHeight="1">
      <c r="A386" s="16"/>
      <c r="B386" s="16"/>
      <c r="C386" s="16"/>
      <c r="D386" s="16"/>
      <c r="E386" s="49"/>
      <c r="G386" s="16"/>
      <c r="H386" s="89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</row>
    <row r="387" ht="15.75" customHeight="1">
      <c r="A387" s="16"/>
      <c r="B387" s="16"/>
      <c r="C387" s="16"/>
      <c r="D387" s="16"/>
      <c r="E387" s="49"/>
      <c r="G387" s="16"/>
      <c r="H387" s="89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</row>
    <row r="388" ht="15.75" customHeight="1">
      <c r="A388" s="16"/>
      <c r="B388" s="16"/>
      <c r="C388" s="16"/>
      <c r="D388" s="16"/>
      <c r="E388" s="49"/>
      <c r="G388" s="16"/>
      <c r="H388" s="89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</row>
    <row r="389" ht="15.75" customHeight="1">
      <c r="A389" s="16"/>
      <c r="B389" s="16"/>
      <c r="C389" s="16"/>
      <c r="D389" s="16"/>
      <c r="E389" s="49"/>
      <c r="G389" s="16"/>
      <c r="H389" s="89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</row>
    <row r="390" ht="15.75" customHeight="1">
      <c r="A390" s="16"/>
      <c r="B390" s="16"/>
      <c r="C390" s="16"/>
      <c r="D390" s="16"/>
      <c r="E390" s="49"/>
      <c r="G390" s="16"/>
      <c r="H390" s="89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</row>
    <row r="391" ht="15.75" customHeight="1">
      <c r="A391" s="16"/>
      <c r="B391" s="16"/>
      <c r="C391" s="16"/>
      <c r="D391" s="16"/>
      <c r="E391" s="49"/>
      <c r="G391" s="16"/>
      <c r="H391" s="89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</row>
    <row r="392" ht="15.75" customHeight="1">
      <c r="A392" s="16"/>
      <c r="B392" s="16"/>
      <c r="C392" s="16"/>
      <c r="D392" s="16"/>
      <c r="E392" s="49"/>
      <c r="G392" s="16"/>
      <c r="H392" s="89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</row>
    <row r="393" ht="15.75" customHeight="1">
      <c r="A393" s="16"/>
      <c r="B393" s="16"/>
      <c r="C393" s="16"/>
      <c r="D393" s="16"/>
      <c r="E393" s="49"/>
      <c r="G393" s="16"/>
      <c r="H393" s="89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</row>
    <row r="394" ht="15.75" customHeight="1">
      <c r="A394" s="16"/>
      <c r="B394" s="16"/>
      <c r="C394" s="16"/>
      <c r="D394" s="16"/>
      <c r="E394" s="49"/>
      <c r="G394" s="16"/>
      <c r="H394" s="89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</row>
    <row r="395" ht="15.75" customHeight="1">
      <c r="A395" s="16"/>
      <c r="B395" s="16"/>
      <c r="C395" s="16"/>
      <c r="D395" s="16"/>
      <c r="E395" s="49"/>
      <c r="G395" s="16"/>
      <c r="H395" s="89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</row>
    <row r="396" ht="15.75" customHeight="1">
      <c r="A396" s="16"/>
      <c r="B396" s="16"/>
      <c r="C396" s="16"/>
      <c r="D396" s="16"/>
      <c r="E396" s="49"/>
      <c r="G396" s="16"/>
      <c r="H396" s="89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</row>
    <row r="397" ht="15.75" customHeight="1">
      <c r="A397" s="16"/>
      <c r="B397" s="16"/>
      <c r="C397" s="16"/>
      <c r="D397" s="16"/>
      <c r="E397" s="49"/>
      <c r="G397" s="16"/>
      <c r="H397" s="89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</row>
    <row r="398" ht="15.75" customHeight="1">
      <c r="A398" s="16"/>
      <c r="B398" s="16"/>
      <c r="C398" s="16"/>
      <c r="D398" s="16"/>
      <c r="E398" s="49"/>
      <c r="G398" s="16"/>
      <c r="H398" s="89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</row>
    <row r="399" ht="15.75" customHeight="1">
      <c r="A399" s="16"/>
      <c r="B399" s="16"/>
      <c r="C399" s="16"/>
      <c r="D399" s="16"/>
      <c r="E399" s="49"/>
      <c r="G399" s="16"/>
      <c r="H399" s="89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</row>
    <row r="400" ht="15.75" customHeight="1">
      <c r="A400" s="16"/>
      <c r="B400" s="16"/>
      <c r="C400" s="16"/>
      <c r="D400" s="16"/>
      <c r="E400" s="49"/>
      <c r="G400" s="16"/>
      <c r="H400" s="89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</row>
    <row r="401" ht="15.75" customHeight="1">
      <c r="A401" s="16"/>
      <c r="B401" s="16"/>
      <c r="C401" s="16"/>
      <c r="D401" s="16"/>
      <c r="E401" s="49"/>
      <c r="G401" s="16"/>
      <c r="H401" s="89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</row>
    <row r="402" ht="15.75" customHeight="1">
      <c r="A402" s="16"/>
      <c r="B402" s="16"/>
      <c r="C402" s="16"/>
      <c r="D402" s="16"/>
      <c r="E402" s="49"/>
      <c r="G402" s="16"/>
      <c r="H402" s="89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</row>
    <row r="403" ht="15.75" customHeight="1">
      <c r="A403" s="16"/>
      <c r="B403" s="16"/>
      <c r="C403" s="16"/>
      <c r="D403" s="16"/>
      <c r="E403" s="49"/>
      <c r="G403" s="16"/>
      <c r="H403" s="89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</row>
    <row r="404" ht="15.75" customHeight="1">
      <c r="A404" s="16"/>
      <c r="B404" s="16"/>
      <c r="C404" s="16"/>
      <c r="D404" s="16"/>
      <c r="E404" s="49"/>
      <c r="G404" s="16"/>
      <c r="H404" s="89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</row>
    <row r="405" ht="15.75" customHeight="1">
      <c r="A405" s="16"/>
      <c r="B405" s="16"/>
      <c r="C405" s="16"/>
      <c r="D405" s="16"/>
      <c r="E405" s="49"/>
      <c r="G405" s="16"/>
      <c r="H405" s="89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</row>
    <row r="406" ht="15.75" customHeight="1">
      <c r="A406" s="16"/>
      <c r="B406" s="16"/>
      <c r="C406" s="16"/>
      <c r="D406" s="16"/>
      <c r="E406" s="49"/>
      <c r="G406" s="16"/>
      <c r="H406" s="89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</row>
    <row r="407" ht="15.75" customHeight="1">
      <c r="A407" s="16"/>
      <c r="B407" s="16"/>
      <c r="C407" s="16"/>
      <c r="D407" s="16"/>
      <c r="E407" s="49"/>
      <c r="G407" s="16"/>
      <c r="H407" s="89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</row>
    <row r="408" ht="15.75" customHeight="1">
      <c r="A408" s="16"/>
      <c r="B408" s="16"/>
      <c r="C408" s="16"/>
      <c r="D408" s="16"/>
      <c r="E408" s="49"/>
      <c r="G408" s="16"/>
      <c r="H408" s="89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</row>
    <row r="409" ht="15.75" customHeight="1">
      <c r="A409" s="16"/>
      <c r="B409" s="16"/>
      <c r="C409" s="16"/>
      <c r="D409" s="16"/>
      <c r="E409" s="49"/>
      <c r="G409" s="16"/>
      <c r="H409" s="89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</row>
    <row r="410" ht="15.75" customHeight="1">
      <c r="A410" s="16"/>
      <c r="B410" s="16"/>
      <c r="C410" s="16"/>
      <c r="D410" s="16"/>
      <c r="E410" s="49"/>
      <c r="G410" s="16"/>
      <c r="H410" s="89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</row>
    <row r="411" ht="15.75" customHeight="1">
      <c r="A411" s="16"/>
      <c r="B411" s="16"/>
      <c r="C411" s="16"/>
      <c r="D411" s="16"/>
      <c r="E411" s="49"/>
      <c r="G411" s="16"/>
      <c r="H411" s="89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</row>
    <row r="412" ht="15.75" customHeight="1">
      <c r="A412" s="16"/>
      <c r="B412" s="16"/>
      <c r="C412" s="16"/>
      <c r="D412" s="16"/>
      <c r="E412" s="49"/>
      <c r="G412" s="16"/>
      <c r="H412" s="89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</row>
    <row r="413" ht="15.75" customHeight="1">
      <c r="A413" s="16"/>
      <c r="B413" s="16"/>
      <c r="C413" s="16"/>
      <c r="D413" s="16"/>
      <c r="E413" s="49"/>
      <c r="G413" s="16"/>
      <c r="H413" s="89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</row>
    <row r="414" ht="15.75" customHeight="1">
      <c r="A414" s="16"/>
      <c r="B414" s="16"/>
      <c r="C414" s="16"/>
      <c r="D414" s="16"/>
      <c r="E414" s="49"/>
      <c r="G414" s="16"/>
      <c r="H414" s="89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</row>
    <row r="415" ht="15.75" customHeight="1">
      <c r="A415" s="16"/>
      <c r="B415" s="16"/>
      <c r="C415" s="16"/>
      <c r="D415" s="16"/>
      <c r="E415" s="49"/>
      <c r="G415" s="16"/>
      <c r="H415" s="89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</row>
    <row r="416" ht="15.75" customHeight="1">
      <c r="A416" s="16"/>
      <c r="B416" s="16"/>
      <c r="C416" s="16"/>
      <c r="D416" s="16"/>
      <c r="E416" s="49"/>
      <c r="G416" s="16"/>
      <c r="H416" s="89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</row>
    <row r="417" ht="15.75" customHeight="1">
      <c r="A417" s="16"/>
      <c r="B417" s="16"/>
      <c r="C417" s="16"/>
      <c r="D417" s="16"/>
      <c r="E417" s="49"/>
      <c r="G417" s="16"/>
      <c r="H417" s="89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</row>
    <row r="418" ht="15.75" customHeight="1">
      <c r="A418" s="16"/>
      <c r="B418" s="16"/>
      <c r="C418" s="16"/>
      <c r="D418" s="16"/>
      <c r="E418" s="49"/>
      <c r="G418" s="16"/>
      <c r="H418" s="89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</row>
    <row r="419" ht="15.75" customHeight="1">
      <c r="A419" s="16"/>
      <c r="B419" s="16"/>
      <c r="C419" s="16"/>
      <c r="D419" s="16"/>
      <c r="E419" s="49"/>
      <c r="G419" s="16"/>
      <c r="H419" s="89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</row>
    <row r="420" ht="15.75" customHeight="1">
      <c r="A420" s="16"/>
      <c r="B420" s="16"/>
      <c r="C420" s="16"/>
      <c r="D420" s="16"/>
      <c r="E420" s="49"/>
      <c r="G420" s="16"/>
      <c r="H420" s="89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</row>
    <row r="421" ht="15.75" customHeight="1">
      <c r="A421" s="16"/>
      <c r="B421" s="16"/>
      <c r="C421" s="16"/>
      <c r="D421" s="16"/>
      <c r="E421" s="49"/>
      <c r="G421" s="16"/>
      <c r="H421" s="89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</row>
    <row r="422" ht="15.75" customHeight="1">
      <c r="A422" s="16"/>
      <c r="B422" s="16"/>
      <c r="C422" s="16"/>
      <c r="D422" s="16"/>
      <c r="E422" s="49"/>
      <c r="G422" s="16"/>
      <c r="H422" s="89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</row>
    <row r="423" ht="15.75" customHeight="1">
      <c r="A423" s="16"/>
      <c r="B423" s="16"/>
      <c r="C423" s="16"/>
      <c r="D423" s="16"/>
      <c r="E423" s="49"/>
      <c r="G423" s="16"/>
      <c r="H423" s="89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</row>
    <row r="424" ht="15.75" customHeight="1">
      <c r="A424" s="16"/>
      <c r="B424" s="16"/>
      <c r="C424" s="16"/>
      <c r="D424" s="16"/>
      <c r="E424" s="49"/>
      <c r="G424" s="16"/>
      <c r="H424" s="89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</row>
    <row r="425" ht="15.75" customHeight="1">
      <c r="A425" s="16"/>
      <c r="B425" s="16"/>
      <c r="C425" s="16"/>
      <c r="D425" s="16"/>
      <c r="E425" s="49"/>
      <c r="G425" s="16"/>
      <c r="H425" s="89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</row>
    <row r="426" ht="15.75" customHeight="1">
      <c r="A426" s="16"/>
      <c r="B426" s="16"/>
      <c r="C426" s="16"/>
      <c r="D426" s="16"/>
      <c r="E426" s="49"/>
      <c r="G426" s="16"/>
      <c r="H426" s="89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</row>
    <row r="427" ht="15.75" customHeight="1">
      <c r="A427" s="16"/>
      <c r="B427" s="16"/>
      <c r="C427" s="16"/>
      <c r="D427" s="16"/>
      <c r="E427" s="49"/>
      <c r="G427" s="16"/>
      <c r="H427" s="89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</row>
    <row r="428" ht="15.75" customHeight="1">
      <c r="A428" s="16"/>
      <c r="B428" s="16"/>
      <c r="C428" s="16"/>
      <c r="D428" s="16"/>
      <c r="E428" s="49"/>
      <c r="G428" s="16"/>
      <c r="H428" s="89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</row>
    <row r="429" ht="15.75" customHeight="1">
      <c r="A429" s="16"/>
      <c r="B429" s="16"/>
      <c r="C429" s="16"/>
      <c r="D429" s="16"/>
      <c r="E429" s="49"/>
      <c r="G429" s="16"/>
      <c r="H429" s="89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</row>
    <row r="430" ht="15.75" customHeight="1">
      <c r="A430" s="16"/>
      <c r="B430" s="16"/>
      <c r="C430" s="16"/>
      <c r="D430" s="16"/>
      <c r="E430" s="49"/>
      <c r="G430" s="16"/>
      <c r="H430" s="89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</row>
    <row r="431" ht="15.75" customHeight="1">
      <c r="A431" s="16"/>
      <c r="B431" s="16"/>
      <c r="C431" s="16"/>
      <c r="D431" s="16"/>
      <c r="E431" s="49"/>
      <c r="G431" s="16"/>
      <c r="H431" s="89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</row>
    <row r="432" ht="15.75" customHeight="1">
      <c r="A432" s="16"/>
      <c r="B432" s="16"/>
      <c r="C432" s="16"/>
      <c r="D432" s="16"/>
      <c r="E432" s="49"/>
      <c r="G432" s="16"/>
      <c r="H432" s="89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</row>
    <row r="433" ht="15.75" customHeight="1">
      <c r="A433" s="16"/>
      <c r="B433" s="16"/>
      <c r="C433" s="16"/>
      <c r="D433" s="16"/>
      <c r="E433" s="49"/>
      <c r="G433" s="16"/>
      <c r="H433" s="89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</row>
    <row r="434" ht="15.75" customHeight="1">
      <c r="A434" s="16"/>
      <c r="B434" s="16"/>
      <c r="C434" s="16"/>
      <c r="D434" s="16"/>
      <c r="E434" s="49"/>
      <c r="G434" s="16"/>
      <c r="H434" s="89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</row>
    <row r="435" ht="15.75" customHeight="1">
      <c r="A435" s="16"/>
      <c r="B435" s="16"/>
      <c r="C435" s="16"/>
      <c r="D435" s="16"/>
      <c r="E435" s="49"/>
      <c r="G435" s="16"/>
      <c r="H435" s="89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</row>
    <row r="436" ht="15.75" customHeight="1">
      <c r="A436" s="16"/>
      <c r="B436" s="16"/>
      <c r="C436" s="16"/>
      <c r="D436" s="16"/>
      <c r="E436" s="49"/>
      <c r="G436" s="16"/>
      <c r="H436" s="89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</row>
    <row r="437" ht="15.75" customHeight="1">
      <c r="A437" s="16"/>
      <c r="B437" s="16"/>
      <c r="C437" s="16"/>
      <c r="D437" s="16"/>
      <c r="E437" s="49"/>
      <c r="G437" s="16"/>
      <c r="H437" s="89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</row>
    <row r="438" ht="15.75" customHeight="1">
      <c r="A438" s="16"/>
      <c r="B438" s="16"/>
      <c r="C438" s="16"/>
      <c r="D438" s="16"/>
      <c r="E438" s="49"/>
      <c r="G438" s="16"/>
      <c r="H438" s="89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</row>
    <row r="439" ht="15.75" customHeight="1">
      <c r="A439" s="16"/>
      <c r="B439" s="16"/>
      <c r="C439" s="16"/>
      <c r="D439" s="16"/>
      <c r="E439" s="49"/>
      <c r="G439" s="16"/>
      <c r="H439" s="89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</row>
    <row r="440" ht="15.75" customHeight="1">
      <c r="A440" s="16"/>
      <c r="B440" s="16"/>
      <c r="C440" s="16"/>
      <c r="D440" s="16"/>
      <c r="E440" s="49"/>
      <c r="G440" s="16"/>
      <c r="H440" s="89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</row>
    <row r="441" ht="15.75" customHeight="1">
      <c r="A441" s="16"/>
      <c r="B441" s="16"/>
      <c r="C441" s="16"/>
      <c r="D441" s="16"/>
      <c r="E441" s="49"/>
      <c r="G441" s="16"/>
      <c r="H441" s="89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</row>
    <row r="442" ht="15.75" customHeight="1">
      <c r="A442" s="16"/>
      <c r="B442" s="16"/>
      <c r="C442" s="16"/>
      <c r="D442" s="16"/>
      <c r="E442" s="49"/>
      <c r="G442" s="16"/>
      <c r="H442" s="89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</row>
    <row r="443" ht="15.75" customHeight="1">
      <c r="A443" s="16"/>
      <c r="B443" s="16"/>
      <c r="C443" s="16"/>
      <c r="D443" s="16"/>
      <c r="E443" s="49"/>
      <c r="G443" s="16"/>
      <c r="H443" s="89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</row>
    <row r="444" ht="15.75" customHeight="1">
      <c r="A444" s="16"/>
      <c r="B444" s="16"/>
      <c r="C444" s="16"/>
      <c r="D444" s="16"/>
      <c r="E444" s="49"/>
      <c r="G444" s="16"/>
      <c r="H444" s="89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</row>
    <row r="445" ht="15.75" customHeight="1">
      <c r="A445" s="16"/>
      <c r="B445" s="16"/>
      <c r="C445" s="16"/>
      <c r="D445" s="16"/>
      <c r="E445" s="49"/>
      <c r="G445" s="16"/>
      <c r="H445" s="89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</row>
    <row r="446" ht="15.75" customHeight="1">
      <c r="A446" s="16"/>
      <c r="B446" s="16"/>
      <c r="C446" s="16"/>
      <c r="D446" s="16"/>
      <c r="E446" s="49"/>
      <c r="G446" s="16"/>
      <c r="H446" s="89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</row>
    <row r="447" ht="15.75" customHeight="1">
      <c r="A447" s="16"/>
      <c r="B447" s="16"/>
      <c r="C447" s="16"/>
      <c r="D447" s="16"/>
      <c r="E447" s="49"/>
      <c r="G447" s="16"/>
      <c r="H447" s="89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</row>
    <row r="448" ht="15.75" customHeight="1">
      <c r="A448" s="16"/>
      <c r="B448" s="16"/>
      <c r="C448" s="16"/>
      <c r="D448" s="16"/>
      <c r="E448" s="49"/>
      <c r="G448" s="16"/>
      <c r="H448" s="89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</row>
    <row r="449" ht="15.75" customHeight="1">
      <c r="A449" s="16"/>
      <c r="B449" s="16"/>
      <c r="C449" s="16"/>
      <c r="D449" s="16"/>
      <c r="E449" s="49"/>
      <c r="G449" s="16"/>
      <c r="H449" s="89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</row>
    <row r="450" ht="15.75" customHeight="1">
      <c r="A450" s="16"/>
      <c r="B450" s="16"/>
      <c r="C450" s="16"/>
      <c r="D450" s="16"/>
      <c r="E450" s="49"/>
      <c r="G450" s="16"/>
      <c r="H450" s="89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</row>
    <row r="451" ht="15.75" customHeight="1">
      <c r="A451" s="16"/>
      <c r="B451" s="16"/>
      <c r="C451" s="16"/>
      <c r="D451" s="16"/>
      <c r="E451" s="49"/>
      <c r="G451" s="16"/>
      <c r="H451" s="89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</row>
    <row r="452" ht="15.75" customHeight="1">
      <c r="A452" s="16"/>
      <c r="B452" s="16"/>
      <c r="C452" s="16"/>
      <c r="D452" s="16"/>
      <c r="E452" s="49"/>
      <c r="G452" s="16"/>
      <c r="H452" s="89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</row>
    <row r="453" ht="15.75" customHeight="1">
      <c r="A453" s="16"/>
      <c r="B453" s="16"/>
      <c r="C453" s="16"/>
      <c r="D453" s="16"/>
      <c r="E453" s="49"/>
      <c r="G453" s="16"/>
      <c r="H453" s="89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</row>
    <row r="454" ht="15.75" customHeight="1">
      <c r="A454" s="16"/>
      <c r="B454" s="16"/>
      <c r="C454" s="16"/>
      <c r="D454" s="16"/>
      <c r="E454" s="49"/>
      <c r="G454" s="16"/>
      <c r="H454" s="89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</row>
    <row r="455" ht="15.75" customHeight="1">
      <c r="A455" s="16"/>
      <c r="B455" s="16"/>
      <c r="C455" s="16"/>
      <c r="D455" s="16"/>
      <c r="E455" s="49"/>
      <c r="G455" s="16"/>
      <c r="H455" s="89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</row>
    <row r="456" ht="15.75" customHeight="1">
      <c r="A456" s="16"/>
      <c r="B456" s="16"/>
      <c r="C456" s="16"/>
      <c r="D456" s="16"/>
      <c r="E456" s="49"/>
      <c r="G456" s="16"/>
      <c r="H456" s="89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</row>
    <row r="457" ht="15.75" customHeight="1">
      <c r="A457" s="16"/>
      <c r="B457" s="16"/>
      <c r="C457" s="16"/>
      <c r="D457" s="16"/>
      <c r="E457" s="49"/>
      <c r="G457" s="16"/>
      <c r="H457" s="89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</row>
    <row r="458" ht="15.75" customHeight="1">
      <c r="A458" s="16"/>
      <c r="B458" s="16"/>
      <c r="C458" s="16"/>
      <c r="D458" s="16"/>
      <c r="E458" s="49"/>
      <c r="G458" s="16"/>
      <c r="H458" s="89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</row>
    <row r="459" ht="15.75" customHeight="1">
      <c r="A459" s="16"/>
      <c r="B459" s="16"/>
      <c r="C459" s="16"/>
      <c r="D459" s="16"/>
      <c r="E459" s="49"/>
      <c r="G459" s="16"/>
      <c r="H459" s="89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</row>
    <row r="460" ht="15.75" customHeight="1">
      <c r="A460" s="16"/>
      <c r="B460" s="16"/>
      <c r="C460" s="16"/>
      <c r="D460" s="16"/>
      <c r="E460" s="49"/>
      <c r="G460" s="16"/>
      <c r="H460" s="89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</row>
    <row r="461" ht="15.75" customHeight="1">
      <c r="A461" s="16"/>
      <c r="B461" s="16"/>
      <c r="C461" s="16"/>
      <c r="D461" s="16"/>
      <c r="E461" s="49"/>
      <c r="G461" s="16"/>
      <c r="H461" s="89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</row>
    <row r="462" ht="15.75" customHeight="1">
      <c r="A462" s="16"/>
      <c r="B462" s="16"/>
      <c r="C462" s="16"/>
      <c r="D462" s="16"/>
      <c r="E462" s="49"/>
      <c r="G462" s="16"/>
      <c r="H462" s="89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</row>
    <row r="463" ht="15.75" customHeight="1">
      <c r="A463" s="16"/>
      <c r="B463" s="16"/>
      <c r="C463" s="16"/>
      <c r="D463" s="16"/>
      <c r="E463" s="49"/>
      <c r="G463" s="16"/>
      <c r="H463" s="89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</row>
    <row r="464" ht="15.75" customHeight="1">
      <c r="A464" s="16"/>
      <c r="B464" s="16"/>
      <c r="C464" s="16"/>
      <c r="D464" s="16"/>
      <c r="E464" s="49"/>
      <c r="G464" s="16"/>
      <c r="H464" s="89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</row>
    <row r="465" ht="15.75" customHeight="1">
      <c r="A465" s="16"/>
      <c r="B465" s="16"/>
      <c r="C465" s="16"/>
      <c r="D465" s="16"/>
      <c r="E465" s="49"/>
      <c r="G465" s="16"/>
      <c r="H465" s="89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</row>
    <row r="466" ht="15.75" customHeight="1">
      <c r="A466" s="16"/>
      <c r="B466" s="16"/>
      <c r="C466" s="16"/>
      <c r="D466" s="16"/>
      <c r="E466" s="49"/>
      <c r="G466" s="16"/>
      <c r="H466" s="89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</row>
    <row r="467" ht="15.75" customHeight="1">
      <c r="A467" s="16"/>
      <c r="B467" s="16"/>
      <c r="C467" s="16"/>
      <c r="D467" s="16"/>
      <c r="E467" s="49"/>
      <c r="G467" s="16"/>
      <c r="H467" s="89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</row>
    <row r="468" ht="15.75" customHeight="1">
      <c r="A468" s="16"/>
      <c r="B468" s="16"/>
      <c r="C468" s="16"/>
      <c r="D468" s="16"/>
      <c r="E468" s="49"/>
      <c r="G468" s="16"/>
      <c r="H468" s="89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</row>
    <row r="469" ht="15.75" customHeight="1">
      <c r="A469" s="16"/>
      <c r="B469" s="16"/>
      <c r="C469" s="16"/>
      <c r="D469" s="16"/>
      <c r="E469" s="49"/>
      <c r="G469" s="16"/>
      <c r="H469" s="89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</row>
    <row r="470" ht="15.75" customHeight="1">
      <c r="A470" s="16"/>
      <c r="B470" s="16"/>
      <c r="C470" s="16"/>
      <c r="D470" s="16"/>
      <c r="E470" s="49"/>
      <c r="G470" s="16"/>
      <c r="H470" s="89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</row>
    <row r="471" ht="15.75" customHeight="1">
      <c r="A471" s="16"/>
      <c r="B471" s="16"/>
      <c r="C471" s="16"/>
      <c r="D471" s="16"/>
      <c r="E471" s="49"/>
      <c r="G471" s="16"/>
      <c r="H471" s="89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</row>
    <row r="472" ht="15.75" customHeight="1">
      <c r="A472" s="16"/>
      <c r="B472" s="16"/>
      <c r="C472" s="16"/>
      <c r="D472" s="16"/>
      <c r="E472" s="49"/>
      <c r="G472" s="16"/>
      <c r="H472" s="89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</row>
    <row r="473" ht="15.75" customHeight="1">
      <c r="A473" s="16"/>
      <c r="B473" s="16"/>
      <c r="C473" s="16"/>
      <c r="D473" s="16"/>
      <c r="E473" s="49"/>
      <c r="G473" s="16"/>
      <c r="H473" s="89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</row>
    <row r="474" ht="15.75" customHeight="1">
      <c r="A474" s="16"/>
      <c r="B474" s="16"/>
      <c r="C474" s="16"/>
      <c r="D474" s="16"/>
      <c r="E474" s="49"/>
      <c r="G474" s="16"/>
      <c r="H474" s="89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</row>
    <row r="475" ht="15.75" customHeight="1">
      <c r="A475" s="16"/>
      <c r="B475" s="16"/>
      <c r="C475" s="16"/>
      <c r="D475" s="16"/>
      <c r="E475" s="49"/>
      <c r="G475" s="16"/>
      <c r="H475" s="89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</row>
    <row r="476" ht="15.75" customHeight="1">
      <c r="A476" s="16"/>
      <c r="B476" s="16"/>
      <c r="C476" s="16"/>
      <c r="D476" s="16"/>
      <c r="E476" s="49"/>
      <c r="G476" s="16"/>
      <c r="H476" s="89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</row>
    <row r="477" ht="15.75" customHeight="1">
      <c r="A477" s="16"/>
      <c r="B477" s="16"/>
      <c r="C477" s="16"/>
      <c r="D477" s="16"/>
      <c r="E477" s="49"/>
      <c r="G477" s="16"/>
      <c r="H477" s="89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</row>
    <row r="478" ht="15.75" customHeight="1">
      <c r="A478" s="16"/>
      <c r="B478" s="16"/>
      <c r="C478" s="16"/>
      <c r="D478" s="16"/>
      <c r="E478" s="49"/>
      <c r="G478" s="16"/>
      <c r="H478" s="89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</row>
    <row r="479" ht="15.75" customHeight="1">
      <c r="A479" s="16"/>
      <c r="B479" s="16"/>
      <c r="C479" s="16"/>
      <c r="D479" s="16"/>
      <c r="E479" s="49"/>
      <c r="G479" s="16"/>
      <c r="H479" s="89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</row>
    <row r="480" ht="15.75" customHeight="1">
      <c r="A480" s="16"/>
      <c r="B480" s="16"/>
      <c r="C480" s="16"/>
      <c r="D480" s="16"/>
      <c r="E480" s="49"/>
      <c r="G480" s="16"/>
      <c r="H480" s="89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</row>
    <row r="481" ht="15.75" customHeight="1">
      <c r="A481" s="16"/>
      <c r="B481" s="16"/>
      <c r="C481" s="16"/>
      <c r="D481" s="16"/>
      <c r="E481" s="49"/>
      <c r="G481" s="16"/>
      <c r="H481" s="89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</row>
    <row r="482" ht="15.75" customHeight="1">
      <c r="A482" s="16"/>
      <c r="B482" s="16"/>
      <c r="C482" s="16"/>
      <c r="D482" s="16"/>
      <c r="E482" s="49"/>
      <c r="G482" s="16"/>
      <c r="H482" s="89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</row>
    <row r="483" ht="15.75" customHeight="1">
      <c r="A483" s="16"/>
      <c r="B483" s="16"/>
      <c r="C483" s="16"/>
      <c r="D483" s="16"/>
      <c r="E483" s="49"/>
      <c r="G483" s="16"/>
      <c r="H483" s="89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</row>
    <row r="484" ht="15.75" customHeight="1">
      <c r="A484" s="16"/>
      <c r="B484" s="16"/>
      <c r="C484" s="16"/>
      <c r="D484" s="16"/>
      <c r="E484" s="49"/>
      <c r="G484" s="16"/>
      <c r="H484" s="89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</row>
    <row r="485" ht="15.75" customHeight="1">
      <c r="A485" s="16"/>
      <c r="B485" s="16"/>
      <c r="C485" s="16"/>
      <c r="D485" s="16"/>
      <c r="E485" s="49"/>
      <c r="G485" s="16"/>
      <c r="H485" s="89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</row>
    <row r="486" ht="15.75" customHeight="1">
      <c r="A486" s="16"/>
      <c r="B486" s="16"/>
      <c r="C486" s="16"/>
      <c r="D486" s="16"/>
      <c r="E486" s="49"/>
      <c r="G486" s="16"/>
      <c r="H486" s="89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</row>
    <row r="487" ht="15.75" customHeight="1">
      <c r="A487" s="16"/>
      <c r="B487" s="16"/>
      <c r="C487" s="16"/>
      <c r="D487" s="16"/>
      <c r="E487" s="49"/>
      <c r="G487" s="16"/>
      <c r="H487" s="89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</row>
    <row r="488" ht="15.75" customHeight="1">
      <c r="A488" s="16"/>
      <c r="B488" s="16"/>
      <c r="C488" s="16"/>
      <c r="D488" s="16"/>
      <c r="E488" s="49"/>
      <c r="G488" s="16"/>
      <c r="H488" s="89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</row>
    <row r="489" ht="15.75" customHeight="1">
      <c r="A489" s="16"/>
      <c r="B489" s="16"/>
      <c r="C489" s="16"/>
      <c r="D489" s="16"/>
      <c r="E489" s="49"/>
      <c r="G489" s="16"/>
      <c r="H489" s="89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</row>
    <row r="490" ht="15.75" customHeight="1">
      <c r="A490" s="16"/>
      <c r="B490" s="16"/>
      <c r="C490" s="16"/>
      <c r="D490" s="16"/>
      <c r="E490" s="49"/>
      <c r="G490" s="16"/>
      <c r="H490" s="89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</row>
    <row r="491" ht="15.75" customHeight="1">
      <c r="A491" s="16"/>
      <c r="B491" s="16"/>
      <c r="C491" s="16"/>
      <c r="D491" s="16"/>
      <c r="E491" s="49"/>
      <c r="G491" s="16"/>
      <c r="H491" s="89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</row>
    <row r="492" ht="15.75" customHeight="1">
      <c r="A492" s="16"/>
      <c r="B492" s="16"/>
      <c r="C492" s="16"/>
      <c r="D492" s="16"/>
      <c r="E492" s="49"/>
      <c r="G492" s="16"/>
      <c r="H492" s="89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</row>
    <row r="493" ht="15.75" customHeight="1">
      <c r="A493" s="16"/>
      <c r="B493" s="16"/>
      <c r="C493" s="16"/>
      <c r="D493" s="16"/>
      <c r="E493" s="49"/>
      <c r="G493" s="16"/>
      <c r="H493" s="89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</row>
    <row r="494" ht="15.75" customHeight="1">
      <c r="A494" s="16"/>
      <c r="B494" s="16"/>
      <c r="C494" s="16"/>
      <c r="D494" s="16"/>
      <c r="E494" s="49"/>
      <c r="G494" s="16"/>
      <c r="H494" s="89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</row>
    <row r="495" ht="15.75" customHeight="1">
      <c r="A495" s="16"/>
      <c r="B495" s="16"/>
      <c r="C495" s="16"/>
      <c r="D495" s="16"/>
      <c r="E495" s="49"/>
      <c r="G495" s="16"/>
      <c r="H495" s="89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</row>
    <row r="496" ht="15.75" customHeight="1">
      <c r="A496" s="16"/>
      <c r="B496" s="16"/>
      <c r="C496" s="16"/>
      <c r="D496" s="16"/>
      <c r="E496" s="49"/>
      <c r="G496" s="16"/>
      <c r="H496" s="89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</row>
    <row r="497" ht="15.75" customHeight="1">
      <c r="A497" s="16"/>
      <c r="B497" s="16"/>
      <c r="C497" s="16"/>
      <c r="D497" s="16"/>
      <c r="E497" s="49"/>
      <c r="G497" s="16"/>
      <c r="H497" s="89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</row>
    <row r="498" ht="15.75" customHeight="1">
      <c r="A498" s="16"/>
      <c r="B498" s="16"/>
      <c r="C498" s="16"/>
      <c r="D498" s="16"/>
      <c r="E498" s="49"/>
      <c r="G498" s="16"/>
      <c r="H498" s="89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</row>
    <row r="499" ht="15.75" customHeight="1">
      <c r="A499" s="16"/>
      <c r="B499" s="16"/>
      <c r="C499" s="16"/>
      <c r="D499" s="16"/>
      <c r="E499" s="49"/>
      <c r="G499" s="16"/>
      <c r="H499" s="89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</row>
    <row r="500" ht="15.75" customHeight="1">
      <c r="A500" s="16"/>
      <c r="B500" s="16"/>
      <c r="C500" s="16"/>
      <c r="D500" s="16"/>
      <c r="E500" s="49"/>
      <c r="G500" s="16"/>
      <c r="H500" s="89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</row>
    <row r="501" ht="15.75" customHeight="1">
      <c r="A501" s="16"/>
      <c r="B501" s="16"/>
      <c r="C501" s="16"/>
      <c r="D501" s="16"/>
      <c r="E501" s="49"/>
      <c r="G501" s="16"/>
      <c r="H501" s="89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</row>
    <row r="502" ht="15.75" customHeight="1">
      <c r="A502" s="16"/>
      <c r="B502" s="16"/>
      <c r="C502" s="16"/>
      <c r="D502" s="16"/>
      <c r="E502" s="49"/>
      <c r="G502" s="16"/>
      <c r="H502" s="89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</row>
    <row r="503" ht="15.75" customHeight="1">
      <c r="A503" s="16"/>
      <c r="B503" s="16"/>
      <c r="C503" s="16"/>
      <c r="D503" s="16"/>
      <c r="E503" s="49"/>
      <c r="G503" s="16"/>
      <c r="H503" s="89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</row>
    <row r="504" ht="15.75" customHeight="1">
      <c r="A504" s="16"/>
      <c r="B504" s="16"/>
      <c r="C504" s="16"/>
      <c r="D504" s="16"/>
      <c r="E504" s="49"/>
      <c r="G504" s="16"/>
      <c r="H504" s="89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</row>
    <row r="505" ht="15.75" customHeight="1">
      <c r="A505" s="16"/>
      <c r="B505" s="16"/>
      <c r="C505" s="16"/>
      <c r="D505" s="16"/>
      <c r="E505" s="49"/>
      <c r="G505" s="16"/>
      <c r="H505" s="89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</row>
    <row r="506" ht="15.75" customHeight="1">
      <c r="A506" s="16"/>
      <c r="B506" s="16"/>
      <c r="C506" s="16"/>
      <c r="D506" s="16"/>
      <c r="E506" s="49"/>
      <c r="G506" s="16"/>
      <c r="H506" s="89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</row>
    <row r="507" ht="15.75" customHeight="1">
      <c r="A507" s="16"/>
      <c r="B507" s="16"/>
      <c r="C507" s="16"/>
      <c r="D507" s="16"/>
      <c r="E507" s="49"/>
      <c r="G507" s="16"/>
      <c r="H507" s="89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</row>
    <row r="508" ht="15.75" customHeight="1">
      <c r="A508" s="16"/>
      <c r="B508" s="16"/>
      <c r="C508" s="16"/>
      <c r="D508" s="16"/>
      <c r="E508" s="49"/>
      <c r="G508" s="16"/>
      <c r="H508" s="89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</row>
    <row r="509" ht="15.75" customHeight="1">
      <c r="A509" s="16"/>
      <c r="B509" s="16"/>
      <c r="C509" s="16"/>
      <c r="D509" s="16"/>
      <c r="E509" s="49"/>
      <c r="G509" s="16"/>
      <c r="H509" s="89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</row>
    <row r="510" ht="15.75" customHeight="1">
      <c r="A510" s="16"/>
      <c r="B510" s="16"/>
      <c r="C510" s="16"/>
      <c r="D510" s="16"/>
      <c r="E510" s="49"/>
      <c r="G510" s="16"/>
      <c r="H510" s="89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</row>
    <row r="511" ht="15.75" customHeight="1">
      <c r="A511" s="16"/>
      <c r="B511" s="16"/>
      <c r="C511" s="16"/>
      <c r="D511" s="16"/>
      <c r="E511" s="49"/>
      <c r="G511" s="16"/>
      <c r="H511" s="89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</row>
    <row r="512" ht="15.75" customHeight="1">
      <c r="A512" s="16"/>
      <c r="B512" s="16"/>
      <c r="C512" s="16"/>
      <c r="D512" s="16"/>
      <c r="E512" s="49"/>
      <c r="G512" s="16"/>
      <c r="H512" s="89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</row>
    <row r="513" ht="15.75" customHeight="1">
      <c r="A513" s="16"/>
      <c r="B513" s="16"/>
      <c r="C513" s="16"/>
      <c r="D513" s="16"/>
      <c r="E513" s="49"/>
      <c r="G513" s="16"/>
      <c r="H513" s="89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</row>
    <row r="514" ht="15.75" customHeight="1">
      <c r="A514" s="16"/>
      <c r="B514" s="16"/>
      <c r="C514" s="16"/>
      <c r="D514" s="16"/>
      <c r="E514" s="49"/>
      <c r="G514" s="16"/>
      <c r="H514" s="89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</row>
    <row r="515" ht="15.75" customHeight="1">
      <c r="A515" s="16"/>
      <c r="B515" s="16"/>
      <c r="C515" s="16"/>
      <c r="D515" s="16"/>
      <c r="E515" s="49"/>
      <c r="G515" s="16"/>
      <c r="H515" s="89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</row>
    <row r="516" ht="15.75" customHeight="1">
      <c r="A516" s="16"/>
      <c r="B516" s="16"/>
      <c r="C516" s="16"/>
      <c r="D516" s="16"/>
      <c r="E516" s="49"/>
      <c r="G516" s="16"/>
      <c r="H516" s="89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</row>
    <row r="517" ht="15.75" customHeight="1">
      <c r="A517" s="16"/>
      <c r="B517" s="16"/>
      <c r="C517" s="16"/>
      <c r="D517" s="16"/>
      <c r="E517" s="49"/>
      <c r="G517" s="16"/>
      <c r="H517" s="89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</row>
    <row r="518" ht="15.75" customHeight="1">
      <c r="A518" s="16"/>
      <c r="B518" s="16"/>
      <c r="C518" s="16"/>
      <c r="D518" s="16"/>
      <c r="E518" s="49"/>
      <c r="G518" s="16"/>
      <c r="H518" s="89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</row>
    <row r="519" ht="15.75" customHeight="1">
      <c r="A519" s="16"/>
      <c r="B519" s="16"/>
      <c r="C519" s="16"/>
      <c r="D519" s="16"/>
      <c r="E519" s="49"/>
      <c r="G519" s="16"/>
      <c r="H519" s="89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</row>
    <row r="520" ht="15.75" customHeight="1">
      <c r="A520" s="16"/>
      <c r="B520" s="16"/>
      <c r="C520" s="16"/>
      <c r="D520" s="16"/>
      <c r="E520" s="49"/>
      <c r="G520" s="16"/>
      <c r="H520" s="89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</row>
    <row r="521" ht="15.75" customHeight="1">
      <c r="A521" s="16"/>
      <c r="B521" s="16"/>
      <c r="C521" s="16"/>
      <c r="D521" s="16"/>
      <c r="E521" s="49"/>
      <c r="G521" s="16"/>
      <c r="H521" s="89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</row>
    <row r="522" ht="15.75" customHeight="1">
      <c r="A522" s="16"/>
      <c r="B522" s="16"/>
      <c r="C522" s="16"/>
      <c r="D522" s="16"/>
      <c r="E522" s="49"/>
      <c r="G522" s="16"/>
      <c r="H522" s="89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</row>
    <row r="523" ht="15.75" customHeight="1">
      <c r="A523" s="16"/>
      <c r="B523" s="16"/>
      <c r="C523" s="16"/>
      <c r="D523" s="16"/>
      <c r="E523" s="49"/>
      <c r="G523" s="16"/>
      <c r="H523" s="89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</row>
    <row r="524" ht="15.75" customHeight="1">
      <c r="A524" s="16"/>
      <c r="B524" s="16"/>
      <c r="C524" s="16"/>
      <c r="D524" s="16"/>
      <c r="E524" s="49"/>
      <c r="G524" s="16"/>
      <c r="H524" s="89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</row>
    <row r="525" ht="15.75" customHeight="1">
      <c r="A525" s="16"/>
      <c r="B525" s="16"/>
      <c r="C525" s="16"/>
      <c r="D525" s="16"/>
      <c r="E525" s="49"/>
      <c r="G525" s="16"/>
      <c r="H525" s="89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</row>
    <row r="526" ht="15.75" customHeight="1">
      <c r="A526" s="16"/>
      <c r="B526" s="16"/>
      <c r="C526" s="16"/>
      <c r="D526" s="16"/>
      <c r="E526" s="49"/>
      <c r="G526" s="16"/>
      <c r="H526" s="89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</row>
    <row r="527" ht="15.75" customHeight="1">
      <c r="A527" s="16"/>
      <c r="B527" s="16"/>
      <c r="C527" s="16"/>
      <c r="D527" s="16"/>
      <c r="E527" s="49"/>
      <c r="G527" s="16"/>
      <c r="H527" s="89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</row>
    <row r="528" ht="15.75" customHeight="1">
      <c r="A528" s="16"/>
      <c r="B528" s="16"/>
      <c r="C528" s="16"/>
      <c r="D528" s="16"/>
      <c r="E528" s="49"/>
      <c r="G528" s="16"/>
      <c r="H528" s="89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</row>
    <row r="529" ht="15.75" customHeight="1">
      <c r="A529" s="16"/>
      <c r="B529" s="16"/>
      <c r="C529" s="16"/>
      <c r="D529" s="16"/>
      <c r="E529" s="49"/>
      <c r="G529" s="16"/>
      <c r="H529" s="89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</row>
    <row r="530" ht="15.75" customHeight="1">
      <c r="A530" s="16"/>
      <c r="B530" s="16"/>
      <c r="C530" s="16"/>
      <c r="D530" s="16"/>
      <c r="E530" s="49"/>
      <c r="G530" s="16"/>
      <c r="H530" s="89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</row>
    <row r="531" ht="15.75" customHeight="1">
      <c r="A531" s="16"/>
      <c r="B531" s="16"/>
      <c r="C531" s="16"/>
      <c r="D531" s="16"/>
      <c r="E531" s="49"/>
      <c r="G531" s="16"/>
      <c r="H531" s="89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</row>
    <row r="532" ht="15.75" customHeight="1">
      <c r="A532" s="16"/>
      <c r="B532" s="16"/>
      <c r="C532" s="16"/>
      <c r="D532" s="16"/>
      <c r="E532" s="49"/>
      <c r="G532" s="16"/>
      <c r="H532" s="89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</row>
    <row r="533" ht="15.75" customHeight="1">
      <c r="A533" s="16"/>
      <c r="B533" s="16"/>
      <c r="C533" s="16"/>
      <c r="D533" s="16"/>
      <c r="E533" s="49"/>
      <c r="G533" s="16"/>
      <c r="H533" s="89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</row>
    <row r="534" ht="15.75" customHeight="1">
      <c r="A534" s="16"/>
      <c r="B534" s="16"/>
      <c r="C534" s="16"/>
      <c r="D534" s="16"/>
      <c r="E534" s="49"/>
      <c r="G534" s="16"/>
      <c r="H534" s="89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</row>
    <row r="535" ht="15.75" customHeight="1">
      <c r="A535" s="16"/>
      <c r="B535" s="16"/>
      <c r="C535" s="16"/>
      <c r="D535" s="16"/>
      <c r="E535" s="49"/>
      <c r="G535" s="16"/>
      <c r="H535" s="89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</row>
    <row r="536" ht="15.75" customHeight="1">
      <c r="A536" s="16"/>
      <c r="B536" s="16"/>
      <c r="C536" s="16"/>
      <c r="D536" s="16"/>
      <c r="E536" s="49"/>
      <c r="G536" s="16"/>
      <c r="H536" s="89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</row>
    <row r="537" ht="15.75" customHeight="1">
      <c r="A537" s="16"/>
      <c r="B537" s="16"/>
      <c r="C537" s="16"/>
      <c r="D537" s="16"/>
      <c r="E537" s="49"/>
      <c r="G537" s="16"/>
      <c r="H537" s="89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</row>
    <row r="538" ht="15.75" customHeight="1">
      <c r="A538" s="16"/>
      <c r="B538" s="16"/>
      <c r="C538" s="16"/>
      <c r="D538" s="16"/>
      <c r="E538" s="49"/>
      <c r="G538" s="16"/>
      <c r="H538" s="89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</row>
    <row r="539" ht="15.75" customHeight="1">
      <c r="A539" s="16"/>
      <c r="B539" s="16"/>
      <c r="C539" s="16"/>
      <c r="D539" s="16"/>
      <c r="E539" s="49"/>
      <c r="G539" s="16"/>
      <c r="H539" s="89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</row>
    <row r="540" ht="15.75" customHeight="1">
      <c r="A540" s="16"/>
      <c r="B540" s="16"/>
      <c r="C540" s="16"/>
      <c r="D540" s="16"/>
      <c r="E540" s="49"/>
      <c r="G540" s="16"/>
      <c r="H540" s="89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</row>
    <row r="541" ht="15.75" customHeight="1">
      <c r="A541" s="16"/>
      <c r="B541" s="16"/>
      <c r="C541" s="16"/>
      <c r="D541" s="16"/>
      <c r="E541" s="49"/>
      <c r="G541" s="16"/>
      <c r="H541" s="89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</row>
    <row r="542" ht="15.75" customHeight="1">
      <c r="A542" s="16"/>
      <c r="B542" s="16"/>
      <c r="C542" s="16"/>
      <c r="D542" s="16"/>
      <c r="E542" s="49"/>
      <c r="G542" s="16"/>
      <c r="H542" s="89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</row>
    <row r="543" ht="15.75" customHeight="1">
      <c r="A543" s="16"/>
      <c r="B543" s="16"/>
      <c r="C543" s="16"/>
      <c r="D543" s="16"/>
      <c r="E543" s="49"/>
      <c r="G543" s="16"/>
      <c r="H543" s="89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</row>
    <row r="544" ht="15.75" customHeight="1">
      <c r="A544" s="16"/>
      <c r="B544" s="16"/>
      <c r="C544" s="16"/>
      <c r="D544" s="16"/>
      <c r="E544" s="49"/>
      <c r="G544" s="16"/>
      <c r="H544" s="89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</row>
    <row r="545" ht="15.75" customHeight="1">
      <c r="A545" s="16"/>
      <c r="B545" s="16"/>
      <c r="C545" s="16"/>
      <c r="D545" s="16"/>
      <c r="E545" s="49"/>
      <c r="G545" s="16"/>
      <c r="H545" s="89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</row>
    <row r="546" ht="15.75" customHeight="1">
      <c r="A546" s="16"/>
      <c r="B546" s="16"/>
      <c r="C546" s="16"/>
      <c r="D546" s="16"/>
      <c r="E546" s="49"/>
      <c r="G546" s="16"/>
      <c r="H546" s="89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</row>
    <row r="547" ht="15.75" customHeight="1">
      <c r="A547" s="16"/>
      <c r="B547" s="16"/>
      <c r="C547" s="16"/>
      <c r="D547" s="16"/>
      <c r="E547" s="49"/>
      <c r="G547" s="16"/>
      <c r="H547" s="89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</row>
    <row r="548" ht="15.75" customHeight="1">
      <c r="A548" s="16"/>
      <c r="B548" s="16"/>
      <c r="C548" s="16"/>
      <c r="D548" s="16"/>
      <c r="E548" s="49"/>
      <c r="G548" s="16"/>
      <c r="H548" s="89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</row>
    <row r="549" ht="15.75" customHeight="1">
      <c r="A549" s="16"/>
      <c r="B549" s="16"/>
      <c r="C549" s="16"/>
      <c r="D549" s="16"/>
      <c r="E549" s="49"/>
      <c r="G549" s="16"/>
      <c r="H549" s="89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</row>
    <row r="550" ht="15.75" customHeight="1">
      <c r="A550" s="16"/>
      <c r="B550" s="16"/>
      <c r="C550" s="16"/>
      <c r="D550" s="16"/>
      <c r="E550" s="49"/>
      <c r="G550" s="16"/>
      <c r="H550" s="89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</row>
    <row r="551" ht="15.75" customHeight="1">
      <c r="A551" s="16"/>
      <c r="B551" s="16"/>
      <c r="C551" s="16"/>
      <c r="D551" s="16"/>
      <c r="E551" s="49"/>
      <c r="G551" s="16"/>
      <c r="H551" s="89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</row>
    <row r="552" ht="15.75" customHeight="1">
      <c r="A552" s="16"/>
      <c r="B552" s="16"/>
      <c r="C552" s="16"/>
      <c r="D552" s="16"/>
      <c r="E552" s="49"/>
      <c r="G552" s="16"/>
      <c r="H552" s="89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</row>
    <row r="553" ht="15.75" customHeight="1">
      <c r="A553" s="16"/>
      <c r="B553" s="16"/>
      <c r="C553" s="16"/>
      <c r="D553" s="16"/>
      <c r="E553" s="49"/>
      <c r="G553" s="16"/>
      <c r="H553" s="89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</row>
    <row r="554" ht="15.75" customHeight="1">
      <c r="A554" s="16"/>
      <c r="B554" s="16"/>
      <c r="C554" s="16"/>
      <c r="D554" s="16"/>
      <c r="E554" s="49"/>
      <c r="G554" s="16"/>
      <c r="H554" s="89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</row>
    <row r="555" ht="15.75" customHeight="1">
      <c r="A555" s="16"/>
      <c r="B555" s="16"/>
      <c r="C555" s="16"/>
      <c r="D555" s="16"/>
      <c r="E555" s="49"/>
      <c r="G555" s="16"/>
      <c r="H555" s="89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</row>
    <row r="556" ht="15.75" customHeight="1">
      <c r="A556" s="16"/>
      <c r="B556" s="16"/>
      <c r="C556" s="16"/>
      <c r="D556" s="16"/>
      <c r="E556" s="49"/>
      <c r="G556" s="16"/>
      <c r="H556" s="89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</row>
    <row r="557" ht="15.75" customHeight="1">
      <c r="A557" s="16"/>
      <c r="B557" s="16"/>
      <c r="C557" s="16"/>
      <c r="D557" s="16"/>
      <c r="E557" s="49"/>
      <c r="G557" s="16"/>
      <c r="H557" s="89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</row>
    <row r="558" ht="15.75" customHeight="1">
      <c r="A558" s="16"/>
      <c r="B558" s="16"/>
      <c r="C558" s="16"/>
      <c r="D558" s="16"/>
      <c r="E558" s="49"/>
      <c r="G558" s="16"/>
      <c r="H558" s="89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</row>
    <row r="559" ht="15.75" customHeight="1">
      <c r="A559" s="16"/>
      <c r="B559" s="16"/>
      <c r="C559" s="16"/>
      <c r="D559" s="16"/>
      <c r="E559" s="49"/>
      <c r="G559" s="16"/>
      <c r="H559" s="89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</row>
    <row r="560" ht="15.75" customHeight="1">
      <c r="A560" s="16"/>
      <c r="B560" s="16"/>
      <c r="C560" s="16"/>
      <c r="D560" s="16"/>
      <c r="E560" s="49"/>
      <c r="G560" s="16"/>
      <c r="H560" s="89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</row>
    <row r="561" ht="15.75" customHeight="1">
      <c r="A561" s="16"/>
      <c r="B561" s="16"/>
      <c r="C561" s="16"/>
      <c r="D561" s="16"/>
      <c r="E561" s="49"/>
      <c r="G561" s="16"/>
      <c r="H561" s="89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</row>
    <row r="562" ht="15.75" customHeight="1">
      <c r="A562" s="16"/>
      <c r="B562" s="16"/>
      <c r="C562" s="16"/>
      <c r="D562" s="16"/>
      <c r="E562" s="49"/>
      <c r="G562" s="16"/>
      <c r="H562" s="89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</row>
    <row r="563" ht="15.75" customHeight="1">
      <c r="A563" s="16"/>
      <c r="B563" s="16"/>
      <c r="C563" s="16"/>
      <c r="D563" s="16"/>
      <c r="E563" s="49"/>
      <c r="G563" s="16"/>
      <c r="H563" s="89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</row>
    <row r="564" ht="15.75" customHeight="1">
      <c r="A564" s="16"/>
      <c r="B564" s="16"/>
      <c r="C564" s="16"/>
      <c r="D564" s="16"/>
      <c r="E564" s="49"/>
      <c r="G564" s="16"/>
      <c r="H564" s="89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</row>
    <row r="565" ht="15.75" customHeight="1">
      <c r="A565" s="16"/>
      <c r="B565" s="16"/>
      <c r="C565" s="16"/>
      <c r="D565" s="16"/>
      <c r="E565" s="49"/>
      <c r="G565" s="16"/>
      <c r="H565" s="89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</row>
    <row r="566" ht="15.75" customHeight="1">
      <c r="A566" s="16"/>
      <c r="B566" s="16"/>
      <c r="C566" s="16"/>
      <c r="D566" s="16"/>
      <c r="E566" s="49"/>
      <c r="G566" s="16"/>
      <c r="H566" s="89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</row>
    <row r="567" ht="15.75" customHeight="1">
      <c r="A567" s="16"/>
      <c r="B567" s="16"/>
      <c r="C567" s="16"/>
      <c r="D567" s="16"/>
      <c r="E567" s="49"/>
      <c r="G567" s="16"/>
      <c r="H567" s="89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</row>
    <row r="568" ht="15.75" customHeight="1">
      <c r="A568" s="16"/>
      <c r="B568" s="16"/>
      <c r="C568" s="16"/>
      <c r="D568" s="16"/>
      <c r="E568" s="49"/>
      <c r="G568" s="16"/>
      <c r="H568" s="89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</row>
    <row r="569" ht="15.75" customHeight="1">
      <c r="A569" s="16"/>
      <c r="B569" s="16"/>
      <c r="C569" s="16"/>
      <c r="D569" s="16"/>
      <c r="E569" s="49"/>
      <c r="G569" s="16"/>
      <c r="H569" s="89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</row>
    <row r="570" ht="15.75" customHeight="1">
      <c r="A570" s="16"/>
      <c r="B570" s="16"/>
      <c r="C570" s="16"/>
      <c r="D570" s="16"/>
      <c r="E570" s="49"/>
      <c r="G570" s="16"/>
      <c r="H570" s="89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</row>
    <row r="571" ht="15.75" customHeight="1">
      <c r="A571" s="16"/>
      <c r="B571" s="16"/>
      <c r="C571" s="16"/>
      <c r="D571" s="16"/>
      <c r="E571" s="49"/>
      <c r="G571" s="16"/>
      <c r="H571" s="89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</row>
    <row r="572" ht="15.75" customHeight="1">
      <c r="A572" s="16"/>
      <c r="B572" s="16"/>
      <c r="C572" s="16"/>
      <c r="D572" s="16"/>
      <c r="E572" s="49"/>
      <c r="G572" s="16"/>
      <c r="H572" s="89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</row>
    <row r="573" ht="15.75" customHeight="1">
      <c r="A573" s="16"/>
      <c r="B573" s="16"/>
      <c r="C573" s="16"/>
      <c r="D573" s="16"/>
      <c r="E573" s="49"/>
      <c r="G573" s="16"/>
      <c r="H573" s="89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</row>
    <row r="574" ht="15.75" customHeight="1">
      <c r="A574" s="16"/>
      <c r="B574" s="16"/>
      <c r="C574" s="16"/>
      <c r="D574" s="16"/>
      <c r="E574" s="49"/>
      <c r="G574" s="16"/>
      <c r="H574" s="89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</row>
    <row r="575" ht="15.75" customHeight="1">
      <c r="A575" s="16"/>
      <c r="B575" s="16"/>
      <c r="C575" s="16"/>
      <c r="D575" s="16"/>
      <c r="E575" s="49"/>
      <c r="G575" s="16"/>
      <c r="H575" s="89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</row>
    <row r="576" ht="15.75" customHeight="1">
      <c r="A576" s="16"/>
      <c r="B576" s="16"/>
      <c r="C576" s="16"/>
      <c r="D576" s="16"/>
      <c r="E576" s="49"/>
      <c r="G576" s="16"/>
      <c r="H576" s="89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</row>
    <row r="577" ht="15.75" customHeight="1">
      <c r="A577" s="16"/>
      <c r="B577" s="16"/>
      <c r="C577" s="16"/>
      <c r="D577" s="16"/>
      <c r="E577" s="49"/>
      <c r="G577" s="16"/>
      <c r="H577" s="89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</row>
    <row r="578" ht="15.75" customHeight="1">
      <c r="A578" s="16"/>
      <c r="B578" s="16"/>
      <c r="C578" s="16"/>
      <c r="D578" s="16"/>
      <c r="E578" s="49"/>
      <c r="G578" s="16"/>
      <c r="H578" s="89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</row>
    <row r="579" ht="15.75" customHeight="1">
      <c r="A579" s="16"/>
      <c r="B579" s="16"/>
      <c r="C579" s="16"/>
      <c r="D579" s="16"/>
      <c r="E579" s="49"/>
      <c r="G579" s="16"/>
      <c r="H579" s="89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</row>
    <row r="580" ht="15.75" customHeight="1">
      <c r="A580" s="16"/>
      <c r="B580" s="16"/>
      <c r="C580" s="16"/>
      <c r="D580" s="16"/>
      <c r="E580" s="49"/>
      <c r="G580" s="16"/>
      <c r="H580" s="89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</row>
    <row r="581" ht="15.75" customHeight="1">
      <c r="A581" s="16"/>
      <c r="B581" s="16"/>
      <c r="C581" s="16"/>
      <c r="D581" s="16"/>
      <c r="E581" s="49"/>
      <c r="G581" s="16"/>
      <c r="H581" s="89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</row>
    <row r="582" ht="15.75" customHeight="1">
      <c r="A582" s="16"/>
      <c r="B582" s="16"/>
      <c r="C582" s="16"/>
      <c r="D582" s="16"/>
      <c r="E582" s="49"/>
      <c r="G582" s="16"/>
      <c r="H582" s="89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</row>
    <row r="583" ht="15.75" customHeight="1">
      <c r="A583" s="16"/>
      <c r="B583" s="16"/>
      <c r="C583" s="16"/>
      <c r="D583" s="16"/>
      <c r="E583" s="49"/>
      <c r="G583" s="16"/>
      <c r="H583" s="89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</row>
    <row r="584" ht="15.75" customHeight="1">
      <c r="A584" s="16"/>
      <c r="B584" s="16"/>
      <c r="C584" s="16"/>
      <c r="D584" s="16"/>
      <c r="E584" s="49"/>
      <c r="G584" s="16"/>
      <c r="H584" s="89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</row>
    <row r="585" ht="15.75" customHeight="1">
      <c r="A585" s="16"/>
      <c r="B585" s="16"/>
      <c r="C585" s="16"/>
      <c r="D585" s="16"/>
      <c r="E585" s="49"/>
      <c r="G585" s="16"/>
      <c r="H585" s="89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</row>
    <row r="586" ht="15.75" customHeight="1">
      <c r="A586" s="16"/>
      <c r="B586" s="16"/>
      <c r="C586" s="16"/>
      <c r="D586" s="16"/>
      <c r="E586" s="49"/>
      <c r="G586" s="16"/>
      <c r="H586" s="89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</row>
    <row r="587" ht="15.75" customHeight="1">
      <c r="A587" s="16"/>
      <c r="B587" s="16"/>
      <c r="C587" s="16"/>
      <c r="D587" s="16"/>
      <c r="E587" s="49"/>
      <c r="G587" s="16"/>
      <c r="H587" s="89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</row>
    <row r="588" ht="15.75" customHeight="1">
      <c r="A588" s="16"/>
      <c r="B588" s="16"/>
      <c r="C588" s="16"/>
      <c r="D588" s="16"/>
      <c r="E588" s="49"/>
      <c r="G588" s="16"/>
      <c r="H588" s="89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</row>
    <row r="589" ht="15.75" customHeight="1">
      <c r="A589" s="16"/>
      <c r="B589" s="16"/>
      <c r="C589" s="16"/>
      <c r="D589" s="16"/>
      <c r="E589" s="49"/>
      <c r="G589" s="16"/>
      <c r="H589" s="89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</row>
    <row r="590" ht="15.75" customHeight="1">
      <c r="A590" s="16"/>
      <c r="B590" s="16"/>
      <c r="C590" s="16"/>
      <c r="D590" s="16"/>
      <c r="E590" s="49"/>
      <c r="G590" s="16"/>
      <c r="H590" s="89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</row>
    <row r="591" ht="15.75" customHeight="1">
      <c r="A591" s="16"/>
      <c r="B591" s="16"/>
      <c r="C591" s="16"/>
      <c r="D591" s="16"/>
      <c r="E591" s="49"/>
      <c r="G591" s="16"/>
      <c r="H591" s="89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</row>
    <row r="592" ht="15.75" customHeight="1">
      <c r="A592" s="16"/>
      <c r="B592" s="16"/>
      <c r="C592" s="16"/>
      <c r="D592" s="16"/>
      <c r="E592" s="49"/>
      <c r="G592" s="16"/>
      <c r="H592" s="89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</row>
    <row r="593" ht="15.75" customHeight="1">
      <c r="A593" s="16"/>
      <c r="B593" s="16"/>
      <c r="C593" s="16"/>
      <c r="D593" s="16"/>
      <c r="E593" s="49"/>
      <c r="G593" s="16"/>
      <c r="H593" s="89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</row>
    <row r="594" ht="15.75" customHeight="1">
      <c r="A594" s="16"/>
      <c r="B594" s="16"/>
      <c r="C594" s="16"/>
      <c r="D594" s="16"/>
      <c r="E594" s="49"/>
      <c r="G594" s="16"/>
      <c r="H594" s="89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</row>
    <row r="595" ht="15.75" customHeight="1">
      <c r="A595" s="16"/>
      <c r="B595" s="16"/>
      <c r="C595" s="16"/>
      <c r="D595" s="16"/>
      <c r="E595" s="49"/>
      <c r="G595" s="16"/>
      <c r="H595" s="89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</row>
    <row r="596" ht="15.75" customHeight="1">
      <c r="A596" s="16"/>
      <c r="B596" s="16"/>
      <c r="C596" s="16"/>
      <c r="D596" s="16"/>
      <c r="E596" s="49"/>
      <c r="G596" s="16"/>
      <c r="H596" s="89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</row>
    <row r="597" ht="15.75" customHeight="1">
      <c r="A597" s="16"/>
      <c r="B597" s="16"/>
      <c r="C597" s="16"/>
      <c r="D597" s="16"/>
      <c r="E597" s="49"/>
      <c r="G597" s="16"/>
      <c r="H597" s="89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</row>
    <row r="598" ht="15.75" customHeight="1">
      <c r="A598" s="16"/>
      <c r="B598" s="16"/>
      <c r="C598" s="16"/>
      <c r="D598" s="16"/>
      <c r="E598" s="49"/>
      <c r="G598" s="16"/>
      <c r="H598" s="89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</row>
    <row r="599" ht="15.75" customHeight="1">
      <c r="A599" s="16"/>
      <c r="B599" s="16"/>
      <c r="C599" s="16"/>
      <c r="D599" s="16"/>
      <c r="E599" s="49"/>
      <c r="G599" s="16"/>
      <c r="H599" s="89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</row>
    <row r="600" ht="15.75" customHeight="1">
      <c r="A600" s="16"/>
      <c r="B600" s="16"/>
      <c r="C600" s="16"/>
      <c r="D600" s="16"/>
      <c r="E600" s="49"/>
      <c r="G600" s="16"/>
      <c r="H600" s="89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</row>
    <row r="601" ht="15.75" customHeight="1">
      <c r="A601" s="16"/>
      <c r="B601" s="16"/>
      <c r="C601" s="16"/>
      <c r="D601" s="16"/>
      <c r="E601" s="49"/>
      <c r="G601" s="16"/>
      <c r="H601" s="89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</row>
    <row r="602" ht="15.75" customHeight="1">
      <c r="A602" s="16"/>
      <c r="B602" s="16"/>
      <c r="C602" s="16"/>
      <c r="D602" s="16"/>
      <c r="E602" s="49"/>
      <c r="G602" s="16"/>
      <c r="H602" s="89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</row>
    <row r="603" ht="15.75" customHeight="1">
      <c r="A603" s="16"/>
      <c r="B603" s="16"/>
      <c r="C603" s="16"/>
      <c r="D603" s="16"/>
      <c r="E603" s="49"/>
      <c r="G603" s="16"/>
      <c r="H603" s="89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</row>
    <row r="604" ht="15.75" customHeight="1">
      <c r="A604" s="16"/>
      <c r="B604" s="16"/>
      <c r="C604" s="16"/>
      <c r="D604" s="16"/>
      <c r="E604" s="49"/>
      <c r="G604" s="16"/>
      <c r="H604" s="89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</row>
    <row r="605" ht="15.75" customHeight="1">
      <c r="A605" s="16"/>
      <c r="B605" s="16"/>
      <c r="C605" s="16"/>
      <c r="D605" s="16"/>
      <c r="E605" s="49"/>
      <c r="G605" s="16"/>
      <c r="H605" s="89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</row>
    <row r="606" ht="15.75" customHeight="1">
      <c r="A606" s="16"/>
      <c r="B606" s="16"/>
      <c r="C606" s="16"/>
      <c r="D606" s="16"/>
      <c r="E606" s="49"/>
      <c r="G606" s="16"/>
      <c r="H606" s="89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</row>
    <row r="607" ht="15.75" customHeight="1">
      <c r="A607" s="16"/>
      <c r="B607" s="16"/>
      <c r="C607" s="16"/>
      <c r="D607" s="16"/>
      <c r="E607" s="49"/>
      <c r="G607" s="16"/>
      <c r="H607" s="89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</row>
    <row r="608" ht="15.75" customHeight="1">
      <c r="A608" s="16"/>
      <c r="B608" s="16"/>
      <c r="C608" s="16"/>
      <c r="D608" s="16"/>
      <c r="E608" s="49"/>
      <c r="G608" s="16"/>
      <c r="H608" s="89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</row>
    <row r="609" ht="15.75" customHeight="1">
      <c r="A609" s="16"/>
      <c r="B609" s="16"/>
      <c r="C609" s="16"/>
      <c r="D609" s="16"/>
      <c r="E609" s="49"/>
      <c r="G609" s="16"/>
      <c r="H609" s="89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</row>
    <row r="610" ht="15.75" customHeight="1">
      <c r="A610" s="16"/>
      <c r="B610" s="16"/>
      <c r="C610" s="16"/>
      <c r="D610" s="16"/>
      <c r="E610" s="49"/>
      <c r="G610" s="16"/>
      <c r="H610" s="89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</row>
    <row r="611" ht="15.75" customHeight="1">
      <c r="A611" s="16"/>
      <c r="B611" s="16"/>
      <c r="C611" s="16"/>
      <c r="D611" s="16"/>
      <c r="E611" s="49"/>
      <c r="G611" s="16"/>
      <c r="H611" s="89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</row>
    <row r="612" ht="15.75" customHeight="1">
      <c r="A612" s="16"/>
      <c r="B612" s="16"/>
      <c r="C612" s="16"/>
      <c r="D612" s="16"/>
      <c r="E612" s="49"/>
      <c r="G612" s="16"/>
      <c r="H612" s="89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</row>
    <row r="613" ht="15.75" customHeight="1">
      <c r="A613" s="16"/>
      <c r="B613" s="16"/>
      <c r="C613" s="16"/>
      <c r="D613" s="16"/>
      <c r="E613" s="49"/>
      <c r="G613" s="16"/>
      <c r="H613" s="89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</row>
    <row r="614" ht="15.75" customHeight="1">
      <c r="A614" s="16"/>
      <c r="B614" s="16"/>
      <c r="C614" s="16"/>
      <c r="D614" s="16"/>
      <c r="E614" s="49"/>
      <c r="G614" s="16"/>
      <c r="H614" s="89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</row>
    <row r="615" ht="15.75" customHeight="1">
      <c r="A615" s="16"/>
      <c r="B615" s="16"/>
      <c r="C615" s="16"/>
      <c r="D615" s="16"/>
      <c r="E615" s="49"/>
      <c r="G615" s="16"/>
      <c r="H615" s="89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</row>
    <row r="616" ht="15.75" customHeight="1">
      <c r="A616" s="16"/>
      <c r="B616" s="16"/>
      <c r="C616" s="16"/>
      <c r="D616" s="16"/>
      <c r="E616" s="49"/>
      <c r="G616" s="16"/>
      <c r="H616" s="89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</row>
    <row r="617" ht="15.75" customHeight="1">
      <c r="A617" s="16"/>
      <c r="B617" s="16"/>
      <c r="C617" s="16"/>
      <c r="D617" s="16"/>
      <c r="E617" s="49"/>
      <c r="G617" s="16"/>
      <c r="H617" s="89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</row>
    <row r="618" ht="15.75" customHeight="1">
      <c r="A618" s="16"/>
      <c r="B618" s="16"/>
      <c r="C618" s="16"/>
      <c r="D618" s="16"/>
      <c r="E618" s="49"/>
      <c r="G618" s="16"/>
      <c r="H618" s="89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</row>
    <row r="619" ht="15.75" customHeight="1">
      <c r="A619" s="16"/>
      <c r="B619" s="16"/>
      <c r="C619" s="16"/>
      <c r="D619" s="16"/>
      <c r="E619" s="49"/>
      <c r="G619" s="16"/>
      <c r="H619" s="89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</row>
    <row r="620" ht="15.75" customHeight="1">
      <c r="A620" s="16"/>
      <c r="B620" s="16"/>
      <c r="C620" s="16"/>
      <c r="D620" s="16"/>
      <c r="E620" s="49"/>
      <c r="G620" s="16"/>
      <c r="H620" s="89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</row>
    <row r="621" ht="15.75" customHeight="1">
      <c r="A621" s="16"/>
      <c r="B621" s="16"/>
      <c r="C621" s="16"/>
      <c r="D621" s="16"/>
      <c r="E621" s="49"/>
      <c r="G621" s="16"/>
      <c r="H621" s="89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</row>
    <row r="622" ht="15.75" customHeight="1">
      <c r="A622" s="16"/>
      <c r="B622" s="16"/>
      <c r="C622" s="16"/>
      <c r="D622" s="16"/>
      <c r="E622" s="49"/>
      <c r="G622" s="16"/>
      <c r="H622" s="89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</row>
    <row r="623" ht="15.75" customHeight="1">
      <c r="A623" s="16"/>
      <c r="B623" s="16"/>
      <c r="C623" s="16"/>
      <c r="D623" s="16"/>
      <c r="E623" s="49"/>
      <c r="G623" s="16"/>
      <c r="H623" s="89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</row>
    <row r="624" ht="15.75" customHeight="1">
      <c r="A624" s="16"/>
      <c r="B624" s="16"/>
      <c r="C624" s="16"/>
      <c r="D624" s="16"/>
      <c r="E624" s="49"/>
      <c r="G624" s="16"/>
      <c r="H624" s="89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</row>
    <row r="625" ht="15.75" customHeight="1">
      <c r="A625" s="16"/>
      <c r="B625" s="16"/>
      <c r="C625" s="16"/>
      <c r="D625" s="16"/>
      <c r="E625" s="49"/>
      <c r="G625" s="16"/>
      <c r="H625" s="89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</row>
    <row r="626" ht="15.75" customHeight="1">
      <c r="A626" s="16"/>
      <c r="B626" s="16"/>
      <c r="C626" s="16"/>
      <c r="D626" s="16"/>
      <c r="E626" s="49"/>
      <c r="G626" s="16"/>
      <c r="H626" s="89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</row>
    <row r="627" ht="15.75" customHeight="1">
      <c r="A627" s="16"/>
      <c r="B627" s="16"/>
      <c r="C627" s="16"/>
      <c r="D627" s="16"/>
      <c r="E627" s="49"/>
      <c r="G627" s="16"/>
      <c r="H627" s="89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</row>
    <row r="628" ht="15.75" customHeight="1">
      <c r="A628" s="16"/>
      <c r="B628" s="16"/>
      <c r="C628" s="16"/>
      <c r="D628" s="16"/>
      <c r="E628" s="49"/>
      <c r="G628" s="16"/>
      <c r="H628" s="89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</row>
    <row r="629" ht="15.75" customHeight="1">
      <c r="A629" s="16"/>
      <c r="B629" s="16"/>
      <c r="C629" s="16"/>
      <c r="D629" s="16"/>
      <c r="E629" s="49"/>
      <c r="G629" s="16"/>
      <c r="H629" s="89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</row>
    <row r="630" ht="15.75" customHeight="1">
      <c r="A630" s="16"/>
      <c r="B630" s="16"/>
      <c r="C630" s="16"/>
      <c r="D630" s="16"/>
      <c r="E630" s="49"/>
      <c r="G630" s="16"/>
      <c r="H630" s="89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</row>
    <row r="631" ht="15.75" customHeight="1">
      <c r="A631" s="16"/>
      <c r="B631" s="16"/>
      <c r="C631" s="16"/>
      <c r="D631" s="16"/>
      <c r="E631" s="49"/>
      <c r="G631" s="16"/>
      <c r="H631" s="89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</row>
    <row r="632" ht="15.75" customHeight="1">
      <c r="A632" s="16"/>
      <c r="B632" s="16"/>
      <c r="C632" s="16"/>
      <c r="D632" s="16"/>
      <c r="E632" s="49"/>
      <c r="G632" s="16"/>
      <c r="H632" s="89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</row>
    <row r="633" ht="15.75" customHeight="1">
      <c r="A633" s="16"/>
      <c r="B633" s="16"/>
      <c r="C633" s="16"/>
      <c r="D633" s="16"/>
      <c r="E633" s="49"/>
      <c r="G633" s="16"/>
      <c r="H633" s="89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</row>
    <row r="634" ht="15.75" customHeight="1">
      <c r="A634" s="16"/>
      <c r="B634" s="16"/>
      <c r="C634" s="16"/>
      <c r="D634" s="16"/>
      <c r="E634" s="49"/>
      <c r="G634" s="16"/>
      <c r="H634" s="89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</row>
    <row r="635" ht="15.75" customHeight="1">
      <c r="A635" s="16"/>
      <c r="B635" s="16"/>
      <c r="C635" s="16"/>
      <c r="D635" s="16"/>
      <c r="E635" s="49"/>
      <c r="G635" s="16"/>
      <c r="H635" s="89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</row>
    <row r="636" ht="15.75" customHeight="1">
      <c r="A636" s="16"/>
      <c r="B636" s="16"/>
      <c r="C636" s="16"/>
      <c r="D636" s="16"/>
      <c r="E636" s="49"/>
      <c r="G636" s="16"/>
      <c r="H636" s="89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</row>
    <row r="637" ht="15.75" customHeight="1">
      <c r="A637" s="16"/>
      <c r="B637" s="16"/>
      <c r="C637" s="16"/>
      <c r="D637" s="16"/>
      <c r="E637" s="49"/>
      <c r="G637" s="16"/>
      <c r="H637" s="89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</row>
    <row r="638" ht="15.75" customHeight="1">
      <c r="A638" s="16"/>
      <c r="B638" s="16"/>
      <c r="C638" s="16"/>
      <c r="D638" s="16"/>
      <c r="E638" s="49"/>
      <c r="G638" s="16"/>
      <c r="H638" s="89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</row>
    <row r="639" ht="15.75" customHeight="1">
      <c r="A639" s="16"/>
      <c r="B639" s="16"/>
      <c r="C639" s="16"/>
      <c r="D639" s="16"/>
      <c r="E639" s="49"/>
      <c r="G639" s="16"/>
      <c r="H639" s="89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</row>
    <row r="640" ht="15.75" customHeight="1">
      <c r="A640" s="16"/>
      <c r="B640" s="16"/>
      <c r="C640" s="16"/>
      <c r="D640" s="16"/>
      <c r="E640" s="49"/>
      <c r="G640" s="16"/>
      <c r="H640" s="89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</row>
    <row r="641" ht="15.75" customHeight="1">
      <c r="A641" s="16"/>
      <c r="B641" s="16"/>
      <c r="C641" s="16"/>
      <c r="D641" s="16"/>
      <c r="E641" s="49"/>
      <c r="G641" s="16"/>
      <c r="H641" s="89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</row>
    <row r="642" ht="15.75" customHeight="1">
      <c r="A642" s="16"/>
      <c r="B642" s="16"/>
      <c r="C642" s="16"/>
      <c r="D642" s="16"/>
      <c r="E642" s="49"/>
      <c r="G642" s="16"/>
      <c r="H642" s="89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</row>
    <row r="643" ht="15.75" customHeight="1">
      <c r="A643" s="16"/>
      <c r="B643" s="16"/>
      <c r="C643" s="16"/>
      <c r="D643" s="16"/>
      <c r="E643" s="49"/>
      <c r="G643" s="16"/>
      <c r="H643" s="89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</row>
    <row r="644" ht="15.75" customHeight="1">
      <c r="A644" s="16"/>
      <c r="B644" s="16"/>
      <c r="C644" s="16"/>
      <c r="D644" s="16"/>
      <c r="E644" s="49"/>
      <c r="G644" s="16"/>
      <c r="H644" s="89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</row>
    <row r="645" ht="15.75" customHeight="1">
      <c r="A645" s="16"/>
      <c r="B645" s="16"/>
      <c r="C645" s="16"/>
      <c r="D645" s="16"/>
      <c r="E645" s="49"/>
      <c r="G645" s="16"/>
      <c r="H645" s="89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</row>
    <row r="646" ht="15.75" customHeight="1">
      <c r="A646" s="16"/>
      <c r="B646" s="16"/>
      <c r="C646" s="16"/>
      <c r="D646" s="16"/>
      <c r="E646" s="49"/>
      <c r="G646" s="16"/>
      <c r="H646" s="89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</row>
    <row r="647" ht="15.75" customHeight="1">
      <c r="A647" s="16"/>
      <c r="B647" s="16"/>
      <c r="C647" s="16"/>
      <c r="D647" s="16"/>
      <c r="E647" s="49"/>
      <c r="G647" s="16"/>
      <c r="H647" s="89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</row>
    <row r="648" ht="15.75" customHeight="1">
      <c r="A648" s="16"/>
      <c r="B648" s="16"/>
      <c r="C648" s="16"/>
      <c r="D648" s="16"/>
      <c r="E648" s="49"/>
      <c r="G648" s="16"/>
      <c r="H648" s="89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</row>
    <row r="649" ht="15.75" customHeight="1">
      <c r="A649" s="16"/>
      <c r="B649" s="16"/>
      <c r="C649" s="16"/>
      <c r="D649" s="16"/>
      <c r="E649" s="49"/>
      <c r="G649" s="16"/>
      <c r="H649" s="89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</row>
    <row r="650" ht="15.75" customHeight="1">
      <c r="A650" s="16"/>
      <c r="B650" s="16"/>
      <c r="C650" s="16"/>
      <c r="D650" s="16"/>
      <c r="E650" s="49"/>
      <c r="G650" s="16"/>
      <c r="H650" s="89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</row>
    <row r="651" ht="15.75" customHeight="1">
      <c r="A651" s="16"/>
      <c r="B651" s="16"/>
      <c r="C651" s="16"/>
      <c r="D651" s="16"/>
      <c r="E651" s="49"/>
      <c r="G651" s="16"/>
      <c r="H651" s="89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</row>
    <row r="652" ht="15.75" customHeight="1">
      <c r="A652" s="16"/>
      <c r="B652" s="16"/>
      <c r="C652" s="16"/>
      <c r="D652" s="16"/>
      <c r="E652" s="49"/>
      <c r="G652" s="16"/>
      <c r="H652" s="89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</row>
    <row r="653" ht="15.75" customHeight="1">
      <c r="A653" s="16"/>
      <c r="B653" s="16"/>
      <c r="C653" s="16"/>
      <c r="D653" s="16"/>
      <c r="E653" s="49"/>
      <c r="G653" s="16"/>
      <c r="H653" s="89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</row>
    <row r="654" ht="15.75" customHeight="1">
      <c r="A654" s="16"/>
      <c r="B654" s="16"/>
      <c r="C654" s="16"/>
      <c r="D654" s="16"/>
      <c r="E654" s="49"/>
      <c r="G654" s="16"/>
      <c r="H654" s="89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</row>
    <row r="655" ht="15.75" customHeight="1">
      <c r="A655" s="16"/>
      <c r="B655" s="16"/>
      <c r="C655" s="16"/>
      <c r="D655" s="16"/>
      <c r="E655" s="49"/>
      <c r="G655" s="16"/>
      <c r="H655" s="89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</row>
    <row r="656" ht="15.75" customHeight="1">
      <c r="A656" s="16"/>
      <c r="B656" s="16"/>
      <c r="C656" s="16"/>
      <c r="D656" s="16"/>
      <c r="E656" s="49"/>
      <c r="G656" s="16"/>
      <c r="H656" s="89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</row>
    <row r="657" ht="15.75" customHeight="1">
      <c r="A657" s="16"/>
      <c r="B657" s="16"/>
      <c r="C657" s="16"/>
      <c r="D657" s="16"/>
      <c r="E657" s="49"/>
      <c r="G657" s="16"/>
      <c r="H657" s="89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</row>
    <row r="658" ht="15.75" customHeight="1">
      <c r="A658" s="16"/>
      <c r="B658" s="16"/>
      <c r="C658" s="16"/>
      <c r="D658" s="16"/>
      <c r="E658" s="49"/>
      <c r="G658" s="16"/>
      <c r="H658" s="89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</row>
    <row r="659" ht="15.75" customHeight="1">
      <c r="A659" s="16"/>
      <c r="B659" s="16"/>
      <c r="C659" s="16"/>
      <c r="D659" s="16"/>
      <c r="E659" s="49"/>
      <c r="G659" s="16"/>
      <c r="H659" s="89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</row>
    <row r="660" ht="15.75" customHeight="1">
      <c r="A660" s="16"/>
      <c r="B660" s="16"/>
      <c r="C660" s="16"/>
      <c r="D660" s="16"/>
      <c r="E660" s="49"/>
      <c r="G660" s="16"/>
      <c r="H660" s="89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</row>
    <row r="661" ht="15.75" customHeight="1">
      <c r="A661" s="16"/>
      <c r="B661" s="16"/>
      <c r="C661" s="16"/>
      <c r="D661" s="16"/>
      <c r="E661" s="49"/>
      <c r="G661" s="16"/>
      <c r="H661" s="89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</row>
    <row r="662" ht="15.75" customHeight="1">
      <c r="A662" s="16"/>
      <c r="B662" s="16"/>
      <c r="C662" s="16"/>
      <c r="D662" s="16"/>
      <c r="E662" s="49"/>
      <c r="G662" s="16"/>
      <c r="H662" s="89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</row>
    <row r="663" ht="15.75" customHeight="1">
      <c r="A663" s="16"/>
      <c r="B663" s="16"/>
      <c r="C663" s="16"/>
      <c r="D663" s="16"/>
      <c r="E663" s="49"/>
      <c r="G663" s="16"/>
      <c r="H663" s="89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</row>
    <row r="664" ht="15.75" customHeight="1">
      <c r="A664" s="16"/>
      <c r="B664" s="16"/>
      <c r="C664" s="16"/>
      <c r="D664" s="16"/>
      <c r="E664" s="49"/>
      <c r="G664" s="16"/>
      <c r="H664" s="89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</row>
    <row r="665" ht="15.75" customHeight="1">
      <c r="A665" s="16"/>
      <c r="B665" s="16"/>
      <c r="C665" s="16"/>
      <c r="D665" s="16"/>
      <c r="E665" s="49"/>
      <c r="G665" s="16"/>
      <c r="H665" s="89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</row>
    <row r="666" ht="15.75" customHeight="1">
      <c r="A666" s="16"/>
      <c r="B666" s="16"/>
      <c r="C666" s="16"/>
      <c r="D666" s="16"/>
      <c r="E666" s="49"/>
      <c r="G666" s="16"/>
      <c r="H666" s="89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</row>
    <row r="667" ht="15.75" customHeight="1">
      <c r="A667" s="16"/>
      <c r="B667" s="16"/>
      <c r="C667" s="16"/>
      <c r="D667" s="16"/>
      <c r="E667" s="49"/>
      <c r="G667" s="16"/>
      <c r="H667" s="89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</row>
    <row r="668" ht="15.75" customHeight="1">
      <c r="A668" s="16"/>
      <c r="B668" s="16"/>
      <c r="C668" s="16"/>
      <c r="D668" s="16"/>
      <c r="E668" s="49"/>
      <c r="G668" s="16"/>
      <c r="H668" s="89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</row>
    <row r="669" ht="15.75" customHeight="1">
      <c r="A669" s="16"/>
      <c r="B669" s="16"/>
      <c r="C669" s="16"/>
      <c r="D669" s="16"/>
      <c r="E669" s="49"/>
      <c r="G669" s="16"/>
      <c r="H669" s="89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</row>
    <row r="670" ht="15.75" customHeight="1">
      <c r="A670" s="16"/>
      <c r="B670" s="16"/>
      <c r="C670" s="16"/>
      <c r="D670" s="16"/>
      <c r="E670" s="49"/>
      <c r="G670" s="16"/>
      <c r="H670" s="89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</row>
    <row r="671" ht="15.75" customHeight="1">
      <c r="A671" s="16"/>
      <c r="B671" s="16"/>
      <c r="C671" s="16"/>
      <c r="D671" s="16"/>
      <c r="E671" s="49"/>
      <c r="G671" s="16"/>
      <c r="H671" s="89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</row>
    <row r="672" ht="15.75" customHeight="1">
      <c r="A672" s="16"/>
      <c r="B672" s="16"/>
      <c r="C672" s="16"/>
      <c r="D672" s="16"/>
      <c r="E672" s="49"/>
      <c r="G672" s="16"/>
      <c r="H672" s="89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</row>
    <row r="673" ht="15.75" customHeight="1">
      <c r="A673" s="16"/>
      <c r="B673" s="16"/>
      <c r="C673" s="16"/>
      <c r="D673" s="16"/>
      <c r="E673" s="49"/>
      <c r="G673" s="16"/>
      <c r="H673" s="89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</row>
    <row r="674" ht="15.75" customHeight="1">
      <c r="A674" s="16"/>
      <c r="B674" s="16"/>
      <c r="C674" s="16"/>
      <c r="D674" s="16"/>
      <c r="E674" s="49"/>
      <c r="G674" s="16"/>
      <c r="H674" s="89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</row>
    <row r="675" ht="15.75" customHeight="1">
      <c r="A675" s="16"/>
      <c r="B675" s="16"/>
      <c r="C675" s="16"/>
      <c r="D675" s="16"/>
      <c r="E675" s="49"/>
      <c r="G675" s="16"/>
      <c r="H675" s="89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</row>
    <row r="676" ht="15.75" customHeight="1">
      <c r="A676" s="16"/>
      <c r="B676" s="16"/>
      <c r="C676" s="16"/>
      <c r="D676" s="16"/>
      <c r="E676" s="49"/>
      <c r="G676" s="16"/>
      <c r="H676" s="89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</row>
    <row r="677" ht="15.75" customHeight="1">
      <c r="A677" s="16"/>
      <c r="B677" s="16"/>
      <c r="C677" s="16"/>
      <c r="D677" s="16"/>
      <c r="E677" s="49"/>
      <c r="G677" s="16"/>
      <c r="H677" s="89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</row>
    <row r="678" ht="15.75" customHeight="1">
      <c r="A678" s="16"/>
      <c r="B678" s="16"/>
      <c r="C678" s="16"/>
      <c r="D678" s="16"/>
      <c r="E678" s="49"/>
      <c r="G678" s="16"/>
      <c r="H678" s="89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</row>
    <row r="679" ht="15.75" customHeight="1">
      <c r="A679" s="16"/>
      <c r="B679" s="16"/>
      <c r="C679" s="16"/>
      <c r="D679" s="16"/>
      <c r="E679" s="49"/>
      <c r="G679" s="16"/>
      <c r="H679" s="89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</row>
    <row r="680" ht="15.75" customHeight="1">
      <c r="A680" s="16"/>
      <c r="B680" s="16"/>
      <c r="C680" s="16"/>
      <c r="D680" s="16"/>
      <c r="E680" s="49"/>
      <c r="G680" s="16"/>
      <c r="H680" s="89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</row>
    <row r="681" ht="15.75" customHeight="1">
      <c r="A681" s="16"/>
      <c r="B681" s="16"/>
      <c r="C681" s="16"/>
      <c r="D681" s="16"/>
      <c r="E681" s="49"/>
      <c r="G681" s="16"/>
      <c r="H681" s="89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</row>
    <row r="682" ht="15.75" customHeight="1">
      <c r="A682" s="16"/>
      <c r="B682" s="16"/>
      <c r="C682" s="16"/>
      <c r="D682" s="16"/>
      <c r="E682" s="49"/>
      <c r="G682" s="16"/>
      <c r="H682" s="89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</row>
    <row r="683" ht="15.75" customHeight="1">
      <c r="A683" s="16"/>
      <c r="B683" s="16"/>
      <c r="C683" s="16"/>
      <c r="D683" s="16"/>
      <c r="E683" s="49"/>
      <c r="G683" s="16"/>
      <c r="H683" s="89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</row>
    <row r="684" ht="15.75" customHeight="1">
      <c r="A684" s="16"/>
      <c r="B684" s="16"/>
      <c r="C684" s="16"/>
      <c r="D684" s="16"/>
      <c r="E684" s="49"/>
      <c r="G684" s="16"/>
      <c r="H684" s="89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</row>
    <row r="685" ht="15.75" customHeight="1">
      <c r="A685" s="16"/>
      <c r="B685" s="16"/>
      <c r="C685" s="16"/>
      <c r="D685" s="16"/>
      <c r="E685" s="49"/>
      <c r="G685" s="16"/>
      <c r="H685" s="89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</row>
    <row r="686" ht="15.75" customHeight="1">
      <c r="A686" s="16"/>
      <c r="B686" s="16"/>
      <c r="C686" s="16"/>
      <c r="D686" s="16"/>
      <c r="E686" s="49"/>
      <c r="G686" s="16"/>
      <c r="H686" s="89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</row>
    <row r="687" ht="15.75" customHeight="1">
      <c r="A687" s="16"/>
      <c r="B687" s="16"/>
      <c r="C687" s="16"/>
      <c r="D687" s="16"/>
      <c r="E687" s="49"/>
      <c r="G687" s="16"/>
      <c r="H687" s="89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</row>
    <row r="688" ht="15.75" customHeight="1">
      <c r="A688" s="16"/>
      <c r="B688" s="16"/>
      <c r="C688" s="16"/>
      <c r="D688" s="16"/>
      <c r="E688" s="49"/>
      <c r="G688" s="16"/>
      <c r="H688" s="89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</row>
    <row r="689" ht="15.75" customHeight="1">
      <c r="A689" s="16"/>
      <c r="B689" s="16"/>
      <c r="C689" s="16"/>
      <c r="D689" s="16"/>
      <c r="E689" s="49"/>
      <c r="G689" s="16"/>
      <c r="H689" s="89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</row>
    <row r="690" ht="15.75" customHeight="1">
      <c r="A690" s="16"/>
      <c r="B690" s="16"/>
      <c r="C690" s="16"/>
      <c r="D690" s="16"/>
      <c r="E690" s="49"/>
      <c r="G690" s="16"/>
      <c r="H690" s="89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</row>
    <row r="691" ht="15.75" customHeight="1">
      <c r="A691" s="16"/>
      <c r="B691" s="16"/>
      <c r="C691" s="16"/>
      <c r="D691" s="16"/>
      <c r="E691" s="49"/>
      <c r="G691" s="16"/>
      <c r="H691" s="89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</row>
    <row r="692" ht="15.75" customHeight="1">
      <c r="A692" s="16"/>
      <c r="B692" s="16"/>
      <c r="C692" s="16"/>
      <c r="D692" s="16"/>
      <c r="E692" s="49"/>
      <c r="G692" s="16"/>
      <c r="H692" s="89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</row>
    <row r="693" ht="15.75" customHeight="1">
      <c r="A693" s="16"/>
      <c r="B693" s="16"/>
      <c r="C693" s="16"/>
      <c r="D693" s="16"/>
      <c r="E693" s="49"/>
      <c r="G693" s="16"/>
      <c r="H693" s="89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</row>
    <row r="694" ht="15.75" customHeight="1">
      <c r="A694" s="16"/>
      <c r="B694" s="16"/>
      <c r="C694" s="16"/>
      <c r="D694" s="16"/>
      <c r="E694" s="49"/>
      <c r="G694" s="16"/>
      <c r="H694" s="89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</row>
    <row r="695" ht="15.75" customHeight="1">
      <c r="A695" s="16"/>
      <c r="B695" s="16"/>
      <c r="C695" s="16"/>
      <c r="D695" s="16"/>
      <c r="E695" s="49"/>
      <c r="G695" s="16"/>
      <c r="H695" s="89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</row>
    <row r="696" ht="15.75" customHeight="1">
      <c r="A696" s="16"/>
      <c r="B696" s="16"/>
      <c r="C696" s="16"/>
      <c r="D696" s="16"/>
      <c r="E696" s="49"/>
      <c r="G696" s="16"/>
      <c r="H696" s="89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</row>
    <row r="697" ht="15.75" customHeight="1">
      <c r="A697" s="16"/>
      <c r="B697" s="16"/>
      <c r="C697" s="16"/>
      <c r="D697" s="16"/>
      <c r="E697" s="49"/>
      <c r="G697" s="16"/>
      <c r="H697" s="89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</row>
    <row r="698" ht="15.75" customHeight="1">
      <c r="A698" s="16"/>
      <c r="B698" s="16"/>
      <c r="C698" s="16"/>
      <c r="D698" s="16"/>
      <c r="E698" s="49"/>
      <c r="G698" s="16"/>
      <c r="H698" s="89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</row>
    <row r="699" ht="15.75" customHeight="1">
      <c r="A699" s="16"/>
      <c r="B699" s="16"/>
      <c r="C699" s="16"/>
      <c r="D699" s="16"/>
      <c r="E699" s="49"/>
      <c r="G699" s="16"/>
      <c r="H699" s="89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</row>
    <row r="700" ht="15.75" customHeight="1">
      <c r="A700" s="16"/>
      <c r="B700" s="16"/>
      <c r="C700" s="16"/>
      <c r="D700" s="16"/>
      <c r="E700" s="49"/>
      <c r="G700" s="16"/>
      <c r="H700" s="89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</row>
    <row r="701" ht="15.75" customHeight="1">
      <c r="A701" s="16"/>
      <c r="B701" s="16"/>
      <c r="C701" s="16"/>
      <c r="D701" s="16"/>
      <c r="E701" s="49"/>
      <c r="G701" s="16"/>
      <c r="H701" s="89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</row>
    <row r="702" ht="15.75" customHeight="1">
      <c r="A702" s="16"/>
      <c r="B702" s="16"/>
      <c r="C702" s="16"/>
      <c r="D702" s="16"/>
      <c r="E702" s="49"/>
      <c r="G702" s="16"/>
      <c r="H702" s="89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</row>
    <row r="703" ht="15.75" customHeight="1">
      <c r="A703" s="16"/>
      <c r="B703" s="16"/>
      <c r="C703" s="16"/>
      <c r="D703" s="16"/>
      <c r="E703" s="49"/>
      <c r="G703" s="16"/>
      <c r="H703" s="89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</row>
    <row r="704" ht="15.75" customHeight="1">
      <c r="A704" s="16"/>
      <c r="B704" s="16"/>
      <c r="C704" s="16"/>
      <c r="D704" s="16"/>
      <c r="E704" s="49"/>
      <c r="G704" s="16"/>
      <c r="H704" s="89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</row>
    <row r="705" ht="15.75" customHeight="1">
      <c r="A705" s="16"/>
      <c r="B705" s="16"/>
      <c r="C705" s="16"/>
      <c r="D705" s="16"/>
      <c r="E705" s="49"/>
      <c r="G705" s="16"/>
      <c r="H705" s="89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</row>
    <row r="706" ht="15.75" customHeight="1">
      <c r="A706" s="16"/>
      <c r="B706" s="16"/>
      <c r="C706" s="16"/>
      <c r="D706" s="16"/>
      <c r="E706" s="49"/>
      <c r="G706" s="16"/>
      <c r="H706" s="89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</row>
    <row r="707" ht="15.75" customHeight="1">
      <c r="A707" s="16"/>
      <c r="B707" s="16"/>
      <c r="C707" s="16"/>
      <c r="D707" s="16"/>
      <c r="E707" s="49"/>
      <c r="G707" s="16"/>
      <c r="H707" s="89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</row>
    <row r="708" ht="15.75" customHeight="1">
      <c r="A708" s="16"/>
      <c r="B708" s="16"/>
      <c r="C708" s="16"/>
      <c r="D708" s="16"/>
      <c r="E708" s="49"/>
      <c r="G708" s="16"/>
      <c r="H708" s="89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</row>
    <row r="709" ht="15.75" customHeight="1">
      <c r="A709" s="16"/>
      <c r="B709" s="16"/>
      <c r="C709" s="16"/>
      <c r="D709" s="16"/>
      <c r="E709" s="49"/>
      <c r="G709" s="16"/>
      <c r="H709" s="89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</row>
    <row r="710" ht="15.75" customHeight="1">
      <c r="A710" s="16"/>
      <c r="B710" s="16"/>
      <c r="C710" s="16"/>
      <c r="D710" s="16"/>
      <c r="E710" s="49"/>
      <c r="G710" s="16"/>
      <c r="H710" s="89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</row>
    <row r="711" ht="15.75" customHeight="1">
      <c r="A711" s="16"/>
      <c r="B711" s="16"/>
      <c r="C711" s="16"/>
      <c r="D711" s="16"/>
      <c r="E711" s="49"/>
      <c r="G711" s="16"/>
      <c r="H711" s="89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</row>
    <row r="712" ht="15.75" customHeight="1">
      <c r="A712" s="16"/>
      <c r="B712" s="16"/>
      <c r="C712" s="16"/>
      <c r="D712" s="16"/>
      <c r="E712" s="49"/>
      <c r="G712" s="16"/>
      <c r="H712" s="89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</row>
    <row r="713" ht="15.75" customHeight="1">
      <c r="A713" s="16"/>
      <c r="B713" s="16"/>
      <c r="C713" s="16"/>
      <c r="D713" s="16"/>
      <c r="E713" s="49"/>
      <c r="G713" s="16"/>
      <c r="H713" s="89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</row>
    <row r="714" ht="15.75" customHeight="1">
      <c r="A714" s="16"/>
      <c r="B714" s="16"/>
      <c r="C714" s="16"/>
      <c r="D714" s="16"/>
      <c r="E714" s="49"/>
      <c r="G714" s="16"/>
      <c r="H714" s="89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</row>
    <row r="715" ht="15.75" customHeight="1">
      <c r="A715" s="16"/>
      <c r="B715" s="16"/>
      <c r="C715" s="16"/>
      <c r="D715" s="16"/>
      <c r="E715" s="49"/>
      <c r="G715" s="16"/>
      <c r="H715" s="89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</row>
    <row r="716" ht="15.75" customHeight="1">
      <c r="A716" s="16"/>
      <c r="B716" s="16"/>
      <c r="C716" s="16"/>
      <c r="D716" s="16"/>
      <c r="E716" s="49"/>
      <c r="G716" s="16"/>
      <c r="H716" s="89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</row>
    <row r="717" ht="15.75" customHeight="1">
      <c r="A717" s="16"/>
      <c r="B717" s="16"/>
      <c r="C717" s="16"/>
      <c r="D717" s="16"/>
      <c r="E717" s="49"/>
      <c r="G717" s="16"/>
      <c r="H717" s="89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</row>
    <row r="718" ht="15.75" customHeight="1">
      <c r="A718" s="16"/>
      <c r="B718" s="16"/>
      <c r="C718" s="16"/>
      <c r="D718" s="16"/>
      <c r="E718" s="49"/>
      <c r="G718" s="16"/>
      <c r="H718" s="89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</row>
    <row r="719" ht="15.75" customHeight="1">
      <c r="A719" s="16"/>
      <c r="B719" s="16"/>
      <c r="C719" s="16"/>
      <c r="D719" s="16"/>
      <c r="E719" s="49"/>
      <c r="G719" s="16"/>
      <c r="H719" s="89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</row>
    <row r="720" ht="15.75" customHeight="1">
      <c r="A720" s="16"/>
      <c r="B720" s="16"/>
      <c r="C720" s="16"/>
      <c r="D720" s="16"/>
      <c r="E720" s="49"/>
      <c r="G720" s="16"/>
      <c r="H720" s="89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</row>
    <row r="721" ht="15.75" customHeight="1">
      <c r="A721" s="16"/>
      <c r="B721" s="16"/>
      <c r="C721" s="16"/>
      <c r="D721" s="16"/>
      <c r="E721" s="49"/>
      <c r="G721" s="16"/>
      <c r="H721" s="89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</row>
    <row r="722" ht="15.75" customHeight="1">
      <c r="A722" s="16"/>
      <c r="B722" s="16"/>
      <c r="C722" s="16"/>
      <c r="D722" s="16"/>
      <c r="E722" s="49"/>
      <c r="G722" s="16"/>
      <c r="H722" s="89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</row>
    <row r="723" ht="15.75" customHeight="1">
      <c r="A723" s="16"/>
      <c r="B723" s="16"/>
      <c r="C723" s="16"/>
      <c r="D723" s="16"/>
      <c r="E723" s="49"/>
      <c r="G723" s="16"/>
      <c r="H723" s="89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</row>
    <row r="724" ht="15.75" customHeight="1">
      <c r="A724" s="16"/>
      <c r="B724" s="16"/>
      <c r="C724" s="16"/>
      <c r="D724" s="16"/>
      <c r="E724" s="49"/>
      <c r="G724" s="16"/>
      <c r="H724" s="89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</row>
    <row r="725" ht="15.75" customHeight="1">
      <c r="A725" s="16"/>
      <c r="B725" s="16"/>
      <c r="C725" s="16"/>
      <c r="D725" s="16"/>
      <c r="E725" s="49"/>
      <c r="G725" s="16"/>
      <c r="H725" s="89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</row>
    <row r="726" ht="15.75" customHeight="1">
      <c r="A726" s="16"/>
      <c r="B726" s="16"/>
      <c r="C726" s="16"/>
      <c r="D726" s="16"/>
      <c r="E726" s="49"/>
      <c r="G726" s="16"/>
      <c r="H726" s="89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</row>
    <row r="727" ht="15.75" customHeight="1">
      <c r="A727" s="16"/>
      <c r="B727" s="16"/>
      <c r="C727" s="16"/>
      <c r="D727" s="16"/>
      <c r="E727" s="49"/>
      <c r="G727" s="16"/>
      <c r="H727" s="89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</row>
    <row r="728" ht="15.75" customHeight="1">
      <c r="A728" s="16"/>
      <c r="B728" s="16"/>
      <c r="C728" s="16"/>
      <c r="D728" s="16"/>
      <c r="E728" s="49"/>
      <c r="G728" s="16"/>
      <c r="H728" s="89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</row>
    <row r="729" ht="15.75" customHeight="1">
      <c r="A729" s="16"/>
      <c r="B729" s="16"/>
      <c r="C729" s="16"/>
      <c r="D729" s="16"/>
      <c r="E729" s="49"/>
      <c r="G729" s="16"/>
      <c r="H729" s="89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</row>
    <row r="730" ht="15.75" customHeight="1">
      <c r="A730" s="16"/>
      <c r="B730" s="16"/>
      <c r="C730" s="16"/>
      <c r="D730" s="16"/>
      <c r="E730" s="49"/>
      <c r="G730" s="16"/>
      <c r="H730" s="89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</row>
    <row r="731" ht="15.75" customHeight="1">
      <c r="A731" s="16"/>
      <c r="B731" s="16"/>
      <c r="C731" s="16"/>
      <c r="D731" s="16"/>
      <c r="E731" s="49"/>
      <c r="G731" s="16"/>
      <c r="H731" s="89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</row>
    <row r="732" ht="15.75" customHeight="1">
      <c r="A732" s="16"/>
      <c r="B732" s="16"/>
      <c r="C732" s="16"/>
      <c r="D732" s="16"/>
      <c r="E732" s="49"/>
      <c r="G732" s="16"/>
      <c r="H732" s="89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</row>
    <row r="733" ht="15.75" customHeight="1">
      <c r="A733" s="16"/>
      <c r="B733" s="16"/>
      <c r="C733" s="16"/>
      <c r="D733" s="16"/>
      <c r="E733" s="49"/>
      <c r="G733" s="16"/>
      <c r="H733" s="89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</row>
    <row r="734" ht="15.75" customHeight="1">
      <c r="A734" s="16"/>
      <c r="B734" s="16"/>
      <c r="C734" s="16"/>
      <c r="D734" s="16"/>
      <c r="E734" s="49"/>
      <c r="G734" s="16"/>
      <c r="H734" s="89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</row>
    <row r="735" ht="15.75" customHeight="1">
      <c r="A735" s="16"/>
      <c r="B735" s="16"/>
      <c r="C735" s="16"/>
      <c r="D735" s="16"/>
      <c r="E735" s="49"/>
      <c r="G735" s="16"/>
      <c r="H735" s="89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</row>
    <row r="736" ht="15.75" customHeight="1">
      <c r="A736" s="16"/>
      <c r="B736" s="16"/>
      <c r="C736" s="16"/>
      <c r="D736" s="16"/>
      <c r="E736" s="49"/>
      <c r="G736" s="16"/>
      <c r="H736" s="89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</row>
    <row r="737" ht="15.75" customHeight="1">
      <c r="A737" s="16"/>
      <c r="B737" s="16"/>
      <c r="C737" s="16"/>
      <c r="D737" s="16"/>
      <c r="E737" s="49"/>
      <c r="G737" s="16"/>
      <c r="H737" s="89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</row>
    <row r="738" ht="15.75" customHeight="1">
      <c r="A738" s="16"/>
      <c r="B738" s="16"/>
      <c r="C738" s="16"/>
      <c r="D738" s="16"/>
      <c r="E738" s="49"/>
      <c r="G738" s="16"/>
      <c r="H738" s="89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</row>
    <row r="739" ht="15.75" customHeight="1">
      <c r="A739" s="16"/>
      <c r="B739" s="16"/>
      <c r="C739" s="16"/>
      <c r="D739" s="16"/>
      <c r="E739" s="49"/>
      <c r="G739" s="16"/>
      <c r="H739" s="89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</row>
    <row r="740" ht="15.75" customHeight="1">
      <c r="A740" s="16"/>
      <c r="B740" s="16"/>
      <c r="C740" s="16"/>
      <c r="D740" s="16"/>
      <c r="E740" s="49"/>
      <c r="G740" s="16"/>
      <c r="H740" s="89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</row>
    <row r="741" ht="15.75" customHeight="1">
      <c r="A741" s="16"/>
      <c r="B741" s="16"/>
      <c r="C741" s="16"/>
      <c r="D741" s="16"/>
      <c r="E741" s="49"/>
      <c r="G741" s="16"/>
      <c r="H741" s="89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</row>
    <row r="742" ht="15.75" customHeight="1">
      <c r="A742" s="16"/>
      <c r="B742" s="16"/>
      <c r="C742" s="16"/>
      <c r="D742" s="16"/>
      <c r="E742" s="49"/>
      <c r="G742" s="16"/>
      <c r="H742" s="89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</row>
    <row r="743" ht="15.75" customHeight="1">
      <c r="A743" s="16"/>
      <c r="B743" s="16"/>
      <c r="C743" s="16"/>
      <c r="D743" s="16"/>
      <c r="E743" s="49"/>
      <c r="G743" s="16"/>
      <c r="H743" s="89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</row>
    <row r="744" ht="15.75" customHeight="1">
      <c r="A744" s="16"/>
      <c r="B744" s="16"/>
      <c r="C744" s="16"/>
      <c r="D744" s="16"/>
      <c r="E744" s="49"/>
      <c r="G744" s="16"/>
      <c r="H744" s="89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</row>
    <row r="745" ht="15.75" customHeight="1">
      <c r="A745" s="16"/>
      <c r="B745" s="16"/>
      <c r="C745" s="16"/>
      <c r="D745" s="16"/>
      <c r="E745" s="49"/>
      <c r="G745" s="16"/>
      <c r="H745" s="89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</row>
    <row r="746" ht="15.75" customHeight="1">
      <c r="A746" s="16"/>
      <c r="B746" s="16"/>
      <c r="C746" s="16"/>
      <c r="D746" s="16"/>
      <c r="E746" s="49"/>
      <c r="G746" s="16"/>
      <c r="H746" s="89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</row>
    <row r="747" ht="15.75" customHeight="1">
      <c r="A747" s="16"/>
      <c r="B747" s="16"/>
      <c r="C747" s="16"/>
      <c r="D747" s="16"/>
      <c r="E747" s="49"/>
      <c r="G747" s="16"/>
      <c r="H747" s="89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</row>
    <row r="748" ht="15.75" customHeight="1">
      <c r="A748" s="16"/>
      <c r="B748" s="16"/>
      <c r="C748" s="16"/>
      <c r="D748" s="16"/>
      <c r="E748" s="49"/>
      <c r="G748" s="16"/>
      <c r="H748" s="89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</row>
    <row r="749" ht="15.75" customHeight="1">
      <c r="A749" s="16"/>
      <c r="B749" s="16"/>
      <c r="C749" s="16"/>
      <c r="D749" s="16"/>
      <c r="E749" s="49"/>
      <c r="G749" s="16"/>
      <c r="H749" s="89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</row>
    <row r="750" ht="15.75" customHeight="1">
      <c r="A750" s="16"/>
      <c r="B750" s="16"/>
      <c r="C750" s="16"/>
      <c r="D750" s="16"/>
      <c r="E750" s="49"/>
      <c r="G750" s="16"/>
      <c r="H750" s="89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</row>
    <row r="751" ht="15.75" customHeight="1">
      <c r="A751" s="16"/>
      <c r="B751" s="16"/>
      <c r="C751" s="16"/>
      <c r="D751" s="16"/>
      <c r="E751" s="49"/>
      <c r="G751" s="16"/>
      <c r="H751" s="89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</row>
    <row r="752" ht="15.75" customHeight="1">
      <c r="A752" s="16"/>
      <c r="B752" s="16"/>
      <c r="C752" s="16"/>
      <c r="D752" s="16"/>
      <c r="E752" s="49"/>
      <c r="G752" s="16"/>
      <c r="H752" s="89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</row>
    <row r="753" ht="15.75" customHeight="1">
      <c r="A753" s="16"/>
      <c r="B753" s="16"/>
      <c r="C753" s="16"/>
      <c r="D753" s="16"/>
      <c r="E753" s="49"/>
      <c r="G753" s="16"/>
      <c r="H753" s="89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</row>
    <row r="754" ht="15.75" customHeight="1">
      <c r="A754" s="16"/>
      <c r="B754" s="16"/>
      <c r="C754" s="16"/>
      <c r="D754" s="16"/>
      <c r="E754" s="49"/>
      <c r="G754" s="16"/>
      <c r="H754" s="89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</row>
    <row r="755" ht="15.75" customHeight="1">
      <c r="A755" s="16"/>
      <c r="B755" s="16"/>
      <c r="C755" s="16"/>
      <c r="D755" s="16"/>
      <c r="E755" s="49"/>
      <c r="G755" s="16"/>
      <c r="H755" s="89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</row>
    <row r="756" ht="15.75" customHeight="1">
      <c r="A756" s="16"/>
      <c r="B756" s="16"/>
      <c r="C756" s="16"/>
      <c r="D756" s="16"/>
      <c r="E756" s="49"/>
      <c r="G756" s="16"/>
      <c r="H756" s="89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</row>
    <row r="757" ht="15.75" customHeight="1">
      <c r="A757" s="16"/>
      <c r="B757" s="16"/>
      <c r="C757" s="16"/>
      <c r="D757" s="16"/>
      <c r="E757" s="49"/>
      <c r="G757" s="16"/>
      <c r="H757" s="89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</row>
    <row r="758" ht="15.75" customHeight="1">
      <c r="A758" s="16"/>
      <c r="B758" s="16"/>
      <c r="C758" s="16"/>
      <c r="D758" s="16"/>
      <c r="E758" s="49"/>
      <c r="G758" s="16"/>
      <c r="H758" s="89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</row>
    <row r="759" ht="15.75" customHeight="1">
      <c r="A759" s="16"/>
      <c r="B759" s="16"/>
      <c r="C759" s="16"/>
      <c r="D759" s="16"/>
      <c r="E759" s="49"/>
      <c r="G759" s="16"/>
      <c r="H759" s="89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</row>
    <row r="760" ht="15.75" customHeight="1">
      <c r="A760" s="16"/>
      <c r="B760" s="16"/>
      <c r="C760" s="16"/>
      <c r="D760" s="16"/>
      <c r="E760" s="49"/>
      <c r="G760" s="16"/>
      <c r="H760" s="89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</row>
    <row r="761" ht="15.75" customHeight="1">
      <c r="A761" s="16"/>
      <c r="B761" s="16"/>
      <c r="C761" s="16"/>
      <c r="D761" s="16"/>
      <c r="E761" s="49"/>
      <c r="G761" s="16"/>
      <c r="H761" s="89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</row>
    <row r="762" ht="15.75" customHeight="1">
      <c r="A762" s="16"/>
      <c r="B762" s="16"/>
      <c r="C762" s="16"/>
      <c r="D762" s="16"/>
      <c r="E762" s="49"/>
      <c r="G762" s="16"/>
      <c r="H762" s="89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</row>
    <row r="763" ht="15.75" customHeight="1">
      <c r="A763" s="16"/>
      <c r="B763" s="16"/>
      <c r="C763" s="16"/>
      <c r="D763" s="16"/>
      <c r="E763" s="49"/>
      <c r="G763" s="16"/>
      <c r="H763" s="89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</row>
    <row r="764" ht="15.75" customHeight="1">
      <c r="A764" s="16"/>
      <c r="B764" s="16"/>
      <c r="C764" s="16"/>
      <c r="D764" s="16"/>
      <c r="E764" s="49"/>
      <c r="G764" s="16"/>
      <c r="H764" s="89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</row>
    <row r="765" ht="15.75" customHeight="1">
      <c r="A765" s="16"/>
      <c r="B765" s="16"/>
      <c r="C765" s="16"/>
      <c r="D765" s="16"/>
      <c r="E765" s="49"/>
      <c r="G765" s="16"/>
      <c r="H765" s="89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</row>
    <row r="766" ht="15.75" customHeight="1">
      <c r="A766" s="16"/>
      <c r="B766" s="16"/>
      <c r="C766" s="16"/>
      <c r="D766" s="16"/>
      <c r="E766" s="49"/>
      <c r="G766" s="16"/>
      <c r="H766" s="89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</row>
    <row r="767" ht="15.75" customHeight="1">
      <c r="A767" s="16"/>
      <c r="B767" s="16"/>
      <c r="C767" s="16"/>
      <c r="D767" s="16"/>
      <c r="E767" s="49"/>
      <c r="G767" s="16"/>
      <c r="H767" s="89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</row>
    <row r="768" ht="15.75" customHeight="1">
      <c r="A768" s="16"/>
      <c r="B768" s="16"/>
      <c r="C768" s="16"/>
      <c r="D768" s="16"/>
      <c r="E768" s="49"/>
      <c r="G768" s="16"/>
      <c r="H768" s="89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</row>
    <row r="769" ht="15.75" customHeight="1">
      <c r="A769" s="16"/>
      <c r="B769" s="16"/>
      <c r="C769" s="16"/>
      <c r="D769" s="16"/>
      <c r="E769" s="49"/>
      <c r="G769" s="16"/>
      <c r="H769" s="89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</row>
    <row r="770" ht="15.75" customHeight="1">
      <c r="A770" s="16"/>
      <c r="B770" s="16"/>
      <c r="C770" s="16"/>
      <c r="D770" s="16"/>
      <c r="E770" s="49"/>
      <c r="G770" s="16"/>
      <c r="H770" s="89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</row>
    <row r="771" ht="15.75" customHeight="1">
      <c r="A771" s="16"/>
      <c r="B771" s="16"/>
      <c r="C771" s="16"/>
      <c r="D771" s="16"/>
      <c r="E771" s="49"/>
      <c r="G771" s="16"/>
      <c r="H771" s="89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</row>
    <row r="772" ht="15.75" customHeight="1">
      <c r="A772" s="16"/>
      <c r="B772" s="16"/>
      <c r="C772" s="16"/>
      <c r="D772" s="16"/>
      <c r="E772" s="49"/>
      <c r="G772" s="16"/>
      <c r="H772" s="89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</row>
    <row r="773" ht="15.75" customHeight="1">
      <c r="A773" s="16"/>
      <c r="B773" s="16"/>
      <c r="C773" s="16"/>
      <c r="D773" s="16"/>
      <c r="E773" s="49"/>
      <c r="G773" s="16"/>
      <c r="H773" s="89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</row>
    <row r="774" ht="15.75" customHeight="1">
      <c r="A774" s="16"/>
      <c r="B774" s="16"/>
      <c r="C774" s="16"/>
      <c r="D774" s="16"/>
      <c r="E774" s="49"/>
      <c r="G774" s="16"/>
      <c r="H774" s="89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</row>
    <row r="775" ht="15.75" customHeight="1">
      <c r="A775" s="16"/>
      <c r="B775" s="16"/>
      <c r="C775" s="16"/>
      <c r="D775" s="16"/>
      <c r="E775" s="49"/>
      <c r="G775" s="16"/>
      <c r="H775" s="89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</row>
    <row r="776" ht="15.75" customHeight="1">
      <c r="A776" s="16"/>
      <c r="B776" s="16"/>
      <c r="C776" s="16"/>
      <c r="D776" s="16"/>
      <c r="E776" s="49"/>
      <c r="G776" s="16"/>
      <c r="H776" s="89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</row>
    <row r="777" ht="15.75" customHeight="1">
      <c r="A777" s="16"/>
      <c r="B777" s="16"/>
      <c r="C777" s="16"/>
      <c r="D777" s="16"/>
      <c r="E777" s="49"/>
      <c r="G777" s="16"/>
      <c r="H777" s="89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</row>
    <row r="778" ht="15.75" customHeight="1">
      <c r="A778" s="16"/>
      <c r="B778" s="16"/>
      <c r="C778" s="16"/>
      <c r="D778" s="16"/>
      <c r="E778" s="49"/>
      <c r="G778" s="16"/>
      <c r="H778" s="89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</row>
    <row r="779" ht="15.75" customHeight="1">
      <c r="A779" s="16"/>
      <c r="B779" s="16"/>
      <c r="C779" s="16"/>
      <c r="D779" s="16"/>
      <c r="E779" s="49"/>
      <c r="G779" s="16"/>
      <c r="H779" s="89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</row>
    <row r="780" ht="15.75" customHeight="1">
      <c r="A780" s="16"/>
      <c r="B780" s="16"/>
      <c r="C780" s="16"/>
      <c r="D780" s="16"/>
      <c r="E780" s="49"/>
      <c r="G780" s="16"/>
      <c r="H780" s="89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</row>
    <row r="781" ht="15.75" customHeight="1">
      <c r="A781" s="16"/>
      <c r="B781" s="16"/>
      <c r="C781" s="16"/>
      <c r="D781" s="16"/>
      <c r="E781" s="49"/>
      <c r="G781" s="16"/>
      <c r="H781" s="89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</row>
    <row r="782" ht="15.75" customHeight="1">
      <c r="A782" s="16"/>
      <c r="B782" s="16"/>
      <c r="C782" s="16"/>
      <c r="D782" s="16"/>
      <c r="E782" s="49"/>
      <c r="G782" s="16"/>
      <c r="H782" s="89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</row>
    <row r="783" ht="15.75" customHeight="1">
      <c r="A783" s="16"/>
      <c r="B783" s="16"/>
      <c r="C783" s="16"/>
      <c r="D783" s="16"/>
      <c r="E783" s="49"/>
      <c r="G783" s="16"/>
      <c r="H783" s="89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</row>
    <row r="784" ht="15.75" customHeight="1">
      <c r="A784" s="16"/>
      <c r="B784" s="16"/>
      <c r="C784" s="16"/>
      <c r="D784" s="16"/>
      <c r="E784" s="49"/>
      <c r="G784" s="16"/>
      <c r="H784" s="89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</row>
    <row r="785" ht="15.75" customHeight="1">
      <c r="A785" s="16"/>
      <c r="B785" s="16"/>
      <c r="C785" s="16"/>
      <c r="D785" s="16"/>
      <c r="E785" s="49"/>
      <c r="G785" s="16"/>
      <c r="H785" s="89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</row>
    <row r="786" ht="15.75" customHeight="1">
      <c r="A786" s="16"/>
      <c r="B786" s="16"/>
      <c r="C786" s="16"/>
      <c r="D786" s="16"/>
      <c r="E786" s="49"/>
      <c r="G786" s="16"/>
      <c r="H786" s="89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</row>
    <row r="787" ht="15.75" customHeight="1">
      <c r="A787" s="16"/>
      <c r="B787" s="16"/>
      <c r="C787" s="16"/>
      <c r="D787" s="16"/>
      <c r="E787" s="49"/>
      <c r="G787" s="16"/>
      <c r="H787" s="89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</row>
    <row r="788" ht="15.75" customHeight="1">
      <c r="A788" s="16"/>
      <c r="B788" s="16"/>
      <c r="C788" s="16"/>
      <c r="D788" s="16"/>
      <c r="E788" s="49"/>
      <c r="G788" s="16"/>
      <c r="H788" s="89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</row>
    <row r="789" ht="15.75" customHeight="1">
      <c r="A789" s="16"/>
      <c r="B789" s="16"/>
      <c r="C789" s="16"/>
      <c r="D789" s="16"/>
      <c r="E789" s="49"/>
      <c r="G789" s="16"/>
      <c r="H789" s="89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</row>
    <row r="790" ht="15.75" customHeight="1">
      <c r="A790" s="16"/>
      <c r="B790" s="16"/>
      <c r="C790" s="16"/>
      <c r="D790" s="16"/>
      <c r="E790" s="49"/>
      <c r="G790" s="16"/>
      <c r="H790" s="89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</row>
    <row r="791" ht="15.75" customHeight="1">
      <c r="A791" s="16"/>
      <c r="B791" s="16"/>
      <c r="C791" s="16"/>
      <c r="D791" s="16"/>
      <c r="E791" s="49"/>
      <c r="G791" s="16"/>
      <c r="H791" s="89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</row>
    <row r="792" ht="15.75" customHeight="1">
      <c r="A792" s="16"/>
      <c r="B792" s="16"/>
      <c r="C792" s="16"/>
      <c r="D792" s="16"/>
      <c r="E792" s="49"/>
      <c r="G792" s="16"/>
      <c r="H792" s="89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</row>
    <row r="793" ht="15.75" customHeight="1">
      <c r="A793" s="16"/>
      <c r="B793" s="16"/>
      <c r="C793" s="16"/>
      <c r="D793" s="16"/>
      <c r="E793" s="49"/>
      <c r="G793" s="16"/>
      <c r="H793" s="89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</row>
    <row r="794" ht="15.75" customHeight="1">
      <c r="A794" s="16"/>
      <c r="B794" s="16"/>
      <c r="C794" s="16"/>
      <c r="D794" s="16"/>
      <c r="E794" s="49"/>
      <c r="G794" s="16"/>
      <c r="H794" s="89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</row>
    <row r="795" ht="15.75" customHeight="1">
      <c r="A795" s="16"/>
      <c r="B795" s="16"/>
      <c r="C795" s="16"/>
      <c r="D795" s="16"/>
      <c r="E795" s="49"/>
      <c r="G795" s="16"/>
      <c r="H795" s="89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</row>
    <row r="796" ht="15.75" customHeight="1">
      <c r="A796" s="16"/>
      <c r="B796" s="16"/>
      <c r="C796" s="16"/>
      <c r="D796" s="16"/>
      <c r="E796" s="49"/>
      <c r="G796" s="16"/>
      <c r="H796" s="89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</row>
    <row r="797" ht="15.75" customHeight="1">
      <c r="A797" s="16"/>
      <c r="B797" s="16"/>
      <c r="C797" s="16"/>
      <c r="D797" s="16"/>
      <c r="E797" s="49"/>
      <c r="G797" s="16"/>
      <c r="H797" s="89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</row>
    <row r="798" ht="15.75" customHeight="1">
      <c r="A798" s="16"/>
      <c r="B798" s="16"/>
      <c r="C798" s="16"/>
      <c r="D798" s="16"/>
      <c r="E798" s="49"/>
      <c r="G798" s="16"/>
      <c r="H798" s="89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</row>
    <row r="799" ht="15.75" customHeight="1">
      <c r="A799" s="16"/>
      <c r="B799" s="16"/>
      <c r="C799" s="16"/>
      <c r="D799" s="16"/>
      <c r="E799" s="49"/>
      <c r="G799" s="16"/>
      <c r="H799" s="89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</row>
    <row r="800" ht="15.75" customHeight="1">
      <c r="A800" s="16"/>
      <c r="B800" s="16"/>
      <c r="C800" s="16"/>
      <c r="D800" s="16"/>
      <c r="E800" s="49"/>
      <c r="G800" s="16"/>
      <c r="H800" s="89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</row>
    <row r="801" ht="15.75" customHeight="1">
      <c r="A801" s="16"/>
      <c r="B801" s="16"/>
      <c r="C801" s="16"/>
      <c r="D801" s="16"/>
      <c r="E801" s="49"/>
      <c r="G801" s="16"/>
      <c r="H801" s="89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</row>
    <row r="802" ht="15.75" customHeight="1">
      <c r="A802" s="16"/>
      <c r="B802" s="16"/>
      <c r="C802" s="16"/>
      <c r="D802" s="16"/>
      <c r="E802" s="49"/>
      <c r="G802" s="16"/>
      <c r="H802" s="89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</row>
    <row r="803" ht="15.75" customHeight="1">
      <c r="A803" s="16"/>
      <c r="B803" s="16"/>
      <c r="C803" s="16"/>
      <c r="D803" s="16"/>
      <c r="E803" s="49"/>
      <c r="G803" s="16"/>
      <c r="H803" s="89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</row>
    <row r="804" ht="15.75" customHeight="1">
      <c r="A804" s="16"/>
      <c r="B804" s="16"/>
      <c r="C804" s="16"/>
      <c r="D804" s="16"/>
      <c r="E804" s="49"/>
      <c r="G804" s="16"/>
      <c r="H804" s="89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</row>
    <row r="805" ht="15.75" customHeight="1">
      <c r="A805" s="16"/>
      <c r="B805" s="16"/>
      <c r="C805" s="16"/>
      <c r="D805" s="16"/>
      <c r="E805" s="49"/>
      <c r="G805" s="16"/>
      <c r="H805" s="89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</row>
    <row r="806" ht="15.75" customHeight="1">
      <c r="A806" s="16"/>
      <c r="B806" s="16"/>
      <c r="C806" s="16"/>
      <c r="D806" s="16"/>
      <c r="E806" s="49"/>
      <c r="G806" s="16"/>
      <c r="H806" s="89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</row>
    <row r="807" ht="15.75" customHeight="1">
      <c r="A807" s="16"/>
      <c r="B807" s="16"/>
      <c r="C807" s="16"/>
      <c r="D807" s="16"/>
      <c r="E807" s="49"/>
      <c r="G807" s="16"/>
      <c r="H807" s="89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</row>
    <row r="808" ht="15.75" customHeight="1">
      <c r="A808" s="16"/>
      <c r="B808" s="16"/>
      <c r="C808" s="16"/>
      <c r="D808" s="16"/>
      <c r="E808" s="49"/>
      <c r="G808" s="16"/>
      <c r="H808" s="89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</row>
    <row r="809" ht="15.75" customHeight="1">
      <c r="A809" s="16"/>
      <c r="B809" s="16"/>
      <c r="C809" s="16"/>
      <c r="D809" s="16"/>
      <c r="E809" s="49"/>
      <c r="G809" s="16"/>
      <c r="H809" s="89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</row>
    <row r="810" ht="15.75" customHeight="1">
      <c r="A810" s="16"/>
      <c r="B810" s="16"/>
      <c r="C810" s="16"/>
      <c r="D810" s="16"/>
      <c r="E810" s="49"/>
      <c r="G810" s="16"/>
      <c r="H810" s="89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</row>
    <row r="811" ht="15.75" customHeight="1">
      <c r="A811" s="16"/>
      <c r="B811" s="16"/>
      <c r="C811" s="16"/>
      <c r="D811" s="16"/>
      <c r="E811" s="49"/>
      <c r="G811" s="16"/>
      <c r="H811" s="89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</row>
    <row r="812" ht="15.75" customHeight="1">
      <c r="A812" s="16"/>
      <c r="B812" s="16"/>
      <c r="C812" s="16"/>
      <c r="D812" s="16"/>
      <c r="E812" s="49"/>
      <c r="G812" s="16"/>
      <c r="H812" s="89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</row>
    <row r="813" ht="15.75" customHeight="1">
      <c r="A813" s="16"/>
      <c r="B813" s="16"/>
      <c r="C813" s="16"/>
      <c r="D813" s="16"/>
      <c r="E813" s="49"/>
      <c r="G813" s="16"/>
      <c r="H813" s="89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</row>
    <row r="814" ht="15.75" customHeight="1">
      <c r="A814" s="16"/>
      <c r="B814" s="16"/>
      <c r="C814" s="16"/>
      <c r="D814" s="16"/>
      <c r="E814" s="49"/>
      <c r="G814" s="16"/>
      <c r="H814" s="89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</row>
    <row r="815" ht="15.75" customHeight="1">
      <c r="A815" s="16"/>
      <c r="B815" s="16"/>
      <c r="C815" s="16"/>
      <c r="D815" s="16"/>
      <c r="E815" s="49"/>
      <c r="G815" s="16"/>
      <c r="H815" s="89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</row>
    <row r="816" ht="15.75" customHeight="1">
      <c r="A816" s="16"/>
      <c r="B816" s="16"/>
      <c r="C816" s="16"/>
      <c r="D816" s="16"/>
      <c r="E816" s="49"/>
      <c r="G816" s="16"/>
      <c r="H816" s="89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</row>
    <row r="817" ht="15.75" customHeight="1">
      <c r="A817" s="16"/>
      <c r="B817" s="16"/>
      <c r="C817" s="16"/>
      <c r="D817" s="16"/>
      <c r="E817" s="49"/>
      <c r="G817" s="16"/>
      <c r="H817" s="89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</row>
    <row r="818" ht="15.75" customHeight="1">
      <c r="A818" s="16"/>
      <c r="B818" s="16"/>
      <c r="C818" s="16"/>
      <c r="D818" s="16"/>
      <c r="E818" s="49"/>
      <c r="G818" s="16"/>
      <c r="H818" s="89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</row>
    <row r="819" ht="15.75" customHeight="1">
      <c r="A819" s="16"/>
      <c r="B819" s="16"/>
      <c r="C819" s="16"/>
      <c r="D819" s="16"/>
      <c r="E819" s="49"/>
      <c r="G819" s="16"/>
      <c r="H819" s="89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</row>
    <row r="820" ht="15.75" customHeight="1">
      <c r="A820" s="16"/>
      <c r="B820" s="16"/>
      <c r="C820" s="16"/>
      <c r="D820" s="16"/>
      <c r="E820" s="49"/>
      <c r="G820" s="16"/>
      <c r="H820" s="89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</row>
    <row r="821" ht="15.75" customHeight="1">
      <c r="A821" s="16"/>
      <c r="B821" s="16"/>
      <c r="C821" s="16"/>
      <c r="D821" s="16"/>
      <c r="E821" s="49"/>
      <c r="G821" s="16"/>
      <c r="H821" s="89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</row>
    <row r="822" ht="15.75" customHeight="1">
      <c r="A822" s="16"/>
      <c r="B822" s="16"/>
      <c r="C822" s="16"/>
      <c r="D822" s="16"/>
      <c r="E822" s="49"/>
      <c r="G822" s="16"/>
      <c r="H822" s="89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</row>
    <row r="823" ht="15.75" customHeight="1">
      <c r="A823" s="16"/>
      <c r="B823" s="16"/>
      <c r="C823" s="16"/>
      <c r="D823" s="16"/>
      <c r="E823" s="49"/>
      <c r="G823" s="16"/>
      <c r="H823" s="89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</row>
    <row r="824" ht="15.75" customHeight="1">
      <c r="A824" s="16"/>
      <c r="B824" s="16"/>
      <c r="C824" s="16"/>
      <c r="D824" s="16"/>
      <c r="E824" s="49"/>
      <c r="G824" s="16"/>
      <c r="H824" s="89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</row>
    <row r="825" ht="15.75" customHeight="1">
      <c r="A825" s="16"/>
      <c r="B825" s="16"/>
      <c r="C825" s="16"/>
      <c r="D825" s="16"/>
      <c r="E825" s="49"/>
      <c r="G825" s="16"/>
      <c r="H825" s="89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</row>
    <row r="826" ht="15.75" customHeight="1">
      <c r="A826" s="16"/>
      <c r="B826" s="16"/>
      <c r="C826" s="16"/>
      <c r="D826" s="16"/>
      <c r="E826" s="49"/>
      <c r="G826" s="16"/>
      <c r="H826" s="89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</row>
    <row r="827" ht="15.75" customHeight="1">
      <c r="A827" s="16"/>
      <c r="B827" s="16"/>
      <c r="C827" s="16"/>
      <c r="D827" s="16"/>
      <c r="E827" s="49"/>
      <c r="G827" s="16"/>
      <c r="H827" s="89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</row>
    <row r="828" ht="15.75" customHeight="1">
      <c r="A828" s="16"/>
      <c r="B828" s="16"/>
      <c r="C828" s="16"/>
      <c r="D828" s="16"/>
      <c r="E828" s="49"/>
      <c r="G828" s="16"/>
      <c r="H828" s="89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</row>
    <row r="829" ht="15.75" customHeight="1">
      <c r="A829" s="16"/>
      <c r="B829" s="16"/>
      <c r="C829" s="16"/>
      <c r="D829" s="16"/>
      <c r="E829" s="49"/>
      <c r="G829" s="16"/>
      <c r="H829" s="89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</row>
    <row r="830" ht="15.75" customHeight="1">
      <c r="A830" s="16"/>
      <c r="B830" s="16"/>
      <c r="C830" s="16"/>
      <c r="D830" s="16"/>
      <c r="E830" s="49"/>
      <c r="G830" s="16"/>
      <c r="H830" s="89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</row>
    <row r="831" ht="15.75" customHeight="1">
      <c r="A831" s="16"/>
      <c r="B831" s="16"/>
      <c r="C831" s="16"/>
      <c r="D831" s="16"/>
      <c r="E831" s="49"/>
      <c r="G831" s="16"/>
      <c r="H831" s="89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</row>
    <row r="832" ht="15.75" customHeight="1">
      <c r="A832" s="16"/>
      <c r="B832" s="16"/>
      <c r="C832" s="16"/>
      <c r="D832" s="16"/>
      <c r="E832" s="49"/>
      <c r="G832" s="16"/>
      <c r="H832" s="89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</row>
    <row r="833" ht="15.75" customHeight="1">
      <c r="A833" s="16"/>
      <c r="B833" s="16"/>
      <c r="C833" s="16"/>
      <c r="D833" s="16"/>
      <c r="E833" s="49"/>
      <c r="G833" s="16"/>
      <c r="H833" s="89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</row>
    <row r="834" ht="15.75" customHeight="1">
      <c r="A834" s="16"/>
      <c r="B834" s="16"/>
      <c r="C834" s="16"/>
      <c r="D834" s="16"/>
      <c r="E834" s="49"/>
      <c r="G834" s="16"/>
      <c r="H834" s="89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</row>
    <row r="835" ht="15.75" customHeight="1">
      <c r="A835" s="16"/>
      <c r="B835" s="16"/>
      <c r="C835" s="16"/>
      <c r="D835" s="16"/>
      <c r="E835" s="49"/>
      <c r="G835" s="16"/>
      <c r="H835" s="89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</row>
    <row r="836" ht="15.75" customHeight="1">
      <c r="A836" s="16"/>
      <c r="B836" s="16"/>
      <c r="C836" s="16"/>
      <c r="D836" s="16"/>
      <c r="E836" s="49"/>
      <c r="G836" s="16"/>
      <c r="H836" s="89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</row>
    <row r="837" ht="15.75" customHeight="1">
      <c r="A837" s="16"/>
      <c r="B837" s="16"/>
      <c r="C837" s="16"/>
      <c r="D837" s="16"/>
      <c r="E837" s="49"/>
      <c r="G837" s="16"/>
      <c r="H837" s="89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</row>
    <row r="838" ht="15.75" customHeight="1">
      <c r="A838" s="16"/>
      <c r="B838" s="16"/>
      <c r="C838" s="16"/>
      <c r="D838" s="16"/>
      <c r="E838" s="49"/>
      <c r="G838" s="16"/>
      <c r="H838" s="89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</row>
    <row r="839" ht="15.75" customHeight="1">
      <c r="A839" s="16"/>
      <c r="B839" s="16"/>
      <c r="C839" s="16"/>
      <c r="D839" s="16"/>
      <c r="E839" s="49"/>
      <c r="G839" s="16"/>
      <c r="H839" s="89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</row>
    <row r="840" ht="15.75" customHeight="1">
      <c r="A840" s="16"/>
      <c r="B840" s="16"/>
      <c r="C840" s="16"/>
      <c r="D840" s="16"/>
      <c r="E840" s="49"/>
      <c r="G840" s="16"/>
      <c r="H840" s="89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</row>
    <row r="841" ht="15.75" customHeight="1">
      <c r="A841" s="16"/>
      <c r="B841" s="16"/>
      <c r="C841" s="16"/>
      <c r="D841" s="16"/>
      <c r="E841" s="49"/>
      <c r="G841" s="16"/>
      <c r="H841" s="89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</row>
    <row r="842" ht="15.75" customHeight="1">
      <c r="A842" s="16"/>
      <c r="B842" s="16"/>
      <c r="C842" s="16"/>
      <c r="D842" s="16"/>
      <c r="E842" s="49"/>
      <c r="G842" s="16"/>
      <c r="H842" s="89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</row>
    <row r="843" ht="15.75" customHeight="1">
      <c r="A843" s="16"/>
      <c r="B843" s="16"/>
      <c r="C843" s="16"/>
      <c r="D843" s="16"/>
      <c r="E843" s="49"/>
      <c r="G843" s="16"/>
      <c r="H843" s="89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</row>
    <row r="844" ht="15.75" customHeight="1">
      <c r="A844" s="16"/>
      <c r="B844" s="16"/>
      <c r="C844" s="16"/>
      <c r="D844" s="16"/>
      <c r="E844" s="49"/>
      <c r="G844" s="16"/>
      <c r="H844" s="89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</row>
    <row r="845" ht="15.75" customHeight="1">
      <c r="A845" s="16"/>
      <c r="B845" s="16"/>
      <c r="C845" s="16"/>
      <c r="D845" s="16"/>
      <c r="E845" s="49"/>
      <c r="G845" s="16"/>
      <c r="H845" s="89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</row>
    <row r="846" ht="15.75" customHeight="1">
      <c r="A846" s="16"/>
      <c r="B846" s="16"/>
      <c r="C846" s="16"/>
      <c r="D846" s="16"/>
      <c r="E846" s="49"/>
      <c r="G846" s="16"/>
      <c r="H846" s="89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</row>
    <row r="847" ht="15.75" customHeight="1">
      <c r="A847" s="16"/>
      <c r="B847" s="16"/>
      <c r="C847" s="16"/>
      <c r="D847" s="16"/>
      <c r="E847" s="49"/>
      <c r="G847" s="16"/>
      <c r="H847" s="89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</row>
    <row r="848" ht="15.75" customHeight="1">
      <c r="A848" s="16"/>
      <c r="B848" s="16"/>
      <c r="C848" s="16"/>
      <c r="D848" s="16"/>
      <c r="E848" s="49"/>
      <c r="G848" s="16"/>
      <c r="H848" s="89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</row>
    <row r="849" ht="15.75" customHeight="1">
      <c r="A849" s="16"/>
      <c r="B849" s="16"/>
      <c r="C849" s="16"/>
      <c r="D849" s="16"/>
      <c r="E849" s="49"/>
      <c r="G849" s="16"/>
      <c r="H849" s="89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</row>
    <row r="850" ht="15.75" customHeight="1">
      <c r="A850" s="16"/>
      <c r="B850" s="16"/>
      <c r="C850" s="16"/>
      <c r="D850" s="16"/>
      <c r="E850" s="49"/>
      <c r="G850" s="16"/>
      <c r="H850" s="89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</row>
    <row r="851" ht="15.75" customHeight="1">
      <c r="A851" s="16"/>
      <c r="B851" s="16"/>
      <c r="C851" s="16"/>
      <c r="D851" s="16"/>
      <c r="E851" s="49"/>
      <c r="G851" s="16"/>
      <c r="H851" s="89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</row>
    <row r="852" ht="15.75" customHeight="1">
      <c r="A852" s="16"/>
      <c r="B852" s="16"/>
      <c r="C852" s="16"/>
      <c r="D852" s="16"/>
      <c r="E852" s="49"/>
      <c r="G852" s="16"/>
      <c r="H852" s="89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</row>
    <row r="853" ht="15.75" customHeight="1">
      <c r="A853" s="16"/>
      <c r="B853" s="16"/>
      <c r="C853" s="16"/>
      <c r="D853" s="16"/>
      <c r="E853" s="49"/>
      <c r="G853" s="16"/>
      <c r="H853" s="89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</row>
    <row r="854" ht="15.75" customHeight="1">
      <c r="A854" s="16"/>
      <c r="B854" s="16"/>
      <c r="C854" s="16"/>
      <c r="D854" s="16"/>
      <c r="E854" s="49"/>
      <c r="G854" s="16"/>
      <c r="H854" s="89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</row>
    <row r="855" ht="15.75" customHeight="1">
      <c r="A855" s="16"/>
      <c r="B855" s="16"/>
      <c r="C855" s="16"/>
      <c r="D855" s="16"/>
      <c r="E855" s="49"/>
      <c r="G855" s="16"/>
      <c r="H855" s="89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</row>
    <row r="856" ht="15.75" customHeight="1">
      <c r="A856" s="16"/>
      <c r="B856" s="16"/>
      <c r="C856" s="16"/>
      <c r="D856" s="16"/>
      <c r="E856" s="49"/>
      <c r="G856" s="16"/>
      <c r="H856" s="89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</row>
    <row r="857" ht="15.75" customHeight="1">
      <c r="A857" s="16"/>
      <c r="B857" s="16"/>
      <c r="C857" s="16"/>
      <c r="D857" s="16"/>
      <c r="E857" s="49"/>
      <c r="G857" s="16"/>
      <c r="H857" s="89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</row>
    <row r="858" ht="15.75" customHeight="1">
      <c r="A858" s="16"/>
      <c r="B858" s="16"/>
      <c r="C858" s="16"/>
      <c r="D858" s="16"/>
      <c r="E858" s="49"/>
      <c r="G858" s="16"/>
      <c r="H858" s="89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</row>
    <row r="859" ht="15.75" customHeight="1">
      <c r="A859" s="16"/>
      <c r="B859" s="16"/>
      <c r="C859" s="16"/>
      <c r="D859" s="16"/>
      <c r="E859" s="49"/>
      <c r="G859" s="16"/>
      <c r="H859" s="89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</row>
    <row r="860" ht="15.75" customHeight="1">
      <c r="A860" s="16"/>
      <c r="B860" s="16"/>
      <c r="C860" s="16"/>
      <c r="D860" s="16"/>
      <c r="E860" s="49"/>
      <c r="G860" s="16"/>
      <c r="H860" s="89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</row>
    <row r="861" ht="15.75" customHeight="1">
      <c r="A861" s="16"/>
      <c r="B861" s="16"/>
      <c r="C861" s="16"/>
      <c r="D861" s="16"/>
      <c r="E861" s="49"/>
      <c r="G861" s="16"/>
      <c r="H861" s="89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</row>
    <row r="862" ht="15.75" customHeight="1">
      <c r="A862" s="16"/>
      <c r="B862" s="16"/>
      <c r="C862" s="16"/>
      <c r="D862" s="16"/>
      <c r="E862" s="49"/>
      <c r="G862" s="16"/>
      <c r="H862" s="89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</row>
    <row r="863" ht="15.75" customHeight="1">
      <c r="A863" s="16"/>
      <c r="G863" s="16"/>
      <c r="H863" s="90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</row>
    <row r="864" ht="15.75" customHeight="1">
      <c r="A864" s="16"/>
      <c r="G864" s="16"/>
      <c r="H864" s="90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</row>
    <row r="865" ht="15.75" customHeight="1">
      <c r="A865" s="16"/>
      <c r="H865" s="90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</row>
    <row r="866" ht="15.75" customHeight="1">
      <c r="A866" s="16"/>
      <c r="H866" s="90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</row>
    <row r="867" ht="15.75" customHeight="1">
      <c r="A867" s="16"/>
      <c r="H867" s="90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</row>
    <row r="868" ht="15.75" customHeight="1">
      <c r="A868" s="16"/>
      <c r="H868" s="90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</row>
    <row r="869" ht="15.75" customHeight="1">
      <c r="A869" s="16"/>
      <c r="H869" s="90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</row>
    <row r="870" ht="15.75" customHeight="1">
      <c r="A870" s="16"/>
      <c r="H870" s="90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</row>
    <row r="871" ht="15.75" customHeight="1">
      <c r="A871" s="16"/>
      <c r="H871" s="90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</row>
    <row r="872" ht="15.75" customHeight="1">
      <c r="A872" s="16"/>
      <c r="H872" s="90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</row>
    <row r="873" ht="15.75" customHeight="1">
      <c r="A873" s="16"/>
      <c r="H873" s="90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</row>
    <row r="874" ht="15.75" customHeight="1">
      <c r="A874" s="16"/>
      <c r="H874" s="90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</row>
    <row r="875" ht="15.75" customHeight="1">
      <c r="A875" s="16"/>
      <c r="H875" s="90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</row>
    <row r="876" ht="15.75" customHeight="1">
      <c r="A876" s="16"/>
      <c r="H876" s="90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</row>
    <row r="877" ht="15.75" customHeight="1">
      <c r="A877" s="16"/>
      <c r="H877" s="90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</row>
    <row r="878" ht="15.75" customHeight="1">
      <c r="A878" s="16"/>
      <c r="H878" s="90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</row>
    <row r="879" ht="15.75" customHeight="1">
      <c r="A879" s="16"/>
      <c r="H879" s="90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</row>
  </sheetData>
  <mergeCells count="1">
    <mergeCell ref="B1:C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18.75"/>
    <col customWidth="1" min="2" max="2" width="13.13"/>
    <col customWidth="1" min="3" max="3" width="29.63"/>
    <col customWidth="1" min="4" max="4" width="12.38"/>
    <col customWidth="1" min="5" max="5" width="8.25"/>
    <col customWidth="1" min="6" max="6" width="13.25"/>
    <col customWidth="1" min="7" max="7" width="13.5"/>
    <col customWidth="1" min="8" max="8" width="17.88"/>
    <col customWidth="1" min="9" max="9" width="4.13"/>
    <col customWidth="1" min="10" max="10" width="45.25"/>
  </cols>
  <sheetData>
    <row r="1" ht="32.25" customHeight="1">
      <c r="A1" s="91" t="s">
        <v>92</v>
      </c>
      <c r="B1" s="68" t="s">
        <v>62</v>
      </c>
      <c r="C1" s="68" t="s">
        <v>63</v>
      </c>
      <c r="D1" s="68" t="s">
        <v>93</v>
      </c>
      <c r="E1" s="68" t="s">
        <v>65</v>
      </c>
      <c r="F1" s="69" t="s">
        <v>68</v>
      </c>
      <c r="G1" s="69" t="s">
        <v>69</v>
      </c>
      <c r="H1" s="69" t="s">
        <v>70</v>
      </c>
      <c r="I1" s="85"/>
      <c r="J1" s="85"/>
      <c r="K1" s="86"/>
      <c r="L1" s="85"/>
      <c r="M1" s="85"/>
      <c r="N1" s="85"/>
      <c r="O1" s="85"/>
      <c r="P1" s="85"/>
      <c r="Q1" s="85"/>
      <c r="R1" s="85"/>
      <c r="S1" s="85"/>
      <c r="T1" s="85"/>
      <c r="U1" s="85"/>
      <c r="V1" s="16"/>
      <c r="W1" s="16"/>
      <c r="X1" s="16"/>
    </row>
    <row r="2">
      <c r="A2" s="79" t="s">
        <v>94</v>
      </c>
      <c r="B2" s="92">
        <v>16323.0</v>
      </c>
      <c r="C2" s="72" t="s">
        <v>95</v>
      </c>
      <c r="D2" s="73">
        <v>46023.0</v>
      </c>
      <c r="E2" s="72">
        <v>0.0</v>
      </c>
      <c r="F2" s="74">
        <v>445.0</v>
      </c>
      <c r="G2" s="77">
        <f t="shared" ref="G2:G39" si="1">F2*1.65%</f>
        <v>7.3425</v>
      </c>
      <c r="H2" s="77">
        <f t="shared" ref="H2:H39" si="2">F2*7.6%</f>
        <v>33.82</v>
      </c>
      <c r="I2" s="85"/>
      <c r="J2" s="93" t="s">
        <v>96</v>
      </c>
      <c r="K2" s="69">
        <f>SUMIF(A2:F773,J2,F2:F773)</f>
        <v>94002.46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16"/>
      <c r="W2" s="16"/>
      <c r="X2" s="16"/>
    </row>
    <row r="3">
      <c r="A3" s="93" t="s">
        <v>97</v>
      </c>
      <c r="B3" s="92">
        <v>32.0</v>
      </c>
      <c r="C3" s="72" t="s">
        <v>98</v>
      </c>
      <c r="D3" s="73">
        <v>46024.0</v>
      </c>
      <c r="E3" s="72">
        <v>0.0</v>
      </c>
      <c r="F3" s="74">
        <v>3000.0</v>
      </c>
      <c r="G3" s="77">
        <f t="shared" si="1"/>
        <v>49.5</v>
      </c>
      <c r="H3" s="77">
        <f t="shared" si="2"/>
        <v>228</v>
      </c>
      <c r="I3" s="85"/>
      <c r="J3" s="93" t="s">
        <v>99</v>
      </c>
      <c r="K3" s="69">
        <f>SUMIF(A2:F850,J3,F2:F850)</f>
        <v>0</v>
      </c>
      <c r="L3" s="85"/>
      <c r="M3" s="85"/>
      <c r="N3" s="85"/>
      <c r="O3" s="85"/>
      <c r="P3" s="85"/>
      <c r="Q3" s="85"/>
      <c r="R3" s="85"/>
      <c r="S3" s="85"/>
      <c r="T3" s="85"/>
      <c r="U3" s="85"/>
      <c r="V3" s="16"/>
      <c r="W3" s="16"/>
      <c r="X3" s="16"/>
    </row>
    <row r="4">
      <c r="A4" s="79" t="s">
        <v>94</v>
      </c>
      <c r="B4" s="92">
        <v>3958.0</v>
      </c>
      <c r="C4" s="72" t="s">
        <v>100</v>
      </c>
      <c r="D4" s="73">
        <v>46027.0</v>
      </c>
      <c r="E4" s="72">
        <v>0.0</v>
      </c>
      <c r="F4" s="74">
        <v>209.45</v>
      </c>
      <c r="G4" s="77">
        <f t="shared" si="1"/>
        <v>3.455925</v>
      </c>
      <c r="H4" s="77">
        <f t="shared" si="2"/>
        <v>15.9182</v>
      </c>
      <c r="I4" s="85"/>
      <c r="J4" s="93" t="s">
        <v>101</v>
      </c>
      <c r="K4" s="69">
        <f>SUMIF(A2:F850,J4,F2:F850)</f>
        <v>750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16"/>
      <c r="W4" s="16"/>
      <c r="X4" s="16"/>
    </row>
    <row r="5">
      <c r="A5" s="94" t="s">
        <v>102</v>
      </c>
      <c r="B5" s="92">
        <v>2.0</v>
      </c>
      <c r="C5" s="72" t="s">
        <v>103</v>
      </c>
      <c r="D5" s="73">
        <v>46027.0</v>
      </c>
      <c r="E5" s="72">
        <v>0.0</v>
      </c>
      <c r="F5" s="74">
        <v>9000.0</v>
      </c>
      <c r="G5" s="77">
        <f t="shared" si="1"/>
        <v>148.5</v>
      </c>
      <c r="H5" s="77">
        <f t="shared" si="2"/>
        <v>684</v>
      </c>
      <c r="I5" s="85"/>
      <c r="J5" s="93" t="s">
        <v>104</v>
      </c>
      <c r="K5" s="69">
        <f>SUMIF(A2:F851,J5,F2:F851)</f>
        <v>6333.48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16"/>
      <c r="W5" s="16"/>
      <c r="X5" s="16"/>
    </row>
    <row r="6">
      <c r="A6" s="93" t="s">
        <v>97</v>
      </c>
      <c r="B6" s="92">
        <v>1.0</v>
      </c>
      <c r="C6" s="72" t="s">
        <v>105</v>
      </c>
      <c r="D6" s="73">
        <v>46027.0</v>
      </c>
      <c r="E6" s="72">
        <v>0.0</v>
      </c>
      <c r="F6" s="74">
        <v>10600.0</v>
      </c>
      <c r="G6" s="77">
        <f t="shared" si="1"/>
        <v>174.9</v>
      </c>
      <c r="H6" s="77">
        <f t="shared" si="2"/>
        <v>805.6</v>
      </c>
      <c r="I6" s="85"/>
      <c r="J6" s="93" t="s">
        <v>106</v>
      </c>
      <c r="K6" s="69">
        <f>SUMIF(A2:F852,J6,F2:F852)</f>
        <v>0</v>
      </c>
      <c r="L6" s="85"/>
      <c r="M6" s="85"/>
      <c r="N6" s="85"/>
      <c r="O6" s="85"/>
      <c r="P6" s="85"/>
      <c r="Q6" s="85"/>
      <c r="R6" s="85"/>
      <c r="S6" s="85"/>
      <c r="T6" s="85"/>
      <c r="U6" s="85"/>
      <c r="V6" s="16"/>
      <c r="W6" s="16"/>
      <c r="X6" s="16"/>
    </row>
    <row r="7">
      <c r="A7" s="93" t="s">
        <v>96</v>
      </c>
      <c r="B7" s="92">
        <v>24503.0</v>
      </c>
      <c r="C7" s="72" t="s">
        <v>107</v>
      </c>
      <c r="D7" s="73">
        <v>46028.0</v>
      </c>
      <c r="E7" s="72">
        <v>0.0</v>
      </c>
      <c r="F7" s="74">
        <v>11789.65</v>
      </c>
      <c r="G7" s="77">
        <f t="shared" si="1"/>
        <v>194.529225</v>
      </c>
      <c r="H7" s="77">
        <f t="shared" si="2"/>
        <v>896.0134</v>
      </c>
      <c r="I7" s="85"/>
      <c r="J7" s="93" t="s">
        <v>108</v>
      </c>
      <c r="K7" s="69">
        <f>SUMIF(A2:F852,J7,F2:F852)</f>
        <v>0</v>
      </c>
      <c r="L7" s="85"/>
      <c r="M7" s="85"/>
      <c r="N7" s="85"/>
      <c r="O7" s="85"/>
      <c r="P7" s="85"/>
      <c r="Q7" s="85"/>
      <c r="R7" s="85"/>
      <c r="S7" s="85"/>
      <c r="T7" s="85"/>
      <c r="U7" s="85"/>
      <c r="V7" s="16"/>
      <c r="W7" s="16"/>
      <c r="X7" s="16"/>
    </row>
    <row r="8">
      <c r="A8" s="93" t="s">
        <v>96</v>
      </c>
      <c r="B8" s="92">
        <v>4149.0</v>
      </c>
      <c r="C8" s="72" t="s">
        <v>109</v>
      </c>
      <c r="D8" s="73">
        <v>46028.0</v>
      </c>
      <c r="E8" s="72">
        <v>0.0</v>
      </c>
      <c r="F8" s="74">
        <v>1769.88</v>
      </c>
      <c r="G8" s="77">
        <f t="shared" si="1"/>
        <v>29.20302</v>
      </c>
      <c r="H8" s="77">
        <f t="shared" si="2"/>
        <v>134.51088</v>
      </c>
      <c r="I8" s="85"/>
      <c r="J8" s="93" t="s">
        <v>97</v>
      </c>
      <c r="K8" s="69">
        <f>SUMIF(A2:F851,J8,F2:F851)</f>
        <v>16022.15</v>
      </c>
      <c r="L8" s="85"/>
      <c r="M8" s="85"/>
      <c r="N8" s="85"/>
      <c r="O8" s="85"/>
      <c r="P8" s="85"/>
      <c r="Q8" s="85"/>
      <c r="R8" s="85"/>
      <c r="S8" s="85"/>
      <c r="T8" s="85"/>
      <c r="U8" s="85"/>
      <c r="V8" s="16"/>
      <c r="W8" s="16"/>
      <c r="X8" s="16"/>
    </row>
    <row r="9">
      <c r="A9" s="93" t="s">
        <v>96</v>
      </c>
      <c r="B9" s="92">
        <v>15.0</v>
      </c>
      <c r="C9" s="72" t="s">
        <v>110</v>
      </c>
      <c r="D9" s="73">
        <v>46028.0</v>
      </c>
      <c r="E9" s="72">
        <v>0.0</v>
      </c>
      <c r="F9" s="74">
        <v>1600.0</v>
      </c>
      <c r="G9" s="77">
        <f t="shared" si="1"/>
        <v>26.4</v>
      </c>
      <c r="H9" s="77">
        <f t="shared" si="2"/>
        <v>121.6</v>
      </c>
      <c r="I9" s="85"/>
      <c r="J9" s="93" t="s">
        <v>111</v>
      </c>
      <c r="K9" s="69">
        <f>SUMIF(A2:F851,J9,F2:F851)</f>
        <v>0</v>
      </c>
      <c r="L9" s="85"/>
      <c r="M9" s="85"/>
      <c r="N9" s="85"/>
      <c r="O9" s="85"/>
      <c r="P9" s="85"/>
      <c r="Q9" s="85"/>
      <c r="R9" s="85"/>
      <c r="S9" s="85"/>
      <c r="T9" s="85"/>
      <c r="U9" s="85"/>
      <c r="V9" s="16"/>
      <c r="W9" s="16"/>
      <c r="X9" s="16"/>
    </row>
    <row r="10">
      <c r="A10" s="95" t="s">
        <v>112</v>
      </c>
      <c r="B10" s="92">
        <v>2.0</v>
      </c>
      <c r="C10" s="72" t="s">
        <v>113</v>
      </c>
      <c r="D10" s="73">
        <v>46030.0</v>
      </c>
      <c r="E10" s="72">
        <v>0.0</v>
      </c>
      <c r="F10" s="74">
        <v>6300.0</v>
      </c>
      <c r="G10" s="77">
        <f t="shared" si="1"/>
        <v>103.95</v>
      </c>
      <c r="H10" s="77">
        <f t="shared" si="2"/>
        <v>478.8</v>
      </c>
      <c r="I10" s="85"/>
      <c r="J10" s="93" t="s">
        <v>114</v>
      </c>
      <c r="K10" s="69">
        <f>SUMIF(A2:A153,J10,F2:F153)</f>
        <v>0</v>
      </c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16"/>
      <c r="W10" s="16"/>
      <c r="X10" s="16"/>
    </row>
    <row r="11">
      <c r="A11" s="93" t="s">
        <v>97</v>
      </c>
      <c r="B11" s="92">
        <v>109.0</v>
      </c>
      <c r="C11" s="72" t="s">
        <v>115</v>
      </c>
      <c r="D11" s="73">
        <v>46030.0</v>
      </c>
      <c r="E11" s="72">
        <v>0.0</v>
      </c>
      <c r="F11" s="74">
        <v>1800.0</v>
      </c>
      <c r="G11" s="77">
        <f t="shared" si="1"/>
        <v>29.7</v>
      </c>
      <c r="H11" s="77">
        <f t="shared" si="2"/>
        <v>136.8</v>
      </c>
      <c r="I11" s="85"/>
      <c r="J11" s="93" t="s">
        <v>116</v>
      </c>
      <c r="K11" s="69">
        <v>0.0</v>
      </c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16"/>
      <c r="W11" s="16"/>
      <c r="X11" s="16"/>
    </row>
    <row r="12">
      <c r="A12" s="93" t="s">
        <v>97</v>
      </c>
      <c r="B12" s="92">
        <v>110.0</v>
      </c>
      <c r="C12" s="72" t="s">
        <v>115</v>
      </c>
      <c r="D12" s="73">
        <v>46030.0</v>
      </c>
      <c r="E12" s="72">
        <v>0.0</v>
      </c>
      <c r="F12" s="74">
        <v>213.79</v>
      </c>
      <c r="G12" s="77">
        <f t="shared" si="1"/>
        <v>3.527535</v>
      </c>
      <c r="H12" s="77">
        <f t="shared" si="2"/>
        <v>16.24804</v>
      </c>
      <c r="I12" s="85"/>
      <c r="J12" s="93" t="s">
        <v>117</v>
      </c>
      <c r="K12" s="69">
        <v>0.0</v>
      </c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16"/>
      <c r="W12" s="16"/>
      <c r="X12" s="16"/>
    </row>
    <row r="13">
      <c r="A13" s="93" t="s">
        <v>96</v>
      </c>
      <c r="B13" s="92">
        <v>1.0</v>
      </c>
      <c r="C13" s="72" t="s">
        <v>118</v>
      </c>
      <c r="D13" s="73">
        <v>46032.0</v>
      </c>
      <c r="E13" s="72">
        <v>0.0</v>
      </c>
      <c r="F13" s="74">
        <v>4200.0</v>
      </c>
      <c r="G13" s="77">
        <f t="shared" si="1"/>
        <v>69.3</v>
      </c>
      <c r="H13" s="77">
        <f t="shared" si="2"/>
        <v>319.2</v>
      </c>
      <c r="I13" s="85"/>
      <c r="J13" s="93" t="s">
        <v>119</v>
      </c>
      <c r="K13" s="69">
        <f>SUMIF(A2:F851,J13,F2:U874)</f>
        <v>9642</v>
      </c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16"/>
      <c r="W13" s="16"/>
      <c r="X13" s="16"/>
    </row>
    <row r="14">
      <c r="A14" s="93" t="s">
        <v>97</v>
      </c>
      <c r="B14" s="92">
        <v>3247.0</v>
      </c>
      <c r="C14" s="72" t="s">
        <v>120</v>
      </c>
      <c r="D14" s="73">
        <v>46034.0</v>
      </c>
      <c r="E14" s="72">
        <v>0.0</v>
      </c>
      <c r="F14" s="96">
        <v>408.36</v>
      </c>
      <c r="G14" s="77">
        <f t="shared" si="1"/>
        <v>6.73794</v>
      </c>
      <c r="H14" s="77">
        <f t="shared" si="2"/>
        <v>31.03536</v>
      </c>
      <c r="I14" s="85"/>
      <c r="J14" s="93" t="s">
        <v>121</v>
      </c>
      <c r="K14" s="69">
        <f>SUMIF(A2:F851,J14,F2:F851)</f>
        <v>0</v>
      </c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16"/>
      <c r="W14" s="16"/>
      <c r="X14" s="16"/>
    </row>
    <row r="15">
      <c r="A15" s="95" t="s">
        <v>122</v>
      </c>
      <c r="B15" s="92">
        <v>18.0</v>
      </c>
      <c r="C15" s="72" t="s">
        <v>123</v>
      </c>
      <c r="D15" s="73">
        <v>46034.0</v>
      </c>
      <c r="E15" s="72">
        <v>0.0</v>
      </c>
      <c r="F15" s="74">
        <v>15260.0</v>
      </c>
      <c r="G15" s="77">
        <f t="shared" si="1"/>
        <v>251.79</v>
      </c>
      <c r="H15" s="77">
        <f t="shared" si="2"/>
        <v>1159.76</v>
      </c>
      <c r="I15" s="85"/>
      <c r="J15" s="93" t="s">
        <v>124</v>
      </c>
      <c r="K15" s="69">
        <f>SUMIF(A2:F851,J15,F2:F851)</f>
        <v>0</v>
      </c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16"/>
      <c r="W15" s="16"/>
      <c r="X15" s="16"/>
    </row>
    <row r="16">
      <c r="A16" s="79" t="s">
        <v>94</v>
      </c>
      <c r="B16" s="92">
        <v>16495.0</v>
      </c>
      <c r="C16" s="72" t="s">
        <v>95</v>
      </c>
      <c r="D16" s="73">
        <v>46035.0</v>
      </c>
      <c r="E16" s="72">
        <v>0.0</v>
      </c>
      <c r="F16" s="74">
        <v>1100.0</v>
      </c>
      <c r="G16" s="77">
        <f t="shared" si="1"/>
        <v>18.15</v>
      </c>
      <c r="H16" s="77">
        <f t="shared" si="2"/>
        <v>83.6</v>
      </c>
      <c r="I16" s="85"/>
      <c r="J16" s="94" t="s">
        <v>102</v>
      </c>
      <c r="K16" s="69">
        <f t="shared" ref="K16:K17" si="3">SUMIF(A2:F852,J16,F2:F852)</f>
        <v>44203.45</v>
      </c>
      <c r="L16" s="85"/>
      <c r="M16" s="86"/>
      <c r="N16" s="85"/>
      <c r="O16" s="85"/>
      <c r="P16" s="85"/>
      <c r="Q16" s="85"/>
      <c r="R16" s="85"/>
      <c r="S16" s="85"/>
      <c r="T16" s="85"/>
      <c r="U16" s="85"/>
      <c r="V16" s="16"/>
      <c r="W16" s="16"/>
      <c r="X16" s="16"/>
    </row>
    <row r="17">
      <c r="A17" s="93" t="s">
        <v>96</v>
      </c>
      <c r="B17" s="92">
        <v>8.0</v>
      </c>
      <c r="C17" s="72" t="s">
        <v>125</v>
      </c>
      <c r="D17" s="73">
        <v>46036.0</v>
      </c>
      <c r="E17" s="72">
        <v>0.0</v>
      </c>
      <c r="F17" s="74">
        <v>1500.0</v>
      </c>
      <c r="G17" s="77">
        <f t="shared" si="1"/>
        <v>24.75</v>
      </c>
      <c r="H17" s="77">
        <f t="shared" si="2"/>
        <v>114</v>
      </c>
      <c r="I17" s="85"/>
      <c r="J17" s="94" t="s">
        <v>126</v>
      </c>
      <c r="K17" s="69">
        <f t="shared" si="3"/>
        <v>624.1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16"/>
      <c r="W17" s="16"/>
      <c r="X17" s="16"/>
    </row>
    <row r="18">
      <c r="A18" s="93" t="s">
        <v>96</v>
      </c>
      <c r="B18" s="92">
        <v>9.0</v>
      </c>
      <c r="C18" s="72" t="s">
        <v>125</v>
      </c>
      <c r="D18" s="73">
        <v>46036.0</v>
      </c>
      <c r="E18" s="72">
        <v>0.0</v>
      </c>
      <c r="F18" s="74">
        <v>1500.0</v>
      </c>
      <c r="G18" s="77">
        <f t="shared" si="1"/>
        <v>24.75</v>
      </c>
      <c r="H18" s="77">
        <f t="shared" si="2"/>
        <v>114</v>
      </c>
      <c r="I18" s="85"/>
      <c r="J18" s="79" t="s">
        <v>94</v>
      </c>
      <c r="K18" s="69">
        <f>SUMIF(A2:F854,J18,F2:F854)</f>
        <v>2354.45</v>
      </c>
      <c r="L18" s="85"/>
      <c r="M18" s="86"/>
      <c r="N18" s="85"/>
      <c r="O18" s="85"/>
      <c r="P18" s="85"/>
      <c r="Q18" s="85"/>
      <c r="R18" s="85"/>
      <c r="S18" s="85"/>
      <c r="T18" s="85"/>
      <c r="U18" s="85"/>
      <c r="V18" s="16"/>
      <c r="W18" s="16"/>
      <c r="X18" s="16"/>
    </row>
    <row r="19">
      <c r="A19" s="93" t="s">
        <v>96</v>
      </c>
      <c r="B19" s="92">
        <v>10.0</v>
      </c>
      <c r="C19" s="72" t="s">
        <v>125</v>
      </c>
      <c r="D19" s="73">
        <v>46036.0</v>
      </c>
      <c r="E19" s="72">
        <v>0.0</v>
      </c>
      <c r="F19" s="74">
        <v>1500.0</v>
      </c>
      <c r="G19" s="77">
        <f t="shared" si="1"/>
        <v>24.75</v>
      </c>
      <c r="H19" s="77">
        <f t="shared" si="2"/>
        <v>114</v>
      </c>
      <c r="I19" s="85"/>
      <c r="J19" s="95" t="s">
        <v>122</v>
      </c>
      <c r="K19" s="69">
        <f>SUMIF(A2:F855,J19,F2:F855)</f>
        <v>16260</v>
      </c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16"/>
      <c r="W19" s="16"/>
      <c r="X19" s="16"/>
    </row>
    <row r="20">
      <c r="A20" s="94" t="s">
        <v>102</v>
      </c>
      <c r="B20" s="92">
        <v>18.0</v>
      </c>
      <c r="C20" s="72" t="s">
        <v>127</v>
      </c>
      <c r="D20" s="73">
        <v>46036.0</v>
      </c>
      <c r="E20" s="72">
        <v>0.0</v>
      </c>
      <c r="F20" s="74">
        <v>6300.0</v>
      </c>
      <c r="G20" s="77">
        <f t="shared" si="1"/>
        <v>103.95</v>
      </c>
      <c r="H20" s="77">
        <f t="shared" si="2"/>
        <v>478.8</v>
      </c>
      <c r="I20" s="85"/>
      <c r="J20" s="95" t="s">
        <v>112</v>
      </c>
      <c r="K20" s="69">
        <f>SUMIF(A2:F856,J20,F2:F856)</f>
        <v>14760</v>
      </c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16"/>
      <c r="W20" s="16"/>
      <c r="X20" s="16"/>
    </row>
    <row r="21">
      <c r="A21" s="93" t="s">
        <v>96</v>
      </c>
      <c r="B21" s="92">
        <v>12.0</v>
      </c>
      <c r="C21" s="72" t="s">
        <v>128</v>
      </c>
      <c r="D21" s="73">
        <v>46037.0</v>
      </c>
      <c r="E21" s="72">
        <v>0.0</v>
      </c>
      <c r="F21" s="74">
        <v>8029.0</v>
      </c>
      <c r="G21" s="77">
        <f t="shared" si="1"/>
        <v>132.4785</v>
      </c>
      <c r="H21" s="77">
        <f t="shared" si="2"/>
        <v>610.204</v>
      </c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16"/>
      <c r="W21" s="16"/>
      <c r="X21" s="16"/>
    </row>
    <row r="22">
      <c r="A22" s="94" t="s">
        <v>126</v>
      </c>
      <c r="B22" s="92">
        <v>283936.0</v>
      </c>
      <c r="C22" s="72" t="s">
        <v>129</v>
      </c>
      <c r="D22" s="73">
        <v>46037.0</v>
      </c>
      <c r="E22" s="72">
        <v>0.0</v>
      </c>
      <c r="F22" s="74">
        <v>624.1</v>
      </c>
      <c r="G22" s="77">
        <f t="shared" si="1"/>
        <v>10.29765</v>
      </c>
      <c r="H22" s="77">
        <f t="shared" si="2"/>
        <v>47.4316</v>
      </c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16"/>
      <c r="W22" s="16"/>
      <c r="X22" s="16"/>
    </row>
    <row r="23">
      <c r="A23" s="94" t="s">
        <v>102</v>
      </c>
      <c r="B23" s="92">
        <v>2.0</v>
      </c>
      <c r="C23" s="72" t="s">
        <v>130</v>
      </c>
      <c r="D23" s="73">
        <v>46037.0</v>
      </c>
      <c r="E23" s="72">
        <v>0.0</v>
      </c>
      <c r="F23" s="74">
        <v>1762.5</v>
      </c>
      <c r="G23" s="77">
        <f t="shared" si="1"/>
        <v>29.08125</v>
      </c>
      <c r="H23" s="77">
        <f t="shared" si="2"/>
        <v>133.95</v>
      </c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16"/>
      <c r="W23" s="16"/>
      <c r="X23" s="16"/>
    </row>
    <row r="24">
      <c r="A24" s="95" t="s">
        <v>112</v>
      </c>
      <c r="B24" s="92">
        <v>6.0</v>
      </c>
      <c r="C24" s="72" t="s">
        <v>131</v>
      </c>
      <c r="D24" s="73">
        <v>46038.0</v>
      </c>
      <c r="E24" s="72">
        <v>0.0</v>
      </c>
      <c r="F24" s="74">
        <v>8460.0</v>
      </c>
      <c r="G24" s="77">
        <f t="shared" si="1"/>
        <v>139.59</v>
      </c>
      <c r="H24" s="77">
        <f t="shared" si="2"/>
        <v>642.96</v>
      </c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16"/>
      <c r="W24" s="16"/>
      <c r="X24" s="16"/>
    </row>
    <row r="25">
      <c r="A25" s="93" t="s">
        <v>96</v>
      </c>
      <c r="B25" s="92">
        <v>4208.0</v>
      </c>
      <c r="C25" s="72" t="s">
        <v>109</v>
      </c>
      <c r="D25" s="73">
        <v>46038.0</v>
      </c>
      <c r="E25" s="72">
        <v>0.0</v>
      </c>
      <c r="F25" s="74">
        <v>759.0</v>
      </c>
      <c r="G25" s="77">
        <f t="shared" si="1"/>
        <v>12.5235</v>
      </c>
      <c r="H25" s="77">
        <f t="shared" si="2"/>
        <v>57.684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16"/>
      <c r="W25" s="16"/>
      <c r="X25" s="16"/>
    </row>
    <row r="26">
      <c r="A26" s="93" t="s">
        <v>96</v>
      </c>
      <c r="B26" s="92">
        <v>4209.0</v>
      </c>
      <c r="C26" s="72" t="s">
        <v>109</v>
      </c>
      <c r="D26" s="73">
        <v>46038.0</v>
      </c>
      <c r="E26" s="72">
        <v>0.0</v>
      </c>
      <c r="F26" s="74">
        <v>11670.0</v>
      </c>
      <c r="G26" s="77">
        <f t="shared" si="1"/>
        <v>192.555</v>
      </c>
      <c r="H26" s="77">
        <f t="shared" si="2"/>
        <v>886.92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16"/>
      <c r="W26" s="16"/>
      <c r="X26" s="16"/>
    </row>
    <row r="27" ht="31.5" customHeight="1">
      <c r="A27" s="93" t="s">
        <v>96</v>
      </c>
      <c r="B27" s="92">
        <v>71.0</v>
      </c>
      <c r="C27" s="72" t="s">
        <v>132</v>
      </c>
      <c r="D27" s="73">
        <v>46038.0</v>
      </c>
      <c r="E27" s="72">
        <v>0.0</v>
      </c>
      <c r="F27" s="74">
        <v>19.2</v>
      </c>
      <c r="G27" s="77">
        <f t="shared" si="1"/>
        <v>0.3168</v>
      </c>
      <c r="H27" s="77">
        <f t="shared" si="2"/>
        <v>1.4592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16"/>
      <c r="W27" s="16"/>
      <c r="X27" s="16"/>
    </row>
    <row r="28">
      <c r="A28" s="93" t="s">
        <v>119</v>
      </c>
      <c r="B28" s="92">
        <v>3008045.0</v>
      </c>
      <c r="C28" s="72" t="s">
        <v>133</v>
      </c>
      <c r="D28" s="73">
        <v>46041.0</v>
      </c>
      <c r="E28" s="72">
        <v>0.0</v>
      </c>
      <c r="F28" s="74">
        <v>9642.0</v>
      </c>
      <c r="G28" s="77">
        <f t="shared" si="1"/>
        <v>159.093</v>
      </c>
      <c r="H28" s="77">
        <f t="shared" si="2"/>
        <v>732.792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16"/>
      <c r="W28" s="16"/>
      <c r="X28" s="16"/>
    </row>
    <row r="29">
      <c r="A29" s="93" t="s">
        <v>104</v>
      </c>
      <c r="B29" s="92">
        <v>12305.0</v>
      </c>
      <c r="C29" s="72" t="s">
        <v>134</v>
      </c>
      <c r="D29" s="73">
        <v>46042.0</v>
      </c>
      <c r="E29" s="72">
        <v>0.0</v>
      </c>
      <c r="F29" s="74">
        <v>6333.48</v>
      </c>
      <c r="G29" s="77">
        <f t="shared" si="1"/>
        <v>104.50242</v>
      </c>
      <c r="H29" s="77">
        <f t="shared" si="2"/>
        <v>481.34448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16"/>
      <c r="W29" s="16"/>
      <c r="X29" s="16"/>
    </row>
    <row r="30">
      <c r="A30" s="93" t="s">
        <v>96</v>
      </c>
      <c r="B30" s="92">
        <v>25.0</v>
      </c>
      <c r="C30" s="72" t="s">
        <v>135</v>
      </c>
      <c r="D30" s="73">
        <v>46042.0</v>
      </c>
      <c r="E30" s="72">
        <v>0.0</v>
      </c>
      <c r="F30" s="74">
        <v>26824.0</v>
      </c>
      <c r="G30" s="77">
        <f t="shared" si="1"/>
        <v>442.596</v>
      </c>
      <c r="H30" s="77">
        <f t="shared" si="2"/>
        <v>2038.624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16"/>
      <c r="W30" s="16"/>
      <c r="X30" s="16"/>
    </row>
    <row r="31">
      <c r="A31" s="94" t="s">
        <v>102</v>
      </c>
      <c r="B31" s="92">
        <v>5.0</v>
      </c>
      <c r="C31" s="72" t="s">
        <v>136</v>
      </c>
      <c r="D31" s="73">
        <v>46043.0</v>
      </c>
      <c r="E31" s="72">
        <v>0.0</v>
      </c>
      <c r="F31" s="74">
        <v>22400.95</v>
      </c>
      <c r="G31" s="77">
        <f t="shared" si="1"/>
        <v>369.615675</v>
      </c>
      <c r="H31" s="77">
        <f t="shared" si="2"/>
        <v>1702.4722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16"/>
      <c r="W31" s="16"/>
      <c r="X31" s="16"/>
    </row>
    <row r="32">
      <c r="A32" s="79" t="s">
        <v>94</v>
      </c>
      <c r="B32" s="92">
        <v>16602.0</v>
      </c>
      <c r="C32" s="72" t="s">
        <v>95</v>
      </c>
      <c r="D32" s="73">
        <v>46043.0</v>
      </c>
      <c r="E32" s="72">
        <v>0.0</v>
      </c>
      <c r="F32" s="74">
        <v>200.0</v>
      </c>
      <c r="G32" s="77">
        <f t="shared" si="1"/>
        <v>3.3</v>
      </c>
      <c r="H32" s="77">
        <f t="shared" si="2"/>
        <v>15.2</v>
      </c>
      <c r="I32" s="85"/>
      <c r="J32" s="85"/>
      <c r="K32" s="86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16"/>
      <c r="W32" s="16"/>
      <c r="X32" s="16"/>
    </row>
    <row r="33">
      <c r="A33" s="93" t="s">
        <v>96</v>
      </c>
      <c r="B33" s="92">
        <v>2620.0</v>
      </c>
      <c r="C33" s="72" t="s">
        <v>137</v>
      </c>
      <c r="D33" s="73">
        <v>46045.0</v>
      </c>
      <c r="E33" s="72">
        <v>0.0</v>
      </c>
      <c r="F33" s="74">
        <v>146.12</v>
      </c>
      <c r="G33" s="77">
        <f t="shared" si="1"/>
        <v>2.41098</v>
      </c>
      <c r="H33" s="77">
        <f t="shared" si="2"/>
        <v>11.10512</v>
      </c>
      <c r="I33" s="85"/>
      <c r="J33" s="85"/>
      <c r="K33" s="86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16"/>
      <c r="W33" s="16"/>
      <c r="X33" s="16"/>
    </row>
    <row r="34">
      <c r="A34" s="93" t="s">
        <v>96</v>
      </c>
      <c r="B34" s="92">
        <v>95.0</v>
      </c>
      <c r="C34" s="72" t="s">
        <v>138</v>
      </c>
      <c r="D34" s="73">
        <v>46049.0</v>
      </c>
      <c r="E34" s="72">
        <v>0.0</v>
      </c>
      <c r="F34" s="74">
        <v>21664.81</v>
      </c>
      <c r="G34" s="77">
        <f t="shared" si="1"/>
        <v>357.469365</v>
      </c>
      <c r="H34" s="77">
        <f t="shared" si="2"/>
        <v>1646.52556</v>
      </c>
      <c r="I34" s="85"/>
      <c r="J34" s="85"/>
      <c r="K34" s="86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16"/>
      <c r="W34" s="16"/>
      <c r="X34" s="16"/>
    </row>
    <row r="35">
      <c r="A35" s="79" t="s">
        <v>94</v>
      </c>
      <c r="B35" s="92">
        <v>16645.0</v>
      </c>
      <c r="C35" s="72" t="s">
        <v>95</v>
      </c>
      <c r="D35" s="73">
        <v>46049.0</v>
      </c>
      <c r="E35" s="72">
        <v>0.0</v>
      </c>
      <c r="F35" s="74">
        <v>400.0</v>
      </c>
      <c r="G35" s="77">
        <f t="shared" si="1"/>
        <v>6.6</v>
      </c>
      <c r="H35" s="77">
        <f t="shared" si="2"/>
        <v>30.4</v>
      </c>
      <c r="I35" s="85"/>
      <c r="J35" s="85"/>
      <c r="K35" s="86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16"/>
      <c r="W35" s="16"/>
      <c r="X35" s="16"/>
    </row>
    <row r="36" ht="18.75" customHeight="1">
      <c r="A36" s="93" t="s">
        <v>96</v>
      </c>
      <c r="B36" s="92">
        <v>65.0</v>
      </c>
      <c r="C36" s="72" t="s">
        <v>139</v>
      </c>
      <c r="D36" s="73">
        <v>46049.0</v>
      </c>
      <c r="E36" s="72">
        <v>0.0</v>
      </c>
      <c r="F36" s="74">
        <v>1030.8</v>
      </c>
      <c r="G36" s="77">
        <f t="shared" si="1"/>
        <v>17.0082</v>
      </c>
      <c r="H36" s="77">
        <f t="shared" si="2"/>
        <v>78.3408</v>
      </c>
      <c r="I36" s="85"/>
      <c r="J36" s="85"/>
      <c r="K36" s="86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16"/>
      <c r="W36" s="16"/>
      <c r="X36" s="16"/>
    </row>
    <row r="37">
      <c r="A37" s="95" t="s">
        <v>122</v>
      </c>
      <c r="B37" s="92">
        <v>19.0</v>
      </c>
      <c r="C37" s="72" t="s">
        <v>123</v>
      </c>
      <c r="D37" s="73">
        <v>46051.0</v>
      </c>
      <c r="E37" s="72">
        <v>0.0</v>
      </c>
      <c r="F37" s="74">
        <v>1000.0</v>
      </c>
      <c r="G37" s="77">
        <f t="shared" si="1"/>
        <v>16.5</v>
      </c>
      <c r="H37" s="77">
        <f t="shared" si="2"/>
        <v>76</v>
      </c>
      <c r="I37" s="85"/>
      <c r="J37" s="85"/>
      <c r="K37" s="86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16"/>
      <c r="W37" s="16"/>
      <c r="X37" s="16"/>
    </row>
    <row r="38">
      <c r="A38" s="93" t="s">
        <v>101</v>
      </c>
      <c r="B38" s="92">
        <v>2.0</v>
      </c>
      <c r="C38" s="72" t="s">
        <v>140</v>
      </c>
      <c r="D38" s="73">
        <v>46051.0</v>
      </c>
      <c r="E38" s="72">
        <v>0.0</v>
      </c>
      <c r="F38" s="74">
        <v>750.0</v>
      </c>
      <c r="G38" s="77">
        <f t="shared" si="1"/>
        <v>12.375</v>
      </c>
      <c r="H38" s="77">
        <f t="shared" si="2"/>
        <v>57</v>
      </c>
      <c r="I38" s="85"/>
      <c r="J38" s="85"/>
      <c r="K38" s="86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16"/>
      <c r="W38" s="16"/>
      <c r="X38" s="16"/>
    </row>
    <row r="39">
      <c r="A39" s="94" t="s">
        <v>102</v>
      </c>
      <c r="B39" s="92">
        <v>9.0</v>
      </c>
      <c r="C39" s="72" t="s">
        <v>130</v>
      </c>
      <c r="D39" s="73">
        <v>46052.0</v>
      </c>
      <c r="E39" s="72">
        <v>0.0</v>
      </c>
      <c r="F39" s="74">
        <v>4740.0</v>
      </c>
      <c r="G39" s="77">
        <f t="shared" si="1"/>
        <v>78.21</v>
      </c>
      <c r="H39" s="77">
        <f t="shared" si="2"/>
        <v>360.24</v>
      </c>
      <c r="I39" s="85"/>
      <c r="J39" s="85"/>
      <c r="K39" s="86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16"/>
      <c r="W39" s="16"/>
      <c r="X39" s="16"/>
    </row>
    <row r="40">
      <c r="A40" s="97"/>
      <c r="B40" s="85"/>
      <c r="C40" s="85"/>
      <c r="D40" s="85"/>
      <c r="E40" s="85"/>
      <c r="F40" s="86"/>
      <c r="G40" s="86"/>
      <c r="H40" s="86"/>
      <c r="I40" s="85"/>
      <c r="J40" s="85"/>
      <c r="K40" s="86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16"/>
      <c r="W40" s="16"/>
      <c r="X40" s="16"/>
    </row>
    <row r="41" ht="30.75" customHeight="1">
      <c r="A41" s="97"/>
      <c r="B41" s="85"/>
      <c r="C41" s="85"/>
      <c r="D41" s="85"/>
      <c r="E41" s="85"/>
      <c r="F41" s="86"/>
      <c r="G41" s="86"/>
      <c r="H41" s="86"/>
      <c r="I41" s="85"/>
      <c r="J41" s="85"/>
      <c r="K41" s="86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16"/>
      <c r="W41" s="16"/>
      <c r="X41" s="16"/>
    </row>
    <row r="42">
      <c r="A42" s="97"/>
      <c r="B42" s="85"/>
      <c r="C42" s="85"/>
      <c r="D42" s="85"/>
      <c r="E42" s="85"/>
      <c r="F42" s="86"/>
      <c r="G42" s="86"/>
      <c r="H42" s="86"/>
      <c r="I42" s="85"/>
      <c r="J42" s="85"/>
      <c r="K42" s="86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16"/>
      <c r="W42" s="16"/>
      <c r="X42" s="16"/>
    </row>
    <row r="43" ht="18.75" customHeight="1">
      <c r="A43" s="97"/>
      <c r="B43" s="85"/>
      <c r="C43" s="85"/>
      <c r="D43" s="85"/>
      <c r="E43" s="85"/>
      <c r="F43" s="86"/>
      <c r="G43" s="86"/>
      <c r="H43" s="86"/>
      <c r="I43" s="85"/>
      <c r="J43" s="85"/>
      <c r="K43" s="86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16"/>
      <c r="W43" s="16"/>
      <c r="X43" s="16"/>
    </row>
    <row r="44" ht="15.75" customHeight="1">
      <c r="A44" s="97"/>
      <c r="B44" s="85"/>
      <c r="C44" s="85"/>
      <c r="D44" s="85"/>
      <c r="E44" s="85"/>
      <c r="F44" s="86"/>
      <c r="G44" s="86"/>
      <c r="H44" s="86"/>
      <c r="I44" s="85"/>
      <c r="J44" s="85"/>
      <c r="K44" s="86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16"/>
      <c r="W44" s="16"/>
      <c r="X44" s="16"/>
    </row>
    <row r="45" ht="15.75" customHeight="1">
      <c r="A45" s="97"/>
      <c r="B45" s="85"/>
      <c r="C45" s="85"/>
      <c r="D45" s="85"/>
      <c r="E45" s="85"/>
      <c r="F45" s="86"/>
      <c r="G45" s="86"/>
      <c r="H45" s="86"/>
      <c r="I45" s="85"/>
      <c r="J45" s="85"/>
      <c r="K45" s="86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16"/>
      <c r="W45" s="16"/>
      <c r="X45" s="16"/>
    </row>
    <row r="46" ht="15.75" customHeight="1">
      <c r="A46" s="97"/>
      <c r="B46" s="85"/>
      <c r="C46" s="85"/>
      <c r="D46" s="85"/>
      <c r="E46" s="85"/>
      <c r="F46" s="86"/>
      <c r="G46" s="86"/>
      <c r="H46" s="86"/>
      <c r="I46" s="85"/>
      <c r="J46" s="85"/>
      <c r="K46" s="86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16"/>
      <c r="W46" s="16"/>
      <c r="X46" s="16"/>
    </row>
    <row r="47" ht="15.75" customHeight="1">
      <c r="A47" s="97"/>
      <c r="B47" s="85"/>
      <c r="C47" s="85"/>
      <c r="D47" s="85"/>
      <c r="E47" s="85"/>
      <c r="F47" s="86"/>
      <c r="G47" s="86"/>
      <c r="H47" s="86"/>
      <c r="I47" s="85"/>
      <c r="J47" s="85"/>
      <c r="K47" s="86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16"/>
      <c r="W47" s="16"/>
      <c r="X47" s="16"/>
    </row>
    <row r="48" ht="15.75" customHeight="1">
      <c r="A48" s="97"/>
      <c r="B48" s="85"/>
      <c r="C48" s="85"/>
      <c r="D48" s="85"/>
      <c r="E48" s="85"/>
      <c r="F48" s="86"/>
      <c r="G48" s="86"/>
      <c r="H48" s="86"/>
      <c r="I48" s="85"/>
      <c r="J48" s="85"/>
      <c r="K48" s="86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16"/>
      <c r="W48" s="16"/>
      <c r="X48" s="16"/>
    </row>
    <row r="49" ht="15.75" customHeight="1">
      <c r="A49" s="97"/>
      <c r="B49" s="85"/>
      <c r="C49" s="85"/>
      <c r="D49" s="85"/>
      <c r="E49" s="85"/>
      <c r="F49" s="86"/>
      <c r="G49" s="86"/>
      <c r="H49" s="86"/>
      <c r="I49" s="85"/>
      <c r="J49" s="85"/>
      <c r="K49" s="86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16"/>
      <c r="W49" s="16"/>
      <c r="X49" s="16"/>
    </row>
    <row r="50" ht="15.75" customHeight="1">
      <c r="A50" s="97"/>
      <c r="B50" s="85"/>
      <c r="C50" s="85"/>
      <c r="D50" s="85"/>
      <c r="E50" s="85"/>
      <c r="F50" s="86"/>
      <c r="G50" s="86"/>
      <c r="H50" s="86"/>
      <c r="I50" s="85"/>
      <c r="J50" s="85"/>
      <c r="K50" s="86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16"/>
      <c r="W50" s="16"/>
      <c r="X50" s="16"/>
    </row>
    <row r="51" ht="15.75" customHeight="1">
      <c r="A51" s="97"/>
      <c r="B51" s="85"/>
      <c r="C51" s="85"/>
      <c r="D51" s="85"/>
      <c r="E51" s="85"/>
      <c r="F51" s="86"/>
      <c r="G51" s="86"/>
      <c r="H51" s="86"/>
      <c r="I51" s="85"/>
      <c r="J51" s="85"/>
      <c r="K51" s="86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16"/>
      <c r="W51" s="16"/>
      <c r="X51" s="16"/>
    </row>
    <row r="52" ht="15.75" customHeight="1">
      <c r="A52" s="97"/>
      <c r="B52" s="85"/>
      <c r="C52" s="85"/>
      <c r="D52" s="85"/>
      <c r="E52" s="85"/>
      <c r="F52" s="86"/>
      <c r="G52" s="86"/>
      <c r="H52" s="86"/>
      <c r="I52" s="85"/>
      <c r="J52" s="85"/>
      <c r="K52" s="86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16"/>
      <c r="W52" s="16"/>
      <c r="X52" s="16"/>
    </row>
    <row r="53" ht="15.75" customHeight="1">
      <c r="A53" s="97"/>
      <c r="B53" s="85"/>
      <c r="C53" s="85"/>
      <c r="D53" s="85"/>
      <c r="E53" s="85"/>
      <c r="F53" s="86"/>
      <c r="G53" s="86"/>
      <c r="H53" s="86"/>
      <c r="I53" s="85"/>
      <c r="J53" s="85"/>
      <c r="K53" s="86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16"/>
      <c r="W53" s="16"/>
      <c r="X53" s="16"/>
    </row>
    <row r="54" ht="15.75" customHeight="1">
      <c r="A54" s="97"/>
      <c r="B54" s="85"/>
      <c r="C54" s="85"/>
      <c r="D54" s="85"/>
      <c r="E54" s="85"/>
      <c r="F54" s="86"/>
      <c r="G54" s="86"/>
      <c r="H54" s="86"/>
      <c r="I54" s="85"/>
      <c r="J54" s="85"/>
      <c r="K54" s="86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16"/>
      <c r="W54" s="16"/>
      <c r="X54" s="16"/>
    </row>
    <row r="55" ht="15.75" customHeight="1">
      <c r="A55" s="97"/>
      <c r="B55" s="85"/>
      <c r="C55" s="85"/>
      <c r="D55" s="85"/>
      <c r="E55" s="85"/>
      <c r="F55" s="86"/>
      <c r="G55" s="86"/>
      <c r="H55" s="86"/>
      <c r="I55" s="85"/>
      <c r="J55" s="85"/>
      <c r="K55" s="86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16"/>
      <c r="W55" s="16"/>
      <c r="X55" s="16"/>
    </row>
    <row r="56" ht="15.75" customHeight="1">
      <c r="A56" s="97"/>
      <c r="B56" s="85"/>
      <c r="C56" s="85"/>
      <c r="D56" s="85"/>
      <c r="E56" s="85"/>
      <c r="F56" s="86"/>
      <c r="G56" s="86"/>
      <c r="H56" s="86"/>
      <c r="I56" s="85"/>
      <c r="J56" s="85"/>
      <c r="K56" s="86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16"/>
      <c r="W56" s="16"/>
      <c r="X56" s="16"/>
    </row>
    <row r="57" ht="15.75" customHeight="1">
      <c r="A57" s="97"/>
      <c r="B57" s="85"/>
      <c r="C57" s="85"/>
      <c r="D57" s="85"/>
      <c r="E57" s="85"/>
      <c r="F57" s="86"/>
      <c r="G57" s="86"/>
      <c r="H57" s="86"/>
      <c r="I57" s="85"/>
      <c r="J57" s="85"/>
      <c r="K57" s="86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16"/>
      <c r="W57" s="16"/>
      <c r="X57" s="16"/>
    </row>
    <row r="58" ht="15.75" customHeight="1">
      <c r="A58" s="97"/>
      <c r="B58" s="85"/>
      <c r="C58" s="85"/>
      <c r="D58" s="85"/>
      <c r="E58" s="85"/>
      <c r="F58" s="86"/>
      <c r="G58" s="86"/>
      <c r="H58" s="86"/>
      <c r="I58" s="85"/>
      <c r="J58" s="85"/>
      <c r="K58" s="86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16"/>
      <c r="W58" s="16"/>
      <c r="X58" s="16"/>
    </row>
    <row r="59" ht="15.75" customHeight="1">
      <c r="A59" s="97"/>
      <c r="B59" s="85"/>
      <c r="C59" s="85"/>
      <c r="D59" s="85"/>
      <c r="E59" s="85"/>
      <c r="F59" s="86"/>
      <c r="G59" s="86"/>
      <c r="H59" s="86"/>
      <c r="I59" s="85"/>
      <c r="J59" s="85"/>
      <c r="K59" s="86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16"/>
      <c r="W59" s="16"/>
      <c r="X59" s="16"/>
    </row>
    <row r="60" ht="15.75" customHeight="1">
      <c r="A60" s="97"/>
      <c r="B60" s="85"/>
      <c r="C60" s="85"/>
      <c r="D60" s="85"/>
      <c r="E60" s="85"/>
      <c r="F60" s="86"/>
      <c r="G60" s="86"/>
      <c r="H60" s="86"/>
      <c r="I60" s="85"/>
      <c r="J60" s="85"/>
      <c r="K60" s="86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16"/>
      <c r="W60" s="16"/>
      <c r="X60" s="16"/>
    </row>
    <row r="61" ht="15.75" customHeight="1">
      <c r="A61" s="97"/>
      <c r="B61" s="85"/>
      <c r="C61" s="85"/>
      <c r="D61" s="85"/>
      <c r="E61" s="85"/>
      <c r="F61" s="86"/>
      <c r="G61" s="86"/>
      <c r="H61" s="86"/>
      <c r="I61" s="85"/>
      <c r="J61" s="85"/>
      <c r="K61" s="86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16"/>
      <c r="W61" s="16"/>
      <c r="X61" s="16"/>
    </row>
    <row r="62" ht="15.75" customHeight="1">
      <c r="A62" s="97"/>
      <c r="B62" s="85"/>
      <c r="C62" s="85"/>
      <c r="D62" s="85"/>
      <c r="E62" s="85"/>
      <c r="F62" s="86"/>
      <c r="G62" s="86"/>
      <c r="H62" s="86"/>
      <c r="I62" s="85"/>
      <c r="J62" s="85"/>
      <c r="K62" s="86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16"/>
      <c r="W62" s="16"/>
      <c r="X62" s="16"/>
    </row>
    <row r="63" ht="15.75" customHeight="1">
      <c r="A63" s="97"/>
      <c r="B63" s="85"/>
      <c r="C63" s="85"/>
      <c r="D63" s="85"/>
      <c r="E63" s="85"/>
      <c r="F63" s="86"/>
      <c r="G63" s="86"/>
      <c r="H63" s="86"/>
      <c r="I63" s="85"/>
      <c r="J63" s="85"/>
      <c r="K63" s="86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16"/>
      <c r="W63" s="16"/>
      <c r="X63" s="16"/>
    </row>
    <row r="64" ht="15.75" customHeight="1">
      <c r="A64" s="97"/>
      <c r="B64" s="85"/>
      <c r="C64" s="85"/>
      <c r="D64" s="85"/>
      <c r="E64" s="85"/>
      <c r="F64" s="86"/>
      <c r="G64" s="86"/>
      <c r="H64" s="86"/>
      <c r="I64" s="85"/>
      <c r="J64" s="85"/>
      <c r="K64" s="86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16"/>
      <c r="W64" s="16"/>
      <c r="X64" s="16"/>
    </row>
    <row r="65" ht="15.75" customHeight="1">
      <c r="A65" s="97"/>
      <c r="B65" s="85"/>
      <c r="C65" s="85"/>
      <c r="D65" s="85"/>
      <c r="E65" s="85"/>
      <c r="F65" s="86"/>
      <c r="G65" s="86"/>
      <c r="H65" s="86"/>
      <c r="I65" s="85"/>
      <c r="J65" s="85"/>
      <c r="K65" s="86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16"/>
      <c r="W65" s="16"/>
      <c r="X65" s="16"/>
    </row>
    <row r="66" ht="15.75" customHeight="1">
      <c r="A66" s="97"/>
      <c r="B66" s="85"/>
      <c r="C66" s="85"/>
      <c r="D66" s="85"/>
      <c r="E66" s="85"/>
      <c r="F66" s="86"/>
      <c r="G66" s="86"/>
      <c r="H66" s="86"/>
      <c r="I66" s="85"/>
      <c r="J66" s="85"/>
      <c r="K66" s="86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16"/>
      <c r="W66" s="16"/>
      <c r="X66" s="16"/>
    </row>
    <row r="67" ht="15.75" customHeight="1">
      <c r="A67" s="97"/>
      <c r="B67" s="85"/>
      <c r="C67" s="85"/>
      <c r="D67" s="85"/>
      <c r="E67" s="85"/>
      <c r="F67" s="86"/>
      <c r="G67" s="86"/>
      <c r="H67" s="86"/>
      <c r="I67" s="85"/>
      <c r="J67" s="85"/>
      <c r="K67" s="86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16"/>
      <c r="W67" s="16"/>
      <c r="X67" s="16"/>
    </row>
    <row r="68" ht="15.75" customHeight="1">
      <c r="A68" s="97"/>
      <c r="B68" s="85"/>
      <c r="C68" s="85"/>
      <c r="D68" s="85"/>
      <c r="E68" s="85"/>
      <c r="F68" s="86"/>
      <c r="G68" s="86"/>
      <c r="H68" s="86"/>
      <c r="I68" s="85"/>
      <c r="J68" s="85"/>
      <c r="K68" s="86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16"/>
      <c r="W68" s="16"/>
      <c r="X68" s="16"/>
    </row>
    <row r="69" ht="15.75" customHeight="1">
      <c r="A69" s="97"/>
      <c r="B69" s="85"/>
      <c r="C69" s="85"/>
      <c r="D69" s="85"/>
      <c r="E69" s="85"/>
      <c r="F69" s="86"/>
      <c r="G69" s="86"/>
      <c r="H69" s="86"/>
      <c r="I69" s="85"/>
      <c r="J69" s="85"/>
      <c r="K69" s="86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16"/>
      <c r="W69" s="16"/>
      <c r="X69" s="16"/>
    </row>
    <row r="70" ht="15.75" customHeight="1">
      <c r="A70" s="97"/>
      <c r="B70" s="85"/>
      <c r="C70" s="85"/>
      <c r="D70" s="85"/>
      <c r="E70" s="85"/>
      <c r="F70" s="86"/>
      <c r="G70" s="86"/>
      <c r="H70" s="86"/>
      <c r="I70" s="85"/>
      <c r="J70" s="85"/>
      <c r="K70" s="86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16"/>
      <c r="W70" s="16"/>
      <c r="X70" s="16"/>
    </row>
    <row r="71" ht="15.75" customHeight="1">
      <c r="A71" s="97"/>
      <c r="B71" s="85"/>
      <c r="C71" s="85"/>
      <c r="D71" s="85"/>
      <c r="E71" s="85"/>
      <c r="F71" s="86"/>
      <c r="G71" s="86"/>
      <c r="H71" s="86"/>
      <c r="I71" s="85"/>
      <c r="J71" s="85"/>
      <c r="K71" s="86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16"/>
      <c r="W71" s="16"/>
      <c r="X71" s="16"/>
    </row>
    <row r="72" ht="15.75" customHeight="1">
      <c r="A72" s="97"/>
      <c r="B72" s="85"/>
      <c r="C72" s="85"/>
      <c r="D72" s="85"/>
      <c r="E72" s="85"/>
      <c r="F72" s="86"/>
      <c r="G72" s="86"/>
      <c r="H72" s="86"/>
      <c r="I72" s="85"/>
      <c r="J72" s="85"/>
      <c r="K72" s="86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16"/>
      <c r="W72" s="16"/>
      <c r="X72" s="16"/>
    </row>
    <row r="73" ht="15.75" customHeight="1">
      <c r="A73" s="97"/>
      <c r="B73" s="85"/>
      <c r="C73" s="85"/>
      <c r="D73" s="85"/>
      <c r="E73" s="85"/>
      <c r="F73" s="86"/>
      <c r="G73" s="86"/>
      <c r="H73" s="86"/>
      <c r="I73" s="85"/>
      <c r="J73" s="85"/>
      <c r="K73" s="86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16"/>
      <c r="W73" s="16"/>
      <c r="X73" s="16"/>
    </row>
    <row r="74" ht="15.75" customHeight="1">
      <c r="A74" s="97"/>
      <c r="B74" s="85"/>
      <c r="C74" s="85"/>
      <c r="D74" s="85"/>
      <c r="E74" s="85"/>
      <c r="F74" s="86"/>
      <c r="G74" s="86"/>
      <c r="H74" s="86"/>
      <c r="I74" s="85"/>
      <c r="J74" s="85"/>
      <c r="K74" s="86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16"/>
      <c r="W74" s="16"/>
      <c r="X74" s="16"/>
    </row>
    <row r="75" ht="15.75" customHeight="1">
      <c r="A75" s="97"/>
      <c r="B75" s="85"/>
      <c r="C75" s="85"/>
      <c r="D75" s="85"/>
      <c r="E75" s="85"/>
      <c r="F75" s="86"/>
      <c r="G75" s="86"/>
      <c r="H75" s="86"/>
      <c r="I75" s="85"/>
      <c r="J75" s="85"/>
      <c r="K75" s="86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16"/>
      <c r="W75" s="16"/>
      <c r="X75" s="16"/>
    </row>
    <row r="76" ht="15.75" customHeight="1">
      <c r="A76" s="97"/>
      <c r="B76" s="85"/>
      <c r="C76" s="85"/>
      <c r="D76" s="85"/>
      <c r="E76" s="85"/>
      <c r="F76" s="86"/>
      <c r="G76" s="86"/>
      <c r="H76" s="86"/>
      <c r="I76" s="85"/>
      <c r="J76" s="85"/>
      <c r="K76" s="86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16"/>
      <c r="W76" s="16"/>
      <c r="X76" s="16"/>
    </row>
    <row r="77" ht="15.75" customHeight="1">
      <c r="A77" s="97"/>
      <c r="B77" s="85"/>
      <c r="C77" s="85"/>
      <c r="D77" s="85"/>
      <c r="E77" s="85"/>
      <c r="F77" s="86"/>
      <c r="G77" s="86"/>
      <c r="H77" s="86"/>
      <c r="I77" s="85"/>
      <c r="J77" s="85"/>
      <c r="K77" s="86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16"/>
      <c r="W77" s="16"/>
      <c r="X77" s="16"/>
    </row>
    <row r="78" ht="15.75" customHeight="1">
      <c r="A78" s="97"/>
      <c r="B78" s="85"/>
      <c r="C78" s="85"/>
      <c r="D78" s="85"/>
      <c r="E78" s="85"/>
      <c r="F78" s="86"/>
      <c r="G78" s="86"/>
      <c r="H78" s="86"/>
      <c r="I78" s="85"/>
      <c r="J78" s="85"/>
      <c r="K78" s="86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16"/>
      <c r="W78" s="16"/>
      <c r="X78" s="16"/>
    </row>
    <row r="79" ht="15.75" customHeight="1">
      <c r="A79" s="97"/>
      <c r="B79" s="85"/>
      <c r="C79" s="85"/>
      <c r="D79" s="85"/>
      <c r="E79" s="85"/>
      <c r="F79" s="86"/>
      <c r="G79" s="86"/>
      <c r="H79" s="86"/>
      <c r="I79" s="85"/>
      <c r="J79" s="85"/>
      <c r="K79" s="86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16"/>
      <c r="W79" s="16"/>
      <c r="X79" s="16"/>
    </row>
    <row r="80" ht="15.75" customHeight="1">
      <c r="A80" s="97"/>
      <c r="B80" s="85"/>
      <c r="C80" s="85"/>
      <c r="D80" s="85"/>
      <c r="E80" s="85"/>
      <c r="F80" s="86"/>
      <c r="G80" s="86"/>
      <c r="H80" s="86"/>
      <c r="I80" s="85"/>
      <c r="J80" s="85"/>
      <c r="K80" s="86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16"/>
      <c r="W80" s="16"/>
      <c r="X80" s="16"/>
    </row>
    <row r="81" ht="15.75" customHeight="1">
      <c r="A81" s="97"/>
      <c r="B81" s="85"/>
      <c r="C81" s="85"/>
      <c r="D81" s="85"/>
      <c r="E81" s="85"/>
      <c r="F81" s="86"/>
      <c r="G81" s="86"/>
      <c r="H81" s="86"/>
      <c r="I81" s="85"/>
      <c r="J81" s="85"/>
      <c r="K81" s="86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16"/>
      <c r="W81" s="16"/>
      <c r="X81" s="16"/>
    </row>
    <row r="82" ht="15.75" customHeight="1">
      <c r="A82" s="97"/>
      <c r="B82" s="85"/>
      <c r="C82" s="85"/>
      <c r="D82" s="85"/>
      <c r="E82" s="85"/>
      <c r="F82" s="86"/>
      <c r="G82" s="86"/>
      <c r="H82" s="86"/>
      <c r="I82" s="85"/>
      <c r="J82" s="85"/>
      <c r="K82" s="86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16"/>
      <c r="W82" s="16"/>
      <c r="X82" s="16"/>
    </row>
    <row r="83" ht="15.75" customHeight="1">
      <c r="A83" s="97"/>
      <c r="B83" s="85"/>
      <c r="C83" s="85"/>
      <c r="D83" s="85"/>
      <c r="E83" s="85"/>
      <c r="F83" s="86"/>
      <c r="G83" s="86"/>
      <c r="H83" s="86"/>
      <c r="I83" s="85"/>
      <c r="J83" s="85"/>
      <c r="K83" s="8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16"/>
      <c r="W83" s="16"/>
      <c r="X83" s="16"/>
    </row>
    <row r="84" ht="15.75" customHeight="1">
      <c r="A84" s="97"/>
      <c r="B84" s="85"/>
      <c r="C84" s="85"/>
      <c r="D84" s="85"/>
      <c r="E84" s="85"/>
      <c r="F84" s="86"/>
      <c r="G84" s="86"/>
      <c r="H84" s="86"/>
      <c r="I84" s="85"/>
      <c r="J84" s="85"/>
      <c r="K84" s="86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16"/>
      <c r="W84" s="16"/>
      <c r="X84" s="16"/>
    </row>
    <row r="85" ht="15.75" customHeight="1">
      <c r="A85" s="97"/>
      <c r="B85" s="85"/>
      <c r="C85" s="85"/>
      <c r="D85" s="85"/>
      <c r="E85" s="85"/>
      <c r="F85" s="86"/>
      <c r="G85" s="86"/>
      <c r="H85" s="86"/>
      <c r="I85" s="85"/>
      <c r="J85" s="85"/>
      <c r="K85" s="86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16"/>
      <c r="W85" s="16"/>
      <c r="X85" s="16"/>
    </row>
    <row r="86" ht="15.75" customHeight="1">
      <c r="A86" s="97"/>
      <c r="B86" s="85"/>
      <c r="C86" s="85"/>
      <c r="D86" s="85"/>
      <c r="E86" s="85"/>
      <c r="F86" s="86"/>
      <c r="G86" s="86"/>
      <c r="H86" s="86"/>
      <c r="I86" s="85"/>
      <c r="J86" s="85"/>
      <c r="K86" s="86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16"/>
      <c r="W86" s="16"/>
      <c r="X86" s="16"/>
    </row>
    <row r="87" ht="15.75" customHeight="1">
      <c r="A87" s="97"/>
      <c r="B87" s="85"/>
      <c r="C87" s="85"/>
      <c r="D87" s="85"/>
      <c r="E87" s="85"/>
      <c r="F87" s="86"/>
      <c r="G87" s="86"/>
      <c r="H87" s="86"/>
      <c r="I87" s="85"/>
      <c r="J87" s="85"/>
      <c r="K87" s="86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16"/>
      <c r="W87" s="16"/>
      <c r="X87" s="16"/>
    </row>
    <row r="88" ht="15.75" customHeight="1">
      <c r="A88" s="97"/>
      <c r="B88" s="85"/>
      <c r="C88" s="85"/>
      <c r="D88" s="85"/>
      <c r="E88" s="85"/>
      <c r="F88" s="86"/>
      <c r="G88" s="86"/>
      <c r="H88" s="86"/>
      <c r="I88" s="85"/>
      <c r="J88" s="85"/>
      <c r="K88" s="86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16"/>
      <c r="W88" s="16"/>
      <c r="X88" s="16"/>
    </row>
    <row r="89" ht="15.75" customHeight="1">
      <c r="A89" s="97"/>
      <c r="B89" s="85"/>
      <c r="C89" s="85"/>
      <c r="D89" s="85"/>
      <c r="E89" s="85"/>
      <c r="F89" s="86"/>
      <c r="G89" s="86"/>
      <c r="H89" s="86"/>
      <c r="I89" s="85"/>
      <c r="J89" s="85"/>
      <c r="K89" s="86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16"/>
      <c r="W89" s="16"/>
      <c r="X89" s="16"/>
    </row>
    <row r="90" ht="15.75" customHeight="1">
      <c r="A90" s="97"/>
      <c r="B90" s="85"/>
      <c r="C90" s="85"/>
      <c r="D90" s="85"/>
      <c r="E90" s="85"/>
      <c r="F90" s="86"/>
      <c r="G90" s="86"/>
      <c r="H90" s="86"/>
      <c r="I90" s="85"/>
      <c r="J90" s="85"/>
      <c r="K90" s="86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16"/>
      <c r="W90" s="16"/>
      <c r="X90" s="16"/>
    </row>
    <row r="91" ht="15.75" customHeight="1">
      <c r="A91" s="97"/>
      <c r="B91" s="85"/>
      <c r="C91" s="85"/>
      <c r="D91" s="85"/>
      <c r="E91" s="85"/>
      <c r="F91" s="86"/>
      <c r="G91" s="86"/>
      <c r="H91" s="86"/>
      <c r="I91" s="85"/>
      <c r="J91" s="85"/>
      <c r="K91" s="86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16"/>
      <c r="W91" s="16"/>
      <c r="X91" s="16"/>
    </row>
    <row r="92" ht="15.75" customHeight="1">
      <c r="A92" s="97"/>
      <c r="B92" s="85"/>
      <c r="C92" s="85"/>
      <c r="D92" s="85"/>
      <c r="E92" s="85"/>
      <c r="F92" s="86"/>
      <c r="G92" s="86"/>
      <c r="H92" s="86"/>
      <c r="I92" s="85"/>
      <c r="J92" s="85"/>
      <c r="K92" s="86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16"/>
      <c r="W92" s="16"/>
      <c r="X92" s="16"/>
    </row>
    <row r="93" ht="15.75" customHeight="1">
      <c r="A93" s="97"/>
      <c r="B93" s="85"/>
      <c r="C93" s="85"/>
      <c r="D93" s="85"/>
      <c r="E93" s="85"/>
      <c r="F93" s="86"/>
      <c r="G93" s="86"/>
      <c r="H93" s="86"/>
      <c r="I93" s="85"/>
      <c r="J93" s="85"/>
      <c r="K93" s="86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16"/>
      <c r="W93" s="16"/>
      <c r="X93" s="16"/>
    </row>
    <row r="94" ht="15.75" customHeight="1">
      <c r="A94" s="97"/>
      <c r="B94" s="85"/>
      <c r="C94" s="85"/>
      <c r="D94" s="85"/>
      <c r="E94" s="85"/>
      <c r="F94" s="86"/>
      <c r="G94" s="86"/>
      <c r="H94" s="86"/>
      <c r="I94" s="85"/>
      <c r="J94" s="85"/>
      <c r="K94" s="86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16"/>
      <c r="W94" s="16"/>
      <c r="X94" s="16"/>
    </row>
    <row r="95" ht="15.75" customHeight="1">
      <c r="A95" s="97"/>
      <c r="B95" s="85"/>
      <c r="C95" s="85"/>
      <c r="D95" s="85"/>
      <c r="E95" s="85"/>
      <c r="F95" s="86"/>
      <c r="G95" s="86"/>
      <c r="H95" s="86"/>
      <c r="I95" s="85"/>
      <c r="J95" s="85"/>
      <c r="K95" s="86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16"/>
      <c r="W95" s="16"/>
      <c r="X95" s="16"/>
    </row>
    <row r="96" ht="15.75" customHeight="1">
      <c r="A96" s="97"/>
      <c r="B96" s="85"/>
      <c r="C96" s="85"/>
      <c r="D96" s="85"/>
      <c r="E96" s="85"/>
      <c r="F96" s="86"/>
      <c r="G96" s="86"/>
      <c r="H96" s="86"/>
      <c r="I96" s="85"/>
      <c r="J96" s="85"/>
      <c r="K96" s="86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16"/>
      <c r="W96" s="16"/>
      <c r="X96" s="16"/>
    </row>
    <row r="97" ht="15.75" customHeight="1">
      <c r="A97" s="97"/>
      <c r="B97" s="85"/>
      <c r="C97" s="85"/>
      <c r="D97" s="85"/>
      <c r="E97" s="85"/>
      <c r="F97" s="86"/>
      <c r="G97" s="86"/>
      <c r="H97" s="86"/>
      <c r="I97" s="85"/>
      <c r="J97" s="85"/>
      <c r="K97" s="86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16"/>
      <c r="W97" s="16"/>
      <c r="X97" s="16"/>
    </row>
    <row r="98" ht="15.75" customHeight="1">
      <c r="A98" s="97"/>
      <c r="B98" s="85"/>
      <c r="C98" s="85"/>
      <c r="D98" s="85"/>
      <c r="E98" s="85"/>
      <c r="F98" s="86"/>
      <c r="G98" s="86"/>
      <c r="H98" s="86"/>
      <c r="I98" s="85"/>
      <c r="J98" s="85"/>
      <c r="K98" s="86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16"/>
      <c r="W98" s="16"/>
      <c r="X98" s="16"/>
    </row>
    <row r="99" ht="15.75" customHeight="1">
      <c r="A99" s="97"/>
      <c r="B99" s="85"/>
      <c r="C99" s="85"/>
      <c r="D99" s="85"/>
      <c r="E99" s="85"/>
      <c r="F99" s="86"/>
      <c r="G99" s="86"/>
      <c r="H99" s="86"/>
      <c r="I99" s="85"/>
      <c r="J99" s="85"/>
      <c r="K99" s="86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16"/>
      <c r="W99" s="16"/>
      <c r="X99" s="16"/>
    </row>
    <row r="100" ht="15.75" customHeight="1">
      <c r="A100" s="97"/>
      <c r="B100" s="85"/>
      <c r="C100" s="85"/>
      <c r="D100" s="85"/>
      <c r="E100" s="85"/>
      <c r="F100" s="86"/>
      <c r="G100" s="86"/>
      <c r="H100" s="86"/>
      <c r="I100" s="85"/>
      <c r="J100" s="85"/>
      <c r="K100" s="86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16"/>
      <c r="W100" s="16"/>
      <c r="X100" s="16"/>
    </row>
    <row r="101" ht="15.75" customHeight="1">
      <c r="A101" s="97"/>
      <c r="B101" s="85"/>
      <c r="C101" s="85"/>
      <c r="D101" s="85"/>
      <c r="E101" s="85"/>
      <c r="F101" s="86"/>
      <c r="G101" s="86"/>
      <c r="H101" s="86"/>
      <c r="I101" s="85"/>
      <c r="J101" s="85"/>
      <c r="K101" s="86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16"/>
      <c r="W101" s="16"/>
      <c r="X101" s="16"/>
    </row>
    <row r="102" ht="15.75" customHeight="1">
      <c r="A102" s="97"/>
      <c r="B102" s="85"/>
      <c r="C102" s="85"/>
      <c r="D102" s="85"/>
      <c r="E102" s="85"/>
      <c r="F102" s="86"/>
      <c r="G102" s="86"/>
      <c r="H102" s="86"/>
      <c r="I102" s="85"/>
      <c r="J102" s="85"/>
      <c r="K102" s="86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16"/>
      <c r="W102" s="16"/>
      <c r="X102" s="16"/>
    </row>
    <row r="103" ht="15.75" customHeight="1">
      <c r="A103" s="97"/>
      <c r="B103" s="85"/>
      <c r="C103" s="85"/>
      <c r="D103" s="85"/>
      <c r="E103" s="85"/>
      <c r="F103" s="86"/>
      <c r="G103" s="86"/>
      <c r="H103" s="86"/>
      <c r="I103" s="85"/>
      <c r="J103" s="85"/>
      <c r="K103" s="86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16"/>
      <c r="W103" s="16"/>
      <c r="X103" s="16"/>
    </row>
    <row r="104" ht="15.75" customHeight="1">
      <c r="A104" s="97"/>
      <c r="B104" s="85"/>
      <c r="C104" s="85"/>
      <c r="D104" s="85"/>
      <c r="E104" s="85"/>
      <c r="F104" s="86"/>
      <c r="G104" s="86"/>
      <c r="H104" s="86"/>
      <c r="I104" s="85"/>
      <c r="J104" s="85"/>
      <c r="K104" s="86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16"/>
      <c r="W104" s="16"/>
      <c r="X104" s="16"/>
    </row>
    <row r="105" ht="15.75" customHeight="1">
      <c r="A105" s="97"/>
      <c r="B105" s="85"/>
      <c r="C105" s="85"/>
      <c r="D105" s="85"/>
      <c r="E105" s="85"/>
      <c r="F105" s="86"/>
      <c r="G105" s="86"/>
      <c r="H105" s="86"/>
      <c r="I105" s="85"/>
      <c r="J105" s="85"/>
      <c r="K105" s="86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16"/>
      <c r="W105" s="16"/>
      <c r="X105" s="16"/>
    </row>
    <row r="106" ht="15.75" customHeight="1">
      <c r="A106" s="97"/>
      <c r="B106" s="85"/>
      <c r="C106" s="85"/>
      <c r="D106" s="85"/>
      <c r="E106" s="85"/>
      <c r="F106" s="86"/>
      <c r="G106" s="86"/>
      <c r="H106" s="86"/>
      <c r="I106" s="85"/>
      <c r="J106" s="85"/>
      <c r="K106" s="86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16"/>
      <c r="W106" s="16"/>
      <c r="X106" s="16"/>
    </row>
    <row r="107" ht="15.75" customHeight="1">
      <c r="A107" s="97"/>
      <c r="B107" s="85"/>
      <c r="C107" s="85"/>
      <c r="D107" s="85"/>
      <c r="E107" s="85"/>
      <c r="F107" s="86"/>
      <c r="G107" s="86"/>
      <c r="H107" s="86"/>
      <c r="I107" s="85"/>
      <c r="J107" s="85"/>
      <c r="K107" s="86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16"/>
      <c r="W107" s="16"/>
      <c r="X107" s="16"/>
    </row>
    <row r="108" ht="15.75" customHeight="1">
      <c r="A108" s="97"/>
      <c r="B108" s="85"/>
      <c r="C108" s="85"/>
      <c r="D108" s="85"/>
      <c r="E108" s="85"/>
      <c r="F108" s="86"/>
      <c r="G108" s="86"/>
      <c r="H108" s="86"/>
      <c r="I108" s="85"/>
      <c r="J108" s="85"/>
      <c r="K108" s="86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16"/>
      <c r="W108" s="16"/>
      <c r="X108" s="16"/>
    </row>
    <row r="109" ht="15.75" customHeight="1">
      <c r="A109" s="97"/>
      <c r="B109" s="85"/>
      <c r="C109" s="85"/>
      <c r="D109" s="85"/>
      <c r="E109" s="85"/>
      <c r="F109" s="86"/>
      <c r="G109" s="86"/>
      <c r="H109" s="86"/>
      <c r="I109" s="85"/>
      <c r="J109" s="85"/>
      <c r="K109" s="86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16"/>
      <c r="W109" s="16"/>
      <c r="X109" s="16"/>
    </row>
    <row r="110" ht="15.75" customHeight="1">
      <c r="A110" s="97"/>
      <c r="B110" s="85"/>
      <c r="C110" s="85"/>
      <c r="D110" s="85"/>
      <c r="E110" s="85"/>
      <c r="F110" s="86"/>
      <c r="G110" s="86"/>
      <c r="H110" s="86"/>
      <c r="I110" s="85"/>
      <c r="J110" s="85"/>
      <c r="K110" s="86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16"/>
      <c r="W110" s="16"/>
      <c r="X110" s="16"/>
    </row>
    <row r="111" ht="15.75" customHeight="1">
      <c r="A111" s="97"/>
      <c r="B111" s="85"/>
      <c r="C111" s="85"/>
      <c r="D111" s="85"/>
      <c r="E111" s="85"/>
      <c r="F111" s="86"/>
      <c r="G111" s="86"/>
      <c r="H111" s="86"/>
      <c r="I111" s="85"/>
      <c r="J111" s="85"/>
      <c r="K111" s="86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16"/>
      <c r="W111" s="16"/>
      <c r="X111" s="16"/>
    </row>
    <row r="112" ht="15.75" customHeight="1">
      <c r="A112" s="97"/>
      <c r="B112" s="85"/>
      <c r="C112" s="85"/>
      <c r="D112" s="85"/>
      <c r="E112" s="85"/>
      <c r="F112" s="86"/>
      <c r="G112" s="86"/>
      <c r="H112" s="86"/>
      <c r="I112" s="85"/>
      <c r="J112" s="85"/>
      <c r="K112" s="86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16"/>
      <c r="W112" s="16"/>
      <c r="X112" s="16"/>
    </row>
    <row r="113" ht="15.75" customHeight="1">
      <c r="A113" s="97"/>
      <c r="B113" s="85"/>
      <c r="C113" s="85"/>
      <c r="D113" s="85"/>
      <c r="E113" s="85"/>
      <c r="F113" s="86"/>
      <c r="G113" s="86"/>
      <c r="H113" s="86"/>
      <c r="I113" s="85"/>
      <c r="J113" s="85"/>
      <c r="K113" s="86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16"/>
      <c r="W113" s="16"/>
      <c r="X113" s="16"/>
    </row>
    <row r="114" ht="15.75" customHeight="1">
      <c r="A114" s="97"/>
      <c r="B114" s="85"/>
      <c r="C114" s="85"/>
      <c r="D114" s="85"/>
      <c r="E114" s="85"/>
      <c r="F114" s="86"/>
      <c r="G114" s="86"/>
      <c r="H114" s="86"/>
      <c r="I114" s="85"/>
      <c r="J114" s="85"/>
      <c r="K114" s="86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16"/>
      <c r="W114" s="16"/>
      <c r="X114" s="16"/>
    </row>
    <row r="115" ht="15.75" customHeight="1">
      <c r="A115" s="97"/>
      <c r="B115" s="85"/>
      <c r="C115" s="85"/>
      <c r="D115" s="85"/>
      <c r="E115" s="85"/>
      <c r="F115" s="86"/>
      <c r="G115" s="86"/>
      <c r="H115" s="86"/>
      <c r="I115" s="85"/>
      <c r="J115" s="85"/>
      <c r="K115" s="86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16"/>
      <c r="W115" s="16"/>
      <c r="X115" s="16"/>
    </row>
    <row r="116" ht="15.75" customHeight="1">
      <c r="A116" s="97"/>
      <c r="B116" s="85"/>
      <c r="C116" s="85"/>
      <c r="D116" s="85"/>
      <c r="E116" s="85"/>
      <c r="F116" s="86"/>
      <c r="G116" s="86"/>
      <c r="H116" s="86"/>
      <c r="I116" s="85"/>
      <c r="J116" s="85"/>
      <c r="K116" s="86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16"/>
      <c r="W116" s="16"/>
      <c r="X116" s="16"/>
    </row>
    <row r="117" ht="15.75" customHeight="1">
      <c r="A117" s="97"/>
      <c r="B117" s="85"/>
      <c r="C117" s="85"/>
      <c r="D117" s="85"/>
      <c r="E117" s="85"/>
      <c r="F117" s="86"/>
      <c r="G117" s="86"/>
      <c r="H117" s="86"/>
      <c r="I117" s="85"/>
      <c r="J117" s="85"/>
      <c r="K117" s="86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16"/>
      <c r="W117" s="16"/>
      <c r="X117" s="16"/>
    </row>
    <row r="118" ht="15.75" customHeight="1">
      <c r="A118" s="97"/>
      <c r="B118" s="85"/>
      <c r="C118" s="85"/>
      <c r="D118" s="85"/>
      <c r="E118" s="85"/>
      <c r="F118" s="86"/>
      <c r="G118" s="86"/>
      <c r="H118" s="86"/>
      <c r="I118" s="85"/>
      <c r="J118" s="85"/>
      <c r="K118" s="86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16"/>
      <c r="W118" s="16"/>
      <c r="X118" s="16"/>
    </row>
    <row r="119" ht="15.75" customHeight="1">
      <c r="A119" s="97"/>
      <c r="B119" s="85"/>
      <c r="C119" s="85"/>
      <c r="D119" s="85"/>
      <c r="E119" s="85"/>
      <c r="F119" s="86"/>
      <c r="G119" s="86"/>
      <c r="H119" s="86"/>
      <c r="I119" s="85"/>
      <c r="J119" s="85"/>
      <c r="K119" s="86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16"/>
      <c r="W119" s="16"/>
      <c r="X119" s="16"/>
    </row>
    <row r="120" ht="15.75" customHeight="1">
      <c r="A120" s="97"/>
      <c r="B120" s="85"/>
      <c r="C120" s="85"/>
      <c r="D120" s="85"/>
      <c r="E120" s="85"/>
      <c r="F120" s="86"/>
      <c r="G120" s="86"/>
      <c r="H120" s="86"/>
      <c r="I120" s="85"/>
      <c r="J120" s="85"/>
      <c r="K120" s="86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16"/>
      <c r="W120" s="16"/>
      <c r="X120" s="16"/>
    </row>
    <row r="121" ht="15.75" customHeight="1">
      <c r="A121" s="97"/>
      <c r="B121" s="85"/>
      <c r="C121" s="85"/>
      <c r="D121" s="85"/>
      <c r="E121" s="85"/>
      <c r="F121" s="86"/>
      <c r="G121" s="86"/>
      <c r="H121" s="86"/>
      <c r="I121" s="85"/>
      <c r="J121" s="85"/>
      <c r="K121" s="86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16"/>
      <c r="W121" s="16"/>
      <c r="X121" s="16"/>
    </row>
    <row r="122" ht="15.75" customHeight="1">
      <c r="A122" s="97"/>
      <c r="B122" s="85"/>
      <c r="C122" s="85"/>
      <c r="D122" s="85"/>
      <c r="E122" s="85"/>
      <c r="F122" s="86"/>
      <c r="G122" s="86"/>
      <c r="H122" s="86"/>
      <c r="I122" s="85"/>
      <c r="J122" s="85"/>
      <c r="K122" s="86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16"/>
      <c r="W122" s="16"/>
      <c r="X122" s="16"/>
    </row>
    <row r="123" ht="15.75" customHeight="1">
      <c r="A123" s="97"/>
      <c r="B123" s="85"/>
      <c r="C123" s="85"/>
      <c r="D123" s="85"/>
      <c r="E123" s="85"/>
      <c r="F123" s="86"/>
      <c r="G123" s="86"/>
      <c r="H123" s="86"/>
      <c r="I123" s="85"/>
      <c r="J123" s="85"/>
      <c r="K123" s="86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16"/>
      <c r="W123" s="16"/>
      <c r="X123" s="16"/>
    </row>
    <row r="124" ht="15.75" customHeight="1">
      <c r="A124" s="97"/>
      <c r="B124" s="85"/>
      <c r="C124" s="85"/>
      <c r="D124" s="85"/>
      <c r="E124" s="85"/>
      <c r="F124" s="86"/>
      <c r="G124" s="86"/>
      <c r="H124" s="86"/>
      <c r="I124" s="85"/>
      <c r="J124" s="85"/>
      <c r="K124" s="86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16"/>
      <c r="W124" s="16"/>
      <c r="X124" s="16"/>
    </row>
    <row r="125" ht="15.75" customHeight="1">
      <c r="A125" s="97"/>
      <c r="B125" s="85"/>
      <c r="C125" s="85"/>
      <c r="D125" s="85"/>
      <c r="E125" s="85"/>
      <c r="F125" s="86"/>
      <c r="G125" s="86"/>
      <c r="H125" s="86"/>
      <c r="I125" s="85"/>
      <c r="J125" s="85"/>
      <c r="K125" s="86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16"/>
      <c r="W125" s="16"/>
      <c r="X125" s="16"/>
    </row>
    <row r="126" ht="15.75" customHeight="1">
      <c r="A126" s="97"/>
      <c r="B126" s="85"/>
      <c r="C126" s="85"/>
      <c r="D126" s="85"/>
      <c r="E126" s="85"/>
      <c r="F126" s="86"/>
      <c r="G126" s="86"/>
      <c r="H126" s="86"/>
      <c r="I126" s="85"/>
      <c r="J126" s="85"/>
      <c r="K126" s="86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16"/>
      <c r="W126" s="16"/>
      <c r="X126" s="16"/>
    </row>
    <row r="127" ht="15.75" customHeight="1">
      <c r="A127" s="97"/>
      <c r="B127" s="85"/>
      <c r="C127" s="85"/>
      <c r="D127" s="85"/>
      <c r="E127" s="85"/>
      <c r="F127" s="86"/>
      <c r="G127" s="86"/>
      <c r="H127" s="86"/>
      <c r="I127" s="85"/>
      <c r="J127" s="85"/>
      <c r="K127" s="86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16"/>
      <c r="W127" s="16"/>
      <c r="X127" s="16"/>
    </row>
    <row r="128" ht="15.75" customHeight="1">
      <c r="A128" s="97"/>
      <c r="B128" s="85"/>
      <c r="C128" s="85"/>
      <c r="D128" s="85"/>
      <c r="E128" s="85"/>
      <c r="F128" s="86"/>
      <c r="G128" s="86"/>
      <c r="H128" s="86"/>
      <c r="I128" s="85"/>
      <c r="J128" s="85"/>
      <c r="K128" s="86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16"/>
      <c r="W128" s="16"/>
      <c r="X128" s="16"/>
    </row>
    <row r="129" ht="15.75" customHeight="1">
      <c r="A129" s="97"/>
      <c r="B129" s="85"/>
      <c r="C129" s="85"/>
      <c r="D129" s="85"/>
      <c r="E129" s="85"/>
      <c r="F129" s="86"/>
      <c r="G129" s="86"/>
      <c r="H129" s="86"/>
      <c r="I129" s="85"/>
      <c r="J129" s="85"/>
      <c r="K129" s="86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16"/>
      <c r="W129" s="16"/>
      <c r="X129" s="16"/>
    </row>
    <row r="130" ht="15.75" customHeight="1">
      <c r="A130" s="97"/>
      <c r="B130" s="85"/>
      <c r="C130" s="85"/>
      <c r="D130" s="85"/>
      <c r="E130" s="85"/>
      <c r="F130" s="86"/>
      <c r="G130" s="86"/>
      <c r="H130" s="86"/>
      <c r="I130" s="85"/>
      <c r="J130" s="85"/>
      <c r="K130" s="86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16"/>
      <c r="W130" s="16"/>
      <c r="X130" s="16"/>
    </row>
    <row r="131" ht="15.75" customHeight="1">
      <c r="A131" s="97"/>
      <c r="B131" s="85"/>
      <c r="C131" s="85"/>
      <c r="D131" s="85"/>
      <c r="E131" s="85"/>
      <c r="F131" s="86"/>
      <c r="G131" s="86"/>
      <c r="H131" s="86"/>
      <c r="I131" s="85"/>
      <c r="J131" s="85"/>
      <c r="K131" s="86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16"/>
      <c r="W131" s="16"/>
      <c r="X131" s="16"/>
    </row>
    <row r="132" ht="15.75" customHeight="1">
      <c r="A132" s="97"/>
      <c r="B132" s="85"/>
      <c r="C132" s="85"/>
      <c r="D132" s="85"/>
      <c r="E132" s="85"/>
      <c r="F132" s="86"/>
      <c r="G132" s="86"/>
      <c r="H132" s="86"/>
      <c r="I132" s="85"/>
      <c r="J132" s="85"/>
      <c r="K132" s="86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16"/>
      <c r="W132" s="16"/>
      <c r="X132" s="16"/>
    </row>
    <row r="133" ht="15.75" customHeight="1">
      <c r="A133" s="97"/>
      <c r="B133" s="85"/>
      <c r="C133" s="85"/>
      <c r="D133" s="85"/>
      <c r="E133" s="85"/>
      <c r="F133" s="86"/>
      <c r="G133" s="86"/>
      <c r="H133" s="86"/>
      <c r="I133" s="85"/>
      <c r="J133" s="85"/>
      <c r="K133" s="86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16"/>
      <c r="W133" s="16"/>
      <c r="X133" s="16"/>
    </row>
    <row r="134" ht="15.75" customHeight="1">
      <c r="A134" s="97"/>
      <c r="B134" s="85"/>
      <c r="C134" s="85"/>
      <c r="D134" s="85"/>
      <c r="E134" s="85"/>
      <c r="F134" s="86"/>
      <c r="G134" s="86"/>
      <c r="H134" s="86"/>
      <c r="I134" s="85"/>
      <c r="J134" s="85"/>
      <c r="K134" s="86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16"/>
      <c r="W134" s="16"/>
      <c r="X134" s="16"/>
    </row>
    <row r="135" ht="15.75" customHeight="1">
      <c r="A135" s="97"/>
      <c r="B135" s="85"/>
      <c r="C135" s="85"/>
      <c r="D135" s="85"/>
      <c r="E135" s="85"/>
      <c r="F135" s="86"/>
      <c r="G135" s="86"/>
      <c r="H135" s="86"/>
      <c r="I135" s="85"/>
      <c r="J135" s="85"/>
      <c r="K135" s="86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16"/>
      <c r="W135" s="16"/>
      <c r="X135" s="16"/>
    </row>
    <row r="136" ht="15.75" customHeight="1">
      <c r="A136" s="97"/>
      <c r="B136" s="85"/>
      <c r="C136" s="85"/>
      <c r="D136" s="85"/>
      <c r="E136" s="85"/>
      <c r="F136" s="86"/>
      <c r="G136" s="86"/>
      <c r="H136" s="86"/>
      <c r="I136" s="85"/>
      <c r="J136" s="85"/>
      <c r="K136" s="86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16"/>
      <c r="W136" s="16"/>
      <c r="X136" s="16"/>
    </row>
    <row r="137" ht="15.75" customHeight="1">
      <c r="A137" s="97"/>
      <c r="B137" s="85"/>
      <c r="C137" s="85"/>
      <c r="D137" s="85"/>
      <c r="E137" s="85"/>
      <c r="F137" s="86"/>
      <c r="G137" s="86"/>
      <c r="H137" s="86"/>
      <c r="I137" s="85"/>
      <c r="J137" s="85"/>
      <c r="K137" s="86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16"/>
      <c r="W137" s="16"/>
      <c r="X137" s="16"/>
    </row>
    <row r="138" ht="15.75" customHeight="1">
      <c r="A138" s="97"/>
      <c r="B138" s="85"/>
      <c r="C138" s="85"/>
      <c r="D138" s="85"/>
      <c r="E138" s="85"/>
      <c r="F138" s="86"/>
      <c r="G138" s="86"/>
      <c r="H138" s="86"/>
      <c r="I138" s="85"/>
      <c r="J138" s="85"/>
      <c r="K138" s="86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16"/>
      <c r="W138" s="16"/>
      <c r="X138" s="16"/>
    </row>
    <row r="139" ht="15.75" customHeight="1">
      <c r="A139" s="97"/>
      <c r="B139" s="85"/>
      <c r="C139" s="85"/>
      <c r="D139" s="85"/>
      <c r="E139" s="85"/>
      <c r="F139" s="86"/>
      <c r="G139" s="86"/>
      <c r="H139" s="86"/>
      <c r="I139" s="85"/>
      <c r="J139" s="85"/>
      <c r="K139" s="86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16"/>
      <c r="W139" s="16"/>
      <c r="X139" s="16"/>
    </row>
    <row r="140" ht="15.75" customHeight="1">
      <c r="A140" s="97"/>
      <c r="B140" s="85"/>
      <c r="C140" s="85"/>
      <c r="D140" s="85"/>
      <c r="E140" s="85"/>
      <c r="F140" s="86"/>
      <c r="G140" s="86"/>
      <c r="H140" s="86"/>
      <c r="I140" s="85"/>
      <c r="J140" s="85"/>
      <c r="K140" s="86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16"/>
      <c r="W140" s="16"/>
      <c r="X140" s="16"/>
    </row>
    <row r="141" ht="15.75" customHeight="1">
      <c r="A141" s="97"/>
      <c r="B141" s="85"/>
      <c r="C141" s="85"/>
      <c r="D141" s="85"/>
      <c r="E141" s="85"/>
      <c r="F141" s="86"/>
      <c r="G141" s="86"/>
      <c r="H141" s="86"/>
      <c r="I141" s="85"/>
      <c r="J141" s="85"/>
      <c r="K141" s="86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16"/>
      <c r="W141" s="16"/>
      <c r="X141" s="16"/>
    </row>
    <row r="142" ht="15.75" customHeight="1">
      <c r="A142" s="97"/>
      <c r="B142" s="85"/>
      <c r="C142" s="85"/>
      <c r="D142" s="85"/>
      <c r="E142" s="85"/>
      <c r="F142" s="86"/>
      <c r="G142" s="86"/>
      <c r="H142" s="86"/>
      <c r="I142" s="85"/>
      <c r="J142" s="85"/>
      <c r="K142" s="86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16"/>
      <c r="W142" s="16"/>
      <c r="X142" s="16"/>
    </row>
    <row r="143" ht="15.75" customHeight="1">
      <c r="A143" s="97"/>
      <c r="B143" s="85"/>
      <c r="C143" s="85"/>
      <c r="D143" s="85"/>
      <c r="E143" s="85"/>
      <c r="F143" s="86"/>
      <c r="G143" s="86"/>
      <c r="H143" s="86"/>
      <c r="I143" s="85"/>
      <c r="J143" s="85"/>
      <c r="K143" s="86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16"/>
      <c r="W143" s="16"/>
      <c r="X143" s="16"/>
    </row>
    <row r="144" ht="15.75" customHeight="1">
      <c r="A144" s="97"/>
      <c r="B144" s="85"/>
      <c r="C144" s="85"/>
      <c r="D144" s="85"/>
      <c r="E144" s="85"/>
      <c r="F144" s="86"/>
      <c r="G144" s="86"/>
      <c r="H144" s="86"/>
      <c r="I144" s="85"/>
      <c r="J144" s="85"/>
      <c r="K144" s="86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16"/>
      <c r="W144" s="16"/>
      <c r="X144" s="16"/>
    </row>
    <row r="145" ht="15.75" customHeight="1">
      <c r="A145" s="97"/>
      <c r="B145" s="85"/>
      <c r="C145" s="85"/>
      <c r="D145" s="85"/>
      <c r="E145" s="85"/>
      <c r="F145" s="86"/>
      <c r="G145" s="86"/>
      <c r="H145" s="86"/>
      <c r="I145" s="85"/>
      <c r="J145" s="85"/>
      <c r="K145" s="86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16"/>
      <c r="W145" s="16"/>
      <c r="X145" s="16"/>
    </row>
    <row r="146" ht="15.75" customHeight="1">
      <c r="A146" s="97"/>
      <c r="B146" s="85"/>
      <c r="C146" s="85"/>
      <c r="D146" s="85"/>
      <c r="E146" s="85"/>
      <c r="F146" s="86"/>
      <c r="G146" s="86"/>
      <c r="H146" s="86"/>
      <c r="I146" s="85"/>
      <c r="J146" s="85"/>
      <c r="K146" s="86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16"/>
      <c r="W146" s="16"/>
      <c r="X146" s="16"/>
    </row>
    <row r="147" ht="15.75" customHeight="1">
      <c r="A147" s="97"/>
      <c r="B147" s="85"/>
      <c r="C147" s="85"/>
      <c r="D147" s="85"/>
      <c r="E147" s="85"/>
      <c r="F147" s="86"/>
      <c r="G147" s="86"/>
      <c r="H147" s="86"/>
      <c r="I147" s="85"/>
      <c r="J147" s="85"/>
      <c r="K147" s="86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16"/>
      <c r="W147" s="16"/>
      <c r="X147" s="16"/>
    </row>
    <row r="148" ht="15.75" customHeight="1">
      <c r="A148" s="97"/>
      <c r="B148" s="85"/>
      <c r="C148" s="85"/>
      <c r="D148" s="85"/>
      <c r="E148" s="85"/>
      <c r="F148" s="86"/>
      <c r="G148" s="86"/>
      <c r="H148" s="86"/>
      <c r="I148" s="85"/>
      <c r="J148" s="85"/>
      <c r="K148" s="86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16"/>
      <c r="W148" s="16"/>
      <c r="X148" s="16"/>
    </row>
    <row r="149" ht="15.75" customHeight="1">
      <c r="A149" s="97"/>
      <c r="B149" s="85"/>
      <c r="C149" s="85"/>
      <c r="D149" s="85"/>
      <c r="E149" s="85"/>
      <c r="F149" s="86"/>
      <c r="G149" s="86"/>
      <c r="H149" s="86"/>
      <c r="I149" s="85"/>
      <c r="J149" s="85"/>
      <c r="K149" s="86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16"/>
      <c r="W149" s="16"/>
      <c r="X149" s="16"/>
    </row>
    <row r="150" ht="15.75" customHeight="1">
      <c r="A150" s="97"/>
      <c r="B150" s="85"/>
      <c r="C150" s="85"/>
      <c r="D150" s="85"/>
      <c r="E150" s="85"/>
      <c r="F150" s="86"/>
      <c r="G150" s="86"/>
      <c r="H150" s="86"/>
      <c r="I150" s="85"/>
      <c r="J150" s="85"/>
      <c r="K150" s="86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16"/>
      <c r="W150" s="16"/>
      <c r="X150" s="16"/>
    </row>
    <row r="151" ht="15.75" customHeight="1">
      <c r="A151" s="97"/>
      <c r="B151" s="85"/>
      <c r="C151" s="85"/>
      <c r="D151" s="85"/>
      <c r="E151" s="85"/>
      <c r="F151" s="86"/>
      <c r="G151" s="86"/>
      <c r="H151" s="86"/>
      <c r="I151" s="85"/>
      <c r="J151" s="85"/>
      <c r="K151" s="86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16"/>
      <c r="W151" s="16"/>
      <c r="X151" s="16"/>
    </row>
    <row r="152" ht="15.75" customHeight="1">
      <c r="A152" s="97"/>
      <c r="B152" s="85"/>
      <c r="C152" s="85"/>
      <c r="D152" s="85"/>
      <c r="E152" s="85"/>
      <c r="F152" s="86"/>
      <c r="G152" s="86"/>
      <c r="H152" s="86"/>
      <c r="I152" s="85"/>
      <c r="J152" s="85"/>
      <c r="K152" s="86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16"/>
      <c r="W152" s="16"/>
      <c r="X152" s="16"/>
    </row>
    <row r="153" ht="15.75" customHeight="1">
      <c r="A153" s="97"/>
      <c r="B153" s="85"/>
      <c r="C153" s="85"/>
      <c r="D153" s="85"/>
      <c r="E153" s="85"/>
      <c r="F153" s="86"/>
      <c r="G153" s="86"/>
      <c r="H153" s="86"/>
      <c r="I153" s="85"/>
      <c r="J153" s="85"/>
      <c r="K153" s="86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16"/>
      <c r="W153" s="16"/>
      <c r="X153" s="16"/>
    </row>
    <row r="154" ht="15.75" customHeight="1">
      <c r="A154" s="97"/>
      <c r="B154" s="85"/>
      <c r="C154" s="85"/>
      <c r="D154" s="85"/>
      <c r="E154" s="85"/>
      <c r="F154" s="86"/>
      <c r="G154" s="86"/>
      <c r="H154" s="86"/>
      <c r="I154" s="85"/>
      <c r="J154" s="85"/>
      <c r="K154" s="86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16"/>
      <c r="W154" s="16"/>
      <c r="X154" s="16"/>
    </row>
    <row r="155" ht="15.75" customHeight="1">
      <c r="A155" s="97"/>
      <c r="B155" s="85"/>
      <c r="C155" s="85"/>
      <c r="D155" s="85"/>
      <c r="E155" s="85"/>
      <c r="F155" s="86"/>
      <c r="G155" s="86"/>
      <c r="H155" s="86"/>
      <c r="I155" s="85"/>
      <c r="J155" s="85"/>
      <c r="K155" s="86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16"/>
      <c r="W155" s="16"/>
      <c r="X155" s="16"/>
    </row>
    <row r="156" ht="15.75" customHeight="1">
      <c r="A156" s="97"/>
      <c r="B156" s="85"/>
      <c r="C156" s="85"/>
      <c r="D156" s="85"/>
      <c r="E156" s="85"/>
      <c r="F156" s="86"/>
      <c r="G156" s="86"/>
      <c r="H156" s="86"/>
      <c r="I156" s="85"/>
      <c r="J156" s="85"/>
      <c r="K156" s="86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16"/>
      <c r="W156" s="16"/>
      <c r="X156" s="16"/>
    </row>
    <row r="157" ht="15.75" customHeight="1">
      <c r="A157" s="97"/>
      <c r="B157" s="85"/>
      <c r="C157" s="85"/>
      <c r="D157" s="85"/>
      <c r="E157" s="85"/>
      <c r="F157" s="86"/>
      <c r="G157" s="86"/>
      <c r="H157" s="86"/>
      <c r="I157" s="85"/>
      <c r="J157" s="85"/>
      <c r="K157" s="86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16"/>
      <c r="W157" s="16"/>
      <c r="X157" s="16"/>
    </row>
    <row r="158" ht="15.75" customHeight="1">
      <c r="A158" s="97"/>
      <c r="B158" s="85"/>
      <c r="C158" s="85"/>
      <c r="D158" s="85"/>
      <c r="E158" s="85"/>
      <c r="F158" s="86"/>
      <c r="G158" s="86"/>
      <c r="H158" s="86"/>
      <c r="I158" s="85"/>
      <c r="J158" s="85"/>
      <c r="K158" s="86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16"/>
      <c r="W158" s="16"/>
      <c r="X158" s="16"/>
    </row>
    <row r="159" ht="15.75" customHeight="1">
      <c r="A159" s="97"/>
      <c r="B159" s="85"/>
      <c r="C159" s="85"/>
      <c r="D159" s="85"/>
      <c r="E159" s="85"/>
      <c r="F159" s="86"/>
      <c r="G159" s="86"/>
      <c r="H159" s="86"/>
      <c r="I159" s="85"/>
      <c r="J159" s="85"/>
      <c r="K159" s="86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16"/>
      <c r="W159" s="16"/>
      <c r="X159" s="16"/>
    </row>
    <row r="160" ht="15.75" customHeight="1">
      <c r="A160" s="97"/>
      <c r="B160" s="85"/>
      <c r="C160" s="85"/>
      <c r="D160" s="85"/>
      <c r="E160" s="85"/>
      <c r="F160" s="86"/>
      <c r="G160" s="86"/>
      <c r="H160" s="86"/>
      <c r="I160" s="85"/>
      <c r="J160" s="85"/>
      <c r="K160" s="86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16"/>
      <c r="W160" s="16"/>
      <c r="X160" s="16"/>
    </row>
    <row r="161" ht="15.75" customHeight="1">
      <c r="A161" s="97"/>
      <c r="B161" s="85"/>
      <c r="C161" s="85"/>
      <c r="D161" s="85"/>
      <c r="E161" s="85"/>
      <c r="F161" s="86"/>
      <c r="G161" s="86"/>
      <c r="H161" s="86"/>
      <c r="I161" s="85"/>
      <c r="J161" s="85"/>
      <c r="K161" s="86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16"/>
      <c r="W161" s="16"/>
      <c r="X161" s="16"/>
    </row>
    <row r="162" ht="15.75" customHeight="1">
      <c r="A162" s="97"/>
      <c r="B162" s="85"/>
      <c r="C162" s="85"/>
      <c r="D162" s="85"/>
      <c r="E162" s="85"/>
      <c r="F162" s="86"/>
      <c r="G162" s="86"/>
      <c r="H162" s="86"/>
      <c r="I162" s="85"/>
      <c r="J162" s="85"/>
      <c r="K162" s="86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16"/>
      <c r="W162" s="16"/>
      <c r="X162" s="16"/>
    </row>
    <row r="163" ht="15.75" customHeight="1">
      <c r="A163" s="97"/>
      <c r="B163" s="85"/>
      <c r="C163" s="85"/>
      <c r="D163" s="85"/>
      <c r="E163" s="85"/>
      <c r="F163" s="86"/>
      <c r="G163" s="86"/>
      <c r="H163" s="86"/>
      <c r="I163" s="85"/>
      <c r="J163" s="85"/>
      <c r="K163" s="86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16"/>
      <c r="W163" s="16"/>
      <c r="X163" s="16"/>
    </row>
    <row r="164" ht="15.75" customHeight="1">
      <c r="A164" s="97"/>
      <c r="B164" s="85"/>
      <c r="C164" s="85"/>
      <c r="D164" s="85"/>
      <c r="E164" s="85"/>
      <c r="F164" s="86"/>
      <c r="G164" s="86"/>
      <c r="H164" s="86"/>
      <c r="I164" s="85"/>
      <c r="J164" s="85"/>
      <c r="K164" s="86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16"/>
      <c r="W164" s="16"/>
      <c r="X164" s="16"/>
    </row>
    <row r="165" ht="15.75" customHeight="1">
      <c r="A165" s="97"/>
      <c r="B165" s="85"/>
      <c r="C165" s="85"/>
      <c r="D165" s="85"/>
      <c r="E165" s="85"/>
      <c r="F165" s="86"/>
      <c r="G165" s="86"/>
      <c r="H165" s="86"/>
      <c r="I165" s="85"/>
      <c r="J165" s="85"/>
      <c r="K165" s="86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16"/>
      <c r="W165" s="16"/>
      <c r="X165" s="16"/>
    </row>
    <row r="166" ht="15.75" customHeight="1">
      <c r="A166" s="97"/>
      <c r="B166" s="85"/>
      <c r="C166" s="85"/>
      <c r="D166" s="85"/>
      <c r="E166" s="85"/>
      <c r="F166" s="86"/>
      <c r="G166" s="86"/>
      <c r="H166" s="86"/>
      <c r="I166" s="85"/>
      <c r="J166" s="85"/>
      <c r="K166" s="86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16"/>
      <c r="W166" s="16"/>
      <c r="X166" s="16"/>
    </row>
    <row r="167" ht="15.75" customHeight="1">
      <c r="A167" s="97"/>
      <c r="B167" s="85"/>
      <c r="C167" s="85"/>
      <c r="D167" s="85"/>
      <c r="E167" s="85"/>
      <c r="F167" s="86"/>
      <c r="G167" s="86"/>
      <c r="H167" s="86"/>
      <c r="I167" s="85"/>
      <c r="J167" s="85"/>
      <c r="K167" s="86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16"/>
      <c r="W167" s="16"/>
      <c r="X167" s="16"/>
    </row>
    <row r="168" ht="15.75" customHeight="1">
      <c r="A168" s="97"/>
      <c r="B168" s="85"/>
      <c r="C168" s="85"/>
      <c r="D168" s="85"/>
      <c r="E168" s="85"/>
      <c r="F168" s="86"/>
      <c r="G168" s="86"/>
      <c r="H168" s="86"/>
      <c r="I168" s="85"/>
      <c r="J168" s="85"/>
      <c r="K168" s="86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16"/>
      <c r="W168" s="16"/>
      <c r="X168" s="16"/>
    </row>
    <row r="169" ht="15.75" customHeight="1">
      <c r="A169" s="97"/>
      <c r="B169" s="85"/>
      <c r="C169" s="85"/>
      <c r="D169" s="85"/>
      <c r="E169" s="85"/>
      <c r="F169" s="86"/>
      <c r="G169" s="86"/>
      <c r="H169" s="86"/>
      <c r="I169" s="85"/>
      <c r="J169" s="85"/>
      <c r="K169" s="86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16"/>
      <c r="W169" s="16"/>
      <c r="X169" s="16"/>
    </row>
    <row r="170" ht="15.75" customHeight="1">
      <c r="A170" s="97"/>
      <c r="B170" s="85"/>
      <c r="C170" s="85"/>
      <c r="D170" s="85"/>
      <c r="E170" s="85"/>
      <c r="F170" s="86"/>
      <c r="G170" s="86"/>
      <c r="H170" s="86"/>
      <c r="I170" s="85"/>
      <c r="J170" s="85"/>
      <c r="K170" s="86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16"/>
      <c r="W170" s="16"/>
      <c r="X170" s="16"/>
    </row>
    <row r="171" ht="15.75" customHeight="1">
      <c r="A171" s="97"/>
      <c r="B171" s="85"/>
      <c r="C171" s="85"/>
      <c r="D171" s="85"/>
      <c r="E171" s="85"/>
      <c r="F171" s="86"/>
      <c r="G171" s="86"/>
      <c r="H171" s="86"/>
      <c r="I171" s="85"/>
      <c r="J171" s="85"/>
      <c r="K171" s="86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16"/>
      <c r="W171" s="16"/>
      <c r="X171" s="16"/>
    </row>
    <row r="172" ht="15.75" customHeight="1">
      <c r="A172" s="97"/>
      <c r="B172" s="85"/>
      <c r="C172" s="85"/>
      <c r="D172" s="85"/>
      <c r="E172" s="85"/>
      <c r="F172" s="86"/>
      <c r="G172" s="86"/>
      <c r="H172" s="86"/>
      <c r="I172" s="85"/>
      <c r="J172" s="85"/>
      <c r="K172" s="86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16"/>
      <c r="W172" s="16"/>
      <c r="X172" s="16"/>
    </row>
    <row r="173" ht="15.75" customHeight="1">
      <c r="A173" s="97"/>
      <c r="B173" s="85"/>
      <c r="C173" s="85"/>
      <c r="D173" s="85"/>
      <c r="E173" s="85"/>
      <c r="F173" s="86"/>
      <c r="G173" s="86"/>
      <c r="H173" s="86"/>
      <c r="I173" s="85"/>
      <c r="J173" s="85"/>
      <c r="K173" s="86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16"/>
      <c r="W173" s="16"/>
      <c r="X173" s="16"/>
    </row>
    <row r="174" ht="15.75" customHeight="1">
      <c r="A174" s="97"/>
      <c r="B174" s="85"/>
      <c r="C174" s="85"/>
      <c r="D174" s="85"/>
      <c r="E174" s="85"/>
      <c r="F174" s="86"/>
      <c r="G174" s="86"/>
      <c r="H174" s="86"/>
      <c r="I174" s="85"/>
      <c r="J174" s="85"/>
      <c r="K174" s="86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16"/>
      <c r="W174" s="16"/>
      <c r="X174" s="16"/>
    </row>
    <row r="175" ht="15.75" customHeight="1">
      <c r="A175" s="97"/>
      <c r="B175" s="85"/>
      <c r="C175" s="85"/>
      <c r="D175" s="85"/>
      <c r="E175" s="85"/>
      <c r="F175" s="86"/>
      <c r="G175" s="86"/>
      <c r="H175" s="86"/>
      <c r="I175" s="85"/>
      <c r="J175" s="85"/>
      <c r="K175" s="86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16"/>
      <c r="W175" s="16"/>
      <c r="X175" s="16"/>
    </row>
    <row r="176" ht="15.75" customHeight="1">
      <c r="A176" s="97"/>
      <c r="B176" s="85"/>
      <c r="C176" s="85"/>
      <c r="D176" s="85"/>
      <c r="E176" s="85"/>
      <c r="F176" s="86"/>
      <c r="G176" s="86"/>
      <c r="H176" s="86"/>
      <c r="I176" s="85"/>
      <c r="J176" s="85"/>
      <c r="K176" s="86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16"/>
      <c r="W176" s="16"/>
      <c r="X176" s="16"/>
    </row>
    <row r="177" ht="15.75" customHeight="1">
      <c r="A177" s="97"/>
      <c r="B177" s="85"/>
      <c r="C177" s="85"/>
      <c r="D177" s="85"/>
      <c r="E177" s="85"/>
      <c r="F177" s="86"/>
      <c r="G177" s="86"/>
      <c r="H177" s="86"/>
      <c r="I177" s="85"/>
      <c r="J177" s="85"/>
      <c r="K177" s="86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16"/>
      <c r="W177" s="16"/>
      <c r="X177" s="16"/>
    </row>
    <row r="178" ht="15.75" customHeight="1">
      <c r="A178" s="97"/>
      <c r="B178" s="85"/>
      <c r="C178" s="85"/>
      <c r="D178" s="85"/>
      <c r="E178" s="85"/>
      <c r="F178" s="86"/>
      <c r="G178" s="86"/>
      <c r="H178" s="86"/>
      <c r="I178" s="85"/>
      <c r="J178" s="85"/>
      <c r="K178" s="86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16"/>
      <c r="W178" s="16"/>
      <c r="X178" s="16"/>
    </row>
    <row r="179" ht="15.75" customHeight="1">
      <c r="A179" s="97"/>
      <c r="B179" s="85"/>
      <c r="C179" s="85"/>
      <c r="D179" s="85"/>
      <c r="E179" s="85"/>
      <c r="F179" s="86"/>
      <c r="G179" s="86"/>
      <c r="H179" s="86"/>
      <c r="I179" s="85"/>
      <c r="J179" s="85"/>
      <c r="K179" s="86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16"/>
      <c r="W179" s="16"/>
      <c r="X179" s="16"/>
    </row>
    <row r="180" ht="15.75" customHeight="1">
      <c r="A180" s="97"/>
      <c r="B180" s="85"/>
      <c r="C180" s="85"/>
      <c r="D180" s="85"/>
      <c r="E180" s="85"/>
      <c r="F180" s="86"/>
      <c r="G180" s="86"/>
      <c r="H180" s="86"/>
      <c r="I180" s="85"/>
      <c r="J180" s="85"/>
      <c r="K180" s="86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16"/>
      <c r="W180" s="16"/>
      <c r="X180" s="16"/>
    </row>
    <row r="181" ht="15.75" customHeight="1">
      <c r="A181" s="97"/>
      <c r="B181" s="85"/>
      <c r="C181" s="85"/>
      <c r="D181" s="85"/>
      <c r="E181" s="85"/>
      <c r="F181" s="86"/>
      <c r="G181" s="86"/>
      <c r="H181" s="86"/>
      <c r="I181" s="85"/>
      <c r="J181" s="85"/>
      <c r="K181" s="86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16"/>
      <c r="W181" s="16"/>
      <c r="X181" s="16"/>
    </row>
    <row r="182" ht="15.75" customHeight="1">
      <c r="A182" s="97"/>
      <c r="B182" s="85"/>
      <c r="C182" s="85"/>
      <c r="D182" s="85"/>
      <c r="E182" s="85"/>
      <c r="F182" s="86"/>
      <c r="G182" s="86"/>
      <c r="H182" s="86"/>
      <c r="I182" s="85"/>
      <c r="J182" s="85"/>
      <c r="K182" s="86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16"/>
      <c r="W182" s="16"/>
      <c r="X182" s="16"/>
    </row>
    <row r="183" ht="15.75" customHeight="1">
      <c r="A183" s="97"/>
      <c r="B183" s="85"/>
      <c r="C183" s="85"/>
      <c r="D183" s="85"/>
      <c r="E183" s="85"/>
      <c r="F183" s="86"/>
      <c r="G183" s="86"/>
      <c r="H183" s="86"/>
      <c r="I183" s="85"/>
      <c r="J183" s="85"/>
      <c r="K183" s="86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16"/>
      <c r="W183" s="16"/>
      <c r="X183" s="16"/>
    </row>
    <row r="184" ht="15.75" customHeight="1">
      <c r="A184" s="97"/>
      <c r="B184" s="85"/>
      <c r="C184" s="85"/>
      <c r="D184" s="85"/>
      <c r="E184" s="85"/>
      <c r="F184" s="86"/>
      <c r="G184" s="86"/>
      <c r="H184" s="86"/>
      <c r="I184" s="85"/>
      <c r="J184" s="85"/>
      <c r="K184" s="86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16"/>
      <c r="W184" s="16"/>
      <c r="X184" s="16"/>
    </row>
    <row r="185" ht="15.75" customHeight="1">
      <c r="A185" s="97"/>
      <c r="B185" s="85"/>
      <c r="C185" s="85"/>
      <c r="D185" s="85"/>
      <c r="E185" s="85"/>
      <c r="F185" s="86"/>
      <c r="G185" s="86"/>
      <c r="H185" s="86"/>
      <c r="I185" s="85"/>
      <c r="J185" s="85"/>
      <c r="K185" s="86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16"/>
      <c r="W185" s="16"/>
      <c r="X185" s="16"/>
    </row>
    <row r="186" ht="15.75" customHeight="1">
      <c r="A186" s="97"/>
      <c r="B186" s="85"/>
      <c r="C186" s="85"/>
      <c r="D186" s="85"/>
      <c r="E186" s="85"/>
      <c r="F186" s="86"/>
      <c r="G186" s="86"/>
      <c r="H186" s="86"/>
      <c r="I186" s="85"/>
      <c r="J186" s="85"/>
      <c r="K186" s="86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16"/>
      <c r="W186" s="16"/>
      <c r="X186" s="16"/>
    </row>
    <row r="187" ht="15.75" customHeight="1">
      <c r="A187" s="97"/>
      <c r="B187" s="85"/>
      <c r="C187" s="85"/>
      <c r="D187" s="85"/>
      <c r="E187" s="85"/>
      <c r="F187" s="86"/>
      <c r="G187" s="86"/>
      <c r="H187" s="86"/>
      <c r="I187" s="85"/>
      <c r="J187" s="85"/>
      <c r="K187" s="86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16"/>
      <c r="W187" s="16"/>
      <c r="X187" s="16"/>
    </row>
    <row r="188" ht="15.75" customHeight="1">
      <c r="A188" s="97"/>
      <c r="B188" s="85"/>
      <c r="C188" s="85"/>
      <c r="D188" s="85"/>
      <c r="E188" s="85"/>
      <c r="F188" s="86"/>
      <c r="G188" s="86"/>
      <c r="H188" s="86"/>
      <c r="I188" s="85"/>
      <c r="J188" s="85"/>
      <c r="K188" s="86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16"/>
      <c r="W188" s="16"/>
      <c r="X188" s="16"/>
    </row>
    <row r="189" ht="15.75" customHeight="1">
      <c r="A189" s="97"/>
      <c r="B189" s="85"/>
      <c r="C189" s="85"/>
      <c r="D189" s="85"/>
      <c r="E189" s="85"/>
      <c r="F189" s="86"/>
      <c r="G189" s="86"/>
      <c r="H189" s="86"/>
      <c r="I189" s="85"/>
      <c r="J189" s="85"/>
      <c r="K189" s="86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16"/>
      <c r="W189" s="16"/>
      <c r="X189" s="16"/>
    </row>
    <row r="190" ht="15.75" customHeight="1">
      <c r="A190" s="97"/>
      <c r="B190" s="85"/>
      <c r="C190" s="85"/>
      <c r="D190" s="85"/>
      <c r="E190" s="85"/>
      <c r="F190" s="86"/>
      <c r="G190" s="86"/>
      <c r="H190" s="86"/>
      <c r="I190" s="85"/>
      <c r="J190" s="85"/>
      <c r="K190" s="86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16"/>
      <c r="W190" s="16"/>
      <c r="X190" s="16"/>
    </row>
    <row r="191" ht="15.75" customHeight="1">
      <c r="A191" s="97"/>
      <c r="B191" s="85"/>
      <c r="C191" s="85"/>
      <c r="D191" s="85"/>
      <c r="E191" s="85"/>
      <c r="F191" s="86"/>
      <c r="G191" s="86"/>
      <c r="H191" s="86"/>
      <c r="I191" s="85"/>
      <c r="J191" s="85"/>
      <c r="K191" s="86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16"/>
      <c r="W191" s="16"/>
      <c r="X191" s="16"/>
    </row>
    <row r="192" ht="15.75" customHeight="1">
      <c r="A192" s="97"/>
      <c r="B192" s="85"/>
      <c r="C192" s="85"/>
      <c r="D192" s="85"/>
      <c r="E192" s="85"/>
      <c r="F192" s="86"/>
      <c r="G192" s="86"/>
      <c r="H192" s="86"/>
      <c r="I192" s="85"/>
      <c r="J192" s="85"/>
      <c r="K192" s="86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16"/>
      <c r="W192" s="16"/>
      <c r="X192" s="16"/>
    </row>
    <row r="193" ht="15.75" customHeight="1">
      <c r="A193" s="97"/>
      <c r="B193" s="85"/>
      <c r="C193" s="85"/>
      <c r="D193" s="85"/>
      <c r="E193" s="85"/>
      <c r="F193" s="86"/>
      <c r="G193" s="86"/>
      <c r="H193" s="86"/>
      <c r="I193" s="85"/>
      <c r="J193" s="85"/>
      <c r="K193" s="86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16"/>
      <c r="W193" s="16"/>
      <c r="X193" s="16"/>
    </row>
    <row r="194" ht="15.75" customHeight="1">
      <c r="A194" s="97"/>
      <c r="B194" s="85"/>
      <c r="C194" s="85"/>
      <c r="D194" s="85"/>
      <c r="E194" s="85"/>
      <c r="F194" s="86"/>
      <c r="G194" s="86"/>
      <c r="H194" s="86"/>
      <c r="I194" s="85"/>
      <c r="J194" s="85"/>
      <c r="K194" s="86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16"/>
      <c r="W194" s="16"/>
      <c r="X194" s="16"/>
    </row>
    <row r="195" ht="15.75" customHeight="1">
      <c r="A195" s="97"/>
      <c r="B195" s="85"/>
      <c r="C195" s="85"/>
      <c r="D195" s="85"/>
      <c r="E195" s="85"/>
      <c r="F195" s="86"/>
      <c r="G195" s="86"/>
      <c r="H195" s="86"/>
      <c r="I195" s="85"/>
      <c r="J195" s="85"/>
      <c r="K195" s="86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16"/>
      <c r="W195" s="16"/>
      <c r="X195" s="16"/>
    </row>
    <row r="196" ht="15.75" customHeight="1">
      <c r="A196" s="97"/>
      <c r="B196" s="85"/>
      <c r="C196" s="85"/>
      <c r="D196" s="85"/>
      <c r="E196" s="85"/>
      <c r="F196" s="86"/>
      <c r="G196" s="86"/>
      <c r="H196" s="86"/>
      <c r="I196" s="85"/>
      <c r="J196" s="85"/>
      <c r="K196" s="86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16"/>
      <c r="W196" s="16"/>
      <c r="X196" s="16"/>
    </row>
    <row r="197" ht="15.75" customHeight="1">
      <c r="A197" s="97"/>
      <c r="B197" s="85"/>
      <c r="C197" s="85"/>
      <c r="D197" s="85"/>
      <c r="E197" s="85"/>
      <c r="F197" s="86"/>
      <c r="G197" s="86"/>
      <c r="H197" s="86"/>
      <c r="I197" s="85"/>
      <c r="J197" s="85"/>
      <c r="K197" s="86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16"/>
      <c r="W197" s="16"/>
      <c r="X197" s="16"/>
    </row>
    <row r="198" ht="15.75" customHeight="1">
      <c r="A198" s="97"/>
      <c r="B198" s="85"/>
      <c r="C198" s="85"/>
      <c r="D198" s="85"/>
      <c r="E198" s="85"/>
      <c r="F198" s="86"/>
      <c r="G198" s="86"/>
      <c r="H198" s="86"/>
      <c r="I198" s="85"/>
      <c r="J198" s="85"/>
      <c r="K198" s="86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16"/>
      <c r="W198" s="16"/>
      <c r="X198" s="16"/>
    </row>
    <row r="199" ht="15.75" customHeight="1">
      <c r="A199" s="97"/>
      <c r="B199" s="85"/>
      <c r="C199" s="85"/>
      <c r="D199" s="85"/>
      <c r="E199" s="85"/>
      <c r="F199" s="86"/>
      <c r="G199" s="86"/>
      <c r="H199" s="86"/>
      <c r="I199" s="85"/>
      <c r="J199" s="85"/>
      <c r="K199" s="86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16"/>
      <c r="W199" s="16"/>
      <c r="X199" s="16"/>
    </row>
    <row r="200" ht="15.75" customHeight="1">
      <c r="A200" s="97"/>
      <c r="B200" s="85"/>
      <c r="C200" s="85"/>
      <c r="D200" s="85"/>
      <c r="E200" s="85"/>
      <c r="F200" s="86"/>
      <c r="G200" s="86"/>
      <c r="H200" s="86"/>
      <c r="I200" s="85"/>
      <c r="J200" s="85"/>
      <c r="K200" s="86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16"/>
      <c r="W200" s="16"/>
      <c r="X200" s="16"/>
    </row>
    <row r="201" ht="15.75" customHeight="1">
      <c r="A201" s="97"/>
      <c r="B201" s="85"/>
      <c r="C201" s="85"/>
      <c r="D201" s="85"/>
      <c r="E201" s="85"/>
      <c r="F201" s="86"/>
      <c r="G201" s="86"/>
      <c r="H201" s="86"/>
      <c r="I201" s="85"/>
      <c r="J201" s="85"/>
      <c r="K201" s="86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16"/>
      <c r="W201" s="16"/>
      <c r="X201" s="16"/>
    </row>
    <row r="202" ht="15.75" customHeight="1">
      <c r="A202" s="97"/>
      <c r="B202" s="85"/>
      <c r="C202" s="85"/>
      <c r="D202" s="85"/>
      <c r="E202" s="85"/>
      <c r="F202" s="86"/>
      <c r="G202" s="86"/>
      <c r="H202" s="86"/>
      <c r="I202" s="85"/>
      <c r="J202" s="85"/>
      <c r="K202" s="86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16"/>
      <c r="W202" s="16"/>
      <c r="X202" s="16"/>
    </row>
    <row r="203" ht="15.75" customHeight="1">
      <c r="A203" s="97"/>
      <c r="B203" s="85"/>
      <c r="C203" s="85"/>
      <c r="D203" s="85"/>
      <c r="E203" s="85"/>
      <c r="F203" s="86"/>
      <c r="G203" s="86"/>
      <c r="H203" s="86"/>
      <c r="I203" s="85"/>
      <c r="J203" s="85"/>
      <c r="K203" s="86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16"/>
      <c r="W203" s="16"/>
      <c r="X203" s="16"/>
    </row>
    <row r="204" ht="15.75" customHeight="1">
      <c r="A204" s="97"/>
      <c r="B204" s="85"/>
      <c r="C204" s="85"/>
      <c r="D204" s="85"/>
      <c r="E204" s="85"/>
      <c r="F204" s="86"/>
      <c r="G204" s="86"/>
      <c r="H204" s="86"/>
      <c r="I204" s="85"/>
      <c r="J204" s="85"/>
      <c r="K204" s="86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16"/>
      <c r="W204" s="16"/>
      <c r="X204" s="16"/>
    </row>
    <row r="205" ht="15.75" customHeight="1">
      <c r="A205" s="97"/>
      <c r="B205" s="85"/>
      <c r="C205" s="85"/>
      <c r="D205" s="85"/>
      <c r="E205" s="85"/>
      <c r="F205" s="86"/>
      <c r="G205" s="86"/>
      <c r="H205" s="86"/>
      <c r="I205" s="85"/>
      <c r="J205" s="85"/>
      <c r="K205" s="86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16"/>
      <c r="W205" s="16"/>
      <c r="X205" s="16"/>
    </row>
    <row r="206" ht="15.75" customHeight="1">
      <c r="A206" s="97"/>
      <c r="B206" s="85"/>
      <c r="C206" s="85"/>
      <c r="D206" s="85"/>
      <c r="E206" s="85"/>
      <c r="F206" s="86"/>
      <c r="G206" s="86"/>
      <c r="H206" s="86"/>
      <c r="I206" s="85"/>
      <c r="J206" s="85"/>
      <c r="K206" s="86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16"/>
      <c r="W206" s="16"/>
      <c r="X206" s="16"/>
    </row>
    <row r="207" ht="15.75" customHeight="1">
      <c r="A207" s="97"/>
      <c r="B207" s="85"/>
      <c r="C207" s="85"/>
      <c r="D207" s="85"/>
      <c r="E207" s="85"/>
      <c r="F207" s="86"/>
      <c r="G207" s="86"/>
      <c r="H207" s="86"/>
      <c r="I207" s="85"/>
      <c r="J207" s="85"/>
      <c r="K207" s="86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16"/>
      <c r="W207" s="16"/>
      <c r="X207" s="16"/>
    </row>
    <row r="208" ht="15.75" customHeight="1">
      <c r="A208" s="97"/>
      <c r="B208" s="85"/>
      <c r="C208" s="85"/>
      <c r="D208" s="85"/>
      <c r="E208" s="85"/>
      <c r="F208" s="86"/>
      <c r="G208" s="86"/>
      <c r="H208" s="86"/>
      <c r="I208" s="85"/>
      <c r="J208" s="85"/>
      <c r="K208" s="86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16"/>
      <c r="W208" s="16"/>
      <c r="X208" s="16"/>
    </row>
    <row r="209" ht="15.75" customHeight="1">
      <c r="A209" s="97"/>
      <c r="B209" s="85"/>
      <c r="C209" s="85"/>
      <c r="D209" s="85"/>
      <c r="E209" s="85"/>
      <c r="F209" s="86"/>
      <c r="G209" s="86"/>
      <c r="H209" s="86"/>
      <c r="I209" s="85"/>
      <c r="J209" s="85"/>
      <c r="K209" s="86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16"/>
      <c r="W209" s="16"/>
      <c r="X209" s="16"/>
    </row>
    <row r="210" ht="15.75" customHeight="1">
      <c r="A210" s="97"/>
      <c r="B210" s="85"/>
      <c r="C210" s="85"/>
      <c r="D210" s="85"/>
      <c r="E210" s="85"/>
      <c r="F210" s="86"/>
      <c r="G210" s="86"/>
      <c r="H210" s="86"/>
      <c r="I210" s="85"/>
      <c r="J210" s="85"/>
      <c r="K210" s="86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16"/>
      <c r="W210" s="16"/>
      <c r="X210" s="16"/>
    </row>
    <row r="211" ht="15.75" customHeight="1">
      <c r="A211" s="16"/>
      <c r="B211" s="16"/>
      <c r="C211" s="16"/>
      <c r="D211" s="16"/>
      <c r="E211" s="16"/>
      <c r="F211" s="16"/>
      <c r="G211" s="16"/>
      <c r="H211" s="16"/>
      <c r="I211" s="85"/>
      <c r="J211" s="85"/>
      <c r="K211" s="86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16"/>
      <c r="W211" s="16"/>
      <c r="X211" s="16"/>
    </row>
    <row r="212" ht="15.75" customHeight="1">
      <c r="A212" s="16"/>
      <c r="B212" s="16"/>
      <c r="C212" s="16"/>
      <c r="D212" s="16"/>
      <c r="E212" s="16"/>
      <c r="F212" s="16"/>
      <c r="G212" s="16"/>
      <c r="H212" s="16"/>
      <c r="I212" s="85"/>
      <c r="J212" s="85"/>
      <c r="K212" s="86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16"/>
      <c r="W212" s="16"/>
      <c r="X212" s="16"/>
    </row>
    <row r="213" ht="15.75" customHeight="1">
      <c r="A213" s="16"/>
      <c r="B213" s="16"/>
      <c r="C213" s="16"/>
      <c r="D213" s="16"/>
      <c r="E213" s="16"/>
      <c r="F213" s="16"/>
      <c r="G213" s="16"/>
      <c r="H213" s="16"/>
      <c r="I213" s="85"/>
      <c r="J213" s="85"/>
      <c r="K213" s="86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16"/>
      <c r="W213" s="16"/>
      <c r="X213" s="16"/>
    </row>
    <row r="214" ht="15.75" customHeight="1">
      <c r="A214" s="16"/>
      <c r="B214" s="16"/>
      <c r="C214" s="16"/>
      <c r="D214" s="16"/>
      <c r="E214" s="16"/>
      <c r="F214" s="16"/>
      <c r="G214" s="16"/>
      <c r="H214" s="16"/>
      <c r="I214" s="85"/>
      <c r="J214" s="85"/>
      <c r="K214" s="86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16"/>
      <c r="W214" s="16"/>
      <c r="X214" s="16"/>
    </row>
    <row r="215" ht="15.75" customHeight="1">
      <c r="A215" s="16"/>
      <c r="B215" s="16"/>
      <c r="C215" s="16"/>
      <c r="D215" s="16"/>
      <c r="E215" s="16"/>
      <c r="F215" s="16"/>
      <c r="G215" s="16"/>
      <c r="H215" s="16"/>
      <c r="I215" s="85"/>
      <c r="J215" s="85"/>
      <c r="K215" s="86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16"/>
      <c r="W215" s="16"/>
      <c r="X215" s="16"/>
    </row>
    <row r="216" ht="15.75" customHeight="1">
      <c r="A216" s="16"/>
      <c r="B216" s="16"/>
      <c r="C216" s="16"/>
      <c r="D216" s="16"/>
      <c r="E216" s="16"/>
      <c r="F216" s="16"/>
      <c r="G216" s="16"/>
      <c r="H216" s="16"/>
      <c r="I216" s="85"/>
      <c r="J216" s="85"/>
      <c r="K216" s="86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16"/>
      <c r="W216" s="16"/>
      <c r="X216" s="16"/>
    </row>
    <row r="217" ht="15.75" customHeight="1">
      <c r="A217" s="16"/>
      <c r="B217" s="16"/>
      <c r="C217" s="16"/>
      <c r="D217" s="16"/>
      <c r="E217" s="16"/>
      <c r="F217" s="16"/>
      <c r="G217" s="16"/>
      <c r="H217" s="16"/>
      <c r="I217" s="85"/>
      <c r="J217" s="85"/>
      <c r="K217" s="86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16"/>
      <c r="W217" s="16"/>
      <c r="X217" s="16"/>
    </row>
    <row r="218" ht="15.75" customHeight="1">
      <c r="A218" s="16"/>
      <c r="B218" s="16"/>
      <c r="C218" s="16"/>
      <c r="D218" s="16"/>
      <c r="E218" s="16"/>
      <c r="F218" s="16"/>
      <c r="G218" s="16"/>
      <c r="H218" s="16"/>
      <c r="I218" s="85"/>
      <c r="J218" s="85"/>
      <c r="K218" s="86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16"/>
      <c r="W218" s="16"/>
      <c r="X218" s="16"/>
    </row>
    <row r="219" ht="15.75" customHeight="1">
      <c r="A219" s="16"/>
      <c r="B219" s="16"/>
      <c r="C219" s="16"/>
      <c r="D219" s="16"/>
      <c r="E219" s="16"/>
      <c r="F219" s="16"/>
      <c r="G219" s="16"/>
      <c r="H219" s="16"/>
      <c r="I219" s="85"/>
      <c r="J219" s="85"/>
      <c r="K219" s="86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16"/>
      <c r="W219" s="16"/>
      <c r="X219" s="16"/>
    </row>
    <row r="220" ht="15.75" customHeight="1">
      <c r="A220" s="16"/>
      <c r="B220" s="16"/>
      <c r="C220" s="16"/>
      <c r="D220" s="16"/>
      <c r="E220" s="16"/>
      <c r="F220" s="16"/>
      <c r="G220" s="16"/>
      <c r="H220" s="16"/>
      <c r="I220" s="85"/>
      <c r="J220" s="85"/>
      <c r="K220" s="86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16"/>
      <c r="W220" s="16"/>
      <c r="X220" s="16"/>
    </row>
    <row r="221" ht="15.75" customHeight="1">
      <c r="A221" s="16"/>
      <c r="B221" s="16"/>
      <c r="C221" s="16"/>
      <c r="D221" s="16"/>
      <c r="E221" s="16"/>
      <c r="F221" s="16"/>
      <c r="G221" s="16"/>
      <c r="H221" s="16"/>
      <c r="I221" s="85"/>
      <c r="J221" s="85"/>
      <c r="K221" s="86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16"/>
      <c r="W221" s="16"/>
      <c r="X221" s="16"/>
    </row>
    <row r="222" ht="15.75" customHeight="1">
      <c r="A222" s="16"/>
      <c r="B222" s="16"/>
      <c r="C222" s="16"/>
      <c r="D222" s="16"/>
      <c r="E222" s="16"/>
      <c r="F222" s="16"/>
      <c r="G222" s="16"/>
      <c r="H222" s="16"/>
      <c r="I222" s="85"/>
      <c r="J222" s="85"/>
      <c r="K222" s="86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16"/>
      <c r="W222" s="16"/>
      <c r="X222" s="16"/>
    </row>
    <row r="223" ht="15.75" customHeight="1">
      <c r="A223" s="16"/>
      <c r="B223" s="16"/>
      <c r="C223" s="16"/>
      <c r="D223" s="16"/>
      <c r="E223" s="16"/>
      <c r="F223" s="16"/>
      <c r="G223" s="16"/>
      <c r="H223" s="16"/>
      <c r="I223" s="85"/>
      <c r="J223" s="85"/>
      <c r="K223" s="86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16"/>
      <c r="W223" s="16"/>
      <c r="X223" s="16"/>
    </row>
    <row r="224" ht="15.7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</row>
    <row r="225" ht="15.7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</row>
    <row r="226" ht="15.7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</row>
    <row r="227" ht="15.7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</row>
    <row r="228" ht="15.7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</row>
    <row r="229" ht="15.7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</row>
    <row r="230" ht="15.7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</row>
    <row r="231" ht="15.7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</row>
    <row r="232" ht="15.7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</row>
    <row r="233" ht="15.7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</row>
    <row r="234" ht="15.7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</row>
    <row r="235" ht="15.7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</row>
    <row r="236" ht="15.7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</row>
    <row r="237" ht="15.7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</row>
    <row r="238" ht="15.7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</row>
    <row r="239" ht="15.7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</row>
    <row r="240" ht="15.7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</row>
    <row r="241" ht="15.7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</row>
    <row r="242" ht="15.7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</row>
    <row r="243" ht="15.7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</row>
    <row r="244" ht="15.7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</row>
    <row r="245" ht="15.7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</row>
    <row r="246" ht="15.7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</row>
    <row r="247" ht="15.7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</row>
    <row r="248" ht="15.7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</row>
    <row r="249" ht="15.7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</row>
    <row r="250" ht="15.7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</row>
    <row r="251" ht="15.7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</row>
    <row r="252" ht="15.7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</row>
    <row r="253" ht="15.7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</row>
    <row r="254" ht="15.7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</row>
    <row r="255" ht="15.7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</row>
    <row r="256" ht="15.7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</row>
    <row r="257" ht="15.7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</row>
    <row r="258" ht="15.7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</row>
    <row r="259" ht="15.7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</row>
    <row r="260" ht="15.7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</row>
    <row r="261" ht="15.7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</row>
    <row r="262" ht="15.7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</row>
    <row r="263" ht="15.7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</row>
    <row r="264" ht="15.7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</row>
    <row r="265" ht="15.7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</row>
    <row r="266" ht="15.7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</row>
    <row r="267" ht="15.7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</row>
    <row r="268" ht="15.7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</row>
    <row r="269" ht="15.7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</row>
    <row r="270" ht="15.7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</row>
    <row r="271" ht="15.7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</row>
    <row r="272" ht="15.7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</row>
    <row r="273" ht="15.7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</row>
    <row r="274" ht="15.7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</row>
    <row r="275" ht="15.7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</row>
    <row r="276" ht="15.7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</row>
    <row r="277" ht="15.7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</row>
    <row r="278" ht="15.7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</row>
    <row r="279" ht="15.7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</row>
    <row r="280" ht="15.7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</row>
    <row r="281" ht="15.7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</row>
    <row r="282" ht="15.7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</row>
    <row r="283" ht="15.7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</row>
    <row r="284" ht="15.7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</row>
    <row r="285" ht="15.7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</row>
    <row r="286" ht="15.7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</row>
    <row r="287" ht="15.7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</row>
    <row r="288" ht="15.7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</row>
    <row r="289" ht="15.7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</row>
    <row r="290" ht="15.7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</row>
    <row r="291" ht="15.7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</row>
    <row r="292" ht="15.7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</row>
    <row r="293" ht="15.7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</row>
    <row r="294" ht="15.7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</row>
    <row r="295" ht="15.7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</row>
    <row r="296" ht="15.7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</row>
    <row r="297" ht="15.7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</row>
    <row r="298" ht="15.7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</row>
    <row r="299" ht="15.7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</row>
    <row r="300" ht="15.7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</row>
    <row r="301" ht="15.7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</row>
    <row r="302" ht="15.7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</row>
    <row r="303" ht="15.7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</row>
    <row r="304" ht="15.7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</row>
    <row r="305" ht="15.7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</row>
    <row r="306" ht="15.7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</row>
    <row r="307" ht="15.7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</row>
    <row r="308" ht="15.7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</row>
    <row r="309" ht="15.7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</row>
    <row r="310" ht="15.7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</row>
    <row r="312" ht="15.7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</row>
    <row r="314" ht="15.7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</row>
    <row r="316" ht="15.7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</row>
    <row r="318" ht="15.7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</row>
    <row r="320" ht="15.7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</row>
    <row r="322" ht="15.7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</row>
    <row r="324" ht="15.7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</row>
    <row r="326" ht="15.7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</row>
    <row r="328" ht="15.7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</row>
    <row r="981" ht="15.75" customHeight="1">
      <c r="B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</row>
    <row r="982" ht="15.75" customHeight="1">
      <c r="B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</row>
    <row r="983" ht="15.75" customHeight="1">
      <c r="B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</row>
    <row r="984" ht="15.75" customHeight="1">
      <c r="B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</row>
    <row r="985" ht="15.75" customHeight="1">
      <c r="B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</row>
    <row r="986" ht="15.75" customHeight="1">
      <c r="B986" s="98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</row>
    <row r="987" ht="15.75" customHeight="1">
      <c r="B987" s="98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</row>
    <row r="988" ht="15.75" customHeight="1">
      <c r="B988" s="98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</row>
    <row r="989" ht="15.75" customHeight="1">
      <c r="B989" s="98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</row>
    <row r="990" ht="15.75" customHeight="1">
      <c r="B990" s="98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</row>
  </sheetData>
  <customSheetViews>
    <customSheetView guid="{D571B522-E9C1-46A5-A342-38C0A14F74C3}" filter="1" showAutoFilter="1">
      <autoFilter ref="$A$1:$H$39">
        <filterColumn colId="0">
          <filters>
            <filter val="SERVIÇOS DE INFORMÁTICA"/>
            <filter val="COMISSÃO DE AGÊNCIA"/>
            <filter val="VEICULAÇÃO TERCEIRIZADA"/>
            <filter val="LOCAÇÃO VEÍCULOS"/>
            <filter val="DESPESAS COM VEÍCULOS"/>
            <filter val="SERVIÇO DE MOVIMENTAÇÃO E TRANSPORTE"/>
            <filter val="SERVIÇOS DE REPARO / MANUTENÇÃO"/>
            <filter val="LOCAÇÃO DE MAQUINAS E EQUIPAMENTOS - NF DEB."/>
            <filter val="INSTALAÇÃO TERCEIRIZADA"/>
          </filters>
        </filterColumn>
      </autoFilter>
      <extLst>
        <ext uri="GoogleSheetsCustomDataVersion1">
          <go:sheetsCustomData xmlns:go="http://customooxmlschemas.google.com/" filterViewId="1027769574"/>
        </ext>
      </extLst>
    </customSheetView>
    <customSheetView guid="{D3337389-FA75-47F9-AB96-BA17CA38AC0C}" filter="1" showAutoFilter="1">
      <autoFilter ref="$A$1:$H$39"/>
      <extLst>
        <ext uri="GoogleSheetsCustomDataVersion1">
          <go:sheetsCustomData xmlns:go="http://customooxmlschemas.google.com/" filterViewId="1141414331"/>
        </ext>
      </extLst>
    </customSheetView>
  </customSheetView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